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Master,OpenF\"/>
    </mc:Choice>
  </mc:AlternateContent>
  <xr:revisionPtr revIDLastSave="0" documentId="8_{78C1560C-24BD-4BFE-B7A0-28A5F907DBFE}" xr6:coauthVersionLast="47" xr6:coauthVersionMax="47" xr10:uidLastSave="{00000000-0000-0000-0000-000000000000}"/>
  <bookViews>
    <workbookView xWindow="14400" yWindow="0" windowWidth="14400" windowHeight="15600" xr2:uid="{5B7FD8E5-4E3D-445C-98A6-BF8C6BD0D32C}"/>
  </bookViews>
  <sheets>
    <sheet name="Hoja1" sheetId="1" r:id="rId1"/>
  </sheets>
  <definedNames>
    <definedName name="_xlnm._FilterDatabase" localSheetId="0" hidden="1">Hoja1!$B$2:$F$14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8" i="1"/>
  <c r="F4" i="1"/>
  <c r="F7" i="1"/>
  <c r="F3" i="1"/>
  <c r="F14" i="1"/>
  <c r="F13" i="1"/>
  <c r="F12" i="1"/>
  <c r="F9" i="1"/>
</calcChain>
</file>

<file path=xl/sharedStrings.xml><?xml version="1.0" encoding="utf-8"?>
<sst xmlns="http://schemas.openxmlformats.org/spreadsheetml/2006/main" count="29" uniqueCount="29">
  <si>
    <t>Oscar Rodriguez Castro</t>
  </si>
  <si>
    <t>Coronado</t>
  </si>
  <si>
    <t>Sonia Hernandez Lo</t>
  </si>
  <si>
    <t>Puntarenas</t>
  </si>
  <si>
    <t>Paul Kleiman</t>
  </si>
  <si>
    <t>Club tennis de mesa Moya</t>
  </si>
  <si>
    <t>Antonio Cañas Van Der Laat</t>
  </si>
  <si>
    <t>Tibas</t>
  </si>
  <si>
    <t>Carlos Chang Ko</t>
  </si>
  <si>
    <t>Carmen Heredia</t>
  </si>
  <si>
    <t>Hernan Solis Rodriguez</t>
  </si>
  <si>
    <t>Naranjo</t>
  </si>
  <si>
    <t>Jean Claude Marcel Goron</t>
  </si>
  <si>
    <t>Academia Macadamia</t>
  </si>
  <si>
    <t>Osvaldo Vindas Gonzales</t>
  </si>
  <si>
    <t>Heredia</t>
  </si>
  <si>
    <t>Alvaro Arriaga Mora</t>
  </si>
  <si>
    <t>San Jose</t>
  </si>
  <si>
    <t>Jorge Simon Perez</t>
  </si>
  <si>
    <t>Santa Ana</t>
  </si>
  <si>
    <t>Mercedes Valenzuela Brenes</t>
  </si>
  <si>
    <t>Desamparados</t>
  </si>
  <si>
    <t>Alejandro Sevilla</t>
  </si>
  <si>
    <t>El Carmen</t>
  </si>
  <si>
    <t>CARNÉ</t>
  </si>
  <si>
    <t>NOMBRE</t>
  </si>
  <si>
    <t>CLUB</t>
  </si>
  <si>
    <t>RANKING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</si>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</sst>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29ED-DE94-46D3-A74F-0EBC17A43C3A}">
  <dimension ref="B2:F14"/>
  <sheetViews>
    <sheetView tabSelected="1" workbookViewId="0">
      <selection activeCell="C26" sqref="C26"/>
    </sheetView>
  </sheetViews>
  <sheetFormatPr baseColWidth="10" defaultRowHeight="15" x14ac:dyDescent="0.25"/>
  <cols>
    <col min="2" max="2" width="11.42578125" style="1"/>
    <col min="3" max="3" width="26.42578125" bestFit="1" customWidth="1"/>
    <col min="4" max="4" width="24.140625" bestFit="1" customWidth="1"/>
    <col min="6" max="6" width="11.42578125" style="1"/>
  </cols>
  <sheetData>
    <row r="2" spans="2:6" x14ac:dyDescent="0.25">
      <c r="B2" s="1" t="s">
        <v>24</v>
      </c>
      <c r="C2" t="s">
        <v>25</v>
      </c>
      <c r="D2" t="s">
        <v>26</v>
      </c>
      <c r="E2" t="s">
        <v>27</v>
      </c>
      <c r="F2" s="1" t="s">
        <v>28</v>
      </c>
    </row>
    <row r="3" spans="2:6" x14ac:dyDescent="0.25">
      <c r="B3" s="1">
        <v>17</v>
      </c>
      <c r="C3" t="s">
        <v>0</v>
      </c>
      <c r="D3" t="s">
        <v>1</v>
      </c>
      <c r="E3">
        <v>1</v>
      </c>
      <c r="F3" s="1">
        <f>500+30+10+10+10+20</f>
        <v>580</v>
      </c>
    </row>
    <row r="4" spans="2:6" x14ac:dyDescent="0.25">
      <c r="B4" s="1">
        <v>25</v>
      </c>
      <c r="C4" t="s">
        <v>8</v>
      </c>
      <c r="D4" t="s">
        <v>9</v>
      </c>
      <c r="E4">
        <v>2</v>
      </c>
      <c r="F4" s="1">
        <f>500+30+10+10-5+15</f>
        <v>560</v>
      </c>
    </row>
    <row r="5" spans="2:6" x14ac:dyDescent="0.25">
      <c r="B5" s="1">
        <v>1815</v>
      </c>
      <c r="C5" t="s">
        <v>22</v>
      </c>
      <c r="D5" t="s">
        <v>23</v>
      </c>
      <c r="E5">
        <v>3</v>
      </c>
      <c r="F5" s="1">
        <f>500+30+10-5+10</f>
        <v>545</v>
      </c>
    </row>
    <row r="6" spans="2:6" x14ac:dyDescent="0.25">
      <c r="B6" s="1">
        <v>28</v>
      </c>
      <c r="C6" t="s">
        <v>16</v>
      </c>
      <c r="D6" t="s">
        <v>17</v>
      </c>
      <c r="E6">
        <v>4</v>
      </c>
      <c r="F6" s="1">
        <f>500+15+10-5+10</f>
        <v>530</v>
      </c>
    </row>
    <row r="7" spans="2:6" x14ac:dyDescent="0.25">
      <c r="B7" s="1">
        <v>1677</v>
      </c>
      <c r="C7" t="s">
        <v>2</v>
      </c>
      <c r="D7" t="s">
        <v>3</v>
      </c>
      <c r="E7">
        <v>5</v>
      </c>
      <c r="F7" s="1">
        <f>500+15-5+5</f>
        <v>515</v>
      </c>
    </row>
    <row r="8" spans="2:6" x14ac:dyDescent="0.25">
      <c r="B8" s="1">
        <v>1104</v>
      </c>
      <c r="C8" t="s">
        <v>10</v>
      </c>
      <c r="D8" t="s">
        <v>11</v>
      </c>
      <c r="E8">
        <v>6</v>
      </c>
      <c r="F8" s="1">
        <f>500+15-5+5</f>
        <v>515</v>
      </c>
    </row>
    <row r="9" spans="2:6" x14ac:dyDescent="0.25">
      <c r="B9" s="1">
        <v>3001</v>
      </c>
      <c r="C9" t="s">
        <v>4</v>
      </c>
      <c r="D9" t="s">
        <v>5</v>
      </c>
      <c r="E9">
        <v>7</v>
      </c>
      <c r="F9" s="1">
        <f>500+0</f>
        <v>500</v>
      </c>
    </row>
    <row r="10" spans="2:6" x14ac:dyDescent="0.25">
      <c r="B10" s="1">
        <v>4336</v>
      </c>
      <c r="C10" t="s">
        <v>14</v>
      </c>
      <c r="D10" t="s">
        <v>15</v>
      </c>
      <c r="E10">
        <v>8</v>
      </c>
      <c r="F10" s="1">
        <v>500</v>
      </c>
    </row>
    <row r="11" spans="2:6" x14ac:dyDescent="0.25">
      <c r="B11" s="1">
        <v>756</v>
      </c>
      <c r="C11" t="s">
        <v>20</v>
      </c>
      <c r="D11" t="s">
        <v>21</v>
      </c>
      <c r="E11">
        <v>9</v>
      </c>
      <c r="F11" s="1">
        <v>500</v>
      </c>
    </row>
    <row r="12" spans="2:6" x14ac:dyDescent="0.25">
      <c r="B12" s="1">
        <v>4166</v>
      </c>
      <c r="C12" t="s">
        <v>6</v>
      </c>
      <c r="D12" t="s">
        <v>7</v>
      </c>
      <c r="E12">
        <v>10</v>
      </c>
      <c r="F12" s="1">
        <f>500-15</f>
        <v>485</v>
      </c>
    </row>
    <row r="13" spans="2:6" x14ac:dyDescent="0.25">
      <c r="B13" s="1">
        <v>3851</v>
      </c>
      <c r="C13" t="s">
        <v>12</v>
      </c>
      <c r="D13" t="s">
        <v>13</v>
      </c>
      <c r="E13">
        <v>11</v>
      </c>
      <c r="F13" s="1">
        <f>500-15</f>
        <v>485</v>
      </c>
    </row>
    <row r="14" spans="2:6" x14ac:dyDescent="0.25">
      <c r="B14" s="1">
        <v>48</v>
      </c>
      <c r="C14" t="s">
        <v>18</v>
      </c>
      <c r="D14" t="s">
        <v>19</v>
      </c>
      <c r="E14">
        <v>12</v>
      </c>
      <c r="F14" s="1">
        <f>500-15</f>
        <v>485</v>
      </c>
    </row>
  </sheetData>
  <autoFilter ref="B2:F14" xr:uid="{0EE629ED-DE94-46D3-A74F-0EBC17A43C3A}">
    <sortState xmlns:xlrd2="http://schemas.microsoft.com/office/spreadsheetml/2017/richdata2" ref="B3:F14">
      <sortCondition descending="1" ref="F2:F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2025-03-02T18:56:00Z</dcterms:created>
  <dcterms:modified xsi:type="dcterms:W3CDTF">2025-03-02T20:45:32Z</dcterms:modified>
</cp:coreProperties>
</file>