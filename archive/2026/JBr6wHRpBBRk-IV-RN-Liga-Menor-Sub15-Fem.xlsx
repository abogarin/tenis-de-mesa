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cot\Downloads\"/>
    </mc:Choice>
  </mc:AlternateContent>
  <xr:revisionPtr revIDLastSave="0" documentId="13_ncr:1_{FCDD31CE-6C9D-42A3-99CA-BD1BFDD37E43}" xr6:coauthVersionLast="47" xr6:coauthVersionMax="47" xr10:uidLastSave="{00000000-0000-0000-0000-000000000000}"/>
  <bookViews>
    <workbookView xWindow="28680" yWindow="-120" windowWidth="29040" windowHeight="15720" xr2:uid="{325372C1-57B7-47D9-9300-1401FE4189EB}"/>
  </bookViews>
  <sheets>
    <sheet name="Ranking Final" sheetId="16" r:id="rId1"/>
    <sheet name="Grupo 1" sheetId="3" r:id="rId2"/>
    <sheet name="Grupo 2" sheetId="4" r:id="rId3"/>
    <sheet name="Grupo 3" sheetId="5" r:id="rId4"/>
    <sheet name="Grupo 4" sheetId="6" r:id="rId5"/>
    <sheet name="Grupo 5" sheetId="7" r:id="rId6"/>
    <sheet name="Grupo 6" sheetId="8" r:id="rId7"/>
    <sheet name="Grupo 7" sheetId="9" r:id="rId8"/>
    <sheet name="Grupo 8" sheetId="10" r:id="rId9"/>
    <sheet name="Grupo 9" sheetId="11" r:id="rId10"/>
    <sheet name="Grupo 10" sheetId="12" r:id="rId11"/>
    <sheet name="Grupo 11" sheetId="13" r:id="rId12"/>
    <sheet name="Grupo 12" sheetId="14" r:id="rId13"/>
    <sheet name="LLAVE 32 " sheetId="15" r:id="rId14"/>
  </sheets>
  <definedNames>
    <definedName name="a">#REF!</definedName>
    <definedName name="acdb">#REF!</definedName>
    <definedName name="ACDB1">#REF!</definedName>
    <definedName name="acdf">#REF!</definedName>
    <definedName name="acdh">#REF!</definedName>
    <definedName name="acdo">#REF!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avc">#REF!</definedName>
    <definedName name="datos">#REF!</definedName>
    <definedName name="dorsal">#REF!</definedName>
    <definedName name="EQ">#REF!</definedName>
    <definedName name="IN">#REF!</definedName>
    <definedName name="IND">#REF!</definedName>
    <definedName name="IPC_Member">#REF!</definedName>
    <definedName name="JBS">#REF!</definedName>
    <definedName name="JGS">#REF!</definedName>
    <definedName name="JUG">#REF!</definedName>
    <definedName name="PC">#REF!</definedName>
    <definedName name="PCS">#REF!</definedName>
    <definedName name="PLAYERS">#REF!</definedName>
    <definedName name="_xlnm.Print_Area" localSheetId="1">'Grupo 1'!$A$1:$J$35</definedName>
    <definedName name="_xlnm.Print_Area" localSheetId="10">'Grupo 10'!$A$1:$J$35</definedName>
    <definedName name="_xlnm.Print_Area" localSheetId="11">'Grupo 11'!$A$1:$J$35</definedName>
    <definedName name="_xlnm.Print_Area" localSheetId="12">'Grupo 12'!$A$1:$J$35</definedName>
    <definedName name="_xlnm.Print_Area" localSheetId="2">'Grupo 2'!$A$1:$J$35</definedName>
    <definedName name="_xlnm.Print_Area" localSheetId="3">'Grupo 3'!$A$1:$J$35</definedName>
    <definedName name="_xlnm.Print_Area" localSheetId="4">'Grupo 4'!$A$1:$J$35</definedName>
    <definedName name="_xlnm.Print_Area" localSheetId="5">'Grupo 5'!$A$1:$J$35</definedName>
    <definedName name="_xlnm.Print_Area" localSheetId="6">'Grupo 6'!$A$1:$J$35</definedName>
    <definedName name="_xlnm.Print_Area" localSheetId="7">'Grupo 7'!$A$1:$J$35</definedName>
    <definedName name="_xlnm.Print_Area" localSheetId="8">'Grupo 8'!$A$1:$J$35</definedName>
    <definedName name="_xlnm.Print_Area" localSheetId="9">'Grupo 9'!$A$1:$J$35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0" i="15" l="1"/>
  <c r="K138" i="15"/>
  <c r="L123" i="15"/>
  <c r="BH76" i="15"/>
  <c r="G72" i="15"/>
  <c r="AS71" i="15"/>
  <c r="AR71" i="15"/>
  <c r="AE71" i="15" s="1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S70" i="15"/>
  <c r="AR70" i="15"/>
  <c r="AQ70" i="15"/>
  <c r="AP70" i="15"/>
  <c r="AO70" i="15"/>
  <c r="AN70" i="15"/>
  <c r="AM70" i="15"/>
  <c r="AE70" i="15" s="1"/>
  <c r="AL70" i="15"/>
  <c r="AK70" i="15"/>
  <c r="AJ70" i="15"/>
  <c r="AI70" i="15"/>
  <c r="AH70" i="15"/>
  <c r="AG70" i="15"/>
  <c r="AF70" i="15"/>
  <c r="F70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B68" i="15"/>
  <c r="AA68" i="15"/>
  <c r="F68" i="15"/>
  <c r="BF76" i="15" s="1"/>
  <c r="AZ67" i="15"/>
  <c r="AS67" i="15"/>
  <c r="AR67" i="15"/>
  <c r="AQ67" i="15"/>
  <c r="AP67" i="15"/>
  <c r="AO67" i="15"/>
  <c r="AN67" i="15"/>
  <c r="AM67" i="15"/>
  <c r="AE67" i="15" s="1"/>
  <c r="AL67" i="15"/>
  <c r="AK67" i="15"/>
  <c r="AJ67" i="15"/>
  <c r="AI67" i="15"/>
  <c r="AH67" i="15"/>
  <c r="AG67" i="15"/>
  <c r="AF67" i="15"/>
  <c r="AS66" i="15"/>
  <c r="AR66" i="15"/>
  <c r="AE66" i="15" s="1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F66" i="15"/>
  <c r="AS65" i="15"/>
  <c r="AR65" i="15"/>
  <c r="AQ65" i="15"/>
  <c r="AP65" i="15"/>
  <c r="AO65" i="15"/>
  <c r="AN65" i="15"/>
  <c r="AM65" i="15"/>
  <c r="AE65" i="15" s="1"/>
  <c r="AL65" i="15"/>
  <c r="AK65" i="15"/>
  <c r="AJ65" i="15"/>
  <c r="AI65" i="15"/>
  <c r="AH65" i="15"/>
  <c r="AG65" i="15"/>
  <c r="AF65" i="15"/>
  <c r="AS64" i="15"/>
  <c r="AR64" i="15"/>
  <c r="AQ64" i="15"/>
  <c r="AP64" i="15"/>
  <c r="AO64" i="15"/>
  <c r="AN64" i="15"/>
  <c r="AM64" i="15"/>
  <c r="AL64" i="15"/>
  <c r="AK64" i="15"/>
  <c r="AJ64" i="15"/>
  <c r="AA64" i="15" s="1"/>
  <c r="AI64" i="15"/>
  <c r="AH64" i="15"/>
  <c r="AG64" i="15"/>
  <c r="AF64" i="15"/>
  <c r="AB64" i="15"/>
  <c r="F64" i="15"/>
  <c r="BC63" i="15"/>
  <c r="AS63" i="15"/>
  <c r="AR63" i="15"/>
  <c r="AQ63" i="15"/>
  <c r="AP63" i="15"/>
  <c r="AO63" i="15"/>
  <c r="AE63" i="15" s="1"/>
  <c r="AN63" i="15"/>
  <c r="AM63" i="15"/>
  <c r="AL63" i="15"/>
  <c r="AK63" i="15"/>
  <c r="AJ63" i="15"/>
  <c r="AI63" i="15"/>
  <c r="AH63" i="15"/>
  <c r="AG63" i="15"/>
  <c r="AF63" i="15"/>
  <c r="AB62" i="15" s="1"/>
  <c r="AS62" i="15"/>
  <c r="AR62" i="15"/>
  <c r="AQ62" i="15"/>
  <c r="AP62" i="15"/>
  <c r="AO62" i="15"/>
  <c r="AN62" i="15"/>
  <c r="AM62" i="15"/>
  <c r="AL62" i="15"/>
  <c r="AK62" i="15"/>
  <c r="AA62" i="15" s="1"/>
  <c r="AJ62" i="15"/>
  <c r="AI62" i="15"/>
  <c r="AH62" i="15"/>
  <c r="AG62" i="15"/>
  <c r="AF62" i="15"/>
  <c r="F62" i="15"/>
  <c r="AS61" i="15"/>
  <c r="AR61" i="15"/>
  <c r="AQ61" i="15"/>
  <c r="AE61" i="15" s="1"/>
  <c r="AP61" i="15"/>
  <c r="AO61" i="15"/>
  <c r="AN61" i="15"/>
  <c r="AM61" i="15"/>
  <c r="AL61" i="15"/>
  <c r="AK61" i="15"/>
  <c r="AJ61" i="15"/>
  <c r="AB60" i="15" s="1"/>
  <c r="AI61" i="15"/>
  <c r="AH61" i="15"/>
  <c r="AG61" i="15"/>
  <c r="AF61" i="15"/>
  <c r="AS60" i="15"/>
  <c r="AR60" i="15"/>
  <c r="AQ60" i="15"/>
  <c r="AP60" i="15"/>
  <c r="AO60" i="15"/>
  <c r="AN60" i="15"/>
  <c r="AM60" i="15"/>
  <c r="AE60" i="15" s="1"/>
  <c r="AL60" i="15"/>
  <c r="AK60" i="15"/>
  <c r="AJ60" i="15"/>
  <c r="AI60" i="15"/>
  <c r="AH60" i="15"/>
  <c r="AG60" i="15"/>
  <c r="AF60" i="15"/>
  <c r="AA60" i="15"/>
  <c r="F60" i="15"/>
  <c r="BC47" i="15" s="1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F58" i="15"/>
  <c r="AS57" i="15"/>
  <c r="AR57" i="15"/>
  <c r="AQ57" i="15"/>
  <c r="AP57" i="15"/>
  <c r="AO57" i="15"/>
  <c r="AN57" i="15"/>
  <c r="AM57" i="15"/>
  <c r="AE57" i="15" s="1"/>
  <c r="AL57" i="15"/>
  <c r="AK57" i="15"/>
  <c r="AJ57" i="15"/>
  <c r="AI57" i="15"/>
  <c r="AH57" i="15"/>
  <c r="AG57" i="15"/>
  <c r="AF57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B56" i="15"/>
  <c r="AA56" i="15"/>
  <c r="F56" i="15"/>
  <c r="BF55" i="15"/>
  <c r="AS55" i="15"/>
  <c r="AR55" i="15"/>
  <c r="AQ55" i="15"/>
  <c r="AP55" i="15"/>
  <c r="AO55" i="15"/>
  <c r="AN55" i="15"/>
  <c r="AE55" i="15" s="1"/>
  <c r="AM55" i="15"/>
  <c r="AL55" i="15"/>
  <c r="AK55" i="15"/>
  <c r="AJ55" i="15"/>
  <c r="AI55" i="15"/>
  <c r="AH55" i="15"/>
  <c r="AG55" i="15"/>
  <c r="AF55" i="15"/>
  <c r="AS54" i="15"/>
  <c r="AR54" i="15"/>
  <c r="AQ54" i="15"/>
  <c r="AP54" i="15"/>
  <c r="AO54" i="15"/>
  <c r="AN54" i="15"/>
  <c r="AM54" i="15"/>
  <c r="AE54" i="15" s="1"/>
  <c r="AL54" i="15"/>
  <c r="AK54" i="15"/>
  <c r="AJ54" i="15"/>
  <c r="AI54" i="15"/>
  <c r="AA54" i="15" s="1"/>
  <c r="AH54" i="15"/>
  <c r="AG54" i="15"/>
  <c r="AF54" i="15"/>
  <c r="AB54" i="15"/>
  <c r="F54" i="15"/>
  <c r="AS53" i="15"/>
  <c r="AR53" i="15"/>
  <c r="AE53" i="15" s="1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B52" i="15" s="1"/>
  <c r="AS52" i="15"/>
  <c r="AR52" i="15"/>
  <c r="AQ52" i="15"/>
  <c r="AP52" i="15"/>
  <c r="AE52" i="15" s="1"/>
  <c r="AO52" i="15"/>
  <c r="AN52" i="15"/>
  <c r="AM52" i="15"/>
  <c r="AL52" i="15"/>
  <c r="AK52" i="15"/>
  <c r="AJ52" i="15"/>
  <c r="AI52" i="15"/>
  <c r="AH52" i="15"/>
  <c r="AG52" i="15"/>
  <c r="AF52" i="15"/>
  <c r="AA52" i="15" s="1"/>
  <c r="AD52" i="15"/>
  <c r="F52" i="15"/>
  <c r="AZ59" i="15" s="1"/>
  <c r="AZ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B50" i="15" s="1"/>
  <c r="AS50" i="15"/>
  <c r="AR50" i="15"/>
  <c r="AQ50" i="15"/>
  <c r="AP50" i="15"/>
  <c r="AO50" i="15"/>
  <c r="AN50" i="15"/>
  <c r="AE50" i="15" s="1"/>
  <c r="AM50" i="15"/>
  <c r="AL50" i="15"/>
  <c r="AK50" i="15"/>
  <c r="AJ50" i="15"/>
  <c r="AI50" i="15"/>
  <c r="AH50" i="15"/>
  <c r="AG50" i="15"/>
  <c r="AF50" i="15"/>
  <c r="AA50" i="15" s="1"/>
  <c r="F50" i="15"/>
  <c r="AW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S48" i="15"/>
  <c r="AR48" i="15"/>
  <c r="AQ48" i="15"/>
  <c r="AP48" i="15"/>
  <c r="AO48" i="15"/>
  <c r="AN48" i="15"/>
  <c r="AM48" i="15"/>
  <c r="AE48" i="15" s="1"/>
  <c r="AL48" i="15"/>
  <c r="AK48" i="15"/>
  <c r="AJ48" i="15"/>
  <c r="AI48" i="15"/>
  <c r="AH48" i="15"/>
  <c r="AG48" i="15"/>
  <c r="AF48" i="15"/>
  <c r="F48" i="15"/>
  <c r="AS47" i="15"/>
  <c r="AR47" i="15"/>
  <c r="AQ47" i="15"/>
  <c r="AP47" i="15"/>
  <c r="AO47" i="15"/>
  <c r="AN47" i="15"/>
  <c r="AM47" i="15"/>
  <c r="AE47" i="15" s="1"/>
  <c r="AL47" i="15"/>
  <c r="AK47" i="15"/>
  <c r="AJ47" i="15"/>
  <c r="AI47" i="15"/>
  <c r="AH47" i="15"/>
  <c r="AG47" i="15"/>
  <c r="AF47" i="15"/>
  <c r="AS46" i="15"/>
  <c r="AR46" i="15"/>
  <c r="AQ46" i="15"/>
  <c r="AP46" i="15"/>
  <c r="AE46" i="15" s="1"/>
  <c r="AO46" i="15"/>
  <c r="AN46" i="15"/>
  <c r="AM46" i="15"/>
  <c r="AL46" i="15"/>
  <c r="AK46" i="15"/>
  <c r="AJ46" i="15"/>
  <c r="AI46" i="15"/>
  <c r="AA46" i="15" s="1"/>
  <c r="AH46" i="15"/>
  <c r="AG46" i="15"/>
  <c r="AF46" i="15"/>
  <c r="F46" i="15"/>
  <c r="AW45" i="15"/>
  <c r="AS45" i="15"/>
  <c r="AR45" i="15"/>
  <c r="AQ45" i="15"/>
  <c r="AP45" i="15"/>
  <c r="AO45" i="15"/>
  <c r="AE45" i="15" s="1"/>
  <c r="AN45" i="15"/>
  <c r="AM45" i="15"/>
  <c r="AL45" i="15"/>
  <c r="AK45" i="15"/>
  <c r="AJ45" i="15"/>
  <c r="AB44" i="15" s="1"/>
  <c r="AI45" i="15"/>
  <c r="AH45" i="15"/>
  <c r="AG45" i="15"/>
  <c r="AF45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A44" i="15" s="1"/>
  <c r="AF44" i="15"/>
  <c r="F44" i="15"/>
  <c r="AZ27" i="15" s="1"/>
  <c r="AZ43" i="15"/>
  <c r="AS43" i="15"/>
  <c r="AR43" i="15"/>
  <c r="AQ43" i="15"/>
  <c r="AE43" i="15" s="1"/>
  <c r="AP43" i="15"/>
  <c r="AO43" i="15"/>
  <c r="AN43" i="15"/>
  <c r="AM43" i="15"/>
  <c r="AL43" i="15"/>
  <c r="AK43" i="15"/>
  <c r="AJ43" i="15"/>
  <c r="AI43" i="15"/>
  <c r="AH43" i="15"/>
  <c r="AG43" i="15"/>
  <c r="AF43" i="15"/>
  <c r="AV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F42" i="15"/>
  <c r="AS41" i="15"/>
  <c r="AR41" i="15"/>
  <c r="AQ41" i="15"/>
  <c r="AP41" i="15"/>
  <c r="AO41" i="15"/>
  <c r="AN41" i="15"/>
  <c r="AM41" i="15"/>
  <c r="AE41" i="15" s="1"/>
  <c r="AL41" i="15"/>
  <c r="AK41" i="15"/>
  <c r="AJ41" i="15"/>
  <c r="AI41" i="15"/>
  <c r="AH41" i="15"/>
  <c r="AG41" i="15"/>
  <c r="AF41" i="15"/>
  <c r="BO40" i="15"/>
  <c r="BN40" i="15"/>
  <c r="BM40" i="15"/>
  <c r="AS40" i="15"/>
  <c r="AR40" i="15"/>
  <c r="AQ40" i="15"/>
  <c r="AP40" i="15"/>
  <c r="AE40" i="15" s="1"/>
  <c r="AO40" i="15"/>
  <c r="AN40" i="15"/>
  <c r="AM40" i="15"/>
  <c r="AL40" i="15"/>
  <c r="AK40" i="15"/>
  <c r="AJ40" i="15"/>
  <c r="AI40" i="15"/>
  <c r="AH40" i="15"/>
  <c r="AG40" i="15"/>
  <c r="AF40" i="15"/>
  <c r="F40" i="15"/>
  <c r="BO39" i="15"/>
  <c r="BN39" i="15"/>
  <c r="BM39" i="15"/>
  <c r="AS39" i="15"/>
  <c r="AR39" i="15"/>
  <c r="AQ39" i="15"/>
  <c r="AP39" i="15"/>
  <c r="AO39" i="15"/>
  <c r="AE39" i="15" s="1"/>
  <c r="AN39" i="15"/>
  <c r="AM39" i="15"/>
  <c r="AL39" i="15"/>
  <c r="AK39" i="15"/>
  <c r="AJ39" i="15"/>
  <c r="AI39" i="15"/>
  <c r="AH39" i="15"/>
  <c r="AG39" i="15"/>
  <c r="AF39" i="15"/>
  <c r="AB38" i="15" s="1"/>
  <c r="BO38" i="15"/>
  <c r="BN38" i="15"/>
  <c r="BM38" i="15"/>
  <c r="BI38" i="15"/>
  <c r="AS38" i="15"/>
  <c r="AR38" i="15"/>
  <c r="AQ38" i="15"/>
  <c r="AP38" i="15"/>
  <c r="AO38" i="15"/>
  <c r="AE38" i="15" s="1"/>
  <c r="AN38" i="15"/>
  <c r="AM38" i="15"/>
  <c r="AL38" i="15"/>
  <c r="AK38" i="15"/>
  <c r="AJ38" i="15"/>
  <c r="AI38" i="15"/>
  <c r="AH38" i="15"/>
  <c r="AG38" i="15"/>
  <c r="AF38" i="15"/>
  <c r="AA38" i="15" s="1"/>
  <c r="AD38" i="15"/>
  <c r="AC38" i="15"/>
  <c r="AZ70" i="15" s="1"/>
  <c r="F38" i="15"/>
  <c r="AW69" i="15" s="1"/>
  <c r="BO37" i="15"/>
  <c r="BN37" i="15"/>
  <c r="BM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BO36" i="15"/>
  <c r="BN36" i="15"/>
  <c r="BM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F36" i="15"/>
  <c r="AW65" i="15" s="1"/>
  <c r="BO35" i="15"/>
  <c r="BN35" i="15"/>
  <c r="BM35" i="15"/>
  <c r="AZ35" i="15"/>
  <c r="AS35" i="15"/>
  <c r="AR35" i="15"/>
  <c r="AQ35" i="15"/>
  <c r="AP35" i="15"/>
  <c r="AO35" i="15"/>
  <c r="AN35" i="15"/>
  <c r="AM35" i="15"/>
  <c r="AE35" i="15" s="1"/>
  <c r="AL35" i="15"/>
  <c r="AK35" i="15"/>
  <c r="AJ35" i="15"/>
  <c r="AI35" i="15"/>
  <c r="AH35" i="15"/>
  <c r="AG35" i="15"/>
  <c r="AF35" i="15"/>
  <c r="BO34" i="15"/>
  <c r="BN34" i="15"/>
  <c r="BM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B34" i="15"/>
  <c r="AA34" i="15"/>
  <c r="F34" i="15"/>
  <c r="AW61" i="15" s="1"/>
  <c r="BO33" i="15"/>
  <c r="BN33" i="15"/>
  <c r="BM33" i="15"/>
  <c r="AS33" i="15"/>
  <c r="AR33" i="15"/>
  <c r="AQ33" i="15"/>
  <c r="AP33" i="15"/>
  <c r="AO33" i="15"/>
  <c r="AN33" i="15"/>
  <c r="AM33" i="15"/>
  <c r="AL33" i="15"/>
  <c r="AK33" i="15"/>
  <c r="AJ33" i="15"/>
  <c r="AI33" i="15"/>
  <c r="AB32" i="15" s="1"/>
  <c r="AH33" i="15"/>
  <c r="AG33" i="15"/>
  <c r="AF33" i="15"/>
  <c r="BO32" i="15"/>
  <c r="BN32" i="15"/>
  <c r="BM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A32" i="15"/>
  <c r="AV58" i="15"/>
  <c r="F32" i="15"/>
  <c r="AW57" i="15" s="1"/>
  <c r="BO31" i="15"/>
  <c r="BN31" i="15"/>
  <c r="BM31" i="15"/>
  <c r="BC31" i="15"/>
  <c r="AS31" i="15"/>
  <c r="AR31" i="15"/>
  <c r="AQ31" i="15"/>
  <c r="AP31" i="15"/>
  <c r="AO31" i="15"/>
  <c r="AN31" i="15"/>
  <c r="AM31" i="15"/>
  <c r="AE31" i="15" s="1"/>
  <c r="AL31" i="15"/>
  <c r="AK31" i="15"/>
  <c r="AJ31" i="15"/>
  <c r="AI31" i="15"/>
  <c r="AH31" i="15"/>
  <c r="AG31" i="15"/>
  <c r="AF31" i="15"/>
  <c r="BO30" i="15"/>
  <c r="BN30" i="15"/>
  <c r="BM30" i="15"/>
  <c r="AS30" i="15"/>
  <c r="AR30" i="15"/>
  <c r="AQ30" i="15"/>
  <c r="AP30" i="15"/>
  <c r="AE30" i="15" s="1"/>
  <c r="AO30" i="15"/>
  <c r="AN30" i="15"/>
  <c r="AM30" i="15"/>
  <c r="AL30" i="15"/>
  <c r="AK30" i="15"/>
  <c r="AJ30" i="15"/>
  <c r="AI30" i="15"/>
  <c r="AA30" i="15" s="1"/>
  <c r="AH30" i="15"/>
  <c r="AG30" i="15"/>
  <c r="AF30" i="15"/>
  <c r="F30" i="15"/>
  <c r="AW53" i="15" s="1"/>
  <c r="BO29" i="15"/>
  <c r="BN29" i="15"/>
  <c r="BM29" i="15"/>
  <c r="AS29" i="15"/>
  <c r="AR29" i="15"/>
  <c r="AQ29" i="15"/>
  <c r="AP29" i="15"/>
  <c r="AO29" i="15"/>
  <c r="AE29" i="15" s="1"/>
  <c r="AN29" i="15"/>
  <c r="AM29" i="15"/>
  <c r="AL29" i="15"/>
  <c r="AK29" i="15"/>
  <c r="AJ29" i="15"/>
  <c r="AI29" i="15"/>
  <c r="AH29" i="15"/>
  <c r="AG29" i="15"/>
  <c r="AF29" i="15"/>
  <c r="BO28" i="15"/>
  <c r="BN28" i="15"/>
  <c r="BM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B28" i="15"/>
  <c r="AA28" i="15"/>
  <c r="F28" i="15"/>
  <c r="BO27" i="15"/>
  <c r="BN27" i="15"/>
  <c r="BM27" i="15"/>
  <c r="AS27" i="15"/>
  <c r="AR27" i="15"/>
  <c r="AQ27" i="15"/>
  <c r="AP27" i="15"/>
  <c r="AO27" i="15"/>
  <c r="AN27" i="15"/>
  <c r="AM27" i="15"/>
  <c r="AE27" i="15" s="1"/>
  <c r="AL27" i="15"/>
  <c r="AK27" i="15"/>
  <c r="AJ27" i="15"/>
  <c r="AI27" i="15"/>
  <c r="AB26" i="15" s="1"/>
  <c r="AH27" i="15"/>
  <c r="AG27" i="15"/>
  <c r="AF27" i="15"/>
  <c r="BO26" i="15"/>
  <c r="BN26" i="15"/>
  <c r="BM26" i="15"/>
  <c r="AS26" i="15"/>
  <c r="AR26" i="15"/>
  <c r="AQ26" i="15"/>
  <c r="AP26" i="15"/>
  <c r="AO26" i="15"/>
  <c r="AN26" i="15"/>
  <c r="AE26" i="15" s="1"/>
  <c r="AM26" i="15"/>
  <c r="AL26" i="15"/>
  <c r="AK26" i="15"/>
  <c r="AJ26" i="15"/>
  <c r="AI26" i="15"/>
  <c r="AH26" i="15"/>
  <c r="AG26" i="15"/>
  <c r="AF26" i="15"/>
  <c r="F26" i="15"/>
  <c r="BO25" i="15"/>
  <c r="BN25" i="15"/>
  <c r="BM25" i="15"/>
  <c r="AS25" i="15"/>
  <c r="AR25" i="15"/>
  <c r="AQ25" i="15"/>
  <c r="AP25" i="15"/>
  <c r="AO25" i="15"/>
  <c r="AN25" i="15"/>
  <c r="AM25" i="15"/>
  <c r="AE25" i="15" s="1"/>
  <c r="AL25" i="15"/>
  <c r="AK25" i="15"/>
  <c r="AJ25" i="15"/>
  <c r="AB24" i="15" s="1"/>
  <c r="AI25" i="15"/>
  <c r="AH25" i="15"/>
  <c r="AG25" i="15"/>
  <c r="AF25" i="15"/>
  <c r="BY24" i="15"/>
  <c r="BO24" i="15"/>
  <c r="BN24" i="15"/>
  <c r="BM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A24" i="15" s="1"/>
  <c r="K125" i="15"/>
  <c r="F24" i="15"/>
  <c r="AW41" i="15" s="1"/>
  <c r="BO23" i="15"/>
  <c r="BN23" i="15"/>
  <c r="BM23" i="15"/>
  <c r="BF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BO22" i="15"/>
  <c r="BN22" i="15"/>
  <c r="BM22" i="15"/>
  <c r="AS22" i="15"/>
  <c r="AR22" i="15"/>
  <c r="AQ22" i="15"/>
  <c r="AP22" i="15"/>
  <c r="AO22" i="15"/>
  <c r="AN22" i="15"/>
  <c r="AE22" i="15" s="1"/>
  <c r="AM22" i="15"/>
  <c r="AL22" i="15"/>
  <c r="AK22" i="15"/>
  <c r="AJ22" i="15"/>
  <c r="AI22" i="15"/>
  <c r="AH22" i="15"/>
  <c r="AG22" i="15"/>
  <c r="AA22" i="15" s="1"/>
  <c r="AF22" i="15"/>
  <c r="K122" i="15"/>
  <c r="F22" i="15"/>
  <c r="AW37" i="15" s="1"/>
  <c r="BO21" i="15"/>
  <c r="BN21" i="15"/>
  <c r="BM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BY20" i="15"/>
  <c r="BO20" i="15"/>
  <c r="BN20" i="15"/>
  <c r="BM20" i="15"/>
  <c r="AV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A20" i="15" s="1"/>
  <c r="F20" i="15"/>
  <c r="AW33" i="15" s="1"/>
  <c r="BO19" i="15"/>
  <c r="BN19" i="15"/>
  <c r="BM19" i="15"/>
  <c r="AZ19" i="15"/>
  <c r="AS19" i="15"/>
  <c r="AR19" i="15"/>
  <c r="AQ19" i="15"/>
  <c r="AP19" i="15"/>
  <c r="AO19" i="15"/>
  <c r="AN19" i="15"/>
  <c r="AM19" i="15"/>
  <c r="AE19" i="15" s="1"/>
  <c r="AL19" i="15"/>
  <c r="AK19" i="15"/>
  <c r="AB18" i="15" s="1"/>
  <c r="AJ19" i="15"/>
  <c r="AI19" i="15"/>
  <c r="AH19" i="15"/>
  <c r="AG19" i="15"/>
  <c r="AF19" i="15"/>
  <c r="BO18" i="15"/>
  <c r="BN18" i="15"/>
  <c r="BM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A18" i="15"/>
  <c r="F18" i="15"/>
  <c r="AW29" i="15" s="1"/>
  <c r="BZ17" i="15"/>
  <c r="BO17" i="15"/>
  <c r="BN17" i="15"/>
  <c r="BM17" i="15"/>
  <c r="AS17" i="15"/>
  <c r="AR17" i="15"/>
  <c r="AQ17" i="15"/>
  <c r="AP17" i="15"/>
  <c r="AO17" i="15"/>
  <c r="AN17" i="15"/>
  <c r="AM17" i="15"/>
  <c r="AE17" i="15" s="1"/>
  <c r="AL17" i="15"/>
  <c r="AK17" i="15"/>
  <c r="AJ17" i="15"/>
  <c r="AI17" i="15"/>
  <c r="AH17" i="15"/>
  <c r="AG17" i="15"/>
  <c r="AF17" i="15"/>
  <c r="AB16" i="15" s="1"/>
  <c r="BO16" i="15"/>
  <c r="BN16" i="15"/>
  <c r="BM16" i="15"/>
  <c r="AU16" i="15"/>
  <c r="AU18" i="15" s="1"/>
  <c r="AU20" i="15" s="1"/>
  <c r="AU22" i="15" s="1"/>
  <c r="AU24" i="15" s="1"/>
  <c r="AU26" i="15" s="1"/>
  <c r="AU28" i="15" s="1"/>
  <c r="AU30" i="15" s="1"/>
  <c r="AU32" i="15" s="1"/>
  <c r="AU34" i="15" s="1"/>
  <c r="AU36" i="15" s="1"/>
  <c r="AU38" i="15" s="1"/>
  <c r="AU40" i="15" s="1"/>
  <c r="AU42" i="15" s="1"/>
  <c r="AU44" i="15" s="1"/>
  <c r="AU46" i="15" s="1"/>
  <c r="AU48" i="15" s="1"/>
  <c r="AU50" i="15" s="1"/>
  <c r="AU52" i="15" s="1"/>
  <c r="AU54" i="15" s="1"/>
  <c r="AU56" i="15" s="1"/>
  <c r="AU58" i="15" s="1"/>
  <c r="AU60" i="15" s="1"/>
  <c r="AU62" i="15" s="1"/>
  <c r="AU64" i="15" s="1"/>
  <c r="AU66" i="15" s="1"/>
  <c r="AU68" i="15" s="1"/>
  <c r="AU70" i="15" s="1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F16" i="15"/>
  <c r="AW25" i="15" s="1"/>
  <c r="BO15" i="15"/>
  <c r="BN15" i="15"/>
  <c r="BM15" i="15"/>
  <c r="BC15" i="15"/>
  <c r="AS15" i="15"/>
  <c r="AR15" i="15"/>
  <c r="AQ15" i="15"/>
  <c r="AP15" i="15"/>
  <c r="AO15" i="15"/>
  <c r="AN15" i="15"/>
  <c r="AM15" i="15"/>
  <c r="AE15" i="15" s="1"/>
  <c r="AL15" i="15"/>
  <c r="AK15" i="15"/>
  <c r="AJ15" i="15"/>
  <c r="AI15" i="15"/>
  <c r="AH15" i="15"/>
  <c r="AG15" i="15"/>
  <c r="AF15" i="15"/>
  <c r="BO14" i="15"/>
  <c r="BN14" i="15"/>
  <c r="BM14" i="15"/>
  <c r="AS14" i="15"/>
  <c r="AR14" i="15"/>
  <c r="AQ14" i="15"/>
  <c r="AE14" i="15" s="1"/>
  <c r="AP14" i="15"/>
  <c r="AO14" i="15"/>
  <c r="AN14" i="15"/>
  <c r="AM14" i="15"/>
  <c r="AL14" i="15"/>
  <c r="AK14" i="15"/>
  <c r="AJ14" i="15"/>
  <c r="AI14" i="15"/>
  <c r="AH14" i="15"/>
  <c r="AG14" i="15"/>
  <c r="AF14" i="15"/>
  <c r="AA14" i="15" s="1"/>
  <c r="F14" i="15"/>
  <c r="AW21" i="15" s="1"/>
  <c r="BZ13" i="15"/>
  <c r="BO13" i="15"/>
  <c r="BN13" i="15"/>
  <c r="BM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BO12" i="15"/>
  <c r="BN12" i="15"/>
  <c r="BM12" i="15"/>
  <c r="AU12" i="15"/>
  <c r="AU14" i="15" s="1"/>
  <c r="AS12" i="15"/>
  <c r="AR12" i="15"/>
  <c r="AQ12" i="15"/>
  <c r="AP12" i="15"/>
  <c r="AO12" i="15"/>
  <c r="AN12" i="15"/>
  <c r="AM12" i="15"/>
  <c r="AE12" i="15" s="1"/>
  <c r="AL12" i="15"/>
  <c r="AK12" i="15"/>
  <c r="AJ12" i="15"/>
  <c r="AI12" i="15"/>
  <c r="AH12" i="15"/>
  <c r="AA12" i="15" s="1"/>
  <c r="AG12" i="15"/>
  <c r="AF12" i="15"/>
  <c r="F12" i="15"/>
  <c r="AW17" i="15" s="1"/>
  <c r="BO11" i="15"/>
  <c r="BN11" i="15"/>
  <c r="BM11" i="15"/>
  <c r="BL11" i="15"/>
  <c r="BL12" i="15" s="1"/>
  <c r="BL13" i="15" s="1"/>
  <c r="BL14" i="15" s="1"/>
  <c r="BL15" i="15" s="1"/>
  <c r="BL16" i="15" s="1"/>
  <c r="BL17" i="15" s="1"/>
  <c r="BL18" i="15" s="1"/>
  <c r="BL19" i="15" s="1"/>
  <c r="BL20" i="15" s="1"/>
  <c r="BL21" i="15" s="1"/>
  <c r="BL22" i="15" s="1"/>
  <c r="BL23" i="15" s="1"/>
  <c r="BL24" i="15" s="1"/>
  <c r="BL25" i="15" s="1"/>
  <c r="BL26" i="15" s="1"/>
  <c r="BL27" i="15" s="1"/>
  <c r="BL28" i="15" s="1"/>
  <c r="BL29" i="15" s="1"/>
  <c r="BL30" i="15" s="1"/>
  <c r="BL31" i="15" s="1"/>
  <c r="BL32" i="15" s="1"/>
  <c r="BL33" i="15" s="1"/>
  <c r="BL34" i="15" s="1"/>
  <c r="BL35" i="15" s="1"/>
  <c r="BL36" i="15" s="1"/>
  <c r="BL37" i="15" s="1"/>
  <c r="BL38" i="15" s="1"/>
  <c r="BL39" i="15" s="1"/>
  <c r="BL40" i="15" s="1"/>
  <c r="AZ11" i="15"/>
  <c r="AS11" i="15"/>
  <c r="AR11" i="15"/>
  <c r="AQ11" i="15"/>
  <c r="AP11" i="15"/>
  <c r="AO11" i="15"/>
  <c r="AN11" i="15"/>
  <c r="AM11" i="15"/>
  <c r="AE11" i="15" s="1"/>
  <c r="AL11" i="15"/>
  <c r="AK11" i="15"/>
  <c r="AJ11" i="15"/>
  <c r="AI11" i="15"/>
  <c r="AH11" i="15"/>
  <c r="AG11" i="15"/>
  <c r="AF11" i="15"/>
  <c r="BO10" i="15"/>
  <c r="BN10" i="15"/>
  <c r="BM10" i="15"/>
  <c r="BL10" i="15"/>
  <c r="AU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F10" i="15"/>
  <c r="AW13" i="15" s="1"/>
  <c r="BZ9" i="15"/>
  <c r="BO9" i="15"/>
  <c r="BN9" i="15"/>
  <c r="BM9" i="15"/>
  <c r="AW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V10" i="15"/>
  <c r="F8" i="15"/>
  <c r="J22" i="14"/>
  <c r="J22" i="14" a="1"/>
  <c r="J20" i="14" a="1"/>
  <c r="J20" i="14" s="1"/>
  <c r="J18" i="14" a="1"/>
  <c r="J18" i="14" s="1"/>
  <c r="J14" i="14"/>
  <c r="A14" i="14"/>
  <c r="J13" i="14"/>
  <c r="A13" i="14"/>
  <c r="J12" i="14"/>
  <c r="D20" i="14"/>
  <c r="A12" i="14"/>
  <c r="J7" i="14"/>
  <c r="J22" i="13" a="1"/>
  <c r="J22" i="13" s="1"/>
  <c r="J20" i="13"/>
  <c r="J20" i="13" a="1"/>
  <c r="J18" i="13" a="1"/>
  <c r="J18" i="13" s="1"/>
  <c r="J14" i="13"/>
  <c r="A14" i="13"/>
  <c r="J13" i="13"/>
  <c r="A13" i="13"/>
  <c r="J12" i="13"/>
  <c r="A12" i="13"/>
  <c r="J7" i="13"/>
  <c r="J22" i="12"/>
  <c r="J22" i="12" a="1"/>
  <c r="J20" i="12"/>
  <c r="J20" i="12" a="1"/>
  <c r="J18" i="12"/>
  <c r="J18" i="12" a="1"/>
  <c r="J14" i="12"/>
  <c r="A14" i="12"/>
  <c r="J13" i="12"/>
  <c r="A13" i="12"/>
  <c r="J12" i="12"/>
  <c r="A12" i="12"/>
  <c r="J7" i="12"/>
  <c r="J22" i="11"/>
  <c r="J22" i="11" a="1"/>
  <c r="J20" i="11" a="1"/>
  <c r="J20" i="11" s="1"/>
  <c r="J18" i="11"/>
  <c r="J18" i="11" a="1"/>
  <c r="J14" i="11"/>
  <c r="A14" i="11"/>
  <c r="J13" i="11"/>
  <c r="D22" i="11"/>
  <c r="A13" i="11"/>
  <c r="J12" i="11"/>
  <c r="A12" i="11"/>
  <c r="J7" i="11"/>
  <c r="J22" i="10" a="1"/>
  <c r="J22" i="10" s="1"/>
  <c r="D22" i="10"/>
  <c r="J20" i="10" a="1"/>
  <c r="J20" i="10" s="1"/>
  <c r="J18" i="10"/>
  <c r="J18" i="10" a="1"/>
  <c r="J14" i="10"/>
  <c r="A14" i="10"/>
  <c r="J13" i="10"/>
  <c r="D21" i="10"/>
  <c r="A13" i="10"/>
  <c r="J12" i="10"/>
  <c r="A12" i="10"/>
  <c r="J7" i="10"/>
  <c r="J22" i="9"/>
  <c r="J22" i="9" a="1"/>
  <c r="J20" i="9" a="1"/>
  <c r="J20" i="9" s="1"/>
  <c r="J18" i="9"/>
  <c r="J18" i="9" a="1"/>
  <c r="J14" i="9"/>
  <c r="A14" i="9"/>
  <c r="J13" i="9"/>
  <c r="A13" i="9"/>
  <c r="J12" i="9"/>
  <c r="A12" i="9"/>
  <c r="J7" i="9"/>
  <c r="J22" i="8"/>
  <c r="J22" i="8" a="1"/>
  <c r="J20" i="8"/>
  <c r="J20" i="8" a="1"/>
  <c r="J18" i="8"/>
  <c r="J18" i="8" a="1"/>
  <c r="J14" i="8"/>
  <c r="D19" i="8"/>
  <c r="A14" i="8"/>
  <c r="J13" i="8"/>
  <c r="A13" i="8"/>
  <c r="J12" i="8"/>
  <c r="A12" i="8"/>
  <c r="J7" i="8"/>
  <c r="D23" i="7"/>
  <c r="J22" i="7" a="1"/>
  <c r="J22" i="7" s="1"/>
  <c r="J20" i="7" a="1"/>
  <c r="J20" i="7" s="1"/>
  <c r="D19" i="7"/>
  <c r="J18" i="7" a="1"/>
  <c r="J18" i="7" s="1"/>
  <c r="J14" i="7"/>
  <c r="A14" i="7"/>
  <c r="J13" i="7"/>
  <c r="A13" i="7"/>
  <c r="J12" i="7"/>
  <c r="A12" i="7"/>
  <c r="J7" i="7"/>
  <c r="J22" i="6"/>
  <c r="J22" i="6" a="1"/>
  <c r="J20" i="6" a="1"/>
  <c r="J20" i="6" s="1"/>
  <c r="J18" i="6"/>
  <c r="J18" i="6" a="1"/>
  <c r="J14" i="6"/>
  <c r="A14" i="6"/>
  <c r="J13" i="6"/>
  <c r="A13" i="6"/>
  <c r="J12" i="6"/>
  <c r="A12" i="6"/>
  <c r="J7" i="6"/>
  <c r="J22" i="5"/>
  <c r="J22" i="5" a="1"/>
  <c r="J20" i="5" a="1"/>
  <c r="J20" i="5" s="1"/>
  <c r="J18" i="5" a="1"/>
  <c r="J18" i="5" s="1"/>
  <c r="J14" i="5"/>
  <c r="A14" i="5"/>
  <c r="J13" i="5"/>
  <c r="A13" i="5"/>
  <c r="J12" i="5"/>
  <c r="A12" i="5"/>
  <c r="J7" i="5"/>
  <c r="D23" i="4"/>
  <c r="J22" i="4"/>
  <c r="J22" i="4" a="1"/>
  <c r="J20" i="4"/>
  <c r="J20" i="4" a="1"/>
  <c r="J18" i="4" a="1"/>
  <c r="J18" i="4" s="1"/>
  <c r="J14" i="4"/>
  <c r="D19" i="4"/>
  <c r="A14" i="4"/>
  <c r="J13" i="4"/>
  <c r="D22" i="4"/>
  <c r="A13" i="4"/>
  <c r="J12" i="4"/>
  <c r="A12" i="4"/>
  <c r="J7" i="4"/>
  <c r="J22" i="3" a="1"/>
  <c r="J22" i="3" s="1"/>
  <c r="J20" i="3" a="1"/>
  <c r="J20" i="3" s="1"/>
  <c r="D19" i="3"/>
  <c r="J18" i="3"/>
  <c r="J18" i="3" a="1"/>
  <c r="J14" i="3"/>
  <c r="D23" i="3"/>
  <c r="A14" i="3"/>
  <c r="J13" i="3"/>
  <c r="D22" i="3"/>
  <c r="A13" i="3"/>
  <c r="J12" i="3"/>
  <c r="A12" i="3"/>
  <c r="J7" i="3"/>
  <c r="AD45" i="15" l="1"/>
  <c r="AD44" i="15"/>
  <c r="AC44" i="15"/>
  <c r="BC26" i="15" s="1"/>
  <c r="D21" i="3"/>
  <c r="D22" i="12"/>
  <c r="D21" i="12"/>
  <c r="D21" i="14"/>
  <c r="D22" i="14"/>
  <c r="AB14" i="15"/>
  <c r="AD14" i="15" s="1"/>
  <c r="AD18" i="15"/>
  <c r="AC18" i="15" s="1"/>
  <c r="AZ30" i="15" s="1"/>
  <c r="AD28" i="15"/>
  <c r="AD29" i="15" s="1"/>
  <c r="AC68" i="15"/>
  <c r="BI77" i="15" s="1"/>
  <c r="AD68" i="15"/>
  <c r="D21" i="4"/>
  <c r="AE44" i="15"/>
  <c r="AA70" i="15"/>
  <c r="AE51" i="15"/>
  <c r="AC50" i="15" s="1"/>
  <c r="BC52" i="15" s="1"/>
  <c r="AE24" i="15"/>
  <c r="D23" i="12"/>
  <c r="D19" i="12"/>
  <c r="AA8" i="15"/>
  <c r="AD24" i="15"/>
  <c r="AC24" i="15"/>
  <c r="AZ40" i="15" s="1"/>
  <c r="AD25" i="15"/>
  <c r="AD64" i="15"/>
  <c r="AD65" i="15" s="1"/>
  <c r="AC64" i="15"/>
  <c r="BI22" i="15" s="1"/>
  <c r="AD31" i="15"/>
  <c r="AC30" i="15"/>
  <c r="AZ54" i="15" s="1"/>
  <c r="L132" i="15"/>
  <c r="K133" i="15"/>
  <c r="BZ21" i="15"/>
  <c r="AB8" i="15"/>
  <c r="AD19" i="15"/>
  <c r="AD34" i="15"/>
  <c r="AC34" i="15" s="1"/>
  <c r="AZ62" i="15" s="1"/>
  <c r="AE9" i="15"/>
  <c r="L116" i="15"/>
  <c r="AV26" i="15"/>
  <c r="AE16" i="15"/>
  <c r="AD56" i="15"/>
  <c r="AC56" i="15" s="1"/>
  <c r="BF14" i="15" s="1"/>
  <c r="AB70" i="15"/>
  <c r="AD53" i="15"/>
  <c r="AC52" i="15"/>
  <c r="BC58" i="15" s="1"/>
  <c r="AD62" i="15"/>
  <c r="AD63" i="15" s="1"/>
  <c r="D23" i="8"/>
  <c r="AB22" i="15"/>
  <c r="AE37" i="15"/>
  <c r="AE49" i="15"/>
  <c r="AD54" i="15"/>
  <c r="AC54" i="15" s="1"/>
  <c r="BC68" i="15" s="1"/>
  <c r="AC14" i="15"/>
  <c r="AZ22" i="15" s="1"/>
  <c r="AD15" i="15"/>
  <c r="AB20" i="15"/>
  <c r="AD32" i="15"/>
  <c r="AA16" i="15"/>
  <c r="AA48" i="15"/>
  <c r="AD50" i="15"/>
  <c r="AD51" i="15" s="1"/>
  <c r="AD55" i="15"/>
  <c r="AE62" i="15"/>
  <c r="D21" i="11"/>
  <c r="AE13" i="15"/>
  <c r="AE18" i="15"/>
  <c r="AB30" i="15"/>
  <c r="AD30" i="15" s="1"/>
  <c r="AD69" i="15"/>
  <c r="AE68" i="15"/>
  <c r="K117" i="15"/>
  <c r="AA40" i="15"/>
  <c r="AB40" i="15"/>
  <c r="AB46" i="15"/>
  <c r="AD46" i="15" s="1"/>
  <c r="D18" i="14"/>
  <c r="AA10" i="15"/>
  <c r="AB10" i="15"/>
  <c r="L115" i="15"/>
  <c r="K114" i="15"/>
  <c r="BY12" i="15"/>
  <c r="AE28" i="15"/>
  <c r="AC28" i="15" s="1"/>
  <c r="AZ48" i="15" s="1"/>
  <c r="AA36" i="15"/>
  <c r="AB42" i="15"/>
  <c r="AC46" i="15"/>
  <c r="BC36" i="15" s="1"/>
  <c r="AE20" i="15"/>
  <c r="AB12" i="15"/>
  <c r="AD12" i="15" s="1"/>
  <c r="AD13" i="15" s="1"/>
  <c r="AE33" i="15"/>
  <c r="AE34" i="15"/>
  <c r="AD35" i="15" s="1"/>
  <c r="AD39" i="15"/>
  <c r="AE58" i="15"/>
  <c r="AD60" i="15"/>
  <c r="AD61" i="15" s="1"/>
  <c r="AV36" i="15"/>
  <c r="AB58" i="15"/>
  <c r="K109" i="15"/>
  <c r="L108" i="15"/>
  <c r="AA26" i="15"/>
  <c r="AB36" i="15"/>
  <c r="AB66" i="15"/>
  <c r="AV52" i="15"/>
  <c r="L131" i="15"/>
  <c r="AE36" i="15"/>
  <c r="AA42" i="15"/>
  <c r="AB48" i="15"/>
  <c r="AE32" i="15"/>
  <c r="AC32" i="15" s="1"/>
  <c r="AZ56" i="15" s="1"/>
  <c r="AE56" i="15"/>
  <c r="AE64" i="15"/>
  <c r="BY16" i="15"/>
  <c r="AA58" i="15"/>
  <c r="AE59" i="15"/>
  <c r="AA66" i="15"/>
  <c r="K130" i="15"/>
  <c r="AV68" i="15"/>
  <c r="L124" i="15"/>
  <c r="L139" i="15"/>
  <c r="AC36" i="15" l="1"/>
  <c r="AZ64" i="15" s="1"/>
  <c r="AD36" i="15"/>
  <c r="AD37" i="15" s="1"/>
  <c r="AD20" i="15"/>
  <c r="AC20" i="15" s="1"/>
  <c r="AZ32" i="15" s="1"/>
  <c r="D20" i="3"/>
  <c r="D18" i="3"/>
  <c r="D21" i="8"/>
  <c r="D22" i="8"/>
  <c r="AC12" i="15"/>
  <c r="AZ16" i="15" s="1"/>
  <c r="D23" i="9"/>
  <c r="D19" i="9"/>
  <c r="D20" i="5"/>
  <c r="D18" i="5"/>
  <c r="D22" i="5"/>
  <c r="D21" i="5"/>
  <c r="AD8" i="15"/>
  <c r="AC8" i="15" s="1"/>
  <c r="AZ8" i="15" s="1"/>
  <c r="D21" i="7"/>
  <c r="D22" i="7"/>
  <c r="AC62" i="15"/>
  <c r="BF64" i="15" s="1"/>
  <c r="AD40" i="15"/>
  <c r="AC40" i="15" s="1"/>
  <c r="BC10" i="15" s="1"/>
  <c r="AD26" i="15"/>
  <c r="AC26" i="15" s="1"/>
  <c r="AZ46" i="15" s="1"/>
  <c r="AD42" i="15"/>
  <c r="AD43" i="15" s="1"/>
  <c r="D23" i="11"/>
  <c r="D19" i="11"/>
  <c r="AD16" i="15"/>
  <c r="AD17" i="15"/>
  <c r="AC16" i="15"/>
  <c r="AZ24" i="15" s="1"/>
  <c r="AC60" i="15"/>
  <c r="BF46" i="15" s="1"/>
  <c r="D18" i="10"/>
  <c r="D20" i="10"/>
  <c r="AD48" i="15"/>
  <c r="AD49" i="15" s="1"/>
  <c r="AC48" i="15"/>
  <c r="BC42" i="15" s="1"/>
  <c r="D18" i="9"/>
  <c r="D20" i="9"/>
  <c r="AC66" i="15"/>
  <c r="BI56" i="15" s="1"/>
  <c r="AD67" i="15"/>
  <c r="AD66" i="15"/>
  <c r="D19" i="14"/>
  <c r="D23" i="14"/>
  <c r="D19" i="6"/>
  <c r="D23" i="6"/>
  <c r="D18" i="6"/>
  <c r="D20" i="6"/>
  <c r="D22" i="6"/>
  <c r="D21" i="6"/>
  <c r="D20" i="13"/>
  <c r="D18" i="13"/>
  <c r="D22" i="13"/>
  <c r="D21" i="13"/>
  <c r="D20" i="7"/>
  <c r="D18" i="7"/>
  <c r="D20" i="4"/>
  <c r="D18" i="4"/>
  <c r="D23" i="10"/>
  <c r="D19" i="10"/>
  <c r="AD57" i="15"/>
  <c r="D19" i="5"/>
  <c r="D23" i="5"/>
  <c r="D20" i="12"/>
  <c r="D18" i="12"/>
  <c r="D20" i="8"/>
  <c r="D18" i="8"/>
  <c r="AD58" i="15"/>
  <c r="AC58" i="15" s="1"/>
  <c r="BF32" i="15" s="1"/>
  <c r="D19" i="13"/>
  <c r="D23" i="13"/>
  <c r="AD22" i="15"/>
  <c r="AC22" i="15" s="1"/>
  <c r="AZ38" i="15" s="1"/>
  <c r="D18" i="11"/>
  <c r="D20" i="11"/>
  <c r="AD47" i="15"/>
  <c r="AD10" i="15"/>
  <c r="AD11" i="15"/>
  <c r="AC10" i="15"/>
  <c r="AZ14" i="15" s="1"/>
  <c r="AD33" i="15"/>
  <c r="AD70" i="15"/>
  <c r="AD71" i="15" s="1"/>
  <c r="D22" i="9"/>
  <c r="D21" i="9"/>
  <c r="AC70" i="15" l="1"/>
  <c r="BI40" i="15" s="1"/>
  <c r="AC42" i="15"/>
  <c r="BC20" i="15" s="1"/>
  <c r="AD27" i="15"/>
  <c r="AD23" i="15"/>
  <c r="AD21" i="15"/>
  <c r="AD59" i="15"/>
  <c r="AD41" i="15"/>
  <c r="AD9" i="15"/>
  <c r="L109" i="15" l="1"/>
  <c r="K108" i="15"/>
  <c r="BY9" i="15"/>
  <c r="AV8" i="15"/>
  <c r="G40" i="15"/>
  <c r="AV70" i="15"/>
  <c r="K139" i="15"/>
  <c r="BZ24" i="15"/>
  <c r="L138" i="15"/>
  <c r="H54" i="15"/>
  <c r="AY69" i="15" l="1"/>
  <c r="BZ32" i="15"/>
  <c r="K107" i="15"/>
  <c r="L106" i="15"/>
  <c r="H62" i="15"/>
  <c r="K92" i="15"/>
  <c r="AY9" i="15"/>
  <c r="L93" i="15"/>
  <c r="BY25" i="15"/>
  <c r="AV54" i="15"/>
  <c r="BZ20" i="15"/>
  <c r="K131" i="15"/>
  <c r="L130" i="15"/>
  <c r="H50" i="15"/>
  <c r="K123" i="15"/>
  <c r="L122" i="15"/>
  <c r="AV38" i="15"/>
  <c r="BZ16" i="15"/>
  <c r="H46" i="15"/>
  <c r="K134" i="15"/>
  <c r="AV60" i="15"/>
  <c r="BY22" i="15"/>
  <c r="L135" i="15"/>
  <c r="H52" i="15"/>
  <c r="L113" i="15" l="1"/>
  <c r="K112" i="15"/>
  <c r="BY11" i="15"/>
  <c r="AV16" i="15"/>
  <c r="K137" i="15"/>
  <c r="L136" i="15"/>
  <c r="AV66" i="15"/>
  <c r="BZ23" i="15"/>
  <c r="K111" i="15"/>
  <c r="L110" i="15"/>
  <c r="AV14" i="15"/>
  <c r="BZ10" i="15"/>
  <c r="K116" i="15"/>
  <c r="AV24" i="15"/>
  <c r="BY13" i="15"/>
  <c r="L117" i="15"/>
  <c r="G44" i="15"/>
  <c r="K113" i="15"/>
  <c r="L112" i="15"/>
  <c r="AV18" i="15"/>
  <c r="BZ11" i="15"/>
  <c r="G42" i="15"/>
  <c r="L127" i="15"/>
  <c r="AV44" i="15"/>
  <c r="BY18" i="15"/>
  <c r="K126" i="15"/>
  <c r="L121" i="15"/>
  <c r="K120" i="15"/>
  <c r="BY15" i="15"/>
  <c r="AV32" i="15"/>
  <c r="G46" i="15"/>
  <c r="K129" i="15"/>
  <c r="AV50" i="15"/>
  <c r="L128" i="15"/>
  <c r="BZ19" i="15"/>
  <c r="AV62" i="15"/>
  <c r="L134" i="15"/>
  <c r="BZ22" i="15"/>
  <c r="K135" i="15"/>
  <c r="K115" i="15"/>
  <c r="L114" i="15"/>
  <c r="BZ12" i="15"/>
  <c r="AV22" i="15"/>
  <c r="H42" i="15"/>
  <c r="K110" i="15"/>
  <c r="AV12" i="15"/>
  <c r="BY10" i="15"/>
  <c r="L111" i="15"/>
  <c r="H40" i="15"/>
  <c r="BZ31" i="15"/>
  <c r="K105" i="15"/>
  <c r="AY61" i="15"/>
  <c r="L104" i="15"/>
  <c r="K132" i="15"/>
  <c r="BY21" i="15"/>
  <c r="L133" i="15"/>
  <c r="AV56" i="15"/>
  <c r="G52" i="15"/>
  <c r="L119" i="15"/>
  <c r="AV28" i="15"/>
  <c r="BY14" i="15"/>
  <c r="K118" i="15"/>
  <c r="K127" i="15"/>
  <c r="BZ18" i="15"/>
  <c r="L126" i="15"/>
  <c r="AV46" i="15"/>
  <c r="H48" i="15"/>
  <c r="AY37" i="15"/>
  <c r="K99" i="15"/>
  <c r="L98" i="15"/>
  <c r="BZ28" i="15"/>
  <c r="H58" i="15"/>
  <c r="L129" i="15"/>
  <c r="BY19" i="15"/>
  <c r="AV48" i="15"/>
  <c r="K128" i="15"/>
  <c r="G50" i="15"/>
  <c r="K91" i="15"/>
  <c r="L90" i="15"/>
  <c r="BZ36" i="15"/>
  <c r="BB67" i="15"/>
  <c r="H66" i="15"/>
  <c r="K121" i="15"/>
  <c r="AV34" i="15"/>
  <c r="L120" i="15"/>
  <c r="BZ15" i="15"/>
  <c r="BZ14" i="15"/>
  <c r="K119" i="15"/>
  <c r="AV30" i="15"/>
  <c r="L118" i="15"/>
  <c r="H44" i="15"/>
  <c r="K124" i="15"/>
  <c r="L125" i="15"/>
  <c r="AV40" i="15"/>
  <c r="BY17" i="15"/>
  <c r="G48" i="15"/>
  <c r="K103" i="15"/>
  <c r="AY53" i="15"/>
  <c r="L102" i="15"/>
  <c r="BZ30" i="15"/>
  <c r="H60" i="15"/>
  <c r="K136" i="15"/>
  <c r="AV64" i="15"/>
  <c r="BY23" i="15"/>
  <c r="L137" i="15"/>
  <c r="G54" i="15"/>
  <c r="L92" i="15" l="1"/>
  <c r="BZ25" i="15"/>
  <c r="K93" i="15"/>
  <c r="AY13" i="15"/>
  <c r="G56" i="15"/>
  <c r="BZ26" i="15"/>
  <c r="AY21" i="15"/>
  <c r="K95" i="15"/>
  <c r="L94" i="15"/>
  <c r="H56" i="15"/>
  <c r="AY49" i="15"/>
  <c r="L103" i="15"/>
  <c r="K102" i="15"/>
  <c r="BY30" i="15"/>
  <c r="K101" i="15"/>
  <c r="L100" i="15"/>
  <c r="BZ29" i="15"/>
  <c r="AY45" i="15"/>
  <c r="K98" i="15"/>
  <c r="BY28" i="15"/>
  <c r="AY33" i="15"/>
  <c r="L99" i="15"/>
  <c r="L95" i="15"/>
  <c r="AY17" i="15"/>
  <c r="BY26" i="15"/>
  <c r="K94" i="15"/>
  <c r="BE63" i="15"/>
  <c r="K83" i="15"/>
  <c r="L82" i="15"/>
  <c r="BZ38" i="15"/>
  <c r="H70" i="15"/>
  <c r="AY65" i="15"/>
  <c r="L107" i="15"/>
  <c r="K106" i="15"/>
  <c r="BY32" i="15"/>
  <c r="AY41" i="15"/>
  <c r="K100" i="15"/>
  <c r="L101" i="15"/>
  <c r="BY29" i="15"/>
  <c r="G60" i="15"/>
  <c r="AY57" i="15"/>
  <c r="L105" i="15"/>
  <c r="BY31" i="15"/>
  <c r="K104" i="15"/>
  <c r="G62" i="15"/>
  <c r="L86" i="15"/>
  <c r="BB35" i="15"/>
  <c r="BZ34" i="15"/>
  <c r="K87" i="15"/>
  <c r="H64" i="15"/>
  <c r="K89" i="15"/>
  <c r="BZ35" i="15"/>
  <c r="L88" i="15"/>
  <c r="BB51" i="15"/>
  <c r="G66" i="15"/>
  <c r="K97" i="15"/>
  <c r="L96" i="15"/>
  <c r="BZ27" i="15"/>
  <c r="AY29" i="15"/>
  <c r="G58" i="15"/>
  <c r="L97" i="15"/>
  <c r="K96" i="15"/>
  <c r="AY25" i="15"/>
  <c r="BY27" i="15"/>
  <c r="K86" i="15" l="1"/>
  <c r="BB27" i="15"/>
  <c r="L87" i="15"/>
  <c r="BY34" i="15"/>
  <c r="L85" i="15"/>
  <c r="K84" i="15"/>
  <c r="BB11" i="15"/>
  <c r="BY33" i="15"/>
  <c r="K88" i="15"/>
  <c r="BB43" i="15"/>
  <c r="L89" i="15"/>
  <c r="BY35" i="15"/>
  <c r="BE31" i="15"/>
  <c r="K81" i="15"/>
  <c r="BZ37" i="15"/>
  <c r="L80" i="15"/>
  <c r="G70" i="15"/>
  <c r="L91" i="15"/>
  <c r="K90" i="15"/>
  <c r="BB59" i="15"/>
  <c r="BY36" i="15"/>
  <c r="BY38" i="15"/>
  <c r="BE47" i="15"/>
  <c r="L83" i="15"/>
  <c r="K82" i="15"/>
  <c r="H68" i="15"/>
  <c r="BH55" i="15"/>
  <c r="BZ40" i="15"/>
  <c r="G74" i="15"/>
  <c r="K85" i="15"/>
  <c r="L84" i="15"/>
  <c r="BZ33" i="15"/>
  <c r="BB19" i="15"/>
  <c r="G64" i="15"/>
  <c r="L81" i="15" l="1"/>
  <c r="BE15" i="15"/>
  <c r="K80" i="15"/>
  <c r="BY37" i="15"/>
  <c r="G68" i="15"/>
  <c r="BE77" i="15"/>
  <c r="BZ39" i="15"/>
  <c r="G80" i="15"/>
  <c r="BH39" i="15"/>
  <c r="BH23" i="15"/>
  <c r="BY40" i="15"/>
  <c r="H147" i="15" l="1"/>
  <c r="G82" i="15"/>
  <c r="G124" i="15"/>
  <c r="G100" i="15"/>
  <c r="G81" i="15"/>
  <c r="G88" i="15"/>
  <c r="BE75" i="15"/>
  <c r="BY39" i="15"/>
  <c r="H163" i="15" l="1"/>
  <c r="G128" i="15"/>
  <c r="G104" i="15"/>
  <c r="H151" i="15"/>
  <c r="G125" i="15"/>
  <c r="G101" i="15"/>
  <c r="G89" i="15"/>
  <c r="H148" i="15"/>
  <c r="G132" i="15"/>
  <c r="H155" i="15"/>
  <c r="G90" i="15"/>
  <c r="H149" i="15"/>
  <c r="G126" i="15"/>
  <c r="G102" i="15"/>
  <c r="G83" i="15"/>
  <c r="G133" i="15" l="1"/>
  <c r="H156" i="15"/>
  <c r="G130" i="15"/>
  <c r="G106" i="15"/>
  <c r="H153" i="15"/>
  <c r="H164" i="15"/>
  <c r="H165" i="15"/>
  <c r="H159" i="15"/>
  <c r="G136" i="15"/>
  <c r="H152" i="15"/>
  <c r="G129" i="15"/>
  <c r="G105" i="15"/>
  <c r="H167" i="15"/>
  <c r="H171" i="15"/>
  <c r="H157" i="15"/>
  <c r="G134" i="15"/>
  <c r="H150" i="15"/>
  <c r="G127" i="15"/>
  <c r="G103" i="15"/>
  <c r="G91" i="15"/>
  <c r="H166" i="15" l="1"/>
  <c r="H169" i="15"/>
  <c r="G137" i="15"/>
  <c r="H160" i="15"/>
  <c r="H168" i="15"/>
  <c r="H172" i="15"/>
  <c r="H161" i="15"/>
  <c r="G138" i="15"/>
  <c r="H154" i="15"/>
  <c r="G131" i="15"/>
  <c r="G107" i="15"/>
  <c r="H173" i="15"/>
  <c r="G135" i="15"/>
  <c r="H158" i="15"/>
  <c r="H175" i="15"/>
  <c r="H177" i="15" l="1"/>
  <c r="H162" i="15"/>
  <c r="G139" i="15"/>
  <c r="H170" i="15"/>
  <c r="H176" i="15"/>
  <c r="H174" i="15"/>
  <c r="H178" i="1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<sst xmlns="http://schemas.openxmlformats.org/spreadsheetml/2006/main" count="1393" uniqueCount="307">
  <si>
    <t>Ranking</t>
  </si>
  <si>
    <t>CARNE</t>
  </si>
  <si>
    <t>NOMBRE</t>
  </si>
  <si>
    <t>CLUB</t>
  </si>
  <si>
    <t>PUNTOS</t>
  </si>
  <si>
    <t>AMANDA JIMÉNEZ MORAGA</t>
  </si>
  <si>
    <t>CCDR SAN JOSÉ</t>
  </si>
  <si>
    <t>JAYDELINNE SHANNEY BAKER CRAWFORD</t>
  </si>
  <si>
    <t>ASERRÍ</t>
  </si>
  <si>
    <t>SAMGHI DANIELA YAN WU</t>
  </si>
  <si>
    <t>MARIANA SOTO CALDERON</t>
  </si>
  <si>
    <t>ESPARZA</t>
  </si>
  <si>
    <t>KIANY MARTINEZ JIMENEZ</t>
  </si>
  <si>
    <t>GALILEA MUÑOZ CORDOBA</t>
  </si>
  <si>
    <t>AMANDA CHEN CEN</t>
  </si>
  <si>
    <t>ESCAZÚ</t>
  </si>
  <si>
    <t>MARÍA FERNANDA ZELEDÓN HERRERA</t>
  </si>
  <si>
    <t>NOEMI SOFIA MATARRITA CAMPOS</t>
  </si>
  <si>
    <t>ALAJUELA</t>
  </si>
  <si>
    <t>LÍA SOFÍA SOLÍS VÁSQUEZ</t>
  </si>
  <si>
    <t>YU BEI CHEN CEN</t>
  </si>
  <si>
    <t>SOFIA JIMENEZ QUESADA</t>
  </si>
  <si>
    <t>MARÍA PAULA HERNÁNDEZ ZÚÑIGA</t>
  </si>
  <si>
    <t>NAIMA JAEL GOMEZ VARGAS</t>
  </si>
  <si>
    <t>CURRIDABAT</t>
  </si>
  <si>
    <t>FIORELLA HERNANDEZ LASCAREZ</t>
  </si>
  <si>
    <t>MARIA CELESTE MOLINA PACHECO</t>
  </si>
  <si>
    <t>ABIGAIL QUIROS BALTODANO</t>
  </si>
  <si>
    <t>MARIANGEL JIMENEZ QUESADA</t>
  </si>
  <si>
    <t>YU LEI CHEN CEN</t>
  </si>
  <si>
    <t>EMMA GIOCONDA BERTARIONI ARAYA</t>
  </si>
  <si>
    <t>AISHA PADILLA GONZÀLEZ</t>
  </si>
  <si>
    <t>JAQUELINE HERNÁNDEZ ZUÑIGA</t>
  </si>
  <si>
    <t>RENATA NARANJO DIAZ</t>
  </si>
  <si>
    <t>PÉREZ ZELEDÓN</t>
  </si>
  <si>
    <t>MARIANA RIVERA TORRES</t>
  </si>
  <si>
    <t>BRENDA HERRERA RIVAS</t>
  </si>
  <si>
    <t>ARIANA SANCHEZ DELGADO</t>
  </si>
  <si>
    <t>Angelica Rodriguez Castro</t>
  </si>
  <si>
    <t>EMMA VICTORIA MOLINA LOPEZ</t>
  </si>
  <si>
    <t>VALERIA VENEGAS GOMEZ</t>
  </si>
  <si>
    <t>ISABELLA TRAÑA SALAZAR</t>
  </si>
  <si>
    <t>LIBERIA</t>
  </si>
  <si>
    <t>KRYSTEL VARGAS JIMÉNEZ</t>
  </si>
  <si>
    <t>SARA VALERIA ARGUEDAS SUAREZ</t>
  </si>
  <si>
    <t>CLARISSA MORA JIMÉNEZ</t>
  </si>
  <si>
    <t>SAMANTHA RUIZ RIVAS</t>
  </si>
  <si>
    <t>SARA ALVARADO DEL RÍO</t>
  </si>
  <si>
    <t>SARAH MCDOUGALL VARSI</t>
  </si>
  <si>
    <t>VALENTINA CARMONA CONTRERAS</t>
  </si>
  <si>
    <t>ATM SANTA CRUZ</t>
  </si>
  <si>
    <t>KATHERINE FLUTSCH ESPINOZA</t>
  </si>
  <si>
    <t>JALANNA LEÓN CAMBRONERO</t>
  </si>
  <si>
    <t>MARIA CELESTE MENA CHACON</t>
  </si>
  <si>
    <t>CCDR SANTA CRUZ</t>
  </si>
  <si>
    <t>SOFÍA CALDERÓN DELGADO</t>
  </si>
  <si>
    <t>AREYKA PALACIOS BORGES</t>
  </si>
  <si>
    <t>SOFÍA ALVARADO DEL RÍO</t>
  </si>
  <si>
    <t>CAMILA ALEJANDRA PEÑA LARA</t>
  </si>
  <si>
    <t>VALERIA RUIZ GOMEZ</t>
  </si>
  <si>
    <t>SHARON NAOMI AGUERO ACUÑA</t>
  </si>
  <si>
    <t>POCOCÍ</t>
  </si>
  <si>
    <t>LUCIANA CASCANTE BARBOZA</t>
  </si>
  <si>
    <t>VALENTINA LOPEZ ALVARADO</t>
  </si>
  <si>
    <t>VALENTINA GARRO VALVERDE</t>
  </si>
  <si>
    <t>SANTA ANA</t>
  </si>
  <si>
    <t>XIMENA MILLER MORA</t>
  </si>
  <si>
    <t>YARA NAVARRETE GONZALEZ</t>
  </si>
  <si>
    <t>SANTO DOMINGO</t>
  </si>
  <si>
    <t>EMILY DANIELA FRAILE PARRA</t>
  </si>
  <si>
    <t>JIMENA CALVO ALVARADO</t>
  </si>
  <si>
    <t>KEILA NATASHA MORA MORA</t>
  </si>
  <si>
    <t>ASHLEY PAOLA ALVARADO LOPEZ</t>
  </si>
  <si>
    <t>Scarleth Sofía Calderón</t>
  </si>
  <si>
    <t>JIMENA CANTILLO DUARTE</t>
  </si>
  <si>
    <t>Ana Camila Gomez Cabalceta</t>
  </si>
  <si>
    <t>Rachel Daniela Sanchez Ruiz</t>
  </si>
  <si>
    <t>BRITANYE CORRALES JIMENEZ</t>
  </si>
  <si>
    <t>Melissa Aguilar Monge</t>
  </si>
  <si>
    <t>Sol Maria Picado Mora</t>
  </si>
  <si>
    <t>CCDR DESAMPARADOS</t>
  </si>
  <si>
    <t>Ana Belén Barrantes Granados</t>
  </si>
  <si>
    <t>Ana Lucia Ramirez Villegas</t>
  </si>
  <si>
    <t>Amanda Picado Peraza</t>
  </si>
  <si>
    <t>Isabella Alvarez Arce</t>
  </si>
  <si>
    <t>Keiry Daniela Orozco Salazar</t>
  </si>
  <si>
    <t>Aylin Sarita Sanchez Mora</t>
  </si>
  <si>
    <t>DESAMPARADOS</t>
  </si>
  <si>
    <t>Silvia Hu Lan</t>
  </si>
  <si>
    <t>Fiorella Prado Flores</t>
  </si>
  <si>
    <t>Shelsy Catalina Morales Sanchez</t>
  </si>
  <si>
    <t>Priscilla Ruiz Rodriguez</t>
  </si>
  <si>
    <t>Jimena Durán Medina</t>
  </si>
  <si>
    <t>MONTES DE OCA</t>
  </si>
  <si>
    <t>Nayeli Valeska Mora Muñoz</t>
  </si>
  <si>
    <t>VASQUEZ DE CORONADO</t>
  </si>
  <si>
    <t>Mariangel Gonzalez Benavides</t>
  </si>
  <si>
    <t>Victoria Esquivel</t>
  </si>
  <si>
    <t>Fabiana Ugarte Mesén</t>
  </si>
  <si>
    <t>Tatllany Araya Lobo</t>
  </si>
  <si>
    <t>Natalia Cordero Rodríguez</t>
  </si>
  <si>
    <t>Naidelyn Sofía Fallas Gamboa</t>
  </si>
  <si>
    <t>Marie Celeste Ruiz Sanchez</t>
  </si>
  <si>
    <t>Victoria Palomo Quesada</t>
  </si>
  <si>
    <t>Anny Valentina Garcia Quesada</t>
  </si>
  <si>
    <t>PUNTARENAS</t>
  </si>
  <si>
    <t>Fabiana Henriquez Chan</t>
  </si>
  <si>
    <t>PUNTAREENAS</t>
  </si>
  <si>
    <t>Valentina Campos Muñoz</t>
  </si>
  <si>
    <t>Amaia Guevara Aguilar</t>
  </si>
  <si>
    <t>GRECIA</t>
  </si>
  <si>
    <t>Camila Roldan Sandoval</t>
  </si>
  <si>
    <t>Nayla Azofeifa Rodriguez</t>
  </si>
  <si>
    <t>Helena Chang Zheng</t>
  </si>
  <si>
    <t>Dannah Elisa Campos Benavides</t>
  </si>
  <si>
    <t>Sofia Meneses Gomez</t>
  </si>
  <si>
    <t>CARTAGO</t>
  </si>
  <si>
    <t>Kricely Jakeisy Mendez Acuña</t>
  </si>
  <si>
    <t>AMBAR PADILLA GRANADOS</t>
  </si>
  <si>
    <t>MONSERRAT RODRÍGUEZ SOLÍS</t>
  </si>
  <si>
    <t>SAN CARLOS</t>
  </si>
  <si>
    <t>VALENTINA FERNANDEZ REYES</t>
  </si>
  <si>
    <t>FIORELLA RETANA AGUILAR</t>
  </si>
  <si>
    <t>Angie Victoria González Cabezas</t>
  </si>
  <si>
    <t>Abigail Lopez Gomez</t>
  </si>
  <si>
    <t>Emma Rodriguez Benavidez</t>
  </si>
  <si>
    <t>Tamara Siu Arley</t>
  </si>
  <si>
    <t>Kiara Ford Vega</t>
  </si>
  <si>
    <t>Ximena Yahoska Rojas Silva</t>
  </si>
  <si>
    <t>Tabatha Lopez Solis</t>
  </si>
  <si>
    <t>Danna Alondra Barrantes Ramirez</t>
  </si>
  <si>
    <t>Carla Manzano De Benedetis</t>
  </si>
  <si>
    <t>Ana Valverde Herrera</t>
  </si>
  <si>
    <t>Andrea Ramirez Jaimez</t>
  </si>
  <si>
    <t>Lesly Graciela Lira Blanco</t>
  </si>
  <si>
    <t>Amanda Navarro Calderón</t>
  </si>
  <si>
    <t>Abigail Alvarado González</t>
  </si>
  <si>
    <t>Valentina Solis Zuñiga</t>
  </si>
  <si>
    <t>Sara Rojas Ordoñez</t>
  </si>
  <si>
    <t>Amanda Bogantes Araya</t>
  </si>
  <si>
    <t>Genesis Daneth Solorzano Ruiz</t>
  </si>
  <si>
    <t>Antonella Quirós Chinchilla</t>
  </si>
  <si>
    <t>EMMA MELISSA ANGULO CRUZ</t>
  </si>
  <si>
    <t>FIORELLA PEREIRA OBANDO</t>
  </si>
  <si>
    <t>KAYDENCE EMILY JIMENEZ ARAGON</t>
  </si>
  <si>
    <t>GENESIS XIMENA MURILLO MONTENEGRO</t>
  </si>
  <si>
    <t>PAULA ALFARO MORA</t>
  </si>
  <si>
    <t>MARIPAZ VALVERDE VARELA</t>
  </si>
  <si>
    <t>MARÍA JOSÉ JIMÉNEZ DE LEÓN</t>
  </si>
  <si>
    <t>CORREDORES</t>
  </si>
  <si>
    <t>PAULA RUIZ RIVAS</t>
  </si>
  <si>
    <t>Sofia Antonella Arrieta Torres</t>
  </si>
  <si>
    <t>Fiorella Alvarez Salas</t>
  </si>
  <si>
    <t>Brittany Michelle Mora Borbón</t>
  </si>
  <si>
    <t>Dana Sofìa Araya Oneal</t>
  </si>
  <si>
    <t>Denisse Fallas Cardenas</t>
  </si>
  <si>
    <t>Valeria Mata Alvarez</t>
  </si>
  <si>
    <t>Krystel Vargas Jiménez</t>
  </si>
  <si>
    <t>Fiorella Fallas Cardenas</t>
  </si>
  <si>
    <t>CATALINA AGUERO MASIS</t>
  </si>
  <si>
    <t>ANNETTE CARRANZA SOLÍS</t>
  </si>
  <si>
    <t>ALINA CHACON RETANA</t>
  </si>
  <si>
    <t>ISABELA CHACÓN ALVARADO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</si>
  <si>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</si>
  <si>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</si>
  <si>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</si>
  <si>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</si>
  <si>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</si>
  <si>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</si>
  <si>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</si>
  <si>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</si>
  <si>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</si>
  <si>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</si>
  <si>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</si>
  <si>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</si>
  <si>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</si>
  <si>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</si>
  <si>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</si>
  <si>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</si>
  <si>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</si>
  <si>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</si>
  <si>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</si>
  <si>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</si>
  <si>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</si>
  <si>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</si>
  <si>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</si>
  <si>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</si>
  <si>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</si>
  <si>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</si>
  <si>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</si>
  <si>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</si>
  <si>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</si>
  <si>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</si>
  <si>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</si>
  <si>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</si>
  <si>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</si>
  <si>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</si>
  <si>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</si>
  <si>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</si>
  <si>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</si>
  <si>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</si>
  <si>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</si>
  <si>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</si>
  <si>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1/16</t>
    <phoneticPr fontId="0" type="noConversion"/>
  </si>
  <si>
    <t>4 Julio</t>
  </si>
  <si>
    <t>LLAVE  FINAL SUB 15 FEMENINO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</si>
  <si>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</si>
  <si>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</si>
  <si>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</si>
  <si>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</si>
  <si>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</si>
  <si>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</si>
  <si>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</si>
  <si>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</si>
  <si>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</si>
  <si>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</si>
  <si>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</si>
  <si>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</si>
  <si>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</si>
  <si>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</si>
  <si>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</si>
  <si>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</si>
  <si>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JBS</t>
  </si>
  <si>
    <t>SUB 15 FEMENINO</t>
  </si>
  <si>
    <t>Ronda de 32 - 1</t>
    <phoneticPr fontId="0" type="noConversion"/>
  </si>
  <si>
    <t>Ronda de 32 - 2</t>
  </si>
  <si>
    <t>Ronda de 32 - 3</t>
  </si>
  <si>
    <t>1/16</t>
  </si>
  <si>
    <t>Ronda de 32 - 4</t>
  </si>
  <si>
    <t>Ronda de 32 - 5</t>
  </si>
  <si>
    <t>Ronda de 32 - 6</t>
  </si>
  <si>
    <t>Ronda de 32 - 7</t>
  </si>
  <si>
    <t>Ronda de 32 - 8</t>
  </si>
  <si>
    <t>Ronda de 32 - 9</t>
  </si>
  <si>
    <t>Ronda de 32 - 10</t>
  </si>
  <si>
    <t>Ronda de 32 - 11</t>
  </si>
  <si>
    <t>Ronda de 32 - 12</t>
  </si>
  <si>
    <t>Ronda de 32 - 13</t>
  </si>
  <si>
    <t>Ronda de 32 - 14</t>
  </si>
  <si>
    <t>Ronda de 32 - 15</t>
  </si>
  <si>
    <t>Ronda de 32 - 16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</si>
  <si>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</si>
  <si>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</si>
  <si>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</si>
  <si>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</si>
  <si>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</si>
  <si>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</si>
  <si>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</si>
  <si>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</si>
  <si>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</si>
  <si>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Semifinal</t>
    <phoneticPr fontId="0" type="noConversion"/>
  </si>
  <si>
    <t>CAMPEÓN:</t>
    <phoneticPr fontId="0" type="noConversion"/>
  </si>
  <si>
    <t>3 y 4 puesto</t>
    <phoneticPr fontId="0" type="noConversion"/>
  </si>
  <si>
    <t>1/8</t>
    <phoneticPr fontId="0" type="noConversion"/>
  </si>
  <si>
    <t>FINAL</t>
    <phoneticPr fontId="0" type="noConversion"/>
  </si>
  <si>
    <t>-</t>
  </si>
  <si>
    <t>1/8</t>
  </si>
  <si>
    <t>QF</t>
    <phoneticPr fontId="0" type="noConversion"/>
  </si>
  <si>
    <t xml:space="preserve"> </t>
  </si>
  <si>
    <t>SF</t>
    <phoneticPr fontId="0" type="noConversion"/>
  </si>
  <si>
    <t>3 Y 4</t>
    <phoneticPr fontId="0" type="noConversion"/>
  </si>
  <si>
    <t>F</t>
  </si>
  <si>
    <t>SI SE JUEGA TERCER PUESTO MARQUE 1, SI NO DEJE EN BLANCO</t>
    <phoneticPr fontId="0" type="noConversion"/>
  </si>
  <si>
    <t>TERCERO: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</si>
  <si>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</si>
  <si>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</si>
  <si>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</si>
  <si>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</si>
  <si>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</si>
  <si>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</si>
  <si>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</si>
  <si>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</si>
  <si>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</si>
  <si>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</si>
  <si>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</si>
  <si>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</si>
  <si>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</si>
  <si>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</si>
  <si>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</si>
  <si>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</si>
  <si>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</si>
  <si>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</si>
  <si>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</si>
  <si>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>LOS 32</t>
    <phoneticPr fontId="0" type="noConversion"/>
  </si>
  <si>
    <t>17</t>
    <phoneticPr fontId="0" type="noConversion"/>
  </si>
  <si>
    <t>18</t>
    <phoneticPr fontId="0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</si>
  <si>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</si>
  <si>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</si>
  <si>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</si>
  <si>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</si>
  <si>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</si>
  <si>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</si>
  <si>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</si>
  <si>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</si>
  <si>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</si>
  <si>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</si>
  <si>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</si>
  <si>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</si>
  <si>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</si>
  <si>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</si>
  <si>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POSICIONES FINALES QUINTA</t>
  </si>
  <si>
    <t>5 A 8</t>
    <phoneticPr fontId="0" type="noConversion"/>
  </si>
  <si>
    <t>9 A 16</t>
    <phoneticPr fontId="0" type="noConversion"/>
  </si>
  <si>
    <t>17 A 32</t>
    <phoneticPr fontId="0" type="noConversion"/>
  </si>
  <si>
    <t>EMA MELISSA ANGULO CRUZ</t>
  </si>
  <si>
    <t>BYE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</si>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</sst>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409]d\-mmm\-yy;@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3.5"/>
      <name val="MS Sans Serif"/>
      <family val="2"/>
    </font>
    <font>
      <b/>
      <sz val="10"/>
      <name val="MS Sans Serif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3.5"/>
      <name val="Arial"/>
      <family val="2"/>
    </font>
    <font>
      <b/>
      <sz val="11"/>
      <color indexed="8"/>
      <name val="Aptos Narrow"/>
      <family val="2"/>
      <scheme val="minor"/>
    </font>
    <font>
      <b/>
      <sz val="12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sz val="12"/>
      <name val="MS Sans Serif"/>
      <family val="2"/>
    </font>
    <font>
      <sz val="10"/>
      <name val="MS Sans Serif"/>
      <family val="2"/>
    </font>
    <font>
      <b/>
      <u/>
      <sz val="11"/>
      <color indexed="8"/>
      <name val="Aptos Narrow"/>
      <family val="2"/>
      <scheme val="minor"/>
    </font>
    <font>
      <sz val="10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Arial"/>
      <family val="2"/>
    </font>
    <font>
      <sz val="8"/>
      <color indexed="10"/>
      <name val="Arial"/>
      <family val="2"/>
    </font>
    <font>
      <sz val="8"/>
      <color indexed="10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7"/>
      <name val="Franklin Gothic Medium Cond"/>
      <family val="2"/>
    </font>
    <font>
      <sz val="8"/>
      <color indexed="207"/>
      <name val="Franklin Gothic Medium Cond"/>
      <family val="2"/>
    </font>
    <font>
      <b/>
      <sz val="12"/>
      <name val="Franklin Gothic Medium Cond"/>
      <family val="2"/>
    </font>
    <font>
      <sz val="12"/>
      <name val="Franklin Gothic Medium Cond"/>
      <family val="2"/>
    </font>
    <font>
      <b/>
      <sz val="12"/>
      <color indexed="10"/>
      <name val="Franklin Gothic Medium Cond"/>
      <family val="2"/>
    </font>
    <font>
      <b/>
      <sz val="12"/>
      <color indexed="48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1" fillId="0" borderId="0"/>
    <xf numFmtId="0" fontId="1" fillId="0" borderId="0"/>
  </cellStyleXfs>
  <cellXfs count="318">
    <xf numFmtId="0" fontId="0" fillId="0" borderId="0" xfId="0"/>
    <xf numFmtId="0" fontId="2" fillId="0" borderId="0" xfId="1"/>
    <xf numFmtId="0" fontId="2" fillId="0" borderId="0" xfId="1" applyAlignment="1">
      <alignment horizontal="center" vertical="center"/>
    </xf>
    <xf numFmtId="0" fontId="3" fillId="0" borderId="0" xfId="1" applyFont="1"/>
    <xf numFmtId="0" fontId="3" fillId="0" borderId="0" xfId="1" applyFont="1" applyAlignment="1">
      <alignment horizontal="center" vertical="center"/>
    </xf>
    <xf numFmtId="14" fontId="4" fillId="0" borderId="0" xfId="1" applyNumberFormat="1" applyFont="1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3" fillId="0" borderId="0" xfId="1" applyFont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4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0" fontId="15" fillId="0" borderId="6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15" fillId="0" borderId="10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0" fillId="0" borderId="0" xfId="1" applyFont="1"/>
    <xf numFmtId="0" fontId="11" fillId="0" borderId="16" xfId="1" applyFont="1" applyBorder="1" applyAlignment="1">
      <alignment horizontal="center" vertical="center"/>
    </xf>
    <xf numFmtId="0" fontId="15" fillId="0" borderId="16" xfId="1" applyFont="1" applyBorder="1"/>
    <xf numFmtId="0" fontId="11" fillId="0" borderId="3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5" fillId="0" borderId="6" xfId="1" applyFont="1" applyBorder="1"/>
    <xf numFmtId="0" fontId="11" fillId="0" borderId="7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5" fillId="0" borderId="10" xfId="1" applyFont="1" applyBorder="1"/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0" xfId="1" applyFont="1"/>
    <xf numFmtId="0" fontId="10" fillId="0" borderId="6" xfId="1" applyFont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2" fillId="0" borderId="10" xfId="2" applyBorder="1" applyAlignment="1">
      <alignment vertical="center"/>
    </xf>
    <xf numFmtId="0" fontId="22" fillId="0" borderId="0" xfId="3" applyFont="1" applyAlignment="1">
      <alignment horizontal="center" vertical="center"/>
    </xf>
    <xf numFmtId="49" fontId="22" fillId="0" borderId="0" xfId="3" applyNumberFormat="1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4" fillId="0" borderId="0" xfId="3" applyFont="1" applyAlignment="1">
      <alignment vertical="center"/>
    </xf>
    <xf numFmtId="0" fontId="25" fillId="0" borderId="0" xfId="3" applyFont="1" applyAlignment="1">
      <alignment vertical="center"/>
    </xf>
    <xf numFmtId="0" fontId="21" fillId="0" borderId="0" xfId="3" applyAlignment="1">
      <alignment horizontal="center" vertical="center"/>
    </xf>
    <xf numFmtId="0" fontId="13" fillId="0" borderId="0" xfId="3" applyFont="1" applyAlignment="1">
      <alignment vertical="center"/>
    </xf>
    <xf numFmtId="0" fontId="13" fillId="0" borderId="0" xfId="3" applyFont="1" applyAlignment="1">
      <alignment horizontal="center"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6" fillId="0" borderId="0" xfId="3" applyFont="1" applyAlignment="1">
      <alignment vertical="center"/>
    </xf>
    <xf numFmtId="0" fontId="26" fillId="0" borderId="0" xfId="3" applyFont="1" applyAlignment="1">
      <alignment horizontal="center" vertical="center"/>
    </xf>
    <xf numFmtId="0" fontId="22" fillId="0" borderId="0" xfId="3" applyFont="1" applyAlignment="1">
      <alignment vertical="center"/>
    </xf>
    <xf numFmtId="0" fontId="25" fillId="0" borderId="0" xfId="3" applyFont="1" applyAlignment="1">
      <alignment horizontal="center" vertical="center"/>
    </xf>
    <xf numFmtId="0" fontId="21" fillId="4" borderId="28" xfId="3" applyFill="1" applyBorder="1" applyAlignment="1">
      <alignment horizontal="center" vertical="center"/>
    </xf>
    <xf numFmtId="0" fontId="26" fillId="4" borderId="28" xfId="3" applyFont="1" applyFill="1" applyBorder="1" applyAlignment="1">
      <alignment vertical="center" shrinkToFit="1"/>
    </xf>
    <xf numFmtId="0" fontId="29" fillId="4" borderId="29" xfId="3" applyFont="1" applyFill="1" applyBorder="1" applyAlignment="1">
      <alignment horizontal="center" vertical="center"/>
    </xf>
    <xf numFmtId="0" fontId="26" fillId="5" borderId="0" xfId="3" applyFont="1" applyFill="1" applyAlignment="1">
      <alignment vertical="center"/>
    </xf>
    <xf numFmtId="0" fontId="26" fillId="5" borderId="0" xfId="3" applyFont="1" applyFill="1" applyAlignment="1">
      <alignment horizontal="center" vertical="center"/>
    </xf>
    <xf numFmtId="0" fontId="16" fillId="0" borderId="0" xfId="3" applyFont="1" applyAlignment="1">
      <alignment vertical="center"/>
    </xf>
    <xf numFmtId="0" fontId="26" fillId="6" borderId="0" xfId="4" applyFont="1" applyFill="1" applyAlignment="1">
      <alignment horizontal="center" vertical="center"/>
    </xf>
    <xf numFmtId="0" fontId="26" fillId="0" borderId="0" xfId="4" applyFont="1" applyAlignment="1">
      <alignment vertical="center"/>
    </xf>
    <xf numFmtId="0" fontId="26" fillId="5" borderId="30" xfId="4" applyFont="1" applyFill="1" applyBorder="1" applyAlignment="1">
      <alignment horizontal="center" vertical="center"/>
    </xf>
    <xf numFmtId="0" fontId="26" fillId="7" borderId="30" xfId="4" applyFont="1" applyFill="1" applyBorder="1" applyAlignment="1">
      <alignment horizontal="center" vertical="center"/>
    </xf>
    <xf numFmtId="0" fontId="26" fillId="8" borderId="0" xfId="4" applyFont="1" applyFill="1" applyAlignment="1">
      <alignment vertical="center"/>
    </xf>
    <xf numFmtId="0" fontId="26" fillId="7" borderId="0" xfId="4" applyFont="1" applyFill="1" applyAlignment="1">
      <alignment vertical="center"/>
    </xf>
    <xf numFmtId="0" fontId="21" fillId="7" borderId="0" xfId="3" applyFill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0" fontId="26" fillId="4" borderId="28" xfId="3" applyFont="1" applyFill="1" applyBorder="1" applyAlignment="1">
      <alignment vertical="center"/>
    </xf>
    <xf numFmtId="0" fontId="16" fillId="0" borderId="0" xfId="3" applyFont="1" applyAlignment="1">
      <alignment horizontal="center" vertical="center"/>
    </xf>
    <xf numFmtId="0" fontId="26" fillId="9" borderId="0" xfId="4" applyFont="1" applyFill="1" applyAlignment="1">
      <alignment horizontal="center" vertical="center"/>
    </xf>
    <xf numFmtId="165" fontId="26" fillId="9" borderId="0" xfId="4" applyNumberFormat="1" applyFont="1" applyFill="1" applyAlignment="1">
      <alignment horizontal="center" vertical="center"/>
    </xf>
    <xf numFmtId="1" fontId="26" fillId="9" borderId="0" xfId="4" applyNumberFormat="1" applyFont="1" applyFill="1" applyAlignment="1">
      <alignment horizontal="center" vertical="center"/>
    </xf>
    <xf numFmtId="20" fontId="26" fillId="9" borderId="0" xfId="4" applyNumberFormat="1" applyFont="1" applyFill="1" applyAlignment="1">
      <alignment horizontal="center" vertical="center"/>
    </xf>
    <xf numFmtId="0" fontId="24" fillId="9" borderId="0" xfId="3" applyFont="1" applyFill="1" applyAlignment="1">
      <alignment horizontal="center" vertical="center"/>
    </xf>
    <xf numFmtId="0" fontId="26" fillId="0" borderId="0" xfId="4" applyFont="1" applyAlignment="1">
      <alignment horizontal="center" vertical="center"/>
    </xf>
    <xf numFmtId="1" fontId="26" fillId="5" borderId="30" xfId="4" applyNumberFormat="1" applyFont="1" applyFill="1" applyBorder="1" applyAlignment="1">
      <alignment horizontal="center" vertical="center"/>
    </xf>
    <xf numFmtId="1" fontId="26" fillId="7" borderId="30" xfId="4" applyNumberFormat="1" applyFont="1" applyFill="1" applyBorder="1" applyAlignment="1">
      <alignment horizontal="center" vertical="center"/>
    </xf>
    <xf numFmtId="0" fontId="21" fillId="4" borderId="32" xfId="3" applyFill="1" applyBorder="1" applyAlignment="1">
      <alignment horizontal="center" vertical="center"/>
    </xf>
    <xf numFmtId="0" fontId="26" fillId="4" borderId="32" xfId="3" applyFont="1" applyFill="1" applyBorder="1" applyAlignment="1">
      <alignment vertical="center"/>
    </xf>
    <xf numFmtId="0" fontId="29" fillId="4" borderId="33" xfId="3" applyFont="1" applyFill="1" applyBorder="1" applyAlignment="1">
      <alignment horizontal="center" vertical="center"/>
    </xf>
    <xf numFmtId="0" fontId="26" fillId="0" borderId="34" xfId="3" applyFont="1" applyBorder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26" fillId="7" borderId="0" xfId="3" applyFont="1" applyFill="1" applyAlignment="1">
      <alignment horizontal="center" vertical="center"/>
    </xf>
    <xf numFmtId="0" fontId="30" fillId="0" borderId="34" xfId="3" applyFont="1" applyBorder="1" applyAlignment="1">
      <alignment horizontal="center" vertical="center"/>
    </xf>
    <xf numFmtId="0" fontId="26" fillId="0" borderId="35" xfId="3" applyFont="1" applyBorder="1" applyAlignment="1">
      <alignment vertical="center"/>
    </xf>
    <xf numFmtId="0" fontId="16" fillId="0" borderId="34" xfId="3" applyFont="1" applyBorder="1" applyAlignment="1">
      <alignment horizontal="center" vertical="center"/>
    </xf>
    <xf numFmtId="0" fontId="26" fillId="10" borderId="0" xfId="4" applyFont="1" applyFill="1" applyAlignment="1">
      <alignment horizontal="center" vertical="center"/>
    </xf>
    <xf numFmtId="165" fontId="26" fillId="10" borderId="0" xfId="4" applyNumberFormat="1" applyFont="1" applyFill="1" applyAlignment="1">
      <alignment horizontal="center" vertical="center"/>
    </xf>
    <xf numFmtId="1" fontId="26" fillId="10" borderId="0" xfId="4" applyNumberFormat="1" applyFont="1" applyFill="1" applyAlignment="1">
      <alignment horizontal="center" vertical="center"/>
    </xf>
    <xf numFmtId="20" fontId="26" fillId="10" borderId="0" xfId="4" applyNumberFormat="1" applyFont="1" applyFill="1" applyAlignment="1">
      <alignment horizontal="center" vertical="center"/>
    </xf>
    <xf numFmtId="0" fontId="24" fillId="10" borderId="0" xfId="3" applyFont="1" applyFill="1" applyAlignment="1">
      <alignment horizontal="center" vertical="center"/>
    </xf>
    <xf numFmtId="0" fontId="26" fillId="11" borderId="0" xfId="4" applyFont="1" applyFill="1" applyAlignment="1">
      <alignment horizontal="center" vertical="center"/>
    </xf>
    <xf numFmtId="165" fontId="26" fillId="11" borderId="0" xfId="4" applyNumberFormat="1" applyFont="1" applyFill="1" applyAlignment="1">
      <alignment horizontal="center" vertical="center"/>
    </xf>
    <xf numFmtId="1" fontId="26" fillId="11" borderId="0" xfId="4" applyNumberFormat="1" applyFont="1" applyFill="1" applyAlignment="1">
      <alignment horizontal="center" vertical="center"/>
    </xf>
    <xf numFmtId="20" fontId="26" fillId="11" borderId="0" xfId="4" applyNumberFormat="1" applyFont="1" applyFill="1" applyAlignment="1">
      <alignment horizontal="center" vertical="center"/>
    </xf>
    <xf numFmtId="0" fontId="24" fillId="11" borderId="0" xfId="3" applyFont="1" applyFill="1" applyAlignment="1">
      <alignment horizontal="center" vertical="center"/>
    </xf>
    <xf numFmtId="0" fontId="26" fillId="12" borderId="0" xfId="4" applyFont="1" applyFill="1" applyAlignment="1">
      <alignment horizontal="center" vertical="center"/>
    </xf>
    <xf numFmtId="165" fontId="26" fillId="12" borderId="0" xfId="4" applyNumberFormat="1" applyFont="1" applyFill="1" applyAlignment="1">
      <alignment horizontal="center" vertical="center"/>
    </xf>
    <xf numFmtId="1" fontId="26" fillId="12" borderId="0" xfId="4" applyNumberFormat="1" applyFont="1" applyFill="1" applyAlignment="1">
      <alignment horizontal="center" vertical="center"/>
    </xf>
    <xf numFmtId="20" fontId="26" fillId="12" borderId="0" xfId="4" applyNumberFormat="1" applyFont="1" applyFill="1" applyAlignment="1">
      <alignment horizontal="center" vertical="center"/>
    </xf>
    <xf numFmtId="0" fontId="24" fillId="12" borderId="0" xfId="3" applyFont="1" applyFill="1" applyAlignment="1">
      <alignment horizontal="center" vertical="center"/>
    </xf>
    <xf numFmtId="0" fontId="26" fillId="4" borderId="18" xfId="3" applyFont="1" applyFill="1" applyBorder="1" applyAlignment="1">
      <alignment vertical="center"/>
    </xf>
    <xf numFmtId="0" fontId="16" fillId="4" borderId="36" xfId="3" applyFont="1" applyFill="1" applyBorder="1" applyAlignment="1">
      <alignment vertical="center"/>
    </xf>
    <xf numFmtId="0" fontId="29" fillId="4" borderId="17" xfId="3" applyFont="1" applyFill="1" applyBorder="1" applyAlignment="1">
      <alignment horizontal="center" vertical="center"/>
    </xf>
    <xf numFmtId="0" fontId="26" fillId="8" borderId="0" xfId="4" applyFont="1" applyFill="1" applyAlignment="1">
      <alignment horizontal="center" vertical="center"/>
    </xf>
    <xf numFmtId="165" fontId="26" fillId="8" borderId="0" xfId="4" applyNumberFormat="1" applyFont="1" applyFill="1" applyAlignment="1">
      <alignment horizontal="center" vertical="center"/>
    </xf>
    <xf numFmtId="1" fontId="26" fillId="8" borderId="0" xfId="4" applyNumberFormat="1" applyFont="1" applyFill="1" applyAlignment="1">
      <alignment horizontal="center" vertical="center"/>
    </xf>
    <xf numFmtId="20" fontId="26" fillId="8" borderId="0" xfId="4" applyNumberFormat="1" applyFont="1" applyFill="1" applyAlignment="1">
      <alignment horizontal="center" vertical="center"/>
    </xf>
    <xf numFmtId="0" fontId="24" fillId="8" borderId="0" xfId="3" applyFont="1" applyFill="1" applyAlignment="1">
      <alignment horizontal="center" vertical="center"/>
    </xf>
    <xf numFmtId="0" fontId="26" fillId="5" borderId="29" xfId="3" applyFont="1" applyFill="1" applyBorder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vertical="center"/>
    </xf>
    <xf numFmtId="0" fontId="22" fillId="4" borderId="28" xfId="3" applyFont="1" applyFill="1" applyBorder="1" applyAlignment="1">
      <alignment vertical="center"/>
    </xf>
    <xf numFmtId="0" fontId="22" fillId="4" borderId="28" xfId="3" applyFont="1" applyFill="1" applyBorder="1" applyAlignment="1">
      <alignment vertical="center" shrinkToFit="1"/>
    </xf>
    <xf numFmtId="0" fontId="35" fillId="4" borderId="29" xfId="3" applyFont="1" applyFill="1" applyBorder="1" applyAlignment="1">
      <alignment horizontal="center" vertical="center"/>
    </xf>
    <xf numFmtId="0" fontId="22" fillId="0" borderId="35" xfId="3" applyFont="1" applyBorder="1" applyAlignment="1">
      <alignment vertical="center"/>
    </xf>
    <xf numFmtId="0" fontId="22" fillId="7" borderId="0" xfId="3" applyFont="1" applyFill="1" applyAlignment="1">
      <alignment horizontal="center" vertical="center"/>
    </xf>
    <xf numFmtId="0" fontId="35" fillId="0" borderId="34" xfId="3" applyFont="1" applyBorder="1" applyAlignment="1">
      <alignment horizontal="center" vertical="center"/>
    </xf>
    <xf numFmtId="0" fontId="22" fillId="4" borderId="18" xfId="3" applyFont="1" applyFill="1" applyBorder="1" applyAlignment="1">
      <alignment vertical="center"/>
    </xf>
    <xf numFmtId="0" fontId="22" fillId="4" borderId="36" xfId="3" applyFont="1" applyFill="1" applyBorder="1" applyAlignment="1">
      <alignment vertical="center"/>
    </xf>
    <xf numFmtId="0" fontId="35" fillId="4" borderId="17" xfId="3" applyFont="1" applyFill="1" applyBorder="1" applyAlignment="1">
      <alignment horizontal="center" vertical="center"/>
    </xf>
    <xf numFmtId="0" fontId="22" fillId="4" borderId="32" xfId="3" applyFont="1" applyFill="1" applyBorder="1" applyAlignment="1">
      <alignment vertical="center"/>
    </xf>
    <xf numFmtId="0" fontId="22" fillId="4" borderId="32" xfId="3" applyFont="1" applyFill="1" applyBorder="1" applyAlignment="1">
      <alignment vertical="center" shrinkToFit="1"/>
    </xf>
    <xf numFmtId="0" fontId="35" fillId="4" borderId="33" xfId="3" applyFont="1" applyFill="1" applyBorder="1" applyAlignment="1">
      <alignment horizontal="center" vertical="center"/>
    </xf>
    <xf numFmtId="0" fontId="22" fillId="5" borderId="0" xfId="3" applyFont="1" applyFill="1" applyAlignment="1">
      <alignment vertical="center"/>
    </xf>
    <xf numFmtId="0" fontId="22" fillId="5" borderId="0" xfId="3" applyFont="1" applyFill="1" applyAlignment="1">
      <alignment horizontal="center" vertical="center"/>
    </xf>
    <xf numFmtId="0" fontId="22" fillId="0" borderId="27" xfId="3" applyFont="1" applyBorder="1" applyAlignment="1">
      <alignment horizontal="center" vertical="center"/>
    </xf>
    <xf numFmtId="0" fontId="22" fillId="0" borderId="29" xfId="3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/>
    </xf>
    <xf numFmtId="0" fontId="38" fillId="0" borderId="0" xfId="3" applyFont="1" applyAlignment="1">
      <alignment horizontal="center" vertical="center"/>
    </xf>
    <xf numFmtId="49" fontId="39" fillId="0" borderId="0" xfId="3" applyNumberFormat="1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49" fontId="41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0" fontId="1" fillId="0" borderId="0" xfId="4"/>
    <xf numFmtId="0" fontId="43" fillId="0" borderId="0" xfId="4" applyFont="1" applyAlignment="1">
      <alignment horizontal="center" vertical="center"/>
    </xf>
    <xf numFmtId="0" fontId="44" fillId="0" borderId="0" xfId="4" applyFont="1"/>
    <xf numFmtId="0" fontId="44" fillId="0" borderId="0" xfId="4" applyFont="1" applyAlignment="1">
      <alignment horizontal="center" vertical="center"/>
    </xf>
    <xf numFmtId="0" fontId="1" fillId="0" borderId="0" xfId="4" applyAlignment="1">
      <alignment horizontal="center"/>
    </xf>
    <xf numFmtId="0" fontId="2" fillId="0" borderId="9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20" fillId="0" borderId="24" xfId="2" applyFont="1" applyBorder="1" applyAlignment="1">
      <alignment horizontal="center" vertical="center"/>
    </xf>
    <xf numFmtId="0" fontId="20" fillId="0" borderId="25" xfId="2" applyFont="1" applyBorder="1" applyAlignment="1">
      <alignment horizontal="center" vertical="center"/>
    </xf>
    <xf numFmtId="0" fontId="20" fillId="0" borderId="26" xfId="2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0" fillId="0" borderId="21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1" fillId="0" borderId="16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36" fillId="0" borderId="37" xfId="3" applyFont="1" applyBorder="1" applyAlignment="1">
      <alignment horizontal="center" vertical="center" textRotation="90"/>
    </xf>
    <xf numFmtId="0" fontId="36" fillId="0" borderId="38" xfId="3" applyFont="1" applyBorder="1" applyAlignment="1">
      <alignment horizontal="center" vertical="center" textRotation="90"/>
    </xf>
    <xf numFmtId="0" fontId="36" fillId="0" borderId="39" xfId="3" applyFont="1" applyBorder="1" applyAlignment="1">
      <alignment horizontal="center" vertical="center" textRotation="90"/>
    </xf>
    <xf numFmtId="0" fontId="22" fillId="0" borderId="37" xfId="3" applyFont="1" applyBorder="1" applyAlignment="1">
      <alignment horizontal="center" vertical="center" textRotation="90"/>
    </xf>
    <xf numFmtId="0" fontId="22" fillId="0" borderId="38" xfId="3" applyFont="1" applyBorder="1" applyAlignment="1">
      <alignment horizontal="center" vertical="center" textRotation="90"/>
    </xf>
    <xf numFmtId="0" fontId="22" fillId="0" borderId="39" xfId="3" applyFont="1" applyBorder="1" applyAlignment="1">
      <alignment horizontal="center" vertical="center" textRotation="90"/>
    </xf>
    <xf numFmtId="17" fontId="22" fillId="0" borderId="37" xfId="3" applyNumberFormat="1" applyFont="1" applyBorder="1" applyAlignment="1">
      <alignment horizontal="center" vertical="center" textRotation="90"/>
    </xf>
    <xf numFmtId="0" fontId="37" fillId="0" borderId="0" xfId="3" applyFont="1" applyAlignment="1">
      <alignment horizontal="center" vertical="center"/>
    </xf>
    <xf numFmtId="0" fontId="22" fillId="16" borderId="28" xfId="3" applyFont="1" applyFill="1" applyBorder="1" applyAlignment="1">
      <alignment horizontal="center" vertical="center"/>
    </xf>
    <xf numFmtId="0" fontId="22" fillId="16" borderId="32" xfId="3" applyFont="1" applyFill="1" applyBorder="1" applyAlignment="1">
      <alignment horizontal="center" vertical="center"/>
    </xf>
    <xf numFmtId="0" fontId="22" fillId="16" borderId="29" xfId="3" applyFont="1" applyFill="1" applyBorder="1" applyAlignment="1">
      <alignment horizontal="center" vertical="center"/>
    </xf>
    <xf numFmtId="0" fontId="22" fillId="16" borderId="33" xfId="3" applyFont="1" applyFill="1" applyBorder="1" applyAlignment="1">
      <alignment horizontal="center" vertical="center"/>
    </xf>
    <xf numFmtId="0" fontId="33" fillId="8" borderId="27" xfId="3" applyFont="1" applyFill="1" applyBorder="1" applyAlignment="1">
      <alignment horizontal="center" vertical="center" wrapText="1" shrinkToFit="1"/>
    </xf>
    <xf numFmtId="0" fontId="33" fillId="8" borderId="28" xfId="3" applyFont="1" applyFill="1" applyBorder="1" applyAlignment="1">
      <alignment horizontal="center" vertical="center" wrapText="1" shrinkToFit="1"/>
    </xf>
    <xf numFmtId="0" fontId="33" fillId="8" borderId="35" xfId="3" applyFont="1" applyFill="1" applyBorder="1" applyAlignment="1">
      <alignment horizontal="center" vertical="center" wrapText="1" shrinkToFit="1"/>
    </xf>
    <xf numFmtId="0" fontId="33" fillId="8" borderId="0" xfId="3" applyFont="1" applyFill="1" applyAlignment="1">
      <alignment horizontal="center" vertical="center" wrapText="1" shrinkToFit="1"/>
    </xf>
    <xf numFmtId="0" fontId="33" fillId="8" borderId="31" xfId="3" applyFont="1" applyFill="1" applyBorder="1" applyAlignment="1">
      <alignment horizontal="center" vertical="center" wrapText="1" shrinkToFit="1"/>
    </xf>
    <xf numFmtId="0" fontId="33" fillId="8" borderId="32" xfId="3" applyFont="1" applyFill="1" applyBorder="1" applyAlignment="1">
      <alignment horizontal="center" vertical="center" wrapText="1" shrinkToFit="1"/>
    </xf>
    <xf numFmtId="0" fontId="34" fillId="3" borderId="3" xfId="3" applyFont="1" applyFill="1" applyBorder="1" applyAlignment="1">
      <alignment horizontal="center" vertical="center"/>
    </xf>
    <xf numFmtId="0" fontId="34" fillId="3" borderId="16" xfId="3" applyFont="1" applyFill="1" applyBorder="1" applyAlignment="1">
      <alignment horizontal="center" vertical="center"/>
    </xf>
    <xf numFmtId="0" fontId="34" fillId="3" borderId="10" xfId="3" applyFont="1" applyFill="1" applyBorder="1" applyAlignment="1">
      <alignment horizontal="center" vertical="center"/>
    </xf>
    <xf numFmtId="0" fontId="22" fillId="16" borderId="27" xfId="3" applyFont="1" applyFill="1" applyBorder="1" applyAlignment="1">
      <alignment horizontal="center" vertical="center"/>
    </xf>
    <xf numFmtId="0" fontId="22" fillId="16" borderId="31" xfId="3" applyFont="1" applyFill="1" applyBorder="1" applyAlignment="1">
      <alignment horizontal="center" vertical="center"/>
    </xf>
    <xf numFmtId="0" fontId="22" fillId="15" borderId="28" xfId="3" applyFont="1" applyFill="1" applyBorder="1" applyAlignment="1">
      <alignment horizontal="center" vertical="center"/>
    </xf>
    <xf numFmtId="0" fontId="22" fillId="15" borderId="32" xfId="3" applyFont="1" applyFill="1" applyBorder="1" applyAlignment="1">
      <alignment horizontal="center" vertical="center"/>
    </xf>
    <xf numFmtId="0" fontId="22" fillId="15" borderId="29" xfId="3" applyFont="1" applyFill="1" applyBorder="1" applyAlignment="1">
      <alignment horizontal="center" vertical="center"/>
    </xf>
    <xf numFmtId="0" fontId="22" fillId="15" borderId="33" xfId="3" applyFont="1" applyFill="1" applyBorder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27" fillId="0" borderId="0" xfId="3" applyFont="1" applyAlignment="1">
      <alignment horizontal="center" vertical="center"/>
    </xf>
    <xf numFmtId="17" fontId="22" fillId="16" borderId="27" xfId="3" quotePrefix="1" applyNumberFormat="1" applyFont="1" applyFill="1" applyBorder="1" applyAlignment="1">
      <alignment horizontal="center" vertical="center"/>
    </xf>
    <xf numFmtId="17" fontId="22" fillId="16" borderId="31" xfId="3" quotePrefix="1" applyNumberFormat="1" applyFont="1" applyFill="1" applyBorder="1" applyAlignment="1">
      <alignment horizontal="center" vertical="center"/>
    </xf>
    <xf numFmtId="49" fontId="22" fillId="16" borderId="28" xfId="3" applyNumberFormat="1" applyFont="1" applyFill="1" applyBorder="1" applyAlignment="1">
      <alignment horizontal="center" vertical="center"/>
    </xf>
    <xf numFmtId="49" fontId="22" fillId="16" borderId="32" xfId="3" applyNumberFormat="1" applyFont="1" applyFill="1" applyBorder="1" applyAlignment="1">
      <alignment horizontal="center" vertical="center"/>
    </xf>
    <xf numFmtId="164" fontId="28" fillId="16" borderId="28" xfId="3" applyNumberFormat="1" applyFont="1" applyFill="1" applyBorder="1" applyAlignment="1">
      <alignment horizontal="center" vertical="center"/>
    </xf>
    <xf numFmtId="164" fontId="28" fillId="16" borderId="32" xfId="3" applyNumberFormat="1" applyFont="1" applyFill="1" applyBorder="1" applyAlignment="1">
      <alignment horizontal="center" vertical="center"/>
    </xf>
    <xf numFmtId="0" fontId="22" fillId="15" borderId="27" xfId="3" applyFont="1" applyFill="1" applyBorder="1" applyAlignment="1">
      <alignment horizontal="center" vertical="center"/>
    </xf>
    <xf numFmtId="0" fontId="22" fillId="15" borderId="31" xfId="3" applyFont="1" applyFill="1" applyBorder="1" applyAlignment="1">
      <alignment horizontal="center" vertical="center"/>
    </xf>
    <xf numFmtId="0" fontId="22" fillId="4" borderId="28" xfId="3" applyFont="1" applyFill="1" applyBorder="1" applyAlignment="1">
      <alignment horizontal="center" vertical="center"/>
    </xf>
    <xf numFmtId="0" fontId="22" fillId="4" borderId="32" xfId="3" applyFont="1" applyFill="1" applyBorder="1" applyAlignment="1">
      <alignment horizontal="center" vertical="center"/>
    </xf>
    <xf numFmtId="0" fontId="22" fillId="4" borderId="29" xfId="3" applyFont="1" applyFill="1" applyBorder="1" applyAlignment="1">
      <alignment horizontal="center" vertical="center"/>
    </xf>
    <xf numFmtId="0" fontId="22" fillId="4" borderId="33" xfId="3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17" fontId="22" fillId="15" borderId="27" xfId="3" applyNumberFormat="1" applyFont="1" applyFill="1" applyBorder="1" applyAlignment="1">
      <alignment horizontal="center" vertical="center"/>
    </xf>
    <xf numFmtId="17" fontId="22" fillId="15" borderId="31" xfId="3" quotePrefix="1" applyNumberFormat="1" applyFont="1" applyFill="1" applyBorder="1" applyAlignment="1">
      <alignment horizontal="center" vertical="center"/>
    </xf>
    <xf numFmtId="49" fontId="22" fillId="15" borderId="28" xfId="3" applyNumberFormat="1" applyFont="1" applyFill="1" applyBorder="1" applyAlignment="1">
      <alignment horizontal="center" vertical="center"/>
    </xf>
    <xf numFmtId="49" fontId="22" fillId="15" borderId="32" xfId="3" applyNumberFormat="1" applyFont="1" applyFill="1" applyBorder="1" applyAlignment="1">
      <alignment horizontal="center" vertical="center"/>
    </xf>
    <xf numFmtId="164" fontId="28" fillId="15" borderId="28" xfId="3" applyNumberFormat="1" applyFont="1" applyFill="1" applyBorder="1" applyAlignment="1">
      <alignment horizontal="center" vertical="center"/>
    </xf>
    <xf numFmtId="164" fontId="28" fillId="15" borderId="32" xfId="3" applyNumberFormat="1" applyFont="1" applyFill="1" applyBorder="1" applyAlignment="1">
      <alignment horizontal="center" vertical="center"/>
    </xf>
    <xf numFmtId="0" fontId="22" fillId="4" borderId="27" xfId="3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horizontal="center" vertical="center"/>
    </xf>
    <xf numFmtId="0" fontId="22" fillId="14" borderId="28" xfId="3" applyFont="1" applyFill="1" applyBorder="1" applyAlignment="1">
      <alignment horizontal="center" vertical="center"/>
    </xf>
    <xf numFmtId="0" fontId="22" fillId="14" borderId="32" xfId="3" applyFont="1" applyFill="1" applyBorder="1" applyAlignment="1">
      <alignment horizontal="center" vertical="center"/>
    </xf>
    <xf numFmtId="0" fontId="22" fillId="14" borderId="29" xfId="3" applyFont="1" applyFill="1" applyBorder="1" applyAlignment="1">
      <alignment horizontal="center" vertical="center"/>
    </xf>
    <xf numFmtId="0" fontId="22" fillId="14" borderId="33" xfId="3" applyFont="1" applyFill="1" applyBorder="1" applyAlignment="1">
      <alignment horizontal="center" vertical="center"/>
    </xf>
    <xf numFmtId="17" fontId="22" fillId="4" borderId="27" xfId="3" applyNumberFormat="1" applyFont="1" applyFill="1" applyBorder="1" applyAlignment="1">
      <alignment horizontal="center" vertical="center"/>
    </xf>
    <xf numFmtId="17" fontId="22" fillId="4" borderId="31" xfId="3" quotePrefix="1" applyNumberFormat="1" applyFont="1" applyFill="1" applyBorder="1" applyAlignment="1">
      <alignment horizontal="center" vertical="center"/>
    </xf>
    <xf numFmtId="49" fontId="22" fillId="4" borderId="28" xfId="3" applyNumberFormat="1" applyFont="1" applyFill="1" applyBorder="1" applyAlignment="1">
      <alignment horizontal="center" vertical="center"/>
    </xf>
    <xf numFmtId="49" fontId="22" fillId="4" borderId="32" xfId="3" applyNumberFormat="1" applyFont="1" applyFill="1" applyBorder="1" applyAlignment="1">
      <alignment horizontal="center" vertical="center"/>
    </xf>
    <xf numFmtId="164" fontId="28" fillId="4" borderId="28" xfId="3" applyNumberFormat="1" applyFont="1" applyFill="1" applyBorder="1" applyAlignment="1">
      <alignment horizontal="center" vertical="center"/>
    </xf>
    <xf numFmtId="164" fontId="28" fillId="4" borderId="32" xfId="3" applyNumberFormat="1" applyFont="1" applyFill="1" applyBorder="1" applyAlignment="1">
      <alignment horizontal="center" vertical="center"/>
    </xf>
    <xf numFmtId="0" fontId="22" fillId="14" borderId="27" xfId="3" applyFont="1" applyFill="1" applyBorder="1" applyAlignment="1">
      <alignment horizontal="center" vertical="center"/>
    </xf>
    <xf numFmtId="0" fontId="22" fillId="14" borderId="31" xfId="3" applyFont="1" applyFill="1" applyBorder="1" applyAlignment="1">
      <alignment horizontal="center" vertical="center"/>
    </xf>
    <xf numFmtId="0" fontId="22" fillId="9" borderId="28" xfId="3" applyFont="1" applyFill="1" applyBorder="1" applyAlignment="1">
      <alignment horizontal="center" vertical="center"/>
    </xf>
    <xf numFmtId="0" fontId="22" fillId="9" borderId="32" xfId="3" applyFont="1" applyFill="1" applyBorder="1" applyAlignment="1">
      <alignment horizontal="center" vertical="center"/>
    </xf>
    <xf numFmtId="0" fontId="22" fillId="9" borderId="29" xfId="3" applyFont="1" applyFill="1" applyBorder="1" applyAlignment="1">
      <alignment horizontal="center" vertical="center"/>
    </xf>
    <xf numFmtId="0" fontId="22" fillId="9" borderId="33" xfId="3" applyFont="1" applyFill="1" applyBorder="1" applyAlignment="1">
      <alignment horizontal="center" vertical="center"/>
    </xf>
    <xf numFmtId="17" fontId="22" fillId="14" borderId="27" xfId="3" applyNumberFormat="1" applyFont="1" applyFill="1" applyBorder="1" applyAlignment="1">
      <alignment horizontal="center" vertical="center"/>
    </xf>
    <xf numFmtId="17" fontId="22" fillId="14" borderId="31" xfId="3" quotePrefix="1" applyNumberFormat="1" applyFont="1" applyFill="1" applyBorder="1" applyAlignment="1">
      <alignment horizontal="center" vertical="center"/>
    </xf>
    <xf numFmtId="49" fontId="22" fillId="14" borderId="28" xfId="3" applyNumberFormat="1" applyFont="1" applyFill="1" applyBorder="1" applyAlignment="1">
      <alignment horizontal="center" vertical="center"/>
    </xf>
    <xf numFmtId="49" fontId="22" fillId="14" borderId="32" xfId="3" applyNumberFormat="1" applyFont="1" applyFill="1" applyBorder="1" applyAlignment="1">
      <alignment horizontal="center" vertical="center"/>
    </xf>
    <xf numFmtId="164" fontId="28" fillId="14" borderId="28" xfId="3" applyNumberFormat="1" applyFont="1" applyFill="1" applyBorder="1" applyAlignment="1">
      <alignment horizontal="center" vertical="center"/>
    </xf>
    <xf numFmtId="164" fontId="28" fillId="14" borderId="32" xfId="3" applyNumberFormat="1" applyFont="1" applyFill="1" applyBorder="1" applyAlignment="1">
      <alignment horizontal="center" vertical="center"/>
    </xf>
    <xf numFmtId="0" fontId="22" fillId="9" borderId="27" xfId="3" applyFont="1" applyFill="1" applyBorder="1" applyAlignment="1">
      <alignment horizontal="center" vertical="center"/>
    </xf>
    <xf numFmtId="0" fontId="22" fillId="9" borderId="31" xfId="3" applyFont="1" applyFill="1" applyBorder="1" applyAlignment="1">
      <alignment horizontal="center" vertical="center"/>
    </xf>
    <xf numFmtId="0" fontId="22" fillId="13" borderId="28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22" fillId="13" borderId="29" xfId="3" applyFont="1" applyFill="1" applyBorder="1" applyAlignment="1">
      <alignment horizontal="center" vertical="center"/>
    </xf>
    <xf numFmtId="0" fontId="22" fillId="13" borderId="33" xfId="3" applyFont="1" applyFill="1" applyBorder="1" applyAlignment="1">
      <alignment horizontal="center" vertical="center"/>
    </xf>
    <xf numFmtId="17" fontId="22" fillId="9" borderId="27" xfId="3" applyNumberFormat="1" applyFont="1" applyFill="1" applyBorder="1" applyAlignment="1">
      <alignment horizontal="center" vertical="center"/>
    </xf>
    <xf numFmtId="17" fontId="22" fillId="9" borderId="31" xfId="3" quotePrefix="1" applyNumberFormat="1" applyFont="1" applyFill="1" applyBorder="1" applyAlignment="1">
      <alignment horizontal="center" vertical="center"/>
    </xf>
    <xf numFmtId="49" fontId="22" fillId="9" borderId="28" xfId="3" applyNumberFormat="1" applyFont="1" applyFill="1" applyBorder="1" applyAlignment="1">
      <alignment horizontal="center" vertical="center"/>
    </xf>
    <xf numFmtId="49" fontId="22" fillId="9" borderId="32" xfId="3" applyNumberFormat="1" applyFont="1" applyFill="1" applyBorder="1" applyAlignment="1">
      <alignment horizontal="center" vertical="center"/>
    </xf>
    <xf numFmtId="164" fontId="28" fillId="9" borderId="28" xfId="3" applyNumberFormat="1" applyFont="1" applyFill="1" applyBorder="1" applyAlignment="1">
      <alignment horizontal="center" vertical="center"/>
    </xf>
    <xf numFmtId="164" fontId="28" fillId="9" borderId="32" xfId="3" applyNumberFormat="1" applyFont="1" applyFill="1" applyBorder="1" applyAlignment="1">
      <alignment horizontal="center" vertical="center"/>
    </xf>
    <xf numFmtId="0" fontId="22" fillId="13" borderId="27" xfId="3" applyFont="1" applyFill="1" applyBorder="1" applyAlignment="1">
      <alignment horizontal="center" vertical="center"/>
    </xf>
    <xf numFmtId="0" fontId="22" fillId="13" borderId="31" xfId="3" applyFont="1" applyFill="1" applyBorder="1" applyAlignment="1">
      <alignment horizontal="center" vertical="center"/>
    </xf>
    <xf numFmtId="17" fontId="22" fillId="13" borderId="27" xfId="3" applyNumberFormat="1" applyFont="1" applyFill="1" applyBorder="1" applyAlignment="1">
      <alignment horizontal="center" vertical="center"/>
    </xf>
    <xf numFmtId="17" fontId="22" fillId="13" borderId="31" xfId="3" quotePrefix="1" applyNumberFormat="1" applyFont="1" applyFill="1" applyBorder="1" applyAlignment="1">
      <alignment horizontal="center" vertical="center"/>
    </xf>
    <xf numFmtId="49" fontId="22" fillId="13" borderId="28" xfId="3" applyNumberFormat="1" applyFont="1" applyFill="1" applyBorder="1" applyAlignment="1">
      <alignment horizontal="center" vertical="center"/>
    </xf>
    <xf numFmtId="49" fontId="22" fillId="13" borderId="32" xfId="3" applyNumberFormat="1" applyFont="1" applyFill="1" applyBorder="1" applyAlignment="1">
      <alignment horizontal="center" vertical="center"/>
    </xf>
    <xf numFmtId="164" fontId="28" fillId="13" borderId="28" xfId="3" applyNumberFormat="1" applyFont="1" applyFill="1" applyBorder="1" applyAlignment="1">
      <alignment horizontal="center" vertical="center"/>
    </xf>
    <xf numFmtId="164" fontId="28" fillId="13" borderId="32" xfId="3" applyNumberFormat="1" applyFont="1" applyFill="1" applyBorder="1" applyAlignment="1">
      <alignment horizontal="center" vertical="center"/>
    </xf>
    <xf numFmtId="0" fontId="22" fillId="12" borderId="28" xfId="3" applyFont="1" applyFill="1" applyBorder="1" applyAlignment="1">
      <alignment horizontal="center" vertical="center"/>
    </xf>
    <xf numFmtId="0" fontId="22" fillId="12" borderId="32" xfId="3" applyFont="1" applyFill="1" applyBorder="1" applyAlignment="1">
      <alignment horizontal="center" vertical="center"/>
    </xf>
    <xf numFmtId="0" fontId="22" fillId="12" borderId="29" xfId="3" applyFont="1" applyFill="1" applyBorder="1" applyAlignment="1">
      <alignment horizontal="center" vertical="center"/>
    </xf>
    <xf numFmtId="0" fontId="22" fillId="12" borderId="33" xfId="3" applyFont="1" applyFill="1" applyBorder="1" applyAlignment="1">
      <alignment horizontal="center" vertical="center"/>
    </xf>
    <xf numFmtId="17" fontId="22" fillId="4" borderId="27" xfId="3" quotePrefix="1" applyNumberFormat="1" applyFont="1" applyFill="1" applyBorder="1" applyAlignment="1">
      <alignment horizontal="center" vertical="center"/>
    </xf>
    <xf numFmtId="0" fontId="22" fillId="12" borderId="27" xfId="3" applyFont="1" applyFill="1" applyBorder="1" applyAlignment="1">
      <alignment horizontal="center" vertical="center"/>
    </xf>
    <xf numFmtId="0" fontId="22" fillId="12" borderId="31" xfId="3" applyFont="1" applyFill="1" applyBorder="1" applyAlignment="1">
      <alignment horizontal="center" vertical="center"/>
    </xf>
    <xf numFmtId="17" fontId="22" fillId="12" borderId="27" xfId="3" quotePrefix="1" applyNumberFormat="1" applyFont="1" applyFill="1" applyBorder="1" applyAlignment="1">
      <alignment horizontal="center" vertical="center"/>
    </xf>
    <xf numFmtId="17" fontId="22" fillId="12" borderId="31" xfId="3" quotePrefix="1" applyNumberFormat="1" applyFont="1" applyFill="1" applyBorder="1" applyAlignment="1">
      <alignment horizontal="center" vertical="center"/>
    </xf>
    <xf numFmtId="49" fontId="22" fillId="12" borderId="28" xfId="3" applyNumberFormat="1" applyFont="1" applyFill="1" applyBorder="1" applyAlignment="1">
      <alignment horizontal="center" vertical="center"/>
    </xf>
    <xf numFmtId="49" fontId="22" fillId="12" borderId="32" xfId="3" applyNumberFormat="1" applyFont="1" applyFill="1" applyBorder="1" applyAlignment="1">
      <alignment horizontal="center" vertical="center"/>
    </xf>
    <xf numFmtId="164" fontId="28" fillId="12" borderId="28" xfId="3" applyNumberFormat="1" applyFont="1" applyFill="1" applyBorder="1" applyAlignment="1">
      <alignment horizontal="center" vertical="center"/>
    </xf>
    <xf numFmtId="164" fontId="28" fillId="12" borderId="32" xfId="3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/>
    </xf>
    <xf numFmtId="0" fontId="22" fillId="5" borderId="29" xfId="3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horizontal="center" vertical="center"/>
    </xf>
    <xf numFmtId="164" fontId="28" fillId="5" borderId="28" xfId="3" applyNumberFormat="1" applyFont="1" applyFill="1" applyBorder="1" applyAlignment="1">
      <alignment horizontal="center" vertical="center"/>
    </xf>
    <xf numFmtId="164" fontId="28" fillId="5" borderId="32" xfId="3" applyNumberFormat="1" applyFont="1" applyFill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2" fillId="3" borderId="29" xfId="3" applyFont="1" applyFill="1" applyBorder="1" applyAlignment="1">
      <alignment horizontal="center" vertical="center"/>
    </xf>
    <xf numFmtId="0" fontId="22" fillId="3" borderId="33" xfId="3" applyFont="1" applyFill="1" applyBorder="1" applyAlignment="1">
      <alignment horizontal="center" vertical="center"/>
    </xf>
    <xf numFmtId="17" fontId="22" fillId="5" borderId="27" xfId="3" quotePrefix="1" applyNumberFormat="1" applyFont="1" applyFill="1" applyBorder="1" applyAlignment="1">
      <alignment horizontal="center" vertical="center"/>
    </xf>
    <xf numFmtId="17" fontId="22" fillId="5" borderId="31" xfId="3" quotePrefix="1" applyNumberFormat="1" applyFont="1" applyFill="1" applyBorder="1" applyAlignment="1">
      <alignment horizontal="center" vertical="center"/>
    </xf>
    <xf numFmtId="49" fontId="22" fillId="5" borderId="28" xfId="3" applyNumberFormat="1" applyFont="1" applyFill="1" applyBorder="1" applyAlignment="1">
      <alignment horizontal="center" vertical="center"/>
    </xf>
    <xf numFmtId="49" fontId="22" fillId="5" borderId="32" xfId="3" applyNumberFormat="1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/>
    </xf>
    <xf numFmtId="17" fontId="22" fillId="3" borderId="27" xfId="3" quotePrefix="1" applyNumberFormat="1" applyFont="1" applyFill="1" applyBorder="1" applyAlignment="1">
      <alignment horizontal="center" vertical="center"/>
    </xf>
    <xf numFmtId="17" fontId="22" fillId="3" borderId="31" xfId="3" quotePrefix="1" applyNumberFormat="1" applyFont="1" applyFill="1" applyBorder="1" applyAlignment="1">
      <alignment horizontal="center" vertical="center"/>
    </xf>
    <xf numFmtId="49" fontId="22" fillId="3" borderId="28" xfId="3" applyNumberFormat="1" applyFont="1" applyFill="1" applyBorder="1" applyAlignment="1">
      <alignment horizontal="center" vertical="center"/>
    </xf>
    <xf numFmtId="49" fontId="22" fillId="3" borderId="32" xfId="3" applyNumberFormat="1" applyFont="1" applyFill="1" applyBorder="1" applyAlignment="1">
      <alignment horizontal="center" vertical="center"/>
    </xf>
    <xf numFmtId="164" fontId="28" fillId="3" borderId="28" xfId="3" applyNumberFormat="1" applyFont="1" applyFill="1" applyBorder="1" applyAlignment="1">
      <alignment horizontal="center" vertical="center"/>
    </xf>
    <xf numFmtId="164" fontId="28" fillId="3" borderId="32" xfId="3" applyNumberFormat="1" applyFont="1" applyFill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</cellXfs>
  <cellStyles count="5">
    <cellStyle name="Normal" xfId="0" builtinId="0"/>
    <cellStyle name="Normal 2" xfId="1" xr:uid="{ECBDC392-1B1E-4949-A840-12E9E7ED276E}"/>
    <cellStyle name="Normal 4" xfId="2" xr:uid="{CF6BBFF1-BA28-4C6C-98EC-B2D01717E431}"/>
    <cellStyle name="Normal 5" xfId="4" xr:uid="{D7A2237C-0FF0-4AFF-9B92-0C3A0C963DAD}"/>
    <cellStyle name="Normal_SYOC 2006" xfId="3" xr:uid="{13372C56-74F9-4B78-9956-3D42A20928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597910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0EBCA62-971D-451F-BE5E-7FFA8BC2C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9537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907775</xdr:colOff>
      <xdr:row>2</xdr:row>
      <xdr:rowOff>72887</xdr:rowOff>
    </xdr:from>
    <xdr:to>
      <xdr:col>4</xdr:col>
      <xdr:colOff>406353</xdr:colOff>
      <xdr:row>4</xdr:row>
      <xdr:rowOff>129578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AD867F-DB7D-45A9-9CD1-36DFE4933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350" y="453887"/>
          <a:ext cx="1927453" cy="437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200345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E34F889-049D-42A8-AEC3-81F782F4C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2972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974034</xdr:colOff>
      <xdr:row>2</xdr:row>
      <xdr:rowOff>39756</xdr:rowOff>
    </xdr:from>
    <xdr:to>
      <xdr:col>5</xdr:col>
      <xdr:colOff>147934</xdr:colOff>
      <xdr:row>4</xdr:row>
      <xdr:rowOff>96447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F8FE7C-269F-4647-9274-6BD39DB48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6609" y="420756"/>
          <a:ext cx="1917100" cy="4376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147337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902182-2599-451B-9ACE-6A4903370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7589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907774</xdr:colOff>
      <xdr:row>2</xdr:row>
      <xdr:rowOff>59635</xdr:rowOff>
    </xdr:from>
    <xdr:to>
      <xdr:col>5</xdr:col>
      <xdr:colOff>28665</xdr:colOff>
      <xdr:row>4</xdr:row>
      <xdr:rowOff>116326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E8766C-404C-45DA-A14A-B4F94C0A8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349" y="440635"/>
          <a:ext cx="1911716" cy="4376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624414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B61AA9E-A70F-49B0-ABD2-8218F4FA2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7941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901148</xdr:colOff>
      <xdr:row>2</xdr:row>
      <xdr:rowOff>46382</xdr:rowOff>
    </xdr:from>
    <xdr:to>
      <xdr:col>4</xdr:col>
      <xdr:colOff>678022</xdr:colOff>
      <xdr:row>4</xdr:row>
      <xdr:rowOff>103073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ADF6CC-C096-46EE-B8A6-6636417EE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3723" y="427382"/>
          <a:ext cx="1929524" cy="4376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385875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B39AF5-1407-436D-AE1C-45D2813DA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7527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901148</xdr:colOff>
      <xdr:row>2</xdr:row>
      <xdr:rowOff>39756</xdr:rowOff>
    </xdr:from>
    <xdr:to>
      <xdr:col>5</xdr:col>
      <xdr:colOff>260578</xdr:colOff>
      <xdr:row>4</xdr:row>
      <xdr:rowOff>96447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99B88D-1AAA-4065-832C-CC2F189B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3723" y="420756"/>
          <a:ext cx="1921655" cy="4376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160589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AFA88C2-9A97-4207-A524-AFDE6ED4A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0841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921026</xdr:colOff>
      <xdr:row>2</xdr:row>
      <xdr:rowOff>79513</xdr:rowOff>
    </xdr:from>
    <xdr:to>
      <xdr:col>5</xdr:col>
      <xdr:colOff>55169</xdr:colOff>
      <xdr:row>4</xdr:row>
      <xdr:rowOff>136204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8A258B-C4FA-4FD1-A54B-44ED43920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3601" y="460513"/>
          <a:ext cx="1924968" cy="4376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498519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ADB7EEA-9694-433E-8152-32EA1DA94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5396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980661</xdr:colOff>
      <xdr:row>2</xdr:row>
      <xdr:rowOff>53008</xdr:rowOff>
    </xdr:from>
    <xdr:to>
      <xdr:col>5</xdr:col>
      <xdr:colOff>452735</xdr:colOff>
      <xdr:row>4</xdr:row>
      <xdr:rowOff>109699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176B81-7736-43A0-98DF-818AA65A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236" y="434008"/>
          <a:ext cx="1929524" cy="4376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187093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53C5218-6810-49D9-999E-B900562D3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8770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1020418</xdr:colOff>
      <xdr:row>2</xdr:row>
      <xdr:rowOff>13252</xdr:rowOff>
    </xdr:from>
    <xdr:to>
      <xdr:col>5</xdr:col>
      <xdr:colOff>181066</xdr:colOff>
      <xdr:row>4</xdr:row>
      <xdr:rowOff>69943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B4DB8F-552B-4A78-B77D-8F27923A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2993" y="394252"/>
          <a:ext cx="1922898" cy="4376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604536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8418F-FC33-4A3D-980E-900869C02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6638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907775</xdr:colOff>
      <xdr:row>2</xdr:row>
      <xdr:rowOff>72887</xdr:rowOff>
    </xdr:from>
    <xdr:to>
      <xdr:col>4</xdr:col>
      <xdr:colOff>664771</xdr:colOff>
      <xdr:row>4</xdr:row>
      <xdr:rowOff>129578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9BFBE2-E34E-49BA-9C8C-520BD30B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350" y="453887"/>
          <a:ext cx="1938221" cy="4376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498519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D505950-C821-4AF1-AD2B-B52D03BF5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5396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980661</xdr:colOff>
      <xdr:row>2</xdr:row>
      <xdr:rowOff>53008</xdr:rowOff>
    </xdr:from>
    <xdr:to>
      <xdr:col>5</xdr:col>
      <xdr:colOff>452735</xdr:colOff>
      <xdr:row>4</xdr:row>
      <xdr:rowOff>109699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5A3FF9-7202-4443-86C2-5D0BFB9A2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236" y="434008"/>
          <a:ext cx="1929524" cy="4376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187093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021AF5B-E78B-460C-9771-A6538817C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8770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1020418</xdr:colOff>
      <xdr:row>2</xdr:row>
      <xdr:rowOff>13252</xdr:rowOff>
    </xdr:from>
    <xdr:to>
      <xdr:col>5</xdr:col>
      <xdr:colOff>181066</xdr:colOff>
      <xdr:row>4</xdr:row>
      <xdr:rowOff>69943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C8F53D-A9CE-44BE-99E6-40FC57D21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2993" y="394252"/>
          <a:ext cx="1922898" cy="43769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604536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EDC34A0-C70D-43C8-A97F-5A1B35F5A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6638" cy="952607"/>
        </a:xfrm>
        <a:prstGeom prst="rect">
          <a:avLst/>
        </a:prstGeom>
      </xdr:spPr>
    </xdr:pic>
    <xdr:clientData/>
  </xdr:twoCellAnchor>
  <xdr:twoCellAnchor editAs="oneCell">
    <xdr:from>
      <xdr:col>3</xdr:col>
      <xdr:colOff>907775</xdr:colOff>
      <xdr:row>2</xdr:row>
      <xdr:rowOff>72887</xdr:rowOff>
    </xdr:from>
    <xdr:to>
      <xdr:col>4</xdr:col>
      <xdr:colOff>664771</xdr:colOff>
      <xdr:row>4</xdr:row>
      <xdr:rowOff>129578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33A4E-CDEB-4D3E-B7DF-259C42266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350" y="453887"/>
          <a:ext cx="1938221" cy="43769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104775</xdr:colOff>
      <xdr:row>1</xdr:row>
      <xdr:rowOff>0</xdr:rowOff>
    </xdr:from>
    <xdr:to>
      <xdr:col>61</xdr:col>
      <xdr:colOff>696686</xdr:colOff>
      <xdr:row>5</xdr:row>
      <xdr:rowOff>201990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EF5C9ED-CD84-4B53-A499-97E3439A0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190500"/>
          <a:ext cx="15441386" cy="963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7976-8812-47C1-949B-991041EE5FD1}">
  <sheetPr codeName="Sheet8"/>
  <dimension ref="A1:E138"/>
  <sheetViews>
    <sheetView tabSelected="1" workbookViewId="0">
      <selection activeCell="G16" sqref="G16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3717</v>
      </c>
      <c r="C2" t="s">
        <v>5</v>
      </c>
      <c r="D2" t="s">
        <v>6</v>
      </c>
      <c r="E2">
        <v>728</v>
      </c>
    </row>
    <row r="3" spans="1:5" x14ac:dyDescent="0.25">
      <c r="A3">
        <v>2</v>
      </c>
      <c r="B3">
        <v>3498</v>
      </c>
      <c r="C3" t="s">
        <v>7</v>
      </c>
      <c r="D3" t="s">
        <v>8</v>
      </c>
      <c r="E3">
        <v>704</v>
      </c>
    </row>
    <row r="4" spans="1:5" x14ac:dyDescent="0.25">
      <c r="A4">
        <v>3</v>
      </c>
      <c r="B4">
        <v>3756</v>
      </c>
      <c r="C4" t="s">
        <v>9</v>
      </c>
      <c r="D4" t="s">
        <v>6</v>
      </c>
      <c r="E4">
        <v>653</v>
      </c>
    </row>
    <row r="5" spans="1:5" x14ac:dyDescent="0.25">
      <c r="A5">
        <v>4</v>
      </c>
      <c r="B5">
        <v>3918</v>
      </c>
      <c r="C5" t="s">
        <v>10</v>
      </c>
      <c r="D5" t="s">
        <v>11</v>
      </c>
      <c r="E5">
        <v>629</v>
      </c>
    </row>
    <row r="6" spans="1:5" x14ac:dyDescent="0.25">
      <c r="A6">
        <v>5</v>
      </c>
      <c r="B6">
        <v>3423</v>
      </c>
      <c r="C6" t="s">
        <v>12</v>
      </c>
      <c r="D6" t="s">
        <v>11</v>
      </c>
      <c r="E6">
        <v>609</v>
      </c>
    </row>
    <row r="7" spans="1:5" x14ac:dyDescent="0.25">
      <c r="A7">
        <v>6</v>
      </c>
      <c r="B7">
        <v>3909</v>
      </c>
      <c r="C7" t="s">
        <v>13</v>
      </c>
      <c r="D7" t="s">
        <v>11</v>
      </c>
      <c r="E7">
        <v>592</v>
      </c>
    </row>
    <row r="8" spans="1:5" x14ac:dyDescent="0.25">
      <c r="A8">
        <v>7</v>
      </c>
      <c r="B8">
        <v>3828</v>
      </c>
      <c r="C8" t="s">
        <v>14</v>
      </c>
      <c r="D8" t="s">
        <v>15</v>
      </c>
      <c r="E8">
        <v>585</v>
      </c>
    </row>
    <row r="9" spans="1:5" x14ac:dyDescent="0.25">
      <c r="A9">
        <v>8</v>
      </c>
      <c r="B9">
        <v>4159</v>
      </c>
      <c r="C9" t="s">
        <v>16</v>
      </c>
      <c r="D9" t="s">
        <v>11</v>
      </c>
      <c r="E9">
        <v>574</v>
      </c>
    </row>
    <row r="10" spans="1:5" x14ac:dyDescent="0.25">
      <c r="A10">
        <v>9</v>
      </c>
      <c r="B10">
        <v>3436</v>
      </c>
      <c r="C10" t="s">
        <v>17</v>
      </c>
      <c r="D10" t="s">
        <v>18</v>
      </c>
      <c r="E10">
        <v>565</v>
      </c>
    </row>
    <row r="11" spans="1:5" x14ac:dyDescent="0.25">
      <c r="A11">
        <v>10</v>
      </c>
      <c r="B11">
        <v>3721</v>
      </c>
      <c r="C11" t="s">
        <v>20</v>
      </c>
      <c r="D11" t="s">
        <v>15</v>
      </c>
      <c r="E11">
        <v>556</v>
      </c>
    </row>
    <row r="12" spans="1:5" x14ac:dyDescent="0.25">
      <c r="A12">
        <v>11</v>
      </c>
      <c r="B12">
        <v>3767</v>
      </c>
      <c r="C12" t="s">
        <v>23</v>
      </c>
      <c r="D12" t="s">
        <v>24</v>
      </c>
      <c r="E12">
        <v>550</v>
      </c>
    </row>
    <row r="13" spans="1:5" x14ac:dyDescent="0.25">
      <c r="A13">
        <v>12</v>
      </c>
      <c r="B13">
        <v>4176</v>
      </c>
      <c r="C13" t="s">
        <v>19</v>
      </c>
      <c r="D13" t="s">
        <v>11</v>
      </c>
      <c r="E13">
        <v>546</v>
      </c>
    </row>
    <row r="14" spans="1:5" x14ac:dyDescent="0.25">
      <c r="A14">
        <v>13</v>
      </c>
      <c r="B14">
        <v>3915</v>
      </c>
      <c r="C14" t="s">
        <v>25</v>
      </c>
      <c r="D14" t="s">
        <v>6</v>
      </c>
      <c r="E14">
        <v>543</v>
      </c>
    </row>
    <row r="15" spans="1:5" x14ac:dyDescent="0.25">
      <c r="A15">
        <v>14</v>
      </c>
      <c r="B15">
        <v>4048</v>
      </c>
      <c r="C15" t="s">
        <v>21</v>
      </c>
      <c r="D15" t="s">
        <v>11</v>
      </c>
      <c r="E15">
        <v>539</v>
      </c>
    </row>
    <row r="16" spans="1:5" x14ac:dyDescent="0.25">
      <c r="A16">
        <v>15</v>
      </c>
      <c r="B16">
        <v>4274</v>
      </c>
      <c r="C16" t="s">
        <v>22</v>
      </c>
      <c r="D16" t="s">
        <v>15</v>
      </c>
      <c r="E16">
        <v>535</v>
      </c>
    </row>
    <row r="17" spans="1:5" x14ac:dyDescent="0.25">
      <c r="A17">
        <v>16</v>
      </c>
      <c r="B17">
        <v>3433</v>
      </c>
      <c r="C17" t="s">
        <v>26</v>
      </c>
      <c r="D17" t="s">
        <v>18</v>
      </c>
      <c r="E17">
        <v>522</v>
      </c>
    </row>
    <row r="18" spans="1:5" x14ac:dyDescent="0.25">
      <c r="A18">
        <v>17</v>
      </c>
      <c r="B18">
        <v>4101</v>
      </c>
      <c r="C18" t="s">
        <v>27</v>
      </c>
      <c r="D18" t="s">
        <v>11</v>
      </c>
      <c r="E18">
        <v>519</v>
      </c>
    </row>
    <row r="19" spans="1:5" x14ac:dyDescent="0.25">
      <c r="A19">
        <v>18</v>
      </c>
      <c r="B19">
        <v>4047</v>
      </c>
      <c r="C19" t="s">
        <v>28</v>
      </c>
      <c r="D19" t="s">
        <v>11</v>
      </c>
      <c r="E19">
        <v>509</v>
      </c>
    </row>
    <row r="20" spans="1:5" x14ac:dyDescent="0.25">
      <c r="A20">
        <v>19</v>
      </c>
      <c r="B20">
        <v>4579</v>
      </c>
      <c r="C20" t="s">
        <v>30</v>
      </c>
      <c r="D20" t="s">
        <v>11</v>
      </c>
      <c r="E20">
        <v>507</v>
      </c>
    </row>
    <row r="21" spans="1:5" x14ac:dyDescent="0.25">
      <c r="A21">
        <v>20</v>
      </c>
      <c r="B21">
        <v>3720</v>
      </c>
      <c r="C21" t="s">
        <v>29</v>
      </c>
      <c r="D21" t="s">
        <v>15</v>
      </c>
      <c r="E21">
        <v>504</v>
      </c>
    </row>
    <row r="22" spans="1:5" x14ac:dyDescent="0.25">
      <c r="A22">
        <v>21</v>
      </c>
      <c r="B22">
        <v>4273</v>
      </c>
      <c r="C22" t="s">
        <v>32</v>
      </c>
      <c r="D22" t="s">
        <v>15</v>
      </c>
      <c r="E22">
        <v>502</v>
      </c>
    </row>
    <row r="23" spans="1:5" x14ac:dyDescent="0.25">
      <c r="A23">
        <v>22</v>
      </c>
      <c r="B23">
        <v>4709</v>
      </c>
      <c r="C23" t="s">
        <v>33</v>
      </c>
      <c r="D23" t="s">
        <v>34</v>
      </c>
      <c r="E23">
        <v>501</v>
      </c>
    </row>
    <row r="24" spans="1:5" x14ac:dyDescent="0.25">
      <c r="A24">
        <v>22</v>
      </c>
      <c r="B24">
        <v>3770</v>
      </c>
      <c r="C24" t="s">
        <v>35</v>
      </c>
      <c r="D24" t="s">
        <v>24</v>
      </c>
      <c r="E24">
        <v>501</v>
      </c>
    </row>
    <row r="25" spans="1:5" x14ac:dyDescent="0.25">
      <c r="A25">
        <v>24</v>
      </c>
      <c r="B25">
        <v>3826</v>
      </c>
      <c r="C25" t="s">
        <v>31</v>
      </c>
      <c r="D25" t="s">
        <v>6</v>
      </c>
      <c r="E25">
        <v>498</v>
      </c>
    </row>
    <row r="26" spans="1:5" x14ac:dyDescent="0.25">
      <c r="A26">
        <v>25</v>
      </c>
      <c r="B26">
        <v>4100</v>
      </c>
      <c r="C26" t="s">
        <v>36</v>
      </c>
      <c r="D26" t="s">
        <v>11</v>
      </c>
      <c r="E26">
        <v>496</v>
      </c>
    </row>
    <row r="27" spans="1:5" x14ac:dyDescent="0.25">
      <c r="A27">
        <v>26</v>
      </c>
      <c r="B27">
        <v>4104</v>
      </c>
      <c r="C27" t="s">
        <v>37</v>
      </c>
      <c r="D27" t="s">
        <v>15</v>
      </c>
      <c r="E27">
        <v>494</v>
      </c>
    </row>
    <row r="28" spans="1:5" x14ac:dyDescent="0.25">
      <c r="A28">
        <v>27</v>
      </c>
      <c r="B28">
        <v>4175</v>
      </c>
      <c r="C28" t="s">
        <v>19</v>
      </c>
      <c r="D28" t="s">
        <v>11</v>
      </c>
      <c r="E28">
        <v>481</v>
      </c>
    </row>
    <row r="29" spans="1:5" x14ac:dyDescent="0.25">
      <c r="A29">
        <v>28</v>
      </c>
      <c r="B29">
        <v>3654</v>
      </c>
      <c r="C29" t="s">
        <v>40</v>
      </c>
      <c r="D29" t="s">
        <v>24</v>
      </c>
      <c r="E29">
        <v>473</v>
      </c>
    </row>
    <row r="30" spans="1:5" x14ac:dyDescent="0.25">
      <c r="A30">
        <v>29</v>
      </c>
      <c r="B30">
        <v>4099</v>
      </c>
      <c r="C30" t="s">
        <v>38</v>
      </c>
      <c r="D30" t="s">
        <v>34</v>
      </c>
      <c r="E30">
        <v>465</v>
      </c>
    </row>
    <row r="31" spans="1:5" x14ac:dyDescent="0.25">
      <c r="A31">
        <v>29</v>
      </c>
      <c r="B31">
        <v>4275</v>
      </c>
      <c r="C31" t="s">
        <v>45</v>
      </c>
      <c r="D31" t="s">
        <v>11</v>
      </c>
      <c r="E31">
        <v>465</v>
      </c>
    </row>
    <row r="32" spans="1:5" x14ac:dyDescent="0.25">
      <c r="A32">
        <v>31</v>
      </c>
      <c r="B32">
        <v>4097</v>
      </c>
      <c r="C32" t="s">
        <v>39</v>
      </c>
      <c r="D32" t="s">
        <v>18</v>
      </c>
      <c r="E32">
        <v>464</v>
      </c>
    </row>
    <row r="33" spans="1:5" x14ac:dyDescent="0.25">
      <c r="A33">
        <v>32</v>
      </c>
      <c r="B33">
        <v>4310</v>
      </c>
      <c r="C33" t="s">
        <v>41</v>
      </c>
      <c r="D33" t="s">
        <v>42</v>
      </c>
      <c r="E33">
        <v>459</v>
      </c>
    </row>
    <row r="34" spans="1:5" x14ac:dyDescent="0.25">
      <c r="A34">
        <v>33</v>
      </c>
      <c r="B34">
        <v>4721</v>
      </c>
      <c r="C34" t="s">
        <v>43</v>
      </c>
      <c r="D34" t="s">
        <v>8</v>
      </c>
      <c r="E34">
        <v>457</v>
      </c>
    </row>
    <row r="35" spans="1:5" x14ac:dyDescent="0.25">
      <c r="A35">
        <v>34</v>
      </c>
      <c r="B35">
        <v>3823</v>
      </c>
      <c r="C35" t="s">
        <v>44</v>
      </c>
      <c r="D35" t="s">
        <v>34</v>
      </c>
      <c r="E35">
        <v>455</v>
      </c>
    </row>
    <row r="36" spans="1:5" x14ac:dyDescent="0.25">
      <c r="A36">
        <v>35</v>
      </c>
      <c r="B36">
        <v>4160</v>
      </c>
      <c r="C36" t="s">
        <v>49</v>
      </c>
      <c r="D36" t="s">
        <v>50</v>
      </c>
      <c r="E36">
        <v>453</v>
      </c>
    </row>
    <row r="37" spans="1:5" x14ac:dyDescent="0.25">
      <c r="A37">
        <v>36</v>
      </c>
      <c r="B37">
        <v>4320</v>
      </c>
      <c r="C37" t="s">
        <v>51</v>
      </c>
      <c r="D37" t="s">
        <v>8</v>
      </c>
      <c r="E37">
        <v>452</v>
      </c>
    </row>
    <row r="38" spans="1:5" x14ac:dyDescent="0.25">
      <c r="A38">
        <v>36</v>
      </c>
      <c r="B38">
        <v>4235</v>
      </c>
      <c r="C38" t="s">
        <v>53</v>
      </c>
      <c r="D38" t="s">
        <v>54</v>
      </c>
      <c r="E38">
        <v>452</v>
      </c>
    </row>
    <row r="39" spans="1:5" x14ac:dyDescent="0.25">
      <c r="A39">
        <v>38</v>
      </c>
      <c r="B39">
        <v>4692</v>
      </c>
      <c r="C39" t="s">
        <v>55</v>
      </c>
      <c r="D39" t="s">
        <v>24</v>
      </c>
      <c r="E39">
        <v>451</v>
      </c>
    </row>
    <row r="40" spans="1:5" x14ac:dyDescent="0.25">
      <c r="A40">
        <v>39</v>
      </c>
      <c r="B40">
        <v>4306</v>
      </c>
      <c r="C40" t="s">
        <v>46</v>
      </c>
      <c r="D40" t="s">
        <v>42</v>
      </c>
      <c r="E40">
        <v>450</v>
      </c>
    </row>
    <row r="41" spans="1:5" x14ac:dyDescent="0.25">
      <c r="A41">
        <v>40</v>
      </c>
      <c r="B41">
        <v>3031</v>
      </c>
      <c r="C41" t="s">
        <v>58</v>
      </c>
      <c r="D41" t="s">
        <v>8</v>
      </c>
      <c r="E41">
        <v>447</v>
      </c>
    </row>
    <row r="42" spans="1:5" x14ac:dyDescent="0.25">
      <c r="A42">
        <v>41</v>
      </c>
      <c r="B42">
        <v>4782</v>
      </c>
      <c r="C42" t="s">
        <v>59</v>
      </c>
      <c r="D42" t="s">
        <v>54</v>
      </c>
      <c r="E42">
        <v>442</v>
      </c>
    </row>
    <row r="43" spans="1:5" x14ac:dyDescent="0.25">
      <c r="A43">
        <v>41</v>
      </c>
      <c r="B43">
        <v>3907</v>
      </c>
      <c r="C43" t="s">
        <v>62</v>
      </c>
      <c r="D43" t="s">
        <v>8</v>
      </c>
      <c r="E43">
        <v>442</v>
      </c>
    </row>
    <row r="44" spans="1:5" x14ac:dyDescent="0.25">
      <c r="A44">
        <v>43</v>
      </c>
      <c r="B44">
        <v>4308</v>
      </c>
      <c r="C44" t="s">
        <v>47</v>
      </c>
      <c r="D44" t="s">
        <v>42</v>
      </c>
      <c r="E44">
        <v>441</v>
      </c>
    </row>
    <row r="45" spans="1:5" x14ac:dyDescent="0.25">
      <c r="A45">
        <v>43</v>
      </c>
      <c r="B45">
        <v>4526</v>
      </c>
      <c r="C45" t="s">
        <v>48</v>
      </c>
      <c r="D45" t="s">
        <v>15</v>
      </c>
      <c r="E45">
        <v>441</v>
      </c>
    </row>
    <row r="46" spans="1:5" x14ac:dyDescent="0.25">
      <c r="A46">
        <v>45</v>
      </c>
      <c r="B46">
        <v>4213</v>
      </c>
      <c r="C46" t="s">
        <v>52</v>
      </c>
      <c r="D46" t="s">
        <v>34</v>
      </c>
      <c r="E46">
        <v>440</v>
      </c>
    </row>
    <row r="47" spans="1:5" x14ac:dyDescent="0.25">
      <c r="A47">
        <v>45</v>
      </c>
      <c r="B47">
        <v>4304</v>
      </c>
      <c r="C47" t="s">
        <v>56</v>
      </c>
      <c r="D47" t="s">
        <v>42</v>
      </c>
      <c r="E47">
        <v>440</v>
      </c>
    </row>
    <row r="48" spans="1:5" x14ac:dyDescent="0.25">
      <c r="A48">
        <v>45</v>
      </c>
      <c r="B48">
        <v>4309</v>
      </c>
      <c r="C48" t="s">
        <v>57</v>
      </c>
      <c r="D48" t="s">
        <v>42</v>
      </c>
      <c r="E48">
        <v>440</v>
      </c>
    </row>
    <row r="49" spans="1:5" x14ac:dyDescent="0.25">
      <c r="A49">
        <v>48</v>
      </c>
      <c r="B49">
        <v>4278</v>
      </c>
      <c r="C49" t="s">
        <v>142</v>
      </c>
      <c r="D49" t="s">
        <v>8</v>
      </c>
      <c r="E49">
        <v>432</v>
      </c>
    </row>
    <row r="50" spans="1:5" x14ac:dyDescent="0.25">
      <c r="A50">
        <v>48</v>
      </c>
      <c r="B50">
        <v>4470</v>
      </c>
      <c r="C50" t="s">
        <v>147</v>
      </c>
      <c r="D50" t="s">
        <v>11</v>
      </c>
      <c r="E50">
        <v>432</v>
      </c>
    </row>
    <row r="51" spans="1:5" x14ac:dyDescent="0.25">
      <c r="A51">
        <v>50</v>
      </c>
      <c r="B51">
        <v>4257</v>
      </c>
      <c r="C51" t="s">
        <v>60</v>
      </c>
      <c r="D51" t="s">
        <v>61</v>
      </c>
      <c r="E51">
        <v>430</v>
      </c>
    </row>
    <row r="52" spans="1:5" x14ac:dyDescent="0.25">
      <c r="A52">
        <v>50</v>
      </c>
      <c r="B52">
        <v>4535</v>
      </c>
      <c r="C52" t="s">
        <v>63</v>
      </c>
      <c r="D52" t="s">
        <v>18</v>
      </c>
      <c r="E52">
        <v>430</v>
      </c>
    </row>
    <row r="53" spans="1:5" x14ac:dyDescent="0.25">
      <c r="A53">
        <v>52</v>
      </c>
      <c r="B53">
        <v>3056</v>
      </c>
      <c r="C53" t="s">
        <v>64</v>
      </c>
      <c r="D53" t="s">
        <v>65</v>
      </c>
      <c r="E53">
        <v>420</v>
      </c>
    </row>
    <row r="54" spans="1:5" x14ac:dyDescent="0.25">
      <c r="A54">
        <v>52</v>
      </c>
      <c r="B54">
        <v>3115</v>
      </c>
      <c r="C54" t="s">
        <v>66</v>
      </c>
      <c r="D54" t="s">
        <v>15</v>
      </c>
      <c r="E54">
        <v>420</v>
      </c>
    </row>
    <row r="55" spans="1:5" x14ac:dyDescent="0.25">
      <c r="A55">
        <v>52</v>
      </c>
      <c r="B55">
        <v>3495</v>
      </c>
      <c r="C55" t="s">
        <v>67</v>
      </c>
      <c r="D55" t="s">
        <v>68</v>
      </c>
      <c r="E55">
        <v>420</v>
      </c>
    </row>
    <row r="56" spans="1:5" x14ac:dyDescent="0.25">
      <c r="A56">
        <v>52</v>
      </c>
      <c r="B56">
        <v>3561</v>
      </c>
      <c r="C56" t="s">
        <v>69</v>
      </c>
      <c r="D56" t="s">
        <v>65</v>
      </c>
      <c r="E56">
        <v>420</v>
      </c>
    </row>
    <row r="57" spans="1:5" x14ac:dyDescent="0.25">
      <c r="A57">
        <v>52</v>
      </c>
      <c r="B57">
        <v>4214</v>
      </c>
      <c r="C57" t="s">
        <v>70</v>
      </c>
      <c r="D57" t="s">
        <v>24</v>
      </c>
      <c r="E57">
        <v>420</v>
      </c>
    </row>
    <row r="58" spans="1:5" x14ac:dyDescent="0.25">
      <c r="A58">
        <v>52</v>
      </c>
      <c r="B58">
        <v>3348</v>
      </c>
      <c r="C58" t="s">
        <v>71</v>
      </c>
      <c r="D58" t="s">
        <v>18</v>
      </c>
      <c r="E58">
        <v>420</v>
      </c>
    </row>
    <row r="59" spans="1:5" x14ac:dyDescent="0.25">
      <c r="A59">
        <v>52</v>
      </c>
      <c r="B59">
        <v>4229</v>
      </c>
      <c r="C59" t="s">
        <v>72</v>
      </c>
      <c r="D59" t="s">
        <v>54</v>
      </c>
      <c r="E59">
        <v>420</v>
      </c>
    </row>
    <row r="60" spans="1:5" x14ac:dyDescent="0.25">
      <c r="A60">
        <v>52</v>
      </c>
      <c r="B60">
        <v>4178</v>
      </c>
      <c r="C60" t="s">
        <v>73</v>
      </c>
      <c r="D60" t="s">
        <v>11</v>
      </c>
      <c r="E60">
        <v>420</v>
      </c>
    </row>
    <row r="61" spans="1:5" x14ac:dyDescent="0.25">
      <c r="A61">
        <v>52</v>
      </c>
      <c r="B61">
        <v>5100</v>
      </c>
      <c r="C61" t="s">
        <v>74</v>
      </c>
      <c r="D61" t="s">
        <v>54</v>
      </c>
      <c r="E61">
        <v>420</v>
      </c>
    </row>
    <row r="62" spans="1:5" x14ac:dyDescent="0.25">
      <c r="A62">
        <v>52</v>
      </c>
      <c r="B62">
        <v>4230</v>
      </c>
      <c r="C62" t="s">
        <v>75</v>
      </c>
      <c r="D62" t="s">
        <v>54</v>
      </c>
      <c r="E62">
        <v>420</v>
      </c>
    </row>
    <row r="63" spans="1:5" x14ac:dyDescent="0.25">
      <c r="A63">
        <v>52</v>
      </c>
      <c r="B63">
        <v>4393</v>
      </c>
      <c r="C63" t="s">
        <v>76</v>
      </c>
      <c r="D63" t="s">
        <v>42</v>
      </c>
      <c r="E63">
        <v>420</v>
      </c>
    </row>
    <row r="64" spans="1:5" x14ac:dyDescent="0.25">
      <c r="A64">
        <v>52</v>
      </c>
      <c r="B64">
        <v>4428</v>
      </c>
      <c r="C64" t="s">
        <v>77</v>
      </c>
      <c r="D64" t="s">
        <v>8</v>
      </c>
      <c r="E64">
        <v>420</v>
      </c>
    </row>
    <row r="65" spans="1:5" x14ac:dyDescent="0.25">
      <c r="A65">
        <v>52</v>
      </c>
      <c r="B65">
        <v>4383</v>
      </c>
      <c r="C65" t="s">
        <v>78</v>
      </c>
      <c r="D65" t="s">
        <v>15</v>
      </c>
      <c r="E65">
        <v>420</v>
      </c>
    </row>
    <row r="66" spans="1:5" x14ac:dyDescent="0.25">
      <c r="A66">
        <v>52</v>
      </c>
      <c r="B66">
        <v>4356</v>
      </c>
      <c r="C66" t="s">
        <v>79</v>
      </c>
      <c r="D66" t="s">
        <v>80</v>
      </c>
      <c r="E66">
        <v>420</v>
      </c>
    </row>
    <row r="67" spans="1:5" x14ac:dyDescent="0.25">
      <c r="A67">
        <v>52</v>
      </c>
      <c r="B67">
        <v>3762</v>
      </c>
      <c r="C67" t="s">
        <v>81</v>
      </c>
      <c r="D67" t="s">
        <v>34</v>
      </c>
      <c r="E67">
        <v>420</v>
      </c>
    </row>
    <row r="68" spans="1:5" x14ac:dyDescent="0.25">
      <c r="A68">
        <v>52</v>
      </c>
      <c r="B68">
        <v>4109</v>
      </c>
      <c r="C68" t="s">
        <v>82</v>
      </c>
      <c r="D68" t="s">
        <v>34</v>
      </c>
      <c r="E68">
        <v>420</v>
      </c>
    </row>
    <row r="69" spans="1:5" x14ac:dyDescent="0.25">
      <c r="A69">
        <v>52</v>
      </c>
      <c r="B69">
        <v>3641</v>
      </c>
      <c r="C69" t="s">
        <v>83</v>
      </c>
      <c r="D69" t="s">
        <v>8</v>
      </c>
      <c r="E69">
        <v>420</v>
      </c>
    </row>
    <row r="70" spans="1:5" x14ac:dyDescent="0.25">
      <c r="A70">
        <v>52</v>
      </c>
      <c r="B70">
        <v>3910</v>
      </c>
      <c r="C70" t="s">
        <v>84</v>
      </c>
      <c r="D70" t="s">
        <v>42</v>
      </c>
      <c r="E70">
        <v>420</v>
      </c>
    </row>
    <row r="71" spans="1:5" x14ac:dyDescent="0.25">
      <c r="A71">
        <v>52</v>
      </c>
      <c r="B71">
        <v>3911</v>
      </c>
      <c r="C71" t="s">
        <v>85</v>
      </c>
      <c r="D71" t="s">
        <v>42</v>
      </c>
      <c r="E71">
        <v>420</v>
      </c>
    </row>
    <row r="72" spans="1:5" x14ac:dyDescent="0.25">
      <c r="A72">
        <v>52</v>
      </c>
      <c r="B72">
        <v>3917</v>
      </c>
      <c r="C72" t="s">
        <v>86</v>
      </c>
      <c r="D72" t="s">
        <v>87</v>
      </c>
      <c r="E72">
        <v>420</v>
      </c>
    </row>
    <row r="73" spans="1:5" x14ac:dyDescent="0.25">
      <c r="A73">
        <v>52</v>
      </c>
      <c r="B73">
        <v>3421</v>
      </c>
      <c r="C73" t="s">
        <v>88</v>
      </c>
      <c r="D73" t="s">
        <v>6</v>
      </c>
      <c r="E73">
        <v>420</v>
      </c>
    </row>
    <row r="74" spans="1:5" x14ac:dyDescent="0.25">
      <c r="A74">
        <v>52</v>
      </c>
      <c r="B74">
        <v>3428</v>
      </c>
      <c r="C74" t="s">
        <v>89</v>
      </c>
      <c r="D74" t="s">
        <v>8</v>
      </c>
      <c r="E74">
        <v>420</v>
      </c>
    </row>
    <row r="75" spans="1:5" x14ac:dyDescent="0.25">
      <c r="A75">
        <v>52</v>
      </c>
      <c r="B75">
        <v>2942</v>
      </c>
      <c r="C75" t="s">
        <v>90</v>
      </c>
      <c r="D75" t="s">
        <v>18</v>
      </c>
      <c r="E75">
        <v>420</v>
      </c>
    </row>
    <row r="76" spans="1:5" x14ac:dyDescent="0.25">
      <c r="A76">
        <v>52</v>
      </c>
      <c r="B76">
        <v>4234</v>
      </c>
      <c r="C76" t="s">
        <v>91</v>
      </c>
      <c r="D76" t="s">
        <v>54</v>
      </c>
      <c r="E76">
        <v>420</v>
      </c>
    </row>
    <row r="77" spans="1:5" x14ac:dyDescent="0.25">
      <c r="A77">
        <v>52</v>
      </c>
      <c r="B77">
        <v>3727</v>
      </c>
      <c r="C77" t="s">
        <v>92</v>
      </c>
      <c r="D77" t="s">
        <v>93</v>
      </c>
      <c r="E77">
        <v>420</v>
      </c>
    </row>
    <row r="78" spans="1:5" x14ac:dyDescent="0.25">
      <c r="A78">
        <v>52</v>
      </c>
      <c r="B78">
        <v>3743</v>
      </c>
      <c r="C78" t="s">
        <v>94</v>
      </c>
      <c r="D78" t="s">
        <v>95</v>
      </c>
      <c r="E78">
        <v>420</v>
      </c>
    </row>
    <row r="79" spans="1:5" x14ac:dyDescent="0.25">
      <c r="A79">
        <v>52</v>
      </c>
      <c r="B79">
        <v>2988</v>
      </c>
      <c r="C79" t="s">
        <v>96</v>
      </c>
      <c r="D79" t="s">
        <v>11</v>
      </c>
      <c r="E79">
        <v>420</v>
      </c>
    </row>
    <row r="80" spans="1:5" x14ac:dyDescent="0.25">
      <c r="A80">
        <v>52</v>
      </c>
      <c r="B80">
        <v>4012</v>
      </c>
      <c r="C80" t="s">
        <v>97</v>
      </c>
      <c r="D80" t="s">
        <v>11</v>
      </c>
      <c r="E80">
        <v>420</v>
      </c>
    </row>
    <row r="81" spans="1:5" x14ac:dyDescent="0.25">
      <c r="A81">
        <v>52</v>
      </c>
      <c r="B81">
        <v>3757</v>
      </c>
      <c r="C81" t="s">
        <v>98</v>
      </c>
      <c r="D81" t="s">
        <v>18</v>
      </c>
      <c r="E81">
        <v>420</v>
      </c>
    </row>
    <row r="82" spans="1:5" x14ac:dyDescent="0.25">
      <c r="A82">
        <v>52</v>
      </c>
      <c r="B82">
        <v>4013</v>
      </c>
      <c r="C82" t="s">
        <v>99</v>
      </c>
      <c r="D82" t="s">
        <v>11</v>
      </c>
      <c r="E82">
        <v>420</v>
      </c>
    </row>
    <row r="83" spans="1:5" x14ac:dyDescent="0.25">
      <c r="A83">
        <v>52</v>
      </c>
      <c r="B83">
        <v>3763</v>
      </c>
      <c r="C83" t="s">
        <v>100</v>
      </c>
      <c r="D83" t="s">
        <v>34</v>
      </c>
      <c r="E83">
        <v>420</v>
      </c>
    </row>
    <row r="84" spans="1:5" x14ac:dyDescent="0.25">
      <c r="A84">
        <v>52</v>
      </c>
      <c r="B84">
        <v>3765</v>
      </c>
      <c r="C84" t="s">
        <v>101</v>
      </c>
      <c r="D84" t="s">
        <v>34</v>
      </c>
      <c r="E84">
        <v>420</v>
      </c>
    </row>
    <row r="85" spans="1:5" x14ac:dyDescent="0.25">
      <c r="A85">
        <v>52</v>
      </c>
      <c r="B85">
        <v>3773</v>
      </c>
      <c r="C85" t="s">
        <v>102</v>
      </c>
      <c r="D85" t="s">
        <v>93</v>
      </c>
      <c r="E85">
        <v>420</v>
      </c>
    </row>
    <row r="86" spans="1:5" x14ac:dyDescent="0.25">
      <c r="A86">
        <v>52</v>
      </c>
      <c r="B86">
        <v>3548</v>
      </c>
      <c r="C86" t="s">
        <v>103</v>
      </c>
      <c r="D86" t="s">
        <v>34</v>
      </c>
      <c r="E86">
        <v>420</v>
      </c>
    </row>
    <row r="87" spans="1:5" x14ac:dyDescent="0.25">
      <c r="A87">
        <v>52</v>
      </c>
      <c r="B87">
        <v>3550</v>
      </c>
      <c r="C87" t="s">
        <v>104</v>
      </c>
      <c r="D87" t="s">
        <v>105</v>
      </c>
      <c r="E87">
        <v>420</v>
      </c>
    </row>
    <row r="88" spans="1:5" x14ac:dyDescent="0.25">
      <c r="A88">
        <v>52</v>
      </c>
      <c r="B88">
        <v>3551</v>
      </c>
      <c r="C88" t="s">
        <v>106</v>
      </c>
      <c r="D88" t="s">
        <v>107</v>
      </c>
      <c r="E88">
        <v>420</v>
      </c>
    </row>
    <row r="89" spans="1:5" x14ac:dyDescent="0.25">
      <c r="A89">
        <v>52</v>
      </c>
      <c r="B89">
        <v>3815</v>
      </c>
      <c r="C89" t="s">
        <v>108</v>
      </c>
      <c r="D89" t="s">
        <v>93</v>
      </c>
      <c r="E89">
        <v>420</v>
      </c>
    </row>
    <row r="90" spans="1:5" x14ac:dyDescent="0.25">
      <c r="A90">
        <v>52</v>
      </c>
      <c r="B90">
        <v>4091</v>
      </c>
      <c r="C90" t="s">
        <v>109</v>
      </c>
      <c r="D90" t="s">
        <v>110</v>
      </c>
      <c r="E90">
        <v>420</v>
      </c>
    </row>
    <row r="91" spans="1:5" x14ac:dyDescent="0.25">
      <c r="A91">
        <v>52</v>
      </c>
      <c r="B91">
        <v>3264</v>
      </c>
      <c r="C91" t="s">
        <v>111</v>
      </c>
      <c r="D91" t="s">
        <v>6</v>
      </c>
      <c r="E91">
        <v>420</v>
      </c>
    </row>
    <row r="92" spans="1:5" x14ac:dyDescent="0.25">
      <c r="A92">
        <v>52</v>
      </c>
      <c r="B92">
        <v>2518</v>
      </c>
      <c r="C92" t="s">
        <v>112</v>
      </c>
      <c r="D92" t="s">
        <v>8</v>
      </c>
      <c r="E92">
        <v>420</v>
      </c>
    </row>
    <row r="93" spans="1:5" x14ac:dyDescent="0.25">
      <c r="A93">
        <v>52</v>
      </c>
      <c r="B93">
        <v>3716</v>
      </c>
      <c r="C93" t="s">
        <v>113</v>
      </c>
      <c r="D93" t="s">
        <v>6</v>
      </c>
      <c r="E93">
        <v>420</v>
      </c>
    </row>
    <row r="94" spans="1:5" x14ac:dyDescent="0.25">
      <c r="A94">
        <v>52</v>
      </c>
      <c r="B94">
        <v>3496</v>
      </c>
      <c r="C94" t="s">
        <v>114</v>
      </c>
      <c r="D94" t="s">
        <v>68</v>
      </c>
      <c r="E94">
        <v>420</v>
      </c>
    </row>
    <row r="95" spans="1:5" x14ac:dyDescent="0.25">
      <c r="A95">
        <v>52</v>
      </c>
      <c r="B95">
        <v>3032</v>
      </c>
      <c r="C95" t="s">
        <v>115</v>
      </c>
      <c r="D95" t="s">
        <v>116</v>
      </c>
      <c r="E95">
        <v>420</v>
      </c>
    </row>
    <row r="96" spans="1:5" x14ac:dyDescent="0.25">
      <c r="A96">
        <v>52</v>
      </c>
      <c r="B96">
        <v>3552</v>
      </c>
      <c r="C96" t="s">
        <v>117</v>
      </c>
      <c r="D96" t="s">
        <v>105</v>
      </c>
      <c r="E96">
        <v>420</v>
      </c>
    </row>
    <row r="97" spans="1:5" x14ac:dyDescent="0.25">
      <c r="A97">
        <v>52</v>
      </c>
      <c r="B97">
        <v>3912</v>
      </c>
      <c r="C97" t="s">
        <v>118</v>
      </c>
      <c r="D97" t="s">
        <v>34</v>
      </c>
      <c r="E97">
        <v>420</v>
      </c>
    </row>
    <row r="98" spans="1:5" x14ac:dyDescent="0.25">
      <c r="A98">
        <v>52</v>
      </c>
      <c r="B98">
        <v>4183</v>
      </c>
      <c r="C98" t="s">
        <v>119</v>
      </c>
      <c r="D98" t="s">
        <v>120</v>
      </c>
      <c r="E98">
        <v>420</v>
      </c>
    </row>
    <row r="99" spans="1:5" x14ac:dyDescent="0.25">
      <c r="A99">
        <v>52</v>
      </c>
      <c r="B99">
        <v>4380</v>
      </c>
      <c r="C99" t="s">
        <v>121</v>
      </c>
      <c r="D99" t="s">
        <v>15</v>
      </c>
      <c r="E99">
        <v>420</v>
      </c>
    </row>
    <row r="100" spans="1:5" x14ac:dyDescent="0.25">
      <c r="A100">
        <v>52</v>
      </c>
      <c r="B100">
        <v>4212</v>
      </c>
      <c r="C100" t="s">
        <v>122</v>
      </c>
      <c r="D100" t="s">
        <v>24</v>
      </c>
      <c r="E100">
        <v>420</v>
      </c>
    </row>
    <row r="101" spans="1:5" x14ac:dyDescent="0.25">
      <c r="A101">
        <v>52</v>
      </c>
      <c r="B101">
        <v>4179</v>
      </c>
      <c r="C101" t="s">
        <v>123</v>
      </c>
      <c r="D101" t="s">
        <v>11</v>
      </c>
      <c r="E101">
        <v>420</v>
      </c>
    </row>
    <row r="102" spans="1:5" x14ac:dyDescent="0.25">
      <c r="A102">
        <v>52</v>
      </c>
      <c r="B102">
        <v>4161</v>
      </c>
      <c r="C102" t="s">
        <v>124</v>
      </c>
      <c r="D102" t="s">
        <v>54</v>
      </c>
      <c r="E102">
        <v>420</v>
      </c>
    </row>
    <row r="103" spans="1:5" x14ac:dyDescent="0.25">
      <c r="A103">
        <v>52</v>
      </c>
      <c r="B103">
        <v>4106</v>
      </c>
      <c r="C103" t="s">
        <v>125</v>
      </c>
      <c r="D103" t="s">
        <v>68</v>
      </c>
      <c r="E103">
        <v>420</v>
      </c>
    </row>
    <row r="104" spans="1:5" x14ac:dyDescent="0.25">
      <c r="A104">
        <v>52</v>
      </c>
      <c r="B104">
        <v>4094</v>
      </c>
      <c r="C104" t="s">
        <v>126</v>
      </c>
      <c r="D104" t="s">
        <v>110</v>
      </c>
      <c r="E104">
        <v>420</v>
      </c>
    </row>
    <row r="105" spans="1:5" x14ac:dyDescent="0.25">
      <c r="A105">
        <v>52</v>
      </c>
      <c r="B105">
        <v>4011</v>
      </c>
      <c r="C105" t="s">
        <v>127</v>
      </c>
      <c r="D105" t="s">
        <v>116</v>
      </c>
      <c r="E105">
        <v>420</v>
      </c>
    </row>
    <row r="106" spans="1:5" x14ac:dyDescent="0.25">
      <c r="A106">
        <v>52</v>
      </c>
      <c r="B106">
        <v>3916</v>
      </c>
      <c r="C106" t="s">
        <v>128</v>
      </c>
      <c r="D106" t="s">
        <v>65</v>
      </c>
      <c r="E106">
        <v>420</v>
      </c>
    </row>
    <row r="107" spans="1:5" x14ac:dyDescent="0.25">
      <c r="A107">
        <v>52</v>
      </c>
      <c r="B107">
        <v>3888</v>
      </c>
      <c r="C107" t="s">
        <v>129</v>
      </c>
      <c r="D107" t="s">
        <v>15</v>
      </c>
      <c r="E107">
        <v>420</v>
      </c>
    </row>
    <row r="108" spans="1:5" x14ac:dyDescent="0.25">
      <c r="A108">
        <v>52</v>
      </c>
      <c r="B108">
        <v>3865</v>
      </c>
      <c r="C108" t="s">
        <v>130</v>
      </c>
      <c r="D108" t="s">
        <v>116</v>
      </c>
      <c r="E108">
        <v>420</v>
      </c>
    </row>
    <row r="109" spans="1:5" x14ac:dyDescent="0.25">
      <c r="A109">
        <v>52</v>
      </c>
      <c r="B109">
        <v>3864</v>
      </c>
      <c r="C109" t="s">
        <v>131</v>
      </c>
      <c r="D109" t="s">
        <v>15</v>
      </c>
      <c r="E109">
        <v>420</v>
      </c>
    </row>
    <row r="110" spans="1:5" x14ac:dyDescent="0.25">
      <c r="A110">
        <v>52</v>
      </c>
      <c r="B110">
        <v>3830</v>
      </c>
      <c r="C110" t="s">
        <v>132</v>
      </c>
      <c r="D110" t="s">
        <v>15</v>
      </c>
      <c r="E110">
        <v>420</v>
      </c>
    </row>
    <row r="111" spans="1:5" x14ac:dyDescent="0.25">
      <c r="A111">
        <v>52</v>
      </c>
      <c r="B111">
        <v>3829</v>
      </c>
      <c r="C111" t="s">
        <v>133</v>
      </c>
      <c r="D111" t="s">
        <v>15</v>
      </c>
      <c r="E111">
        <v>420</v>
      </c>
    </row>
    <row r="112" spans="1:5" x14ac:dyDescent="0.25">
      <c r="A112">
        <v>52</v>
      </c>
      <c r="B112">
        <v>3772</v>
      </c>
      <c r="C112" t="s">
        <v>134</v>
      </c>
      <c r="D112" t="s">
        <v>65</v>
      </c>
      <c r="E112">
        <v>420</v>
      </c>
    </row>
    <row r="113" spans="1:5" x14ac:dyDescent="0.25">
      <c r="A113">
        <v>52</v>
      </c>
      <c r="B113">
        <v>3771</v>
      </c>
      <c r="C113" t="s">
        <v>135</v>
      </c>
      <c r="D113" t="s">
        <v>116</v>
      </c>
      <c r="E113">
        <v>420</v>
      </c>
    </row>
    <row r="114" spans="1:5" x14ac:dyDescent="0.25">
      <c r="A114">
        <v>52</v>
      </c>
      <c r="B114">
        <v>3768</v>
      </c>
      <c r="C114" t="s">
        <v>136</v>
      </c>
      <c r="D114" t="s">
        <v>24</v>
      </c>
      <c r="E114">
        <v>420</v>
      </c>
    </row>
    <row r="115" spans="1:5" x14ac:dyDescent="0.25">
      <c r="A115">
        <v>52</v>
      </c>
      <c r="B115">
        <v>3549</v>
      </c>
      <c r="C115" t="s">
        <v>137</v>
      </c>
      <c r="D115" t="s">
        <v>34</v>
      </c>
      <c r="E115">
        <v>420</v>
      </c>
    </row>
    <row r="116" spans="1:5" x14ac:dyDescent="0.25">
      <c r="A116">
        <v>52</v>
      </c>
      <c r="B116">
        <v>3494</v>
      </c>
      <c r="C116" t="s">
        <v>138</v>
      </c>
      <c r="D116" t="s">
        <v>6</v>
      </c>
      <c r="E116">
        <v>420</v>
      </c>
    </row>
    <row r="117" spans="1:5" x14ac:dyDescent="0.25">
      <c r="A117">
        <v>52</v>
      </c>
      <c r="B117">
        <v>3431</v>
      </c>
      <c r="C117" t="s">
        <v>139</v>
      </c>
      <c r="D117" t="s">
        <v>11</v>
      </c>
      <c r="E117">
        <v>420</v>
      </c>
    </row>
    <row r="118" spans="1:5" x14ac:dyDescent="0.25">
      <c r="A118">
        <v>52</v>
      </c>
      <c r="B118">
        <v>3427</v>
      </c>
      <c r="C118" t="s">
        <v>140</v>
      </c>
      <c r="D118" t="s">
        <v>11</v>
      </c>
      <c r="E118">
        <v>420</v>
      </c>
    </row>
    <row r="119" spans="1:5" x14ac:dyDescent="0.25">
      <c r="A119">
        <v>52</v>
      </c>
      <c r="B119">
        <v>3759</v>
      </c>
      <c r="C119" t="s">
        <v>141</v>
      </c>
      <c r="D119" t="s">
        <v>8</v>
      </c>
      <c r="E119">
        <v>420</v>
      </c>
    </row>
    <row r="120" spans="1:5" x14ac:dyDescent="0.25">
      <c r="A120">
        <v>52</v>
      </c>
      <c r="B120">
        <v>4164</v>
      </c>
      <c r="C120" t="s">
        <v>143</v>
      </c>
      <c r="D120" t="s">
        <v>24</v>
      </c>
      <c r="E120">
        <v>420</v>
      </c>
    </row>
    <row r="121" spans="1:5" x14ac:dyDescent="0.25">
      <c r="A121">
        <v>52</v>
      </c>
      <c r="B121">
        <v>4462</v>
      </c>
      <c r="C121" t="s">
        <v>144</v>
      </c>
      <c r="D121" t="s">
        <v>11</v>
      </c>
      <c r="E121">
        <v>420</v>
      </c>
    </row>
    <row r="122" spans="1:5" x14ac:dyDescent="0.25">
      <c r="A122">
        <v>52</v>
      </c>
      <c r="B122">
        <v>4390</v>
      </c>
      <c r="C122" t="s">
        <v>145</v>
      </c>
      <c r="D122" t="s">
        <v>54</v>
      </c>
      <c r="E122">
        <v>420</v>
      </c>
    </row>
    <row r="123" spans="1:5" x14ac:dyDescent="0.25">
      <c r="A123">
        <v>52</v>
      </c>
      <c r="B123">
        <v>4433</v>
      </c>
      <c r="C123" t="s">
        <v>146</v>
      </c>
      <c r="D123" t="s">
        <v>8</v>
      </c>
      <c r="E123">
        <v>420</v>
      </c>
    </row>
    <row r="124" spans="1:5" x14ac:dyDescent="0.25">
      <c r="A124">
        <v>52</v>
      </c>
      <c r="B124">
        <v>4436</v>
      </c>
      <c r="C124" t="s">
        <v>148</v>
      </c>
      <c r="D124" t="s">
        <v>149</v>
      </c>
      <c r="E124">
        <v>420</v>
      </c>
    </row>
    <row r="125" spans="1:5" x14ac:dyDescent="0.25">
      <c r="A125">
        <v>52</v>
      </c>
      <c r="B125">
        <v>4303</v>
      </c>
      <c r="C125" t="s">
        <v>150</v>
      </c>
      <c r="D125" t="s">
        <v>42</v>
      </c>
      <c r="E125">
        <v>420</v>
      </c>
    </row>
    <row r="126" spans="1:5" x14ac:dyDescent="0.25">
      <c r="A126">
        <v>52</v>
      </c>
      <c r="B126">
        <v>4317</v>
      </c>
      <c r="C126" t="s">
        <v>151</v>
      </c>
      <c r="D126" t="s">
        <v>54</v>
      </c>
      <c r="E126">
        <v>420</v>
      </c>
    </row>
    <row r="127" spans="1:5" x14ac:dyDescent="0.25">
      <c r="A127">
        <v>52</v>
      </c>
      <c r="B127">
        <v>3430</v>
      </c>
      <c r="C127" t="s">
        <v>152</v>
      </c>
      <c r="D127" t="s">
        <v>11</v>
      </c>
      <c r="E127">
        <v>420</v>
      </c>
    </row>
    <row r="128" spans="1:5" x14ac:dyDescent="0.25">
      <c r="A128">
        <v>52</v>
      </c>
      <c r="B128">
        <v>4279</v>
      </c>
      <c r="C128" t="s">
        <v>153</v>
      </c>
      <c r="D128" t="s">
        <v>54</v>
      </c>
      <c r="E128">
        <v>420</v>
      </c>
    </row>
    <row r="129" spans="1:5" x14ac:dyDescent="0.25">
      <c r="A129">
        <v>52</v>
      </c>
      <c r="B129">
        <v>4093</v>
      </c>
      <c r="C129" t="s">
        <v>154</v>
      </c>
      <c r="D129" t="s">
        <v>110</v>
      </c>
      <c r="E129">
        <v>420</v>
      </c>
    </row>
    <row r="130" spans="1:5" x14ac:dyDescent="0.25">
      <c r="A130">
        <v>52</v>
      </c>
      <c r="B130">
        <v>3868</v>
      </c>
      <c r="C130" t="s">
        <v>155</v>
      </c>
      <c r="D130" t="s">
        <v>8</v>
      </c>
      <c r="E130">
        <v>420</v>
      </c>
    </row>
    <row r="131" spans="1:5" x14ac:dyDescent="0.25">
      <c r="A131">
        <v>52</v>
      </c>
      <c r="B131">
        <v>3827</v>
      </c>
      <c r="C131" t="s">
        <v>156</v>
      </c>
      <c r="D131" t="s">
        <v>68</v>
      </c>
      <c r="E131">
        <v>420</v>
      </c>
    </row>
    <row r="132" spans="1:5" x14ac:dyDescent="0.25">
      <c r="A132">
        <v>52</v>
      </c>
      <c r="B132">
        <v>3758</v>
      </c>
      <c r="C132" t="s">
        <v>157</v>
      </c>
      <c r="D132" t="s">
        <v>80</v>
      </c>
      <c r="E132">
        <v>420</v>
      </c>
    </row>
    <row r="133" spans="1:5" x14ac:dyDescent="0.25">
      <c r="A133">
        <v>52</v>
      </c>
      <c r="B133">
        <v>3425</v>
      </c>
      <c r="C133" t="s">
        <v>158</v>
      </c>
      <c r="D133" t="s">
        <v>8</v>
      </c>
      <c r="E133">
        <v>420</v>
      </c>
    </row>
    <row r="134" spans="1:5" x14ac:dyDescent="0.25">
      <c r="A134">
        <v>52</v>
      </c>
      <c r="B134">
        <v>4574</v>
      </c>
      <c r="C134" t="s">
        <v>159</v>
      </c>
      <c r="D134" t="s">
        <v>24</v>
      </c>
      <c r="E134">
        <v>420</v>
      </c>
    </row>
    <row r="135" spans="1:5" x14ac:dyDescent="0.25">
      <c r="A135">
        <v>52</v>
      </c>
      <c r="B135">
        <v>4580</v>
      </c>
      <c r="C135" t="s">
        <v>30</v>
      </c>
      <c r="D135" t="s">
        <v>11</v>
      </c>
      <c r="E135">
        <v>420</v>
      </c>
    </row>
    <row r="136" spans="1:5" x14ac:dyDescent="0.25">
      <c r="A136">
        <v>52</v>
      </c>
      <c r="B136">
        <v>4601</v>
      </c>
      <c r="C136" t="s">
        <v>160</v>
      </c>
      <c r="D136" t="s">
        <v>15</v>
      </c>
      <c r="E136">
        <v>420</v>
      </c>
    </row>
    <row r="137" spans="1:5" x14ac:dyDescent="0.25">
      <c r="A137">
        <v>52</v>
      </c>
      <c r="B137">
        <v>4673</v>
      </c>
      <c r="C137" t="s">
        <v>161</v>
      </c>
      <c r="D137" t="s">
        <v>120</v>
      </c>
      <c r="E137">
        <v>420</v>
      </c>
    </row>
    <row r="138" spans="1:5" x14ac:dyDescent="0.25">
      <c r="A138">
        <v>52</v>
      </c>
      <c r="B138">
        <v>4191</v>
      </c>
      <c r="C138" t="s">
        <v>162</v>
      </c>
      <c r="D138" t="s">
        <v>6</v>
      </c>
      <c r="E138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3A98-BDFE-4127-B4BD-28550699735F}">
  <sheetPr>
    <pageSetUpPr fitToPage="1"/>
  </sheetPr>
  <dimension ref="A4:Q35"/>
  <sheetViews>
    <sheetView topLeftCell="A17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6.42578125" style="1" bestFit="1" customWidth="1"/>
    <col min="5" max="5" width="10.710937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179" t="s">
        <v>163</v>
      </c>
      <c r="M5" s="179"/>
    </row>
    <row r="6" spans="1:17" ht="26.25" customHeight="1" x14ac:dyDescent="0.25">
      <c r="L6" s="180"/>
      <c r="M6" s="180"/>
    </row>
    <row r="7" spans="1:17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7" ht="26.25" customHeight="1" x14ac:dyDescent="0.35">
      <c r="C8" s="4"/>
      <c r="D8" s="3"/>
      <c r="L8" s="180"/>
      <c r="M8" s="180"/>
    </row>
    <row r="9" spans="1:17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1</v>
      </c>
      <c r="G9" s="7" t="s">
        <v>167</v>
      </c>
      <c r="H9" s="7"/>
      <c r="I9" s="7"/>
      <c r="J9" s="10"/>
      <c r="O9" s="184"/>
      <c r="P9" s="184"/>
      <c r="Q9" s="184"/>
    </row>
    <row r="10" spans="1:17" ht="21" customHeight="1" x14ac:dyDescent="0.25">
      <c r="O10" s="184"/>
      <c r="P10" s="184"/>
      <c r="Q10" s="184"/>
    </row>
    <row r="11" spans="1:17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7" ht="21" customHeight="1" thickBot="1" x14ac:dyDescent="0.3">
      <c r="A12" s="1">
        <f>F9+0.1</f>
        <v>1.1000000000000001</v>
      </c>
      <c r="B12" s="14">
        <v>1</v>
      </c>
      <c r="C12" s="15">
        <v>3498</v>
      </c>
      <c r="D12" s="16" t="s">
        <v>7</v>
      </c>
      <c r="E12" s="17" t="s">
        <v>8</v>
      </c>
      <c r="F12" s="18">
        <v>694</v>
      </c>
      <c r="G12" s="19">
        <v>1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1.2</v>
      </c>
      <c r="B13" s="14">
        <v>2</v>
      </c>
      <c r="C13" s="21">
        <v>4100</v>
      </c>
      <c r="D13" s="22" t="s">
        <v>36</v>
      </c>
      <c r="E13" s="23" t="s">
        <v>11</v>
      </c>
      <c r="F13" s="24">
        <v>496</v>
      </c>
      <c r="G13" s="25">
        <v>25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1.3</v>
      </c>
      <c r="B14" s="14">
        <v>3</v>
      </c>
      <c r="C14" s="26">
        <v>4160</v>
      </c>
      <c r="D14" s="27" t="s">
        <v>49</v>
      </c>
      <c r="E14" s="28" t="s">
        <v>50</v>
      </c>
      <c r="F14" s="29">
        <v>461</v>
      </c>
      <c r="G14" s="30">
        <v>35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JAYDELINNE SHANNEY BAKER CRAWFORD</v>
      </c>
      <c r="E18" s="12">
        <v>12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VALENTINA CARMONA CONTRERAS</v>
      </c>
      <c r="E19" s="46">
        <v>10</v>
      </c>
      <c r="F19" s="47">
        <v>4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JAYDELINNE SHANNEY BAKER CRAWFORD</v>
      </c>
      <c r="E20" s="12">
        <v>11</v>
      </c>
      <c r="F20" s="38">
        <v>11</v>
      </c>
      <c r="G20" s="38"/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BRENDA HERRERA RIVAS</v>
      </c>
      <c r="E21" s="46">
        <v>6</v>
      </c>
      <c r="F21" s="47">
        <v>7</v>
      </c>
      <c r="G21" s="47"/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BRENDA HERRERA RIVAS</v>
      </c>
      <c r="E22" s="46">
        <v>8</v>
      </c>
      <c r="F22" s="47">
        <v>11</v>
      </c>
      <c r="G22" s="47">
        <v>11</v>
      </c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VALENTINA CARMONA CONTRERAS</v>
      </c>
      <c r="E23" s="48">
        <v>11</v>
      </c>
      <c r="F23" s="43">
        <v>9</v>
      </c>
      <c r="G23" s="43">
        <v>7</v>
      </c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3498</v>
      </c>
      <c r="D34" s="56" t="s">
        <v>7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4100</v>
      </c>
      <c r="D35" s="56" t="s">
        <v>36</v>
      </c>
      <c r="F35" s="168" t="s">
        <v>187</v>
      </c>
      <c r="G35" s="169"/>
      <c r="H35" s="169"/>
      <c r="I35" s="170"/>
      <c r="J35" s="58"/>
    </row>
  </sheetData>
  <mergeCells count="16">
    <mergeCell ref="L5:M8"/>
    <mergeCell ref="O9:Q10"/>
    <mergeCell ref="B18:B19"/>
    <mergeCell ref="J18:J19"/>
    <mergeCell ref="B20:B21"/>
    <mergeCell ref="J20:J21"/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4BC0-4A57-4CD4-AE8E-6B9075912F6B}">
  <sheetPr>
    <pageSetUpPr fitToPage="1"/>
  </sheetPr>
  <dimension ref="A4:M35"/>
  <sheetViews>
    <sheetView topLeftCell="A17" zoomScale="115" zoomScaleNormal="115" workbookViewId="0">
      <selection activeCell="AV1" sqref="AV1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6.855468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79" t="s">
        <v>163</v>
      </c>
      <c r="M5" s="179"/>
    </row>
    <row r="6" spans="1:13" ht="26.25" customHeight="1" x14ac:dyDescent="0.25">
      <c r="L6" s="180"/>
      <c r="M6" s="180"/>
    </row>
    <row r="7" spans="1:13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3" ht="26.25" customHeight="1" x14ac:dyDescent="0.35">
      <c r="C8" s="4"/>
      <c r="D8" s="3"/>
      <c r="L8" s="180"/>
      <c r="M8" s="180"/>
    </row>
    <row r="9" spans="1:13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2</v>
      </c>
      <c r="G9" s="7" t="s">
        <v>167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3" ht="21" customHeight="1" thickBot="1" x14ac:dyDescent="0.3">
      <c r="A12" s="1">
        <f>F9+0.1</f>
        <v>2.1</v>
      </c>
      <c r="B12" s="14">
        <v>1</v>
      </c>
      <c r="C12" s="15">
        <v>3717</v>
      </c>
      <c r="D12" s="16" t="s">
        <v>5</v>
      </c>
      <c r="E12" s="17" t="s">
        <v>6</v>
      </c>
      <c r="F12" s="18">
        <v>672</v>
      </c>
      <c r="G12" s="19">
        <v>2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2.2000000000000002</v>
      </c>
      <c r="B13" s="14">
        <v>2</v>
      </c>
      <c r="C13" s="21">
        <v>4047</v>
      </c>
      <c r="D13" s="22" t="s">
        <v>28</v>
      </c>
      <c r="E13" s="23" t="s">
        <v>11</v>
      </c>
      <c r="F13" s="24">
        <v>498</v>
      </c>
      <c r="G13" s="25">
        <v>24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2.2999999999999998</v>
      </c>
      <c r="B14" s="14">
        <v>3</v>
      </c>
      <c r="C14" s="26">
        <v>3654</v>
      </c>
      <c r="D14" s="27" t="s">
        <v>40</v>
      </c>
      <c r="E14" s="28" t="s">
        <v>24</v>
      </c>
      <c r="F14" s="29">
        <v>481</v>
      </c>
      <c r="G14" s="30">
        <v>29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AMANDA JIMÉNEZ MORAGA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VALERIA VENEGAS GOMEZ</v>
      </c>
      <c r="E19" s="46">
        <v>3</v>
      </c>
      <c r="F19" s="47">
        <v>4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AMANDA JIMÉNEZ MORAGA</v>
      </c>
      <c r="E20" s="12">
        <v>11</v>
      </c>
      <c r="F20" s="38">
        <v>11</v>
      </c>
      <c r="G20" s="38"/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MARIANGEL JIMENEZ QUESADA</v>
      </c>
      <c r="E21" s="46">
        <v>4</v>
      </c>
      <c r="F21" s="47">
        <v>5</v>
      </c>
      <c r="G21" s="47"/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MARIANGEL JIMENEZ QUESADA</v>
      </c>
      <c r="E22" s="46">
        <v>11</v>
      </c>
      <c r="F22" s="47">
        <v>7</v>
      </c>
      <c r="G22" s="47">
        <v>11</v>
      </c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VALERIA VENEGAS GOMEZ</v>
      </c>
      <c r="E23" s="48">
        <v>3</v>
      </c>
      <c r="F23" s="43">
        <v>11</v>
      </c>
      <c r="G23" s="43">
        <v>3</v>
      </c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3717</v>
      </c>
      <c r="D34" s="56" t="s">
        <v>5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4047</v>
      </c>
      <c r="D35" s="56" t="s">
        <v>28</v>
      </c>
      <c r="F35" s="168" t="s">
        <v>187</v>
      </c>
      <c r="G35" s="169"/>
      <c r="H35" s="169"/>
      <c r="I35" s="170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EA92-9B32-475F-B902-DB8847FE7273}">
  <sheetPr>
    <pageSetUpPr fitToPage="1"/>
  </sheetPr>
  <dimension ref="A4:M35"/>
  <sheetViews>
    <sheetView topLeftCell="A20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7.28515625" style="1" bestFit="1" customWidth="1"/>
    <col min="5" max="5" width="14.5703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79" t="s">
        <v>163</v>
      </c>
      <c r="M5" s="179"/>
    </row>
    <row r="6" spans="1:13" ht="26.25" customHeight="1" x14ac:dyDescent="0.25">
      <c r="L6" s="180"/>
      <c r="M6" s="180"/>
    </row>
    <row r="7" spans="1:13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3" ht="26.25" customHeight="1" x14ac:dyDescent="0.35">
      <c r="C8" s="4"/>
      <c r="D8" s="3"/>
      <c r="L8" s="180"/>
      <c r="M8" s="180"/>
    </row>
    <row r="9" spans="1:13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3</v>
      </c>
      <c r="G9" s="7" t="s">
        <v>167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3" ht="21" customHeight="1" thickBot="1" x14ac:dyDescent="0.3">
      <c r="A12" s="1">
        <f>F9+0.1</f>
        <v>3.1</v>
      </c>
      <c r="B12" s="14">
        <v>1</v>
      </c>
      <c r="C12" s="15">
        <v>3918</v>
      </c>
      <c r="D12" s="16" t="s">
        <v>10</v>
      </c>
      <c r="E12" s="17" t="s">
        <v>11</v>
      </c>
      <c r="F12" s="18">
        <v>607</v>
      </c>
      <c r="G12" s="19">
        <v>3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3.2</v>
      </c>
      <c r="B13" s="14">
        <v>2</v>
      </c>
      <c r="C13" s="21">
        <v>3770</v>
      </c>
      <c r="D13" s="22" t="s">
        <v>35</v>
      </c>
      <c r="E13" s="23" t="s">
        <v>24</v>
      </c>
      <c r="F13" s="24">
        <v>501</v>
      </c>
      <c r="G13" s="25">
        <v>22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3.3</v>
      </c>
      <c r="B14" s="14">
        <v>3</v>
      </c>
      <c r="C14" s="26">
        <v>4235</v>
      </c>
      <c r="D14" s="27" t="s">
        <v>53</v>
      </c>
      <c r="E14" s="28" t="s">
        <v>54</v>
      </c>
      <c r="F14" s="29">
        <v>460</v>
      </c>
      <c r="G14" s="30">
        <v>39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MARIANA SOTO CALDERON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MARIA CELESTE MENA CHACON</v>
      </c>
      <c r="E19" s="46">
        <v>2</v>
      </c>
      <c r="F19" s="47">
        <v>9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MARIANA SOTO CALDERON</v>
      </c>
      <c r="E20" s="12">
        <v>13</v>
      </c>
      <c r="F20" s="38">
        <v>11</v>
      </c>
      <c r="G20" s="38"/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MARIANA RIVERA TORRES</v>
      </c>
      <c r="E21" s="46">
        <v>11</v>
      </c>
      <c r="F21" s="47">
        <v>9</v>
      </c>
      <c r="G21" s="47"/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MARIANA RIVERA TORRES</v>
      </c>
      <c r="E22" s="46">
        <v>11</v>
      </c>
      <c r="F22" s="47">
        <v>11</v>
      </c>
      <c r="G22" s="47"/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MARIA CELESTE MENA CHACON</v>
      </c>
      <c r="E23" s="48">
        <v>5</v>
      </c>
      <c r="F23" s="43">
        <v>7</v>
      </c>
      <c r="G23" s="43"/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3918</v>
      </c>
      <c r="D34" s="56" t="s">
        <v>10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3770</v>
      </c>
      <c r="D35" s="56" t="s">
        <v>35</v>
      </c>
      <c r="F35" s="168" t="s">
        <v>187</v>
      </c>
      <c r="G35" s="169"/>
      <c r="H35" s="169"/>
      <c r="I35" s="170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63F2-8E63-47D5-9E52-3954178660F9}">
  <sheetPr>
    <pageSetUpPr fitToPage="1"/>
  </sheetPr>
  <dimension ref="A4:M35"/>
  <sheetViews>
    <sheetView topLeftCell="A15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2.2851562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79" t="s">
        <v>163</v>
      </c>
      <c r="M5" s="179"/>
    </row>
    <row r="6" spans="1:13" ht="26.25" customHeight="1" x14ac:dyDescent="0.25">
      <c r="L6" s="180"/>
      <c r="M6" s="180"/>
    </row>
    <row r="7" spans="1:13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3" ht="26.25" customHeight="1" x14ac:dyDescent="0.35">
      <c r="C8" s="4"/>
      <c r="D8" s="3"/>
      <c r="L8" s="180"/>
      <c r="M8" s="180"/>
    </row>
    <row r="9" spans="1:13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4</v>
      </c>
      <c r="G9" s="7" t="s">
        <v>167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3" ht="21" customHeight="1" thickBot="1" x14ac:dyDescent="0.3">
      <c r="A12" s="1">
        <f>F9+0.1</f>
        <v>4.0999999999999996</v>
      </c>
      <c r="B12" s="14">
        <v>1</v>
      </c>
      <c r="C12" s="15">
        <v>3756</v>
      </c>
      <c r="D12" s="16" t="s">
        <v>9</v>
      </c>
      <c r="E12" s="17" t="s">
        <v>6</v>
      </c>
      <c r="F12" s="18">
        <v>602</v>
      </c>
      <c r="G12" s="19">
        <v>4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4.2</v>
      </c>
      <c r="B13" s="14">
        <v>2</v>
      </c>
      <c r="C13" s="21">
        <v>4104</v>
      </c>
      <c r="D13" s="22" t="s">
        <v>37</v>
      </c>
      <c r="E13" s="23" t="s">
        <v>15</v>
      </c>
      <c r="F13" s="24">
        <v>503</v>
      </c>
      <c r="G13" s="25">
        <v>19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4.3</v>
      </c>
      <c r="B14" s="14">
        <v>3</v>
      </c>
      <c r="C14" s="26">
        <v>4579</v>
      </c>
      <c r="D14" s="27" t="s">
        <v>30</v>
      </c>
      <c r="E14" s="28" t="s">
        <v>11</v>
      </c>
      <c r="F14" s="29">
        <v>493</v>
      </c>
      <c r="G14" s="30">
        <v>26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SAMGHI DANIELA YAN WU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EMMA GIOCONDA BERTARIONI ARAYA</v>
      </c>
      <c r="E19" s="46">
        <v>4</v>
      </c>
      <c r="F19" s="47">
        <v>9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SAMGHI DANIELA YAN WU</v>
      </c>
      <c r="E20" s="12">
        <v>12</v>
      </c>
      <c r="F20" s="38">
        <v>11</v>
      </c>
      <c r="G20" s="38"/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ARIANA SANCHEZ DELGADO</v>
      </c>
      <c r="E21" s="46">
        <v>10</v>
      </c>
      <c r="F21" s="47">
        <v>8</v>
      </c>
      <c r="G21" s="47"/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ARIANA SANCHEZ DELGADO</v>
      </c>
      <c r="E22" s="46">
        <v>7</v>
      </c>
      <c r="F22" s="47">
        <v>9</v>
      </c>
      <c r="G22" s="47"/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EMMA GIOCONDA BERTARIONI ARAYA</v>
      </c>
      <c r="E23" s="48">
        <v>11</v>
      </c>
      <c r="F23" s="43">
        <v>11</v>
      </c>
      <c r="G23" s="43"/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3756</v>
      </c>
      <c r="D34" s="56" t="s">
        <v>9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4579</v>
      </c>
      <c r="D35" s="56" t="s">
        <v>30</v>
      </c>
      <c r="F35" s="168" t="s">
        <v>187</v>
      </c>
      <c r="G35" s="169"/>
      <c r="H35" s="169"/>
      <c r="I35" s="170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B293-F773-4BB3-B23F-09D130089DF3}">
  <sheetPr>
    <pageSetUpPr fitToPage="1"/>
  </sheetPr>
  <dimension ref="A4:M35"/>
  <sheetViews>
    <sheetView topLeftCell="A20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7.7109375" style="1" bestFit="1" customWidth="1"/>
    <col min="5" max="5" width="10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79" t="s">
        <v>163</v>
      </c>
      <c r="M5" s="179"/>
    </row>
    <row r="6" spans="1:13" ht="26.25" customHeight="1" x14ac:dyDescent="0.25">
      <c r="L6" s="180"/>
      <c r="M6" s="180"/>
    </row>
    <row r="7" spans="1:13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3" ht="26.25" customHeight="1" x14ac:dyDescent="0.35">
      <c r="C8" s="4"/>
      <c r="D8" s="3"/>
      <c r="L8" s="180"/>
      <c r="M8" s="180"/>
    </row>
    <row r="9" spans="1:13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5</v>
      </c>
      <c r="G9" s="7" t="s">
        <v>167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3" ht="21" customHeight="1" thickBot="1" x14ac:dyDescent="0.3">
      <c r="A12" s="1">
        <f>F9+0.1</f>
        <v>5.0999999999999996</v>
      </c>
      <c r="B12" s="14">
        <v>1</v>
      </c>
      <c r="C12" s="15">
        <v>3423</v>
      </c>
      <c r="D12" s="16" t="s">
        <v>12</v>
      </c>
      <c r="E12" s="17" t="s">
        <v>11</v>
      </c>
      <c r="F12" s="18">
        <v>570</v>
      </c>
      <c r="G12" s="19">
        <v>5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5.2</v>
      </c>
      <c r="B13" s="14">
        <v>2</v>
      </c>
      <c r="C13" s="21">
        <v>4273</v>
      </c>
      <c r="D13" s="22" t="s">
        <v>32</v>
      </c>
      <c r="E13" s="23" t="s">
        <v>15</v>
      </c>
      <c r="F13" s="24">
        <v>503</v>
      </c>
      <c r="G13" s="25">
        <v>20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5.3</v>
      </c>
      <c r="B14" s="14">
        <v>3</v>
      </c>
      <c r="C14" s="26">
        <v>4320</v>
      </c>
      <c r="D14" s="27" t="s">
        <v>51</v>
      </c>
      <c r="E14" s="28" t="s">
        <v>8</v>
      </c>
      <c r="F14" s="29">
        <v>460</v>
      </c>
      <c r="G14" s="30">
        <v>38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KIANY MARTINEZ JIMENEZ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KATHERINE FLUTSCH ESPINOZA</v>
      </c>
      <c r="E19" s="46">
        <v>2</v>
      </c>
      <c r="F19" s="47">
        <v>5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KIANY MARTINEZ JIMENEZ</v>
      </c>
      <c r="E20" s="12">
        <v>11</v>
      </c>
      <c r="F20" s="38">
        <v>11</v>
      </c>
      <c r="G20" s="38"/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JAQUELINE HERNÁNDEZ ZUÑIGA</v>
      </c>
      <c r="E21" s="46">
        <v>6</v>
      </c>
      <c r="F21" s="47">
        <v>7</v>
      </c>
      <c r="G21" s="47"/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JAQUELINE HERNÁNDEZ ZUÑIGA</v>
      </c>
      <c r="E22" s="46">
        <v>11</v>
      </c>
      <c r="F22" s="47">
        <v>11</v>
      </c>
      <c r="G22" s="47"/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KATHERINE FLUTSCH ESPINOZA</v>
      </c>
      <c r="E23" s="48">
        <v>4</v>
      </c>
      <c r="F23" s="43">
        <v>4</v>
      </c>
      <c r="G23" s="43"/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3423</v>
      </c>
      <c r="D34" s="56" t="s">
        <v>12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4273</v>
      </c>
      <c r="D35" s="56" t="s">
        <v>32</v>
      </c>
      <c r="F35" s="168" t="s">
        <v>187</v>
      </c>
      <c r="G35" s="169"/>
      <c r="H35" s="169"/>
      <c r="I35" s="170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6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7A64-0F53-4136-ABEA-CB0367F64FF8}">
  <sheetPr>
    <pageSetUpPr fitToPage="1"/>
  </sheetPr>
  <dimension ref="A4:M35"/>
  <sheetViews>
    <sheetView topLeftCell="A16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5.140625" style="1" bestFit="1" customWidth="1"/>
    <col min="5" max="5" width="16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79" t="s">
        <v>163</v>
      </c>
      <c r="M5" s="179"/>
    </row>
    <row r="6" spans="1:13" ht="26.25" customHeight="1" x14ac:dyDescent="0.25">
      <c r="L6" s="180"/>
      <c r="M6" s="180"/>
    </row>
    <row r="7" spans="1:13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3" ht="26.25" customHeight="1" x14ac:dyDescent="0.35">
      <c r="C8" s="4"/>
      <c r="D8" s="3"/>
      <c r="L8" s="180"/>
      <c r="M8" s="180"/>
    </row>
    <row r="9" spans="1:13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6</v>
      </c>
      <c r="G9" s="7" t="s">
        <v>167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3" ht="21" customHeight="1" thickBot="1" x14ac:dyDescent="0.3">
      <c r="A12" s="1">
        <f>F9+0.1</f>
        <v>6.1</v>
      </c>
      <c r="B12" s="14">
        <v>1</v>
      </c>
      <c r="C12" s="15">
        <v>3828</v>
      </c>
      <c r="D12" s="16" t="s">
        <v>14</v>
      </c>
      <c r="E12" s="17" t="s">
        <v>15</v>
      </c>
      <c r="F12" s="18">
        <v>568</v>
      </c>
      <c r="G12" s="19">
        <v>6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6.2</v>
      </c>
      <c r="B13" s="14">
        <v>2</v>
      </c>
      <c r="C13" s="21">
        <v>4709</v>
      </c>
      <c r="D13" s="22" t="s">
        <v>33</v>
      </c>
      <c r="E13" s="23" t="s">
        <v>34</v>
      </c>
      <c r="F13" s="24">
        <v>502</v>
      </c>
      <c r="G13" s="25">
        <v>21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6.3</v>
      </c>
      <c r="B14" s="14">
        <v>3</v>
      </c>
      <c r="C14" s="26">
        <v>4275</v>
      </c>
      <c r="D14" s="27" t="s">
        <v>45</v>
      </c>
      <c r="E14" s="28" t="s">
        <v>11</v>
      </c>
      <c r="F14" s="29">
        <v>474</v>
      </c>
      <c r="G14" s="30">
        <v>33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AMANDA CHEN CEN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CLARISSA MORA JIMÉNEZ</v>
      </c>
      <c r="E19" s="46">
        <v>8</v>
      </c>
      <c r="F19" s="47">
        <v>7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AMANDA CHEN CEN</v>
      </c>
      <c r="E20" s="12">
        <v>11</v>
      </c>
      <c r="F20" s="38">
        <v>11</v>
      </c>
      <c r="G20" s="38">
        <v>11</v>
      </c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RENATA NARANJO DIAZ</v>
      </c>
      <c r="E21" s="46">
        <v>13</v>
      </c>
      <c r="F21" s="47">
        <v>7</v>
      </c>
      <c r="G21" s="47">
        <v>3</v>
      </c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RENATA NARANJO DIAZ</v>
      </c>
      <c r="E22" s="46">
        <v>11</v>
      </c>
      <c r="F22" s="47">
        <v>6</v>
      </c>
      <c r="G22" s="47">
        <v>11</v>
      </c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CLARISSA MORA JIMÉNEZ</v>
      </c>
      <c r="E23" s="48">
        <v>7</v>
      </c>
      <c r="F23" s="43">
        <v>11</v>
      </c>
      <c r="G23" s="43">
        <v>8</v>
      </c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3828</v>
      </c>
      <c r="D34" s="56" t="s">
        <v>14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4709</v>
      </c>
      <c r="D35" s="56" t="s">
        <v>33</v>
      </c>
      <c r="F35" s="168" t="s">
        <v>187</v>
      </c>
      <c r="G35" s="169"/>
      <c r="H35" s="169"/>
      <c r="I35" s="170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DB13-50CB-469D-A303-CBC31F932812}">
  <sheetPr>
    <pageSetUpPr fitToPage="1"/>
  </sheetPr>
  <dimension ref="A4:M35"/>
  <sheetViews>
    <sheetView topLeftCell="A16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5.14062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79" t="s">
        <v>163</v>
      </c>
      <c r="M5" s="179"/>
    </row>
    <row r="6" spans="1:13" ht="26.25" customHeight="1" x14ac:dyDescent="0.25">
      <c r="L6" s="180"/>
      <c r="M6" s="180"/>
    </row>
    <row r="7" spans="1:13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3" ht="26.25" customHeight="1" x14ac:dyDescent="0.35">
      <c r="C8" s="4"/>
      <c r="D8" s="3"/>
      <c r="L8" s="180"/>
      <c r="M8" s="180"/>
    </row>
    <row r="9" spans="1:13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7</v>
      </c>
      <c r="G9" s="7" t="s">
        <v>167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3" ht="21" customHeight="1" thickBot="1" x14ac:dyDescent="0.3">
      <c r="A12" s="1">
        <f>F9+0.1</f>
        <v>7.1</v>
      </c>
      <c r="B12" s="14">
        <v>1</v>
      </c>
      <c r="C12" s="15">
        <v>3909</v>
      </c>
      <c r="D12" s="16" t="s">
        <v>13</v>
      </c>
      <c r="E12" s="17" t="s">
        <v>11</v>
      </c>
      <c r="F12" s="18">
        <v>560</v>
      </c>
      <c r="G12" s="19">
        <v>7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7.2</v>
      </c>
      <c r="B13" s="14">
        <v>2</v>
      </c>
      <c r="C13" s="21">
        <v>3720</v>
      </c>
      <c r="D13" s="22" t="s">
        <v>29</v>
      </c>
      <c r="E13" s="23" t="s">
        <v>15</v>
      </c>
      <c r="F13" s="24">
        <v>505</v>
      </c>
      <c r="G13" s="25">
        <v>18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7.3</v>
      </c>
      <c r="B14" s="14">
        <v>3</v>
      </c>
      <c r="C14" s="26">
        <v>4692</v>
      </c>
      <c r="D14" s="27" t="s">
        <v>55</v>
      </c>
      <c r="E14" s="28" t="s">
        <v>24</v>
      </c>
      <c r="F14" s="29">
        <v>460</v>
      </c>
      <c r="G14" s="30">
        <v>40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GALILEA MUÑOZ CORDOBA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SOFÍA CALDERÓN DELGADO</v>
      </c>
      <c r="E19" s="46">
        <v>0</v>
      </c>
      <c r="F19" s="47">
        <v>4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GALILEA MUÑOZ CORDOBA</v>
      </c>
      <c r="E20" s="12">
        <v>9</v>
      </c>
      <c r="F20" s="38">
        <v>11</v>
      </c>
      <c r="G20" s="38">
        <v>11</v>
      </c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YU LEI CHEN CEN</v>
      </c>
      <c r="E21" s="46">
        <v>11</v>
      </c>
      <c r="F21" s="47">
        <v>6</v>
      </c>
      <c r="G21" s="47">
        <v>2</v>
      </c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YU LEI CHEN CEN</v>
      </c>
      <c r="E22" s="46">
        <v>11</v>
      </c>
      <c r="F22" s="47">
        <v>11</v>
      </c>
      <c r="G22" s="47"/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SOFÍA CALDERÓN DELGADO</v>
      </c>
      <c r="E23" s="48">
        <v>5</v>
      </c>
      <c r="F23" s="43">
        <v>0</v>
      </c>
      <c r="G23" s="43"/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3909</v>
      </c>
      <c r="D34" s="56" t="s">
        <v>13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3720</v>
      </c>
      <c r="D35" s="56" t="s">
        <v>29</v>
      </c>
      <c r="F35" s="168" t="s">
        <v>187</v>
      </c>
      <c r="G35" s="169"/>
      <c r="H35" s="169"/>
      <c r="I35" s="170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8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0A42-98ED-4921-832A-45C3A3412F95}">
  <sheetPr>
    <pageSetUpPr fitToPage="1"/>
  </sheetPr>
  <dimension ref="A4:M35"/>
  <sheetViews>
    <sheetView topLeftCell="A13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9.71093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79" t="s">
        <v>163</v>
      </c>
      <c r="M5" s="179"/>
    </row>
    <row r="6" spans="1:13" ht="26.25" customHeight="1" x14ac:dyDescent="0.25">
      <c r="L6" s="180"/>
      <c r="M6" s="180"/>
    </row>
    <row r="7" spans="1:13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3" ht="26.25" customHeight="1" x14ac:dyDescent="0.35">
      <c r="C8" s="4"/>
      <c r="D8" s="3"/>
      <c r="L8" s="180"/>
      <c r="M8" s="180"/>
    </row>
    <row r="9" spans="1:13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8</v>
      </c>
      <c r="G9" s="7" t="s">
        <v>167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3" ht="21" customHeight="1" thickBot="1" x14ac:dyDescent="0.3">
      <c r="A12" s="1">
        <f>F9+0.1</f>
        <v>8.1</v>
      </c>
      <c r="B12" s="14">
        <v>1</v>
      </c>
      <c r="C12" s="15">
        <v>4274</v>
      </c>
      <c r="D12" s="16" t="s">
        <v>22</v>
      </c>
      <c r="E12" s="17" t="s">
        <v>15</v>
      </c>
      <c r="F12" s="18">
        <v>539</v>
      </c>
      <c r="G12" s="19">
        <v>8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8.1999999999999993</v>
      </c>
      <c r="B13" s="14">
        <v>2</v>
      </c>
      <c r="C13" s="21">
        <v>3436</v>
      </c>
      <c r="D13" s="22" t="s">
        <v>17</v>
      </c>
      <c r="E13" s="23" t="s">
        <v>18</v>
      </c>
      <c r="F13" s="24">
        <v>512</v>
      </c>
      <c r="G13" s="25">
        <v>17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8.3000000000000007</v>
      </c>
      <c r="B14" s="14">
        <v>3</v>
      </c>
      <c r="C14" s="26">
        <v>4470</v>
      </c>
      <c r="D14" s="27" t="s">
        <v>147</v>
      </c>
      <c r="E14" s="28" t="s">
        <v>11</v>
      </c>
      <c r="F14" s="29">
        <v>440</v>
      </c>
      <c r="G14" s="30">
        <v>50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MARÍA PAULA HERNÁNDEZ ZÚÑIGA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MARIPAZ VALVERDE VARELA</v>
      </c>
      <c r="E19" s="46">
        <v>0</v>
      </c>
      <c r="F19" s="47">
        <v>0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MARÍA PAULA HERNÁNDEZ ZÚÑIGA</v>
      </c>
      <c r="E20" s="12">
        <v>5</v>
      </c>
      <c r="F20" s="38">
        <v>9</v>
      </c>
      <c r="G20" s="38"/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NOEMI SOFIA MATARRITA CAMPOS</v>
      </c>
      <c r="E21" s="46">
        <v>11</v>
      </c>
      <c r="F21" s="47">
        <v>11</v>
      </c>
      <c r="G21" s="47"/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NOEMI SOFIA MATARRITA CAMPOS</v>
      </c>
      <c r="E22" s="46">
        <v>11</v>
      </c>
      <c r="F22" s="47">
        <v>11</v>
      </c>
      <c r="G22" s="47"/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MARIPAZ VALVERDE VARELA</v>
      </c>
      <c r="E23" s="48">
        <v>0</v>
      </c>
      <c r="F23" s="43">
        <v>0</v>
      </c>
      <c r="G23" s="43"/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3436</v>
      </c>
      <c r="D34" s="56" t="s">
        <v>17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4274</v>
      </c>
      <c r="D35" s="56" t="s">
        <v>22</v>
      </c>
      <c r="F35" s="168" t="s">
        <v>187</v>
      </c>
      <c r="G35" s="169"/>
      <c r="H35" s="169"/>
      <c r="I35" s="170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1F61-2C30-46F0-9830-1B8066750A80}">
  <sheetPr>
    <pageSetUpPr fitToPage="1"/>
  </sheetPr>
  <dimension ref="A4:Q35"/>
  <sheetViews>
    <sheetView topLeftCell="A14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2.7109375" style="1" bestFit="1" customWidth="1"/>
    <col min="5" max="5" width="14.2851562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179" t="s">
        <v>163</v>
      </c>
      <c r="M5" s="179"/>
    </row>
    <row r="6" spans="1:17" ht="26.25" customHeight="1" x14ac:dyDescent="0.25">
      <c r="L6" s="180"/>
      <c r="M6" s="180"/>
    </row>
    <row r="7" spans="1:17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7" ht="26.25" customHeight="1" x14ac:dyDescent="0.35">
      <c r="C8" s="4"/>
      <c r="D8" s="3"/>
      <c r="L8" s="180"/>
      <c r="M8" s="180"/>
    </row>
    <row r="9" spans="1:17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9</v>
      </c>
      <c r="G9" s="7" t="s">
        <v>167</v>
      </c>
      <c r="H9" s="7"/>
      <c r="I9" s="7"/>
      <c r="J9" s="10"/>
      <c r="O9" s="184"/>
      <c r="P9" s="184"/>
      <c r="Q9" s="184"/>
    </row>
    <row r="10" spans="1:17" ht="21" customHeight="1" x14ac:dyDescent="0.25">
      <c r="O10" s="184"/>
      <c r="P10" s="184"/>
      <c r="Q10" s="184"/>
    </row>
    <row r="11" spans="1:17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7" ht="21" customHeight="1" thickBot="1" x14ac:dyDescent="0.3">
      <c r="A12" s="1">
        <f>F9+0.1</f>
        <v>9.1</v>
      </c>
      <c r="B12" s="14">
        <v>1</v>
      </c>
      <c r="C12" s="15">
        <v>4159</v>
      </c>
      <c r="D12" s="16" t="s">
        <v>16</v>
      </c>
      <c r="E12" s="17" t="s">
        <v>11</v>
      </c>
      <c r="F12" s="18">
        <v>539</v>
      </c>
      <c r="G12" s="19">
        <v>9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9.1999999999999993</v>
      </c>
      <c r="B13" s="14">
        <v>2</v>
      </c>
      <c r="C13" s="21">
        <v>3433</v>
      </c>
      <c r="D13" s="22" t="s">
        <v>26</v>
      </c>
      <c r="E13" s="23" t="s">
        <v>18</v>
      </c>
      <c r="F13" s="24">
        <v>516</v>
      </c>
      <c r="G13" s="25">
        <v>16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9.3000000000000007</v>
      </c>
      <c r="B14" s="14">
        <v>3</v>
      </c>
      <c r="C14" s="26">
        <v>4782</v>
      </c>
      <c r="D14" s="27" t="s">
        <v>59</v>
      </c>
      <c r="E14" s="28" t="s">
        <v>54</v>
      </c>
      <c r="F14" s="29">
        <v>450</v>
      </c>
      <c r="G14" s="30">
        <v>45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MARÍA FERNANDA ZELEDÓN HERRERA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VALERIA RUIZ GOMEZ</v>
      </c>
      <c r="E19" s="46">
        <v>5</v>
      </c>
      <c r="F19" s="47">
        <v>3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MARÍA FERNANDA ZELEDÓN HERRERA</v>
      </c>
      <c r="E20" s="12">
        <v>11</v>
      </c>
      <c r="F20" s="38">
        <v>11</v>
      </c>
      <c r="G20" s="38"/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MARIA CELESTE MOLINA PACHECO</v>
      </c>
      <c r="E21" s="46">
        <v>7</v>
      </c>
      <c r="F21" s="47">
        <v>6</v>
      </c>
      <c r="G21" s="47"/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MARIA CELESTE MOLINA PACHECO</v>
      </c>
      <c r="E22" s="46">
        <v>11</v>
      </c>
      <c r="F22" s="47">
        <v>11</v>
      </c>
      <c r="G22" s="47"/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VALERIA RUIZ GOMEZ</v>
      </c>
      <c r="E23" s="48">
        <v>6</v>
      </c>
      <c r="F23" s="43">
        <v>8</v>
      </c>
      <c r="G23" s="43"/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4159</v>
      </c>
      <c r="D34" s="56" t="s">
        <v>16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3433</v>
      </c>
      <c r="D35" s="56" t="s">
        <v>26</v>
      </c>
      <c r="F35" s="168" t="s">
        <v>187</v>
      </c>
      <c r="G35" s="169"/>
      <c r="H35" s="169"/>
      <c r="I35" s="170"/>
      <c r="J35" s="58"/>
    </row>
  </sheetData>
  <mergeCells count="16">
    <mergeCell ref="L5:M8"/>
    <mergeCell ref="O9:Q10"/>
    <mergeCell ref="B18:B19"/>
    <mergeCell ref="J18:J19"/>
    <mergeCell ref="B20:B21"/>
    <mergeCell ref="J20:J21"/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F671-D66B-4BF1-9F2F-2091DBDAE98A}">
  <sheetPr>
    <pageSetUpPr fitToPage="1"/>
  </sheetPr>
  <dimension ref="A4:M35"/>
  <sheetViews>
    <sheetView topLeftCell="A14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5.14062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79" t="s">
        <v>163</v>
      </c>
      <c r="M5" s="179"/>
    </row>
    <row r="6" spans="1:13" ht="26.25" customHeight="1" x14ac:dyDescent="0.25">
      <c r="L6" s="180"/>
      <c r="M6" s="180"/>
    </row>
    <row r="7" spans="1:13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3" ht="26.25" customHeight="1" x14ac:dyDescent="0.35">
      <c r="C8" s="4"/>
      <c r="D8" s="3"/>
      <c r="L8" s="180"/>
      <c r="M8" s="180"/>
    </row>
    <row r="9" spans="1:13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10</v>
      </c>
      <c r="G9" s="7" t="s">
        <v>167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3" ht="21" customHeight="1" thickBot="1" x14ac:dyDescent="0.3">
      <c r="A12" s="1">
        <f>F9+0.1</f>
        <v>10.1</v>
      </c>
      <c r="B12" s="14">
        <v>1</v>
      </c>
      <c r="C12" s="15">
        <v>3721</v>
      </c>
      <c r="D12" s="16" t="s">
        <v>20</v>
      </c>
      <c r="E12" s="17" t="s">
        <v>15</v>
      </c>
      <c r="F12" s="18">
        <v>537</v>
      </c>
      <c r="G12" s="19">
        <v>10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10.199999999999999</v>
      </c>
      <c r="B13" s="14">
        <v>2</v>
      </c>
      <c r="C13" s="21">
        <v>4176</v>
      </c>
      <c r="D13" s="22" t="s">
        <v>19</v>
      </c>
      <c r="E13" s="23" t="s">
        <v>11</v>
      </c>
      <c r="F13" s="24">
        <v>520</v>
      </c>
      <c r="G13" s="25">
        <v>15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10.3</v>
      </c>
      <c r="B14" s="14">
        <v>3</v>
      </c>
      <c r="C14" s="26">
        <v>3907</v>
      </c>
      <c r="D14" s="27" t="s">
        <v>62</v>
      </c>
      <c r="E14" s="28" t="s">
        <v>8</v>
      </c>
      <c r="F14" s="29">
        <v>450</v>
      </c>
      <c r="G14" s="30">
        <v>46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YU BEI CHEN CEN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LUCIANA CASCANTE BARBOZA</v>
      </c>
      <c r="E19" s="46">
        <v>2</v>
      </c>
      <c r="F19" s="47">
        <v>3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YU BEI CHEN CEN</v>
      </c>
      <c r="E20" s="12">
        <v>7</v>
      </c>
      <c r="F20" s="38">
        <v>11</v>
      </c>
      <c r="G20" s="38">
        <v>11</v>
      </c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LÍA SOFÍA SOLÍS VÁSQUEZ</v>
      </c>
      <c r="E21" s="46">
        <v>11</v>
      </c>
      <c r="F21" s="47">
        <v>5</v>
      </c>
      <c r="G21" s="47">
        <v>8</v>
      </c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LÍA SOFÍA SOLÍS VÁSQUEZ</v>
      </c>
      <c r="E22" s="46">
        <v>11</v>
      </c>
      <c r="F22" s="47">
        <v>11</v>
      </c>
      <c r="G22" s="47"/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LUCIANA CASCANTE BARBOZA</v>
      </c>
      <c r="E23" s="48">
        <v>4</v>
      </c>
      <c r="F23" s="43">
        <v>4</v>
      </c>
      <c r="G23" s="43"/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3721</v>
      </c>
      <c r="D34" s="56" t="s">
        <v>20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4176</v>
      </c>
      <c r="D35" s="56" t="s">
        <v>19</v>
      </c>
      <c r="F35" s="168" t="s">
        <v>187</v>
      </c>
      <c r="G35" s="169"/>
      <c r="H35" s="169"/>
      <c r="I35" s="170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8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81AF-ED08-4A51-A5EC-9D59C2E5849B}">
  <sheetPr>
    <pageSetUpPr fitToPage="1"/>
  </sheetPr>
  <dimension ref="A4:M35"/>
  <sheetViews>
    <sheetView topLeftCell="A15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29.71093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79" t="s">
        <v>163</v>
      </c>
      <c r="M5" s="179"/>
    </row>
    <row r="6" spans="1:13" ht="26.25" customHeight="1" x14ac:dyDescent="0.25">
      <c r="L6" s="180"/>
      <c r="M6" s="180"/>
    </row>
    <row r="7" spans="1:13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3" ht="26.25" customHeight="1" x14ac:dyDescent="0.35">
      <c r="C8" s="4"/>
      <c r="D8" s="3"/>
      <c r="L8" s="180"/>
      <c r="M8" s="180"/>
    </row>
    <row r="9" spans="1:13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11</v>
      </c>
      <c r="G9" s="7" t="s">
        <v>167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3" ht="21" customHeight="1" thickBot="1" x14ac:dyDescent="0.3">
      <c r="A12" s="1">
        <f>F9+0.1</f>
        <v>11.1</v>
      </c>
      <c r="B12" s="14">
        <v>1</v>
      </c>
      <c r="C12" s="15">
        <v>3915</v>
      </c>
      <c r="D12" s="16" t="s">
        <v>25</v>
      </c>
      <c r="E12" s="17" t="s">
        <v>6</v>
      </c>
      <c r="F12" s="18">
        <v>534</v>
      </c>
      <c r="G12" s="19">
        <v>11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11.2</v>
      </c>
      <c r="B13" s="14">
        <v>2</v>
      </c>
      <c r="C13" s="21">
        <v>4101</v>
      </c>
      <c r="D13" s="22" t="s">
        <v>27</v>
      </c>
      <c r="E13" s="23" t="s">
        <v>11</v>
      </c>
      <c r="F13" s="24">
        <v>523</v>
      </c>
      <c r="G13" s="25">
        <v>14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11.3</v>
      </c>
      <c r="B14" s="14">
        <v>3</v>
      </c>
      <c r="C14" s="26">
        <v>4278</v>
      </c>
      <c r="D14" s="27" t="s">
        <v>304</v>
      </c>
      <c r="E14" s="28" t="s">
        <v>8</v>
      </c>
      <c r="F14" s="29">
        <v>440</v>
      </c>
      <c r="G14" s="30">
        <v>49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FIORELLA HERNANDEZ LASCAREZ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EMA MELISSA ANGULO CRUZ</v>
      </c>
      <c r="E19" s="46">
        <v>7</v>
      </c>
      <c r="F19" s="47">
        <v>9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FIORELLA HERNANDEZ LASCAREZ</v>
      </c>
      <c r="E20" s="12">
        <v>7</v>
      </c>
      <c r="F20" s="38">
        <v>14</v>
      </c>
      <c r="G20" s="38">
        <v>17</v>
      </c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ABIGAIL QUIROS BALTODANO</v>
      </c>
      <c r="E21" s="46">
        <v>11</v>
      </c>
      <c r="F21" s="47">
        <v>12</v>
      </c>
      <c r="G21" s="47">
        <v>15</v>
      </c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ABIGAIL QUIROS BALTODANO</v>
      </c>
      <c r="E22" s="46">
        <v>5</v>
      </c>
      <c r="F22" s="47">
        <v>11</v>
      </c>
      <c r="G22" s="47">
        <v>11</v>
      </c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EMA MELISSA ANGULO CRUZ</v>
      </c>
      <c r="E23" s="48">
        <v>11</v>
      </c>
      <c r="F23" s="43">
        <v>6</v>
      </c>
      <c r="G23" s="43">
        <v>8</v>
      </c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3915</v>
      </c>
      <c r="D34" s="56" t="s">
        <v>25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4101</v>
      </c>
      <c r="D35" s="56" t="s">
        <v>27</v>
      </c>
      <c r="F35" s="168" t="s">
        <v>187</v>
      </c>
      <c r="G35" s="169"/>
      <c r="H35" s="169"/>
      <c r="I35" s="170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93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4510-037D-4E51-B5E4-FFCF0614EEB7}">
  <sheetPr>
    <pageSetUpPr fitToPage="1"/>
  </sheetPr>
  <dimension ref="A4:Q35"/>
  <sheetViews>
    <sheetView topLeftCell="A20" zoomScale="115" zoomScaleNormal="115" workbookViewId="0">
      <selection activeCell="AV1" sqref="AV1:BJ70"/>
    </sheetView>
  </sheetViews>
  <sheetFormatPr defaultColWidth="9.140625" defaultRowHeight="15" x14ac:dyDescent="0.25"/>
  <cols>
    <col min="1" max="1" width="4" style="1" bestFit="1" customWidth="1"/>
    <col min="2" max="2" width="11.42578125" style="1" bestFit="1" customWidth="1"/>
    <col min="3" max="3" width="7.85546875" style="2" bestFit="1" customWidth="1"/>
    <col min="4" max="4" width="32.7109375" style="1" bestFit="1" customWidth="1"/>
    <col min="5" max="5" width="14.2851562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179" t="s">
        <v>163</v>
      </c>
      <c r="M5" s="179"/>
    </row>
    <row r="6" spans="1:17" ht="26.25" customHeight="1" x14ac:dyDescent="0.25">
      <c r="L6" s="180"/>
      <c r="M6" s="180"/>
    </row>
    <row r="7" spans="1:17" ht="26.25" customHeight="1" x14ac:dyDescent="0.35">
      <c r="C7" s="4"/>
      <c r="D7" s="3"/>
      <c r="G7" s="3" t="s">
        <v>164</v>
      </c>
      <c r="H7" s="3"/>
      <c r="I7" s="3"/>
      <c r="J7" s="5">
        <f ca="1">TODAY()</f>
        <v>46313</v>
      </c>
      <c r="L7" s="180"/>
      <c r="M7" s="180"/>
    </row>
    <row r="8" spans="1:17" ht="26.25" customHeight="1" x14ac:dyDescent="0.35">
      <c r="C8" s="4"/>
      <c r="D8" s="3"/>
      <c r="L8" s="180"/>
      <c r="M8" s="180"/>
    </row>
    <row r="9" spans="1:17" s="6" customFormat="1" ht="21" customHeight="1" x14ac:dyDescent="0.25">
      <c r="B9" s="7" t="s">
        <v>165</v>
      </c>
      <c r="C9" s="8"/>
      <c r="D9" s="9" t="s">
        <v>223</v>
      </c>
      <c r="E9" s="7" t="s">
        <v>166</v>
      </c>
      <c r="F9" s="9">
        <v>12</v>
      </c>
      <c r="G9" s="7" t="s">
        <v>167</v>
      </c>
      <c r="H9" s="7"/>
      <c r="I9" s="7"/>
      <c r="J9" s="10"/>
      <c r="O9" s="184"/>
      <c r="P9" s="184"/>
      <c r="Q9" s="184"/>
    </row>
    <row r="10" spans="1:17" ht="21" customHeight="1" x14ac:dyDescent="0.25">
      <c r="O10" s="184"/>
      <c r="P10" s="184"/>
      <c r="Q10" s="184"/>
    </row>
    <row r="11" spans="1:17" ht="21" customHeight="1" thickBot="1" x14ac:dyDescent="0.3">
      <c r="B11" s="11" t="s">
        <v>168</v>
      </c>
      <c r="C11" s="12" t="s">
        <v>169</v>
      </c>
      <c r="D11" s="11" t="s">
        <v>170</v>
      </c>
      <c r="E11" s="11" t="s">
        <v>171</v>
      </c>
      <c r="F11" s="11" t="s">
        <v>0</v>
      </c>
      <c r="G11" s="11" t="s">
        <v>172</v>
      </c>
      <c r="H11" s="11"/>
      <c r="I11" s="11"/>
      <c r="J11" s="13"/>
    </row>
    <row r="12" spans="1:17" ht="21" customHeight="1" thickBot="1" x14ac:dyDescent="0.3">
      <c r="A12" s="1">
        <f>F9+0.1</f>
        <v>12.1</v>
      </c>
      <c r="B12" s="14">
        <v>1</v>
      </c>
      <c r="C12" s="15">
        <v>4048</v>
      </c>
      <c r="D12" s="16" t="s">
        <v>21</v>
      </c>
      <c r="E12" s="17" t="s">
        <v>11</v>
      </c>
      <c r="F12" s="18">
        <v>534</v>
      </c>
      <c r="G12" s="19">
        <v>12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12.2</v>
      </c>
      <c r="B13" s="14">
        <v>2</v>
      </c>
      <c r="C13" s="21">
        <v>3767</v>
      </c>
      <c r="D13" s="22" t="s">
        <v>23</v>
      </c>
      <c r="E13" s="23" t="s">
        <v>24</v>
      </c>
      <c r="F13" s="24">
        <v>531</v>
      </c>
      <c r="G13" s="25">
        <v>13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12.3</v>
      </c>
      <c r="B14" s="14">
        <v>3</v>
      </c>
      <c r="C14" s="26">
        <v>3031</v>
      </c>
      <c r="D14" s="27" t="s">
        <v>58</v>
      </c>
      <c r="E14" s="28" t="s">
        <v>8</v>
      </c>
      <c r="F14" s="29">
        <v>455</v>
      </c>
      <c r="G14" s="30">
        <v>44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1" customFormat="1" ht="21" customHeight="1" thickBot="1" x14ac:dyDescent="0.3">
      <c r="B17" s="32" t="s">
        <v>173</v>
      </c>
      <c r="C17" s="33"/>
      <c r="D17" s="32" t="s">
        <v>174</v>
      </c>
      <c r="E17" s="33" t="s">
        <v>175</v>
      </c>
      <c r="F17" s="32" t="s">
        <v>176</v>
      </c>
      <c r="G17" s="34" t="s">
        <v>177</v>
      </c>
      <c r="H17" s="35" t="s">
        <v>178</v>
      </c>
      <c r="I17" s="36" t="s">
        <v>179</v>
      </c>
      <c r="J17" s="32" t="s">
        <v>180</v>
      </c>
    </row>
    <row r="18" spans="2:10" s="37" customFormat="1" ht="21" customHeight="1" thickBot="1" x14ac:dyDescent="0.3">
      <c r="B18" s="181">
        <v>1</v>
      </c>
      <c r="C18" s="12">
        <v>1</v>
      </c>
      <c r="D18" s="39" t="str">
        <f>D12</f>
        <v>SOFIA JIMENEZ QUESADA</v>
      </c>
      <c r="E18" s="12">
        <v>11</v>
      </c>
      <c r="F18" s="38">
        <v>11</v>
      </c>
      <c r="G18" s="40"/>
      <c r="H18" s="41"/>
      <c r="I18" s="42"/>
      <c r="J18" s="183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82"/>
      <c r="C19" s="44">
        <v>3</v>
      </c>
      <c r="D19" s="45" t="str">
        <f>D14</f>
        <v>CAMILA ALEJANDRA PEÑA LARA</v>
      </c>
      <c r="E19" s="46">
        <v>9</v>
      </c>
      <c r="F19" s="47">
        <v>8</v>
      </c>
      <c r="G19" s="47"/>
      <c r="H19" s="41"/>
      <c r="I19" s="42"/>
      <c r="J19" s="182"/>
    </row>
    <row r="20" spans="2:10" s="37" customFormat="1" ht="21" customHeight="1" thickBot="1" x14ac:dyDescent="0.3">
      <c r="B20" s="183">
        <v>2</v>
      </c>
      <c r="C20" s="12">
        <v>1</v>
      </c>
      <c r="D20" s="39" t="str">
        <f>D12</f>
        <v>SOFIA JIMENEZ QUESADA</v>
      </c>
      <c r="E20" s="12">
        <v>9</v>
      </c>
      <c r="F20" s="38">
        <v>11</v>
      </c>
      <c r="G20" s="38"/>
      <c r="H20" s="41"/>
      <c r="I20" s="42"/>
      <c r="J20" s="183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37" customFormat="1" ht="21" customHeight="1" thickBot="1" x14ac:dyDescent="0.3">
      <c r="B21" s="182"/>
      <c r="C21" s="44">
        <v>2</v>
      </c>
      <c r="D21" s="45" t="str">
        <f>D13</f>
        <v>NAIMA JAEL GOMEZ VARGAS</v>
      </c>
      <c r="E21" s="46">
        <v>11</v>
      </c>
      <c r="F21" s="47">
        <v>13</v>
      </c>
      <c r="G21" s="47"/>
      <c r="H21" s="41"/>
      <c r="I21" s="42"/>
      <c r="J21" s="182"/>
    </row>
    <row r="22" spans="2:10" s="37" customFormat="1" ht="21" customHeight="1" thickBot="1" x14ac:dyDescent="0.3">
      <c r="B22" s="183">
        <v>3</v>
      </c>
      <c r="C22" s="44">
        <v>2</v>
      </c>
      <c r="D22" s="45" t="str">
        <f>D13</f>
        <v>NAIMA JAEL GOMEZ VARGAS</v>
      </c>
      <c r="E22" s="46">
        <v>11</v>
      </c>
      <c r="F22" s="47">
        <v>11</v>
      </c>
      <c r="G22" s="47"/>
      <c r="H22" s="41"/>
      <c r="I22" s="42"/>
      <c r="J22" s="183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82"/>
      <c r="C23" s="48">
        <v>3</v>
      </c>
      <c r="D23" s="49" t="str">
        <f>D14</f>
        <v>CAMILA ALEJANDRA PEÑA LARA</v>
      </c>
      <c r="E23" s="48">
        <v>8</v>
      </c>
      <c r="F23" s="43">
        <v>4</v>
      </c>
      <c r="G23" s="43"/>
      <c r="H23" s="50"/>
      <c r="I23" s="51"/>
      <c r="J23" s="182"/>
    </row>
    <row r="24" spans="2:10" ht="6" customHeight="1" x14ac:dyDescent="0.25">
      <c r="B24" s="171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172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172"/>
      <c r="E26" s="52"/>
      <c r="F26" s="52"/>
      <c r="G26" s="52"/>
      <c r="H26" s="52"/>
      <c r="I26" s="52"/>
      <c r="J26" s="52"/>
    </row>
    <row r="27" spans="2:10" ht="6" customHeight="1" x14ac:dyDescent="0.25">
      <c r="B27" s="172"/>
      <c r="E27" s="53"/>
      <c r="F27" s="53"/>
    </row>
    <row r="28" spans="2:10" ht="6" customHeight="1" x14ac:dyDescent="0.25">
      <c r="B28" s="173"/>
      <c r="E28" s="53"/>
      <c r="F28" s="53"/>
    </row>
    <row r="29" spans="2:10" ht="6" customHeight="1" x14ac:dyDescent="0.25">
      <c r="B29" s="173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74" t="s">
        <v>181</v>
      </c>
      <c r="D32" s="175"/>
      <c r="F32" s="176" t="s">
        <v>182</v>
      </c>
      <c r="G32" s="177"/>
      <c r="H32" s="177"/>
      <c r="I32" s="177"/>
      <c r="J32" s="178"/>
    </row>
    <row r="33" spans="3:10" s="37" customFormat="1" ht="18" customHeight="1" thickBot="1" x14ac:dyDescent="0.3">
      <c r="C33" s="54" t="s">
        <v>183</v>
      </c>
      <c r="D33" s="54" t="s">
        <v>184</v>
      </c>
      <c r="F33" s="176" t="s">
        <v>185</v>
      </c>
      <c r="G33" s="177"/>
      <c r="H33" s="177"/>
      <c r="I33" s="177"/>
      <c r="J33" s="178"/>
    </row>
    <row r="34" spans="3:10" ht="25.5" customHeight="1" thickBot="1" x14ac:dyDescent="0.3">
      <c r="C34" s="55">
        <v>3767</v>
      </c>
      <c r="D34" s="56" t="s">
        <v>23</v>
      </c>
      <c r="F34" s="57" t="s">
        <v>186</v>
      </c>
      <c r="G34" s="165"/>
      <c r="H34" s="166"/>
      <c r="I34" s="166"/>
      <c r="J34" s="167"/>
    </row>
    <row r="35" spans="3:10" ht="25.5" customHeight="1" thickBot="1" x14ac:dyDescent="0.3">
      <c r="C35" s="55">
        <v>4048</v>
      </c>
      <c r="D35" s="56" t="s">
        <v>21</v>
      </c>
      <c r="F35" s="168" t="s">
        <v>187</v>
      </c>
      <c r="G35" s="169"/>
      <c r="H35" s="169"/>
      <c r="I35" s="170"/>
      <c r="J35" s="58"/>
    </row>
  </sheetData>
  <mergeCells count="16">
    <mergeCell ref="L5:M8"/>
    <mergeCell ref="O9:Q10"/>
    <mergeCell ref="B18:B19"/>
    <mergeCell ref="J18:J19"/>
    <mergeCell ref="B20:B21"/>
    <mergeCell ref="J20:J21"/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EBA3-6604-44B5-994B-BEE50D054988}">
  <sheetPr>
    <tabColor rgb="FFFFFF00"/>
    <pageSetUpPr fitToPage="1"/>
  </sheetPr>
  <dimension ref="A6:CB178"/>
  <sheetViews>
    <sheetView showGridLines="0" topLeftCell="Q1" zoomScale="70" zoomScaleNormal="70" workbookViewId="0">
      <selection activeCell="AV1" sqref="AV1:BJ70"/>
    </sheetView>
  </sheetViews>
  <sheetFormatPr defaultColWidth="11.42578125" defaultRowHeight="15" x14ac:dyDescent="0.25"/>
  <cols>
    <col min="1" max="2" width="4.7109375" style="160" customWidth="1"/>
    <col min="3" max="3" width="5.140625" style="160" bestFit="1" customWidth="1"/>
    <col min="4" max="5" width="4.7109375" style="160" customWidth="1"/>
    <col min="6" max="6" width="0" style="160" hidden="1" customWidth="1"/>
    <col min="7" max="7" width="5.7109375" style="160" bestFit="1" customWidth="1"/>
    <col min="8" max="8" width="5.42578125" style="160" bestFit="1" customWidth="1"/>
    <col min="9" max="9" width="28.42578125" style="160" bestFit="1" customWidth="1"/>
    <col min="10" max="10" width="19.42578125" style="160" bestFit="1" customWidth="1"/>
    <col min="11" max="11" width="16.5703125" style="160" bestFit="1" customWidth="1"/>
    <col min="12" max="12" width="16.28515625" style="160" bestFit="1" customWidth="1"/>
    <col min="13" max="26" width="2.7109375" style="160" customWidth="1"/>
    <col min="27" max="45" width="0" style="160" hidden="1" customWidth="1"/>
    <col min="46" max="46" width="0.140625" style="160" customWidth="1"/>
    <col min="47" max="47" width="3.140625" style="160" customWidth="1"/>
    <col min="48" max="48" width="5.5703125" style="161" bestFit="1" customWidth="1"/>
    <col min="49" max="49" width="35.7109375" style="162" bestFit="1" customWidth="1"/>
    <col min="50" max="50" width="11.7109375" style="163" bestFit="1" customWidth="1"/>
    <col min="51" max="51" width="4.28515625" style="162" bestFit="1" customWidth="1"/>
    <col min="52" max="52" width="33.140625" style="162" bestFit="1" customWidth="1"/>
    <col min="53" max="53" width="11.5703125" style="163" bestFit="1" customWidth="1"/>
    <col min="54" max="54" width="4.28515625" style="160" bestFit="1" customWidth="1"/>
    <col min="55" max="55" width="30.7109375" style="160" bestFit="1" customWidth="1"/>
    <col min="56" max="56" width="11.5703125" style="164" bestFit="1" customWidth="1"/>
    <col min="57" max="57" width="4.28515625" style="160" bestFit="1" customWidth="1"/>
    <col min="58" max="58" width="27.7109375" style="160" bestFit="1" customWidth="1"/>
    <col min="59" max="59" width="11.5703125" style="164" bestFit="1" customWidth="1"/>
    <col min="60" max="60" width="4.28515625" style="160" bestFit="1" customWidth="1"/>
    <col min="61" max="61" width="26.28515625" style="160" bestFit="1" customWidth="1"/>
    <col min="62" max="62" width="11.5703125" style="164" bestFit="1" customWidth="1"/>
    <col min="63" max="63" width="11.42578125" style="160"/>
    <col min="64" max="64" width="7.85546875" style="160" customWidth="1"/>
    <col min="65" max="65" width="6.7109375" style="160" customWidth="1"/>
    <col min="66" max="66" width="7.28515625" style="160" bestFit="1" customWidth="1"/>
    <col min="67" max="67" width="6.42578125" style="160" customWidth="1"/>
    <col min="68" max="68" width="3.85546875" style="160" customWidth="1"/>
    <col min="69" max="69" width="4.140625" style="160" customWidth="1"/>
    <col min="70" max="70" width="4" style="160" customWidth="1"/>
    <col min="71" max="71" width="8.140625" style="160" customWidth="1"/>
    <col min="72" max="72" width="5.7109375" style="160" customWidth="1"/>
    <col min="73" max="73" width="8.140625" style="160" customWidth="1"/>
    <col min="74" max="74" width="5.7109375" style="160" customWidth="1"/>
    <col min="75" max="75" width="8.28515625" style="160" customWidth="1"/>
    <col min="76" max="78" width="11.42578125" style="160"/>
    <col min="79" max="79" width="16" style="160" bestFit="1" customWidth="1"/>
    <col min="80" max="80" width="12.42578125" style="160" customWidth="1"/>
    <col min="81" max="16384" width="11.42578125" style="160"/>
  </cols>
  <sheetData>
    <row r="6" spans="1:80" s="62" customFormat="1" ht="18" x14ac:dyDescent="0.25">
      <c r="A6" s="59"/>
      <c r="B6" s="59"/>
      <c r="C6" s="59"/>
      <c r="D6" s="60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317">
        <v>2</v>
      </c>
      <c r="AB6" s="317"/>
      <c r="AC6" s="61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U6" s="63"/>
      <c r="AV6" s="64"/>
      <c r="AW6" s="65"/>
      <c r="AX6" s="66"/>
      <c r="AY6" s="65"/>
      <c r="AZ6" s="65"/>
      <c r="BA6" s="66"/>
      <c r="BB6" s="67"/>
      <c r="BC6" s="67"/>
      <c r="BD6" s="68"/>
      <c r="BE6" s="67"/>
      <c r="BF6" s="67"/>
      <c r="BG6" s="68"/>
      <c r="BH6" s="67"/>
      <c r="BI6" s="67"/>
      <c r="BJ6" s="69"/>
    </row>
    <row r="7" spans="1:80" s="62" customFormat="1" ht="13.5" thickBot="1" x14ac:dyDescent="0.3">
      <c r="A7" s="59" t="s">
        <v>188</v>
      </c>
      <c r="B7" s="59" t="s">
        <v>189</v>
      </c>
      <c r="C7" s="59" t="s">
        <v>190</v>
      </c>
      <c r="D7" s="60" t="s">
        <v>191</v>
      </c>
      <c r="E7" s="59" t="s">
        <v>192</v>
      </c>
      <c r="F7" s="59"/>
      <c r="G7" s="59" t="s">
        <v>193</v>
      </c>
      <c r="H7" s="59" t="s">
        <v>194</v>
      </c>
      <c r="I7" s="59" t="s">
        <v>195</v>
      </c>
      <c r="J7" s="59" t="s">
        <v>196</v>
      </c>
      <c r="K7" s="59" t="s">
        <v>197</v>
      </c>
      <c r="L7" s="59" t="s">
        <v>198</v>
      </c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 t="s">
        <v>199</v>
      </c>
      <c r="AB7" s="59" t="s">
        <v>200</v>
      </c>
      <c r="AC7" s="59"/>
      <c r="AD7" s="59" t="s">
        <v>201</v>
      </c>
      <c r="AE7" s="59" t="s">
        <v>202</v>
      </c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U7" s="63"/>
      <c r="AV7" s="64"/>
      <c r="AW7" s="70"/>
      <c r="AX7" s="71"/>
      <c r="AY7" s="70"/>
      <c r="AZ7" s="70"/>
      <c r="BA7" s="71"/>
      <c r="BB7" s="72"/>
      <c r="BC7" s="72"/>
      <c r="BD7" s="59"/>
      <c r="BE7" s="72"/>
      <c r="BG7" s="69"/>
      <c r="BJ7" s="69"/>
    </row>
    <row r="8" spans="1:80" s="62" customFormat="1" ht="18.75" thickBot="1" x14ac:dyDescent="0.3">
      <c r="A8" s="213">
        <v>1</v>
      </c>
      <c r="B8" s="308" t="s">
        <v>203</v>
      </c>
      <c r="C8" s="310" t="s">
        <v>204</v>
      </c>
      <c r="D8" s="310"/>
      <c r="E8" s="298"/>
      <c r="F8" s="312" t="str">
        <f>C8&amp;"-"&amp;D8&amp;"- Table"&amp;E8</f>
        <v>4 Julio-- Table</v>
      </c>
      <c r="G8" s="298">
        <v>3498</v>
      </c>
      <c r="H8" s="298" t="s">
        <v>306</v>
      </c>
      <c r="I8" s="298" t="s">
        <v>7</v>
      </c>
      <c r="J8" s="298" t="s">
        <v>8</v>
      </c>
      <c r="K8" s="298" t="s">
        <v>305</v>
      </c>
      <c r="L8" s="298" t="s">
        <v>305</v>
      </c>
      <c r="M8" s="306">
        <v>11</v>
      </c>
      <c r="N8" s="298">
        <v>0</v>
      </c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300"/>
      <c r="AA8" s="226">
        <f>IF(M8+N8&lt;&gt;0,SUM(AF8:AL8),"")</f>
        <v>1</v>
      </c>
      <c r="AB8" s="226">
        <f>IF(M8+N8&lt;&gt;0,SUM(AF9:AL9),"")</f>
        <v>0</v>
      </c>
      <c r="AC8" s="226" t="str">
        <f>IF(AA8&gt;AB8,AD8&amp;"  "&amp;AE8,IF(AB8&gt;AA8,AD8&amp;"  "&amp;AE9,""))</f>
        <v>1 - 0  (0)</v>
      </c>
      <c r="AD8" s="59" t="str">
        <f>IF(AA8&gt;AB8,AA8&amp;" - "&amp;AB8,IF(AB8&gt;AA8,AB8&amp;" - "&amp;AA8,""))</f>
        <v>1 - 0</v>
      </c>
      <c r="AE8" s="59" t="str">
        <f t="shared" ref="AE8:AE71" si="0">CONCATENATE("(",AM8,AN8,AO8,AP8,AQ8,AR8,AS8,")")</f>
        <v>(0)</v>
      </c>
      <c r="AF8" s="59">
        <f>IF(M8&gt;N8,1,0)</f>
        <v>1</v>
      </c>
      <c r="AG8" s="59">
        <f>IF(O8&gt;P8,1,0)</f>
        <v>0</v>
      </c>
      <c r="AH8" s="59">
        <f>IF(Q8&gt;R8,1,0)</f>
        <v>0</v>
      </c>
      <c r="AI8" s="59">
        <f>IF(S8&gt;T8,1,0)</f>
        <v>0</v>
      </c>
      <c r="AJ8" s="59">
        <f>IF(U8&gt;V8,1,0)</f>
        <v>0</v>
      </c>
      <c r="AK8" s="59">
        <f>IF(W8&gt;X8,1,0)</f>
        <v>0</v>
      </c>
      <c r="AL8" s="59">
        <f>IF(Y8&gt;Z8,1,0)</f>
        <v>0</v>
      </c>
      <c r="AM8" s="59">
        <f>IF(M8&gt;N8,N8,IF(N8&gt;M8,-M8,""))</f>
        <v>0</v>
      </c>
      <c r="AN8" s="59" t="str">
        <f>IF(O8&gt;P8,", "&amp;P8,IF(P8&gt;O8,", "&amp;-O8,""))</f>
        <v/>
      </c>
      <c r="AO8" s="59" t="str">
        <f>IF(Q8&gt;R8,", "&amp;R8,IF(R8&gt;Q8,", "&amp;-Q8,""))</f>
        <v/>
      </c>
      <c r="AP8" s="59" t="str">
        <f>IF(S8&gt;T8,", "&amp;T8,IF(T8&gt;S8,", "&amp;-S8,""))</f>
        <v/>
      </c>
      <c r="AQ8" s="59" t="str">
        <f>IF(U8&gt;V8,", "&amp;V8,IF(V8&gt;U8,", "&amp;-U8,""))</f>
        <v/>
      </c>
      <c r="AR8" s="59" t="str">
        <f>IF(W8&gt;X8,", "&amp;X8,IF(X8&gt;W8,", "&amp;-W8,""))</f>
        <v/>
      </c>
      <c r="AS8" s="59" t="str">
        <f>IF(Y8&gt;Z8,", "&amp;Z8,IF(Z8&gt;Y8,", "&amp;-Y8,""))</f>
        <v/>
      </c>
      <c r="AU8" s="73">
        <v>1</v>
      </c>
      <c r="AV8" s="74">
        <f>VLOOKUP(AV9,$A$8:$L$87,7,FALSE)</f>
        <v>3498</v>
      </c>
      <c r="AW8" s="75" t="s">
        <v>7</v>
      </c>
      <c r="AX8" s="76" t="s">
        <v>8</v>
      </c>
      <c r="AY8" s="77"/>
      <c r="AZ8" s="78" t="str">
        <f>VLOOKUP(AV9,$A$8:$AD$87,29,FALSE)</f>
        <v>1 - 0  (0)</v>
      </c>
      <c r="BA8" s="78"/>
      <c r="BB8" s="70"/>
      <c r="BC8" s="70"/>
      <c r="BD8" s="71"/>
      <c r="BE8" s="70"/>
      <c r="BF8" s="314" t="s">
        <v>205</v>
      </c>
      <c r="BG8" s="315"/>
      <c r="BH8" s="315"/>
      <c r="BI8" s="315"/>
      <c r="BJ8" s="316"/>
      <c r="BK8" s="79"/>
      <c r="BL8" s="80" t="s">
        <v>206</v>
      </c>
      <c r="BM8" s="80" t="s">
        <v>207</v>
      </c>
      <c r="BN8" s="80" t="s">
        <v>208</v>
      </c>
      <c r="BO8" s="80" t="s">
        <v>209</v>
      </c>
      <c r="BP8" s="80" t="s">
        <v>210</v>
      </c>
      <c r="BQ8" s="80" t="s">
        <v>211</v>
      </c>
      <c r="BR8" s="80" t="s">
        <v>212</v>
      </c>
      <c r="BS8" s="80" t="s">
        <v>213</v>
      </c>
      <c r="BT8" s="80" t="s">
        <v>214</v>
      </c>
      <c r="BU8" s="80" t="s">
        <v>215</v>
      </c>
      <c r="BV8" s="80" t="s">
        <v>216</v>
      </c>
      <c r="BW8" s="80" t="s">
        <v>217</v>
      </c>
      <c r="BX8" s="81"/>
      <c r="BY8" s="82" t="s">
        <v>218</v>
      </c>
      <c r="BZ8" s="83" t="s">
        <v>219</v>
      </c>
      <c r="CA8" s="84" t="s">
        <v>220</v>
      </c>
      <c r="CB8" s="85" t="s">
        <v>221</v>
      </c>
    </row>
    <row r="9" spans="1:80" s="62" customFormat="1" ht="12.75" x14ac:dyDescent="0.25">
      <c r="A9" s="213"/>
      <c r="B9" s="309"/>
      <c r="C9" s="311"/>
      <c r="D9" s="311"/>
      <c r="E9" s="299"/>
      <c r="F9" s="313"/>
      <c r="G9" s="299"/>
      <c r="H9" s="299"/>
      <c r="I9" s="299">
        <v>0</v>
      </c>
      <c r="J9" s="299">
        <v>0</v>
      </c>
      <c r="K9" s="299">
        <v>0</v>
      </c>
      <c r="L9" s="299">
        <v>0</v>
      </c>
      <c r="M9" s="307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301"/>
      <c r="AA9" s="226"/>
      <c r="AB9" s="226"/>
      <c r="AC9" s="226"/>
      <c r="AD9" s="59" t="str">
        <f>IF(AA8&gt;AB8,AD8&amp;"  "&amp;AE8,IF(AB8&gt;AA8,AD8&amp;"  "&amp;AE9,""))</f>
        <v>1 - 0  (0)</v>
      </c>
      <c r="AE9" s="59" t="str">
        <f t="shared" si="0"/>
        <v>(0)</v>
      </c>
      <c r="AF9" s="59">
        <f>IF(N8&gt;M8,1,0)</f>
        <v>0</v>
      </c>
      <c r="AG9" s="59">
        <f>IF(P8&gt;O8,1,0)</f>
        <v>0</v>
      </c>
      <c r="AH9" s="59">
        <f>IF(R8&gt;Q8,1,0)</f>
        <v>0</v>
      </c>
      <c r="AI9" s="59">
        <f>IF(T8&gt;S8,1,0)</f>
        <v>0</v>
      </c>
      <c r="AJ9" s="59">
        <f>IF(V8&gt;U8,1,0)</f>
        <v>0</v>
      </c>
      <c r="AK9" s="59">
        <f>IF(X8&gt;W8,1,0)</f>
        <v>0</v>
      </c>
      <c r="AL9" s="59">
        <f>IF(Z8&gt;Y8,1,0)</f>
        <v>0</v>
      </c>
      <c r="AM9" s="59">
        <f>IF(N8&gt;M8,M8,IF(M8&gt;N8,-N8,""))</f>
        <v>0</v>
      </c>
      <c r="AN9" s="59" t="str">
        <f>IF(P8&gt;O8,", "&amp;O8,IF(O8&gt;P8,", "&amp;-P8,""))</f>
        <v/>
      </c>
      <c r="AO9" s="59" t="str">
        <f>IF(R8&gt;Q8,", "&amp;Q8,IF(Q8&gt;R8,", "&amp;-R8,""))</f>
        <v/>
      </c>
      <c r="AP9" s="59" t="str">
        <f>IF(T8&gt;S8,", "&amp;S8,IF(S8&gt;T8,", "&amp;-T8,""))</f>
        <v/>
      </c>
      <c r="AQ9" s="59" t="str">
        <f>IF(V8&gt;U8,", "&amp;U8,IF(U8&gt;V8,", "&amp;-V8,""))</f>
        <v/>
      </c>
      <c r="AR9" s="59" t="str">
        <f>IF(X8&gt;W8,", "&amp;W8,IF(W8&gt;X8,", "&amp;-X8,""))</f>
        <v/>
      </c>
      <c r="AS9" s="59" t="str">
        <f>IF(Z8&gt;Y8,", "&amp;Y8,IF(Y8&gt;Z8,", "&amp;-Z8,""))</f>
        <v/>
      </c>
      <c r="AU9" s="63"/>
      <c r="AV9" s="86">
        <v>1</v>
      </c>
      <c r="AW9" s="87" t="str">
        <f>VLOOKUP(AV9,$A$8:$L$87,6,FALSE)</f>
        <v>4 Julio-- Table</v>
      </c>
      <c r="AX9" s="88"/>
      <c r="AY9" s="89">
        <f>VLOOKUP(AY11,$A$8:$L$91,7,FALSE)</f>
        <v>3498</v>
      </c>
      <c r="AZ9" s="75" t="s">
        <v>7</v>
      </c>
      <c r="BA9" s="76" t="s">
        <v>8</v>
      </c>
      <c r="BB9" s="70"/>
      <c r="BC9" s="70"/>
      <c r="BD9" s="71"/>
      <c r="BE9" s="70"/>
      <c r="BF9" s="79"/>
      <c r="BG9" s="90"/>
      <c r="BH9" s="79"/>
      <c r="BI9" s="79"/>
      <c r="BJ9" s="90"/>
      <c r="BK9" s="79"/>
      <c r="BL9" s="91">
        <v>1</v>
      </c>
      <c r="BM9" s="92" t="str">
        <f>C8</f>
        <v>4 Julio</v>
      </c>
      <c r="BN9" s="92">
        <f>D8</f>
        <v>0</v>
      </c>
      <c r="BO9" s="93">
        <f>E8</f>
        <v>0</v>
      </c>
      <c r="BP9" s="94" t="s">
        <v>222</v>
      </c>
      <c r="BQ9" s="91"/>
      <c r="BR9" s="91">
        <v>1</v>
      </c>
      <c r="BS9" s="95" t="e">
        <v>#REF!</v>
      </c>
      <c r="BT9" s="96"/>
      <c r="BU9" s="95" t="e">
        <v>#REF!</v>
      </c>
      <c r="BV9" s="96"/>
      <c r="BW9" s="91"/>
      <c r="BX9" s="81"/>
      <c r="BY9" s="97">
        <f>G8</f>
        <v>3498</v>
      </c>
      <c r="BZ9" s="98" t="str">
        <f>H8</f>
        <v>X</v>
      </c>
      <c r="CA9" s="84" t="s">
        <v>223</v>
      </c>
      <c r="CB9" s="85" t="s">
        <v>224</v>
      </c>
    </row>
    <row r="10" spans="1:80" s="62" customFormat="1" ht="12.75" x14ac:dyDescent="0.25">
      <c r="A10" s="213">
        <v>2</v>
      </c>
      <c r="B10" s="302" t="s">
        <v>203</v>
      </c>
      <c r="C10" s="304" t="s">
        <v>204</v>
      </c>
      <c r="D10" s="304"/>
      <c r="E10" s="290"/>
      <c r="F10" s="296" t="str">
        <f t="shared" ref="F10" si="1">C10&amp;"-"&amp;D10&amp;"- Table"&amp;E10</f>
        <v>4 Julio-- Table</v>
      </c>
      <c r="G10" s="290">
        <v>4176</v>
      </c>
      <c r="H10" s="290">
        <v>3915</v>
      </c>
      <c r="I10" s="290" t="s">
        <v>19</v>
      </c>
      <c r="J10" s="290" t="s">
        <v>11</v>
      </c>
      <c r="K10" s="290" t="s">
        <v>25</v>
      </c>
      <c r="L10" s="290" t="s">
        <v>6</v>
      </c>
      <c r="M10" s="294">
        <v>11</v>
      </c>
      <c r="N10" s="290">
        <v>7</v>
      </c>
      <c r="O10" s="290">
        <v>11</v>
      </c>
      <c r="P10" s="290">
        <v>13</v>
      </c>
      <c r="Q10" s="290">
        <v>11</v>
      </c>
      <c r="R10" s="290">
        <v>6</v>
      </c>
      <c r="S10" s="290"/>
      <c r="T10" s="290"/>
      <c r="U10" s="290"/>
      <c r="V10" s="290"/>
      <c r="W10" s="290"/>
      <c r="X10" s="290"/>
      <c r="Y10" s="290"/>
      <c r="Z10" s="292"/>
      <c r="AA10" s="226">
        <f t="shared" ref="AA10" si="2">IF(M10+N10&lt;&gt;0,SUM(AF10:AL10),"")</f>
        <v>2</v>
      </c>
      <c r="AB10" s="226">
        <f t="shared" ref="AB10" si="3">IF(M10+N10&lt;&gt;0,SUM(AF11:AL11),"")</f>
        <v>1</v>
      </c>
      <c r="AC10" s="226" t="str">
        <f t="shared" ref="AC10" si="4">IF(AA10&gt;AB10,AD10&amp;"  "&amp;AE10,IF(AB10&gt;AA10,AD10&amp;"  "&amp;AE11,""))</f>
        <v>2 - 1  (7, -11, 6)</v>
      </c>
      <c r="AD10" s="59" t="str">
        <f t="shared" ref="AD10" si="5">IF(AA10&gt;AB10,AA10&amp;" - "&amp;AB10,IF(AB10&gt;AA10,AB10&amp;" - "&amp;AA10,""))</f>
        <v>2 - 1</v>
      </c>
      <c r="AE10" s="59" t="str">
        <f t="shared" si="0"/>
        <v>(7, -11, 6)</v>
      </c>
      <c r="AF10" s="59">
        <f t="shared" ref="AF10" si="6">IF(M10&gt;N10,1,0)</f>
        <v>1</v>
      </c>
      <c r="AG10" s="59">
        <f t="shared" ref="AG10" si="7">IF(O10&gt;P10,1,0)</f>
        <v>0</v>
      </c>
      <c r="AH10" s="59">
        <f t="shared" ref="AH10" si="8">IF(Q10&gt;R10,1,0)</f>
        <v>1</v>
      </c>
      <c r="AI10" s="59">
        <f t="shared" ref="AI10" si="9">IF(S10&gt;T10,1,0)</f>
        <v>0</v>
      </c>
      <c r="AJ10" s="59">
        <f t="shared" ref="AJ10" si="10">IF(U10&gt;V10,1,0)</f>
        <v>0</v>
      </c>
      <c r="AK10" s="59">
        <f t="shared" ref="AK10" si="11">IF(W10&gt;X10,1,0)</f>
        <v>0</v>
      </c>
      <c r="AL10" s="59">
        <f t="shared" ref="AL10" si="12">IF(Y10&gt;Z10,1,0)</f>
        <v>0</v>
      </c>
      <c r="AM10" s="59">
        <f t="shared" ref="AM10" si="13">IF(M10&gt;N10,N10,IF(N10&gt;M10,-M10,""))</f>
        <v>7</v>
      </c>
      <c r="AN10" s="59" t="str">
        <f t="shared" ref="AN10" si="14">IF(O10&gt;P10,", "&amp;P10,IF(P10&gt;O10,", "&amp;-O10,""))</f>
        <v>, -11</v>
      </c>
      <c r="AO10" s="59" t="str">
        <f t="shared" ref="AO10" si="15">IF(Q10&gt;R10,", "&amp;R10,IF(R10&gt;Q10,", "&amp;-Q10,""))</f>
        <v>, 6</v>
      </c>
      <c r="AP10" s="59" t="str">
        <f t="shared" ref="AP10" si="16">IF(S10&gt;T10,", "&amp;T10,IF(T10&gt;S10,", "&amp;-S10,""))</f>
        <v/>
      </c>
      <c r="AQ10" s="59" t="str">
        <f t="shared" ref="AQ10" si="17">IF(U10&gt;V10,", "&amp;V10,IF(V10&gt;U10,", "&amp;-U10,""))</f>
        <v/>
      </c>
      <c r="AR10" s="59" t="str">
        <f t="shared" ref="AR10" si="18">IF(W10&gt;X10,", "&amp;X10,IF(X10&gt;W10,", "&amp;-W10,""))</f>
        <v/>
      </c>
      <c r="AS10" s="59" t="str">
        <f t="shared" ref="AS10" si="19">IF(Y10&gt;Z10,", "&amp;Z10,IF(Z10&gt;Y10,", "&amp;-Y10,""))</f>
        <v/>
      </c>
      <c r="AU10" s="73">
        <f>1+AU8</f>
        <v>2</v>
      </c>
      <c r="AV10" s="99" t="str">
        <f>VLOOKUP(AV9,$A$8:$L$87,8,FALSE)</f>
        <v>X</v>
      </c>
      <c r="AW10" s="100" t="s">
        <v>305</v>
      </c>
      <c r="AX10" s="101" t="s">
        <v>305</v>
      </c>
      <c r="AY10" s="70"/>
      <c r="AZ10" s="70"/>
      <c r="BA10" s="102"/>
      <c r="BB10" s="77"/>
      <c r="BC10" s="78" t="str">
        <f>VLOOKUP(AY11,$A$8:$AD$87,29,FALSE)</f>
        <v>2 - 0  (7, 9)</v>
      </c>
      <c r="BD10" s="78"/>
      <c r="BE10" s="70"/>
      <c r="BF10" s="79"/>
      <c r="BG10" s="90"/>
      <c r="BH10" s="79"/>
      <c r="BI10" s="79"/>
      <c r="BJ10" s="90"/>
      <c r="BK10" s="79"/>
      <c r="BL10" s="91">
        <f>1+BL9</f>
        <v>2</v>
      </c>
      <c r="BM10" s="92" t="str">
        <f>C10</f>
        <v>4 Julio</v>
      </c>
      <c r="BN10" s="92">
        <f>D10</f>
        <v>0</v>
      </c>
      <c r="BO10" s="93">
        <f>E10</f>
        <v>0</v>
      </c>
      <c r="BP10" s="94" t="s">
        <v>222</v>
      </c>
      <c r="BQ10" s="91"/>
      <c r="BR10" s="91">
        <v>2</v>
      </c>
      <c r="BS10" s="95" t="e">
        <v>#REF!</v>
      </c>
      <c r="BT10" s="96"/>
      <c r="BU10" s="95" t="e">
        <v>#REF!</v>
      </c>
      <c r="BV10" s="96"/>
      <c r="BW10" s="91"/>
      <c r="BX10" s="81"/>
      <c r="BY10" s="97">
        <f>G10</f>
        <v>4176</v>
      </c>
      <c r="BZ10" s="98">
        <f>H10</f>
        <v>3915</v>
      </c>
      <c r="CA10" s="84" t="s">
        <v>223</v>
      </c>
      <c r="CB10" s="85" t="s">
        <v>225</v>
      </c>
    </row>
    <row r="11" spans="1:80" s="62" customFormat="1" ht="12.75" x14ac:dyDescent="0.25">
      <c r="A11" s="213"/>
      <c r="B11" s="303"/>
      <c r="C11" s="305"/>
      <c r="D11" s="305"/>
      <c r="E11" s="291"/>
      <c r="F11" s="297"/>
      <c r="G11" s="291"/>
      <c r="H11" s="291"/>
      <c r="I11" s="291">
        <v>0</v>
      </c>
      <c r="J11" s="291">
        <v>0</v>
      </c>
      <c r="K11" s="291">
        <v>0</v>
      </c>
      <c r="L11" s="291">
        <v>0</v>
      </c>
      <c r="M11" s="295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3"/>
      <c r="AA11" s="226"/>
      <c r="AB11" s="226"/>
      <c r="AC11" s="226"/>
      <c r="AD11" s="59" t="str">
        <f t="shared" ref="AD11" si="20">IF(AA10&gt;AB10,AD10&amp;"  "&amp;AE10,IF(AB10&gt;AA10,AD10&amp;"  "&amp;AE11,""))</f>
        <v>2 - 1  (7, -11, 6)</v>
      </c>
      <c r="AE11" s="59" t="str">
        <f t="shared" si="0"/>
        <v>(-7, 11, -6)</v>
      </c>
      <c r="AF11" s="59">
        <f t="shared" ref="AF11" si="21">IF(N10&gt;M10,1,0)</f>
        <v>0</v>
      </c>
      <c r="AG11" s="59">
        <f t="shared" ref="AG11" si="22">IF(P10&gt;O10,1,0)</f>
        <v>1</v>
      </c>
      <c r="AH11" s="59">
        <f t="shared" ref="AH11" si="23">IF(R10&gt;Q10,1,0)</f>
        <v>0</v>
      </c>
      <c r="AI11" s="59">
        <f t="shared" ref="AI11" si="24">IF(T10&gt;S10,1,0)</f>
        <v>0</v>
      </c>
      <c r="AJ11" s="59">
        <f t="shared" ref="AJ11" si="25">IF(V10&gt;U10,1,0)</f>
        <v>0</v>
      </c>
      <c r="AK11" s="59">
        <f t="shared" ref="AK11" si="26">IF(X10&gt;W10,1,0)</f>
        <v>0</v>
      </c>
      <c r="AL11" s="59">
        <f t="shared" ref="AL11" si="27">IF(Z10&gt;Y10,1,0)</f>
        <v>0</v>
      </c>
      <c r="AM11" s="59">
        <f t="shared" ref="AM11" si="28">IF(N10&gt;M10,M10,IF(M10&gt;N10,-N10,""))</f>
        <v>-7</v>
      </c>
      <c r="AN11" s="59" t="str">
        <f t="shared" ref="AN11" si="29">IF(P10&gt;O10,", "&amp;O10,IF(O10&gt;P10,", "&amp;-P10,""))</f>
        <v>, 11</v>
      </c>
      <c r="AO11" s="59" t="str">
        <f t="shared" ref="AO11" si="30">IF(R10&gt;Q10,", "&amp;Q10,IF(Q10&gt;R10,", "&amp;-R10,""))</f>
        <v>, -6</v>
      </c>
      <c r="AP11" s="59" t="str">
        <f t="shared" ref="AP11" si="31">IF(T10&gt;S10,", "&amp;S10,IF(S10&gt;T10,", "&amp;-T10,""))</f>
        <v/>
      </c>
      <c r="AQ11" s="59" t="str">
        <f t="shared" ref="AQ11" si="32">IF(V10&gt;U10,", "&amp;U10,IF(U10&gt;V10,", "&amp;-V10,""))</f>
        <v/>
      </c>
      <c r="AR11" s="59" t="str">
        <f t="shared" ref="AR11" si="33">IF(X10&gt;W10,", "&amp;W10,IF(W10&gt;X10,", "&amp;-X10,""))</f>
        <v/>
      </c>
      <c r="AS11" s="59" t="str">
        <f t="shared" ref="AS11" si="34">IF(Z10&gt;Y10,", "&amp;Y10,IF(Y10&gt;Z10,", "&amp;-Z10,""))</f>
        <v/>
      </c>
      <c r="AU11" s="73"/>
      <c r="AV11" s="64"/>
      <c r="AW11" s="70"/>
      <c r="AX11" s="103"/>
      <c r="AY11" s="104">
        <v>17</v>
      </c>
      <c r="AZ11" s="87" t="str">
        <f>VLOOKUP(AY11,$A$8:$L$87,6,FALSE)</f>
        <v>4 Julio-- Table</v>
      </c>
      <c r="BA11" s="105"/>
      <c r="BB11" s="89">
        <f>VLOOKUP(BB15,$A$8:$L$91,7,FALSE)</f>
        <v>4176</v>
      </c>
      <c r="BC11" s="75" t="s">
        <v>19</v>
      </c>
      <c r="BD11" s="76" t="s">
        <v>11</v>
      </c>
      <c r="BE11" s="70"/>
      <c r="BF11" s="79"/>
      <c r="BG11" s="90"/>
      <c r="BH11" s="79"/>
      <c r="BI11" s="79"/>
      <c r="BJ11" s="90"/>
      <c r="BK11" s="79"/>
      <c r="BL11" s="91">
        <f t="shared" ref="BL11:BL40" si="35">1+BL10</f>
        <v>3</v>
      </c>
      <c r="BM11" s="92" t="str">
        <f>C12</f>
        <v>4 Julio</v>
      </c>
      <c r="BN11" s="92">
        <f>D12</f>
        <v>0</v>
      </c>
      <c r="BO11" s="93">
        <f>E12</f>
        <v>0</v>
      </c>
      <c r="BP11" s="94" t="s">
        <v>222</v>
      </c>
      <c r="BQ11" s="91"/>
      <c r="BR11" s="91">
        <v>3</v>
      </c>
      <c r="BS11" s="95" t="e">
        <v>#REF!</v>
      </c>
      <c r="BT11" s="96"/>
      <c r="BU11" s="95" t="e">
        <v>#REF!</v>
      </c>
      <c r="BV11" s="96"/>
      <c r="BW11" s="91"/>
      <c r="BX11" s="81"/>
      <c r="BY11" s="97">
        <f>G12</f>
        <v>3770</v>
      </c>
      <c r="BZ11" s="98">
        <f>H12</f>
        <v>4047</v>
      </c>
      <c r="CA11" s="84" t="s">
        <v>223</v>
      </c>
      <c r="CB11" s="85" t="s">
        <v>226</v>
      </c>
    </row>
    <row r="12" spans="1:80" s="62" customFormat="1" ht="12.75" x14ac:dyDescent="0.25">
      <c r="A12" s="213">
        <v>3</v>
      </c>
      <c r="B12" s="308" t="s">
        <v>227</v>
      </c>
      <c r="C12" s="310" t="s">
        <v>204</v>
      </c>
      <c r="D12" s="310"/>
      <c r="E12" s="298"/>
      <c r="F12" s="312" t="str">
        <f t="shared" ref="F12" si="36">C12&amp;"-"&amp;D12&amp;"- Table"&amp;E12</f>
        <v>4 Julio-- Table</v>
      </c>
      <c r="G12" s="298">
        <v>3770</v>
      </c>
      <c r="H12" s="298">
        <v>4047</v>
      </c>
      <c r="I12" s="298" t="s">
        <v>35</v>
      </c>
      <c r="J12" s="298" t="s">
        <v>24</v>
      </c>
      <c r="K12" s="298" t="s">
        <v>28</v>
      </c>
      <c r="L12" s="298" t="s">
        <v>11</v>
      </c>
      <c r="M12" s="306">
        <v>7</v>
      </c>
      <c r="N12" s="298">
        <v>11</v>
      </c>
      <c r="O12" s="298">
        <v>6</v>
      </c>
      <c r="P12" s="298">
        <v>11</v>
      </c>
      <c r="Q12" s="298"/>
      <c r="R12" s="298"/>
      <c r="S12" s="298"/>
      <c r="T12" s="298"/>
      <c r="U12" s="298"/>
      <c r="V12" s="298"/>
      <c r="W12" s="298"/>
      <c r="X12" s="298"/>
      <c r="Y12" s="298"/>
      <c r="Z12" s="300"/>
      <c r="AA12" s="226">
        <f t="shared" ref="AA12" si="37">IF(M12+N12&lt;&gt;0,SUM(AF12:AL12),"")</f>
        <v>0</v>
      </c>
      <c r="AB12" s="226">
        <f t="shared" ref="AB12" si="38">IF(M12+N12&lt;&gt;0,SUM(AF13:AL13),"")</f>
        <v>2</v>
      </c>
      <c r="AC12" s="226" t="str">
        <f t="shared" ref="AC12" si="39">IF(AA12&gt;AB12,AD12&amp;"  "&amp;AE12,IF(AB12&gt;AA12,AD12&amp;"  "&amp;AE13,""))</f>
        <v>2 - 0  (7, 6)</v>
      </c>
      <c r="AD12" s="59" t="str">
        <f t="shared" ref="AD12" si="40">IF(AA12&gt;AB12,AA12&amp;" - "&amp;AB12,IF(AB12&gt;AA12,AB12&amp;" - "&amp;AA12,""))</f>
        <v>2 - 0</v>
      </c>
      <c r="AE12" s="59" t="str">
        <f t="shared" si="0"/>
        <v>(-7, -6)</v>
      </c>
      <c r="AF12" s="59">
        <f t="shared" ref="AF12" si="41">IF(M12&gt;N12,1,0)</f>
        <v>0</v>
      </c>
      <c r="AG12" s="59">
        <f t="shared" ref="AG12" si="42">IF(O12&gt;P12,1,0)</f>
        <v>0</v>
      </c>
      <c r="AH12" s="59">
        <f t="shared" ref="AH12" si="43">IF(Q12&gt;R12,1,0)</f>
        <v>0</v>
      </c>
      <c r="AI12" s="59">
        <f t="shared" ref="AI12" si="44">IF(S12&gt;T12,1,0)</f>
        <v>0</v>
      </c>
      <c r="AJ12" s="59">
        <f t="shared" ref="AJ12" si="45">IF(U12&gt;V12,1,0)</f>
        <v>0</v>
      </c>
      <c r="AK12" s="59">
        <f t="shared" ref="AK12" si="46">IF(W12&gt;X12,1,0)</f>
        <v>0</v>
      </c>
      <c r="AL12" s="59">
        <f t="shared" ref="AL12" si="47">IF(Y12&gt;Z12,1,0)</f>
        <v>0</v>
      </c>
      <c r="AM12" s="59">
        <f t="shared" ref="AM12" si="48">IF(M12&gt;N12,N12,IF(N12&gt;M12,-M12,""))</f>
        <v>-7</v>
      </c>
      <c r="AN12" s="59" t="str">
        <f t="shared" ref="AN12" si="49">IF(O12&gt;P12,", "&amp;P12,IF(P12&gt;O12,", "&amp;-O12,""))</f>
        <v>, -6</v>
      </c>
      <c r="AO12" s="59" t="str">
        <f t="shared" ref="AO12" si="50">IF(Q12&gt;R12,", "&amp;R12,IF(R12&gt;Q12,", "&amp;-Q12,""))</f>
        <v/>
      </c>
      <c r="AP12" s="59" t="str">
        <f t="shared" ref="AP12" si="51">IF(S12&gt;T12,", "&amp;T12,IF(T12&gt;S12,", "&amp;-S12,""))</f>
        <v/>
      </c>
      <c r="AQ12" s="59" t="str">
        <f t="shared" ref="AQ12" si="52">IF(U12&gt;V12,", "&amp;V12,IF(V12&gt;U12,", "&amp;-U12,""))</f>
        <v/>
      </c>
      <c r="AR12" s="59" t="str">
        <f t="shared" ref="AR12" si="53">IF(W12&gt;X12,", "&amp;X12,IF(X12&gt;W12,", "&amp;-W12,""))</f>
        <v/>
      </c>
      <c r="AS12" s="59" t="str">
        <f t="shared" ref="AS12" si="54">IF(Y12&gt;Z12,", "&amp;Z12,IF(Z12&gt;Y12,", "&amp;-Y12,""))</f>
        <v/>
      </c>
      <c r="AU12" s="73">
        <f>1+AU10</f>
        <v>3</v>
      </c>
      <c r="AV12" s="74">
        <f>VLOOKUP(AV13,$A$8:$L$87,7,FALSE)</f>
        <v>4176</v>
      </c>
      <c r="AW12" s="75" t="s">
        <v>19</v>
      </c>
      <c r="AX12" s="76" t="s">
        <v>11</v>
      </c>
      <c r="AY12" s="106"/>
      <c r="AZ12" s="70"/>
      <c r="BA12" s="102"/>
      <c r="BB12" s="70"/>
      <c r="BC12" s="70"/>
      <c r="BD12" s="102"/>
      <c r="BE12" s="70"/>
      <c r="BF12" s="79"/>
      <c r="BG12" s="90"/>
      <c r="BH12" s="79"/>
      <c r="BI12" s="79"/>
      <c r="BJ12" s="90"/>
      <c r="BK12" s="79"/>
      <c r="BL12" s="91">
        <f t="shared" si="35"/>
        <v>4</v>
      </c>
      <c r="BM12" s="92" t="str">
        <f>C14</f>
        <v>4 Julio</v>
      </c>
      <c r="BN12" s="92">
        <f>D14</f>
        <v>0</v>
      </c>
      <c r="BO12" s="93">
        <f>E14</f>
        <v>0</v>
      </c>
      <c r="BP12" s="94" t="s">
        <v>222</v>
      </c>
      <c r="BQ12" s="91"/>
      <c r="BR12" s="91">
        <v>4</v>
      </c>
      <c r="BS12" s="95" t="e">
        <v>#REF!</v>
      </c>
      <c r="BT12" s="96"/>
      <c r="BU12" s="95" t="e">
        <v>#REF!</v>
      </c>
      <c r="BV12" s="96"/>
      <c r="BW12" s="91"/>
      <c r="BX12" s="81"/>
      <c r="BY12" s="97" t="str">
        <f>G14</f>
        <v>X</v>
      </c>
      <c r="BZ12" s="98">
        <f>H14</f>
        <v>3423</v>
      </c>
      <c r="CA12" s="84" t="s">
        <v>223</v>
      </c>
      <c r="CB12" s="85" t="s">
        <v>228</v>
      </c>
    </row>
    <row r="13" spans="1:80" s="62" customFormat="1" ht="12.75" x14ac:dyDescent="0.25">
      <c r="A13" s="213"/>
      <c r="B13" s="309"/>
      <c r="C13" s="311"/>
      <c r="D13" s="311"/>
      <c r="E13" s="299"/>
      <c r="F13" s="313"/>
      <c r="G13" s="299"/>
      <c r="H13" s="299"/>
      <c r="I13" s="299">
        <v>0</v>
      </c>
      <c r="J13" s="299">
        <v>0</v>
      </c>
      <c r="K13" s="299">
        <v>0</v>
      </c>
      <c r="L13" s="299">
        <v>0</v>
      </c>
      <c r="M13" s="307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301"/>
      <c r="AA13" s="226"/>
      <c r="AB13" s="226"/>
      <c r="AC13" s="226"/>
      <c r="AD13" s="59" t="str">
        <f t="shared" ref="AD13" si="55">IF(AA12&gt;AB12,AD12&amp;"  "&amp;AE12,IF(AB12&gt;AA12,AD12&amp;"  "&amp;AE13,""))</f>
        <v>2 - 0  (7, 6)</v>
      </c>
      <c r="AE13" s="59" t="str">
        <f t="shared" si="0"/>
        <v>(7, 6)</v>
      </c>
      <c r="AF13" s="59">
        <f t="shared" ref="AF13" si="56">IF(N12&gt;M12,1,0)</f>
        <v>1</v>
      </c>
      <c r="AG13" s="59">
        <f t="shared" ref="AG13" si="57">IF(P12&gt;O12,1,0)</f>
        <v>1</v>
      </c>
      <c r="AH13" s="59">
        <f t="shared" ref="AH13" si="58">IF(R12&gt;Q12,1,0)</f>
        <v>0</v>
      </c>
      <c r="AI13" s="59">
        <f t="shared" ref="AI13" si="59">IF(T12&gt;S12,1,0)</f>
        <v>0</v>
      </c>
      <c r="AJ13" s="59">
        <f t="shared" ref="AJ13" si="60">IF(V12&gt;U12,1,0)</f>
        <v>0</v>
      </c>
      <c r="AK13" s="59">
        <f t="shared" ref="AK13" si="61">IF(X12&gt;W12,1,0)</f>
        <v>0</v>
      </c>
      <c r="AL13" s="59">
        <f t="shared" ref="AL13" si="62">IF(Z12&gt;Y12,1,0)</f>
        <v>0</v>
      </c>
      <c r="AM13" s="59">
        <f t="shared" ref="AM13" si="63">IF(N12&gt;M12,M12,IF(M12&gt;N12,-N12,""))</f>
        <v>7</v>
      </c>
      <c r="AN13" s="59" t="str">
        <f t="shared" ref="AN13" si="64">IF(P12&gt;O12,", "&amp;O12,IF(O12&gt;P12,", "&amp;-P12,""))</f>
        <v>, 6</v>
      </c>
      <c r="AO13" s="59" t="str">
        <f t="shared" ref="AO13" si="65">IF(R12&gt;Q12,", "&amp;Q12,IF(Q12&gt;R12,", "&amp;-R12,""))</f>
        <v/>
      </c>
      <c r="AP13" s="59" t="str">
        <f t="shared" ref="AP13" si="66">IF(T12&gt;S12,", "&amp;S12,IF(S12&gt;T12,", "&amp;-T12,""))</f>
        <v/>
      </c>
      <c r="AQ13" s="59" t="str">
        <f t="shared" ref="AQ13" si="67">IF(V12&gt;U12,", "&amp;U12,IF(U12&gt;V12,", "&amp;-V12,""))</f>
        <v/>
      </c>
      <c r="AR13" s="59" t="str">
        <f t="shared" ref="AR13" si="68">IF(X12&gt;W12,", "&amp;W12,IF(W12&gt;X12,", "&amp;-X12,""))</f>
        <v/>
      </c>
      <c r="AS13" s="59" t="str">
        <f t="shared" ref="AS13" si="69">IF(Z12&gt;Y12,", "&amp;Y12,IF(Y12&gt;Z12,", "&amp;-Z12,""))</f>
        <v/>
      </c>
      <c r="AU13" s="63"/>
      <c r="AV13" s="86">
        <v>2</v>
      </c>
      <c r="AW13" s="87" t="str">
        <f>VLOOKUP(AV13,$A$8:$L$87,6,FALSE)</f>
        <v>4 Julio-- Table</v>
      </c>
      <c r="AX13" s="88"/>
      <c r="AY13" s="100">
        <f>VLOOKUP(AY11,$A$8:$L$91,8,FALSE)</f>
        <v>4176</v>
      </c>
      <c r="AZ13" s="100" t="s">
        <v>19</v>
      </c>
      <c r="BA13" s="101" t="s">
        <v>11</v>
      </c>
      <c r="BB13" s="70"/>
      <c r="BC13" s="70"/>
      <c r="BD13" s="102"/>
      <c r="BE13" s="70"/>
      <c r="BF13" s="79"/>
      <c r="BG13" s="90"/>
      <c r="BH13" s="79"/>
      <c r="BI13" s="79"/>
      <c r="BJ13" s="90"/>
      <c r="BK13" s="79"/>
      <c r="BL13" s="91">
        <f t="shared" si="35"/>
        <v>5</v>
      </c>
      <c r="BM13" s="92" t="str">
        <f>C16</f>
        <v>4 Julio</v>
      </c>
      <c r="BN13" s="92">
        <f>D16</f>
        <v>0</v>
      </c>
      <c r="BO13" s="93">
        <f>E16</f>
        <v>0</v>
      </c>
      <c r="BP13" s="94" t="s">
        <v>222</v>
      </c>
      <c r="BQ13" s="91"/>
      <c r="BR13" s="91">
        <v>5</v>
      </c>
      <c r="BS13" s="95" t="e">
        <v>#REF!</v>
      </c>
      <c r="BT13" s="96"/>
      <c r="BU13" s="95" t="e">
        <v>#REF!</v>
      </c>
      <c r="BV13" s="96"/>
      <c r="BW13" s="91"/>
      <c r="BX13" s="81"/>
      <c r="BY13" s="97">
        <f>G16</f>
        <v>3828</v>
      </c>
      <c r="BZ13" s="98" t="str">
        <f>H16</f>
        <v>X</v>
      </c>
      <c r="CA13" s="84" t="s">
        <v>223</v>
      </c>
      <c r="CB13" s="85" t="s">
        <v>229</v>
      </c>
    </row>
    <row r="14" spans="1:80" s="62" customFormat="1" ht="12.75" x14ac:dyDescent="0.25">
      <c r="A14" s="213">
        <v>4</v>
      </c>
      <c r="B14" s="302" t="s">
        <v>227</v>
      </c>
      <c r="C14" s="304" t="s">
        <v>204</v>
      </c>
      <c r="D14" s="304"/>
      <c r="E14" s="290"/>
      <c r="F14" s="296" t="str">
        <f t="shared" ref="F14" si="70">C14&amp;"-"&amp;D14&amp;"- Table"&amp;E14</f>
        <v>4 Julio-- Table</v>
      </c>
      <c r="G14" s="290" t="s">
        <v>306</v>
      </c>
      <c r="H14" s="290">
        <v>3423</v>
      </c>
      <c r="I14" s="290" t="s">
        <v>305</v>
      </c>
      <c r="J14" s="290" t="s">
        <v>305</v>
      </c>
      <c r="K14" s="290" t="s">
        <v>12</v>
      </c>
      <c r="L14" s="290" t="s">
        <v>11</v>
      </c>
      <c r="M14" s="294">
        <v>0</v>
      </c>
      <c r="N14" s="290">
        <v>11</v>
      </c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2"/>
      <c r="AA14" s="226">
        <f t="shared" ref="AA14" si="71">IF(M14+N14&lt;&gt;0,SUM(AF14:AL14),"")</f>
        <v>0</v>
      </c>
      <c r="AB14" s="226">
        <f t="shared" ref="AB14" si="72">IF(M14+N14&lt;&gt;0,SUM(AF15:AL15),"")</f>
        <v>1</v>
      </c>
      <c r="AC14" s="226" t="str">
        <f t="shared" ref="AC14" si="73">IF(AA14&gt;AB14,AD14&amp;"  "&amp;AE14,IF(AB14&gt;AA14,AD14&amp;"  "&amp;AE15,""))</f>
        <v>1 - 0  (0)</v>
      </c>
      <c r="AD14" s="59" t="str">
        <f t="shared" ref="AD14" si="74">IF(AA14&gt;AB14,AA14&amp;" - "&amp;AB14,IF(AB14&gt;AA14,AB14&amp;" - "&amp;AA14,""))</f>
        <v>1 - 0</v>
      </c>
      <c r="AE14" s="59" t="str">
        <f t="shared" si="0"/>
        <v>(0)</v>
      </c>
      <c r="AF14" s="59">
        <f t="shared" ref="AF14" si="75">IF(M14&gt;N14,1,0)</f>
        <v>0</v>
      </c>
      <c r="AG14" s="59">
        <f t="shared" ref="AG14" si="76">IF(O14&gt;P14,1,0)</f>
        <v>0</v>
      </c>
      <c r="AH14" s="59">
        <f t="shared" ref="AH14" si="77">IF(Q14&gt;R14,1,0)</f>
        <v>0</v>
      </c>
      <c r="AI14" s="59">
        <f t="shared" ref="AI14" si="78">IF(S14&gt;T14,1,0)</f>
        <v>0</v>
      </c>
      <c r="AJ14" s="59">
        <f t="shared" ref="AJ14" si="79">IF(U14&gt;V14,1,0)</f>
        <v>0</v>
      </c>
      <c r="AK14" s="59">
        <f t="shared" ref="AK14" si="80">IF(W14&gt;X14,1,0)</f>
        <v>0</v>
      </c>
      <c r="AL14" s="59">
        <f t="shared" ref="AL14" si="81">IF(Y14&gt;Z14,1,0)</f>
        <v>0</v>
      </c>
      <c r="AM14" s="59">
        <f t="shared" ref="AM14" si="82">IF(M14&gt;N14,N14,IF(N14&gt;M14,-M14,""))</f>
        <v>0</v>
      </c>
      <c r="AN14" s="59" t="str">
        <f t="shared" ref="AN14" si="83">IF(O14&gt;P14,", "&amp;P14,IF(P14&gt;O14,", "&amp;-O14,""))</f>
        <v/>
      </c>
      <c r="AO14" s="59" t="str">
        <f t="shared" ref="AO14" si="84">IF(Q14&gt;R14,", "&amp;R14,IF(R14&gt;Q14,", "&amp;-Q14,""))</f>
        <v/>
      </c>
      <c r="AP14" s="59" t="str">
        <f t="shared" ref="AP14" si="85">IF(S14&gt;T14,", "&amp;T14,IF(T14&gt;S14,", "&amp;-S14,""))</f>
        <v/>
      </c>
      <c r="AQ14" s="59" t="str">
        <f t="shared" ref="AQ14" si="86">IF(U14&gt;V14,", "&amp;V14,IF(V14&gt;U14,", "&amp;-U14,""))</f>
        <v/>
      </c>
      <c r="AR14" s="59" t="str">
        <f t="shared" ref="AR14" si="87">IF(W14&gt;X14,", "&amp;X14,IF(X14&gt;W14,", "&amp;-W14,""))</f>
        <v/>
      </c>
      <c r="AS14" s="59" t="str">
        <f t="shared" ref="AS14" si="88">IF(Y14&gt;Z14,", "&amp;Z14,IF(Z14&gt;Y14,", "&amp;-Y14,""))</f>
        <v/>
      </c>
      <c r="AU14" s="73">
        <f>1+AU12</f>
        <v>4</v>
      </c>
      <c r="AV14" s="99">
        <f>VLOOKUP(AV13,$A$8:$L$87,8,FALSE)</f>
        <v>3915</v>
      </c>
      <c r="AW14" s="100" t="s">
        <v>25</v>
      </c>
      <c r="AX14" s="101" t="s">
        <v>6</v>
      </c>
      <c r="AY14" s="77"/>
      <c r="AZ14" s="78" t="str">
        <f>VLOOKUP(AV13,$A$8:$AD$91,29,FALSE)</f>
        <v>2 - 1  (7, -11, 6)</v>
      </c>
      <c r="BA14" s="78"/>
      <c r="BB14" s="70"/>
      <c r="BC14" s="70"/>
      <c r="BD14" s="102"/>
      <c r="BE14" s="77"/>
      <c r="BF14" s="78" t="str">
        <f>VLOOKUP(BB15,$A$8:$AD$87,29,FALSE)</f>
        <v>2 - 0  (10, 8)</v>
      </c>
      <c r="BG14" s="78"/>
      <c r="BH14" s="79"/>
      <c r="BI14" s="79"/>
      <c r="BJ14" s="90"/>
      <c r="BK14" s="79"/>
      <c r="BL14" s="91">
        <f t="shared" si="35"/>
        <v>6</v>
      </c>
      <c r="BM14" s="92" t="str">
        <f>C18</f>
        <v>4 Julio</v>
      </c>
      <c r="BN14" s="92">
        <f>D18</f>
        <v>0</v>
      </c>
      <c r="BO14" s="93">
        <f>E18</f>
        <v>0</v>
      </c>
      <c r="BP14" s="94" t="s">
        <v>222</v>
      </c>
      <c r="BQ14" s="91"/>
      <c r="BR14" s="91">
        <v>6</v>
      </c>
      <c r="BS14" s="95" t="e">
        <v>#REF!</v>
      </c>
      <c r="BT14" s="96"/>
      <c r="BU14" s="95" t="e">
        <v>#REF!</v>
      </c>
      <c r="BV14" s="96"/>
      <c r="BW14" s="91"/>
      <c r="BX14" s="81"/>
      <c r="BY14" s="97">
        <f>G18</f>
        <v>4274</v>
      </c>
      <c r="BZ14" s="98">
        <f>H18</f>
        <v>4159</v>
      </c>
      <c r="CA14" s="84" t="s">
        <v>223</v>
      </c>
      <c r="CB14" s="85" t="s">
        <v>230</v>
      </c>
    </row>
    <row r="15" spans="1:80" s="62" customFormat="1" ht="12.75" x14ac:dyDescent="0.25">
      <c r="A15" s="213"/>
      <c r="B15" s="303"/>
      <c r="C15" s="305"/>
      <c r="D15" s="305"/>
      <c r="E15" s="291"/>
      <c r="F15" s="297"/>
      <c r="G15" s="291"/>
      <c r="H15" s="291"/>
      <c r="I15" s="291">
        <v>0</v>
      </c>
      <c r="J15" s="291">
        <v>0</v>
      </c>
      <c r="K15" s="291">
        <v>0</v>
      </c>
      <c r="L15" s="291">
        <v>0</v>
      </c>
      <c r="M15" s="295"/>
      <c r="N15" s="291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3"/>
      <c r="AA15" s="226"/>
      <c r="AB15" s="226"/>
      <c r="AC15" s="226"/>
      <c r="AD15" s="59" t="str">
        <f t="shared" ref="AD15" si="89">IF(AA14&gt;AB14,AD14&amp;"  "&amp;AE14,IF(AB14&gt;AA14,AD14&amp;"  "&amp;AE15,""))</f>
        <v>1 - 0  (0)</v>
      </c>
      <c r="AE15" s="59" t="str">
        <f t="shared" si="0"/>
        <v>(0)</v>
      </c>
      <c r="AF15" s="59">
        <f t="shared" ref="AF15" si="90">IF(N14&gt;M14,1,0)</f>
        <v>1</v>
      </c>
      <c r="AG15" s="59">
        <f t="shared" ref="AG15" si="91">IF(P14&gt;O14,1,0)</f>
        <v>0</v>
      </c>
      <c r="AH15" s="59">
        <f t="shared" ref="AH15" si="92">IF(R14&gt;Q14,1,0)</f>
        <v>0</v>
      </c>
      <c r="AI15" s="59">
        <f t="shared" ref="AI15" si="93">IF(T14&gt;S14,1,0)</f>
        <v>0</v>
      </c>
      <c r="AJ15" s="59">
        <f t="shared" ref="AJ15" si="94">IF(V14&gt;U14,1,0)</f>
        <v>0</v>
      </c>
      <c r="AK15" s="59">
        <f t="shared" ref="AK15" si="95">IF(X14&gt;W14,1,0)</f>
        <v>0</v>
      </c>
      <c r="AL15" s="59">
        <f t="shared" ref="AL15" si="96">IF(Z14&gt;Y14,1,0)</f>
        <v>0</v>
      </c>
      <c r="AM15" s="59">
        <f t="shared" ref="AM15" si="97">IF(N14&gt;M14,M14,IF(M14&gt;N14,-N14,""))</f>
        <v>0</v>
      </c>
      <c r="AN15" s="59" t="str">
        <f t="shared" ref="AN15" si="98">IF(P14&gt;O14,", "&amp;O14,IF(O14&gt;P14,", "&amp;-P14,""))</f>
        <v/>
      </c>
      <c r="AO15" s="59" t="str">
        <f t="shared" ref="AO15" si="99">IF(R14&gt;Q14,", "&amp;Q14,IF(Q14&gt;R14,", "&amp;-R14,""))</f>
        <v/>
      </c>
      <c r="AP15" s="59" t="str">
        <f t="shared" ref="AP15" si="100">IF(T14&gt;S14,", "&amp;S14,IF(S14&gt;T14,", "&amp;-T14,""))</f>
        <v/>
      </c>
      <c r="AQ15" s="59" t="str">
        <f t="shared" ref="AQ15" si="101">IF(V14&gt;U14,", "&amp;U14,IF(U14&gt;V14,", "&amp;-V14,""))</f>
        <v/>
      </c>
      <c r="AR15" s="59" t="str">
        <f t="shared" ref="AR15" si="102">IF(X14&gt;W14,", "&amp;W14,IF(W14&gt;X14,", "&amp;-X14,""))</f>
        <v/>
      </c>
      <c r="AS15" s="59" t="str">
        <f t="shared" ref="AS15" si="103">IF(Z14&gt;Y14,", "&amp;Y14,IF(Y14&gt;Z14,", "&amp;-Z14,""))</f>
        <v/>
      </c>
      <c r="AU15" s="63"/>
      <c r="AV15" s="64"/>
      <c r="AW15" s="70"/>
      <c r="AX15" s="103"/>
      <c r="AY15" s="70"/>
      <c r="AZ15" s="70"/>
      <c r="BA15" s="71"/>
      <c r="BB15" s="104">
        <v>25</v>
      </c>
      <c r="BC15" s="87" t="str">
        <f>VLOOKUP(BB15,$A$8:$L$87,6,FALSE)</f>
        <v>4 Julio-- Table</v>
      </c>
      <c r="BD15" s="102"/>
      <c r="BE15" s="89">
        <f>VLOOKUP(BE23,$A$8:$L$91,7,FALSE)</f>
        <v>3423</v>
      </c>
      <c r="BF15" s="75" t="s">
        <v>12</v>
      </c>
      <c r="BG15" s="76" t="s">
        <v>11</v>
      </c>
      <c r="BH15" s="79"/>
      <c r="BI15" s="79"/>
      <c r="BJ15" s="90"/>
      <c r="BK15" s="79"/>
      <c r="BL15" s="91">
        <f t="shared" si="35"/>
        <v>7</v>
      </c>
      <c r="BM15" s="92" t="str">
        <f>C20</f>
        <v>4 Julio</v>
      </c>
      <c r="BN15" s="92">
        <f>D20</f>
        <v>0</v>
      </c>
      <c r="BO15" s="93">
        <f>E20</f>
        <v>0</v>
      </c>
      <c r="BP15" s="94" t="s">
        <v>222</v>
      </c>
      <c r="BQ15" s="91"/>
      <c r="BR15" s="91">
        <v>7</v>
      </c>
      <c r="BS15" s="95" t="e">
        <v>#REF!</v>
      </c>
      <c r="BT15" s="96"/>
      <c r="BU15" s="95" t="e">
        <v>#REF!</v>
      </c>
      <c r="BV15" s="96"/>
      <c r="BW15" s="91"/>
      <c r="BX15" s="81"/>
      <c r="BY15" s="97">
        <f>G20</f>
        <v>4048</v>
      </c>
      <c r="BZ15" s="98">
        <f>H20</f>
        <v>3720</v>
      </c>
      <c r="CA15" s="84" t="s">
        <v>223</v>
      </c>
      <c r="CB15" s="85" t="s">
        <v>231</v>
      </c>
    </row>
    <row r="16" spans="1:80" s="62" customFormat="1" ht="12.75" x14ac:dyDescent="0.25">
      <c r="A16" s="213">
        <v>5</v>
      </c>
      <c r="B16" s="308" t="s">
        <v>227</v>
      </c>
      <c r="C16" s="310" t="s">
        <v>204</v>
      </c>
      <c r="D16" s="310"/>
      <c r="E16" s="298"/>
      <c r="F16" s="312" t="str">
        <f t="shared" ref="F16" si="104">C16&amp;"-"&amp;D16&amp;"- Table"&amp;E16</f>
        <v>4 Julio-- Table</v>
      </c>
      <c r="G16" s="298">
        <v>3828</v>
      </c>
      <c r="H16" s="298" t="s">
        <v>306</v>
      </c>
      <c r="I16" s="298" t="s">
        <v>14</v>
      </c>
      <c r="J16" s="298" t="s">
        <v>15</v>
      </c>
      <c r="K16" s="298" t="s">
        <v>305</v>
      </c>
      <c r="L16" s="298" t="s">
        <v>305</v>
      </c>
      <c r="M16" s="306">
        <v>11</v>
      </c>
      <c r="N16" s="298">
        <v>0</v>
      </c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300"/>
      <c r="AA16" s="226">
        <f t="shared" ref="AA16" si="105">IF(M16+N16&lt;&gt;0,SUM(AF16:AL16),"")</f>
        <v>1</v>
      </c>
      <c r="AB16" s="226">
        <f t="shared" ref="AB16" si="106">IF(M16+N16&lt;&gt;0,SUM(AF17:AL17),"")</f>
        <v>0</v>
      </c>
      <c r="AC16" s="226" t="str">
        <f t="shared" ref="AC16" si="107">IF(AA16&gt;AB16,AD16&amp;"  "&amp;AE16,IF(AB16&gt;AA16,AD16&amp;"  "&amp;AE17,""))</f>
        <v>1 - 0  (0)</v>
      </c>
      <c r="AD16" s="59" t="str">
        <f t="shared" ref="AD16" si="108">IF(AA16&gt;AB16,AA16&amp;" - "&amp;AB16,IF(AB16&gt;AA16,AB16&amp;" - "&amp;AA16,""))</f>
        <v>1 - 0</v>
      </c>
      <c r="AE16" s="59" t="str">
        <f t="shared" si="0"/>
        <v>(0)</v>
      </c>
      <c r="AF16" s="59">
        <f t="shared" ref="AF16" si="109">IF(M16&gt;N16,1,0)</f>
        <v>1</v>
      </c>
      <c r="AG16" s="59">
        <f t="shared" ref="AG16" si="110">IF(O16&gt;P16,1,0)</f>
        <v>0</v>
      </c>
      <c r="AH16" s="59">
        <f t="shared" ref="AH16" si="111">IF(Q16&gt;R16,1,0)</f>
        <v>0</v>
      </c>
      <c r="AI16" s="59">
        <f t="shared" ref="AI16" si="112">IF(S16&gt;T16,1,0)</f>
        <v>0</v>
      </c>
      <c r="AJ16" s="59">
        <f t="shared" ref="AJ16" si="113">IF(U16&gt;V16,1,0)</f>
        <v>0</v>
      </c>
      <c r="AK16" s="59">
        <f t="shared" ref="AK16" si="114">IF(W16&gt;X16,1,0)</f>
        <v>0</v>
      </c>
      <c r="AL16" s="59">
        <f t="shared" ref="AL16" si="115">IF(Y16&gt;Z16,1,0)</f>
        <v>0</v>
      </c>
      <c r="AM16" s="59">
        <f t="shared" ref="AM16" si="116">IF(M16&gt;N16,N16,IF(N16&gt;M16,-M16,""))</f>
        <v>0</v>
      </c>
      <c r="AN16" s="59" t="str">
        <f t="shared" ref="AN16" si="117">IF(O16&gt;P16,", "&amp;P16,IF(P16&gt;O16,", "&amp;-O16,""))</f>
        <v/>
      </c>
      <c r="AO16" s="59" t="str">
        <f t="shared" ref="AO16" si="118">IF(Q16&gt;R16,", "&amp;R16,IF(R16&gt;Q16,", "&amp;-Q16,""))</f>
        <v/>
      </c>
      <c r="AP16" s="59" t="str">
        <f t="shared" ref="AP16" si="119">IF(S16&gt;T16,", "&amp;T16,IF(T16&gt;S16,", "&amp;-S16,""))</f>
        <v/>
      </c>
      <c r="AQ16" s="59" t="str">
        <f t="shared" ref="AQ16" si="120">IF(U16&gt;V16,", "&amp;V16,IF(V16&gt;U16,", "&amp;-U16,""))</f>
        <v/>
      </c>
      <c r="AR16" s="59" t="str">
        <f t="shared" ref="AR16" si="121">IF(W16&gt;X16,", "&amp;X16,IF(X16&gt;W16,", "&amp;-W16,""))</f>
        <v/>
      </c>
      <c r="AS16" s="59" t="str">
        <f t="shared" ref="AS16" si="122">IF(Y16&gt;Z16,", "&amp;Z16,IF(Z16&gt;Y16,", "&amp;-Y16,""))</f>
        <v/>
      </c>
      <c r="AU16" s="73">
        <f>1+AU14</f>
        <v>5</v>
      </c>
      <c r="AV16" s="74">
        <f>VLOOKUP(AV17,$A$8:$L$87,7,FALSE)</f>
        <v>3770</v>
      </c>
      <c r="AW16" s="75" t="s">
        <v>35</v>
      </c>
      <c r="AX16" s="76" t="s">
        <v>24</v>
      </c>
      <c r="AY16" s="77"/>
      <c r="AZ16" s="78" t="str">
        <f>VLOOKUP(AV17,$A$8:$AD$87,29,FALSE)</f>
        <v>2 - 0  (7, 6)</v>
      </c>
      <c r="BA16" s="78"/>
      <c r="BB16" s="70"/>
      <c r="BC16" s="70"/>
      <c r="BD16" s="102"/>
      <c r="BE16" s="70"/>
      <c r="BF16" s="79"/>
      <c r="BG16" s="107"/>
      <c r="BH16" s="79"/>
      <c r="BI16" s="79"/>
      <c r="BJ16" s="90"/>
      <c r="BK16" s="79"/>
      <c r="BL16" s="91">
        <f t="shared" si="35"/>
        <v>8</v>
      </c>
      <c r="BM16" s="92" t="str">
        <f>C22</f>
        <v>4 Julio</v>
      </c>
      <c r="BN16" s="92">
        <f>D22</f>
        <v>0</v>
      </c>
      <c r="BO16" s="93">
        <f>E22</f>
        <v>0</v>
      </c>
      <c r="BP16" s="94" t="s">
        <v>222</v>
      </c>
      <c r="BQ16" s="91"/>
      <c r="BR16" s="91">
        <v>8</v>
      </c>
      <c r="BS16" s="95" t="e">
        <v>#REF!</v>
      </c>
      <c r="BT16" s="96"/>
      <c r="BU16" s="95" t="e">
        <v>#REF!</v>
      </c>
      <c r="BV16" s="96"/>
      <c r="BW16" s="91"/>
      <c r="BX16" s="81"/>
      <c r="BY16" s="97" t="str">
        <f>G22</f>
        <v>X</v>
      </c>
      <c r="BZ16" s="98">
        <f>H22</f>
        <v>3756</v>
      </c>
      <c r="CA16" s="84" t="s">
        <v>223</v>
      </c>
      <c r="CB16" s="85" t="s">
        <v>232</v>
      </c>
    </row>
    <row r="17" spans="1:80" s="62" customFormat="1" ht="12.75" x14ac:dyDescent="0.25">
      <c r="A17" s="213"/>
      <c r="B17" s="309"/>
      <c r="C17" s="311"/>
      <c r="D17" s="311"/>
      <c r="E17" s="299"/>
      <c r="F17" s="313"/>
      <c r="G17" s="299"/>
      <c r="H17" s="299"/>
      <c r="I17" s="299">
        <v>0</v>
      </c>
      <c r="J17" s="299">
        <v>0</v>
      </c>
      <c r="K17" s="299">
        <v>0</v>
      </c>
      <c r="L17" s="299">
        <v>0</v>
      </c>
      <c r="M17" s="307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301"/>
      <c r="AA17" s="226"/>
      <c r="AB17" s="226"/>
      <c r="AC17" s="226"/>
      <c r="AD17" s="59" t="str">
        <f t="shared" ref="AD17" si="123">IF(AA16&gt;AB16,AD16&amp;"  "&amp;AE16,IF(AB16&gt;AA16,AD16&amp;"  "&amp;AE17,""))</f>
        <v>1 - 0  (0)</v>
      </c>
      <c r="AE17" s="59" t="str">
        <f t="shared" si="0"/>
        <v>(0)</v>
      </c>
      <c r="AF17" s="59">
        <f t="shared" ref="AF17" si="124">IF(N16&gt;M16,1,0)</f>
        <v>0</v>
      </c>
      <c r="AG17" s="59">
        <f t="shared" ref="AG17" si="125">IF(P16&gt;O16,1,0)</f>
        <v>0</v>
      </c>
      <c r="AH17" s="59">
        <f t="shared" ref="AH17" si="126">IF(R16&gt;Q16,1,0)</f>
        <v>0</v>
      </c>
      <c r="AI17" s="59">
        <f t="shared" ref="AI17" si="127">IF(T16&gt;S16,1,0)</f>
        <v>0</v>
      </c>
      <c r="AJ17" s="59">
        <f t="shared" ref="AJ17" si="128">IF(V16&gt;U16,1,0)</f>
        <v>0</v>
      </c>
      <c r="AK17" s="59">
        <f t="shared" ref="AK17" si="129">IF(X16&gt;W16,1,0)</f>
        <v>0</v>
      </c>
      <c r="AL17" s="59">
        <f t="shared" ref="AL17" si="130">IF(Z16&gt;Y16,1,0)</f>
        <v>0</v>
      </c>
      <c r="AM17" s="59">
        <f t="shared" ref="AM17" si="131">IF(N16&gt;M16,M16,IF(M16&gt;N16,-N16,""))</f>
        <v>0</v>
      </c>
      <c r="AN17" s="59" t="str">
        <f t="shared" ref="AN17" si="132">IF(P16&gt;O16,", "&amp;O16,IF(O16&gt;P16,", "&amp;-P16,""))</f>
        <v/>
      </c>
      <c r="AO17" s="59" t="str">
        <f t="shared" ref="AO17" si="133">IF(R16&gt;Q16,", "&amp;Q16,IF(Q16&gt;R16,", "&amp;-R16,""))</f>
        <v/>
      </c>
      <c r="AP17" s="59" t="str">
        <f t="shared" ref="AP17" si="134">IF(T16&gt;S16,", "&amp;S16,IF(S16&gt;T16,", "&amp;-T16,""))</f>
        <v/>
      </c>
      <c r="AQ17" s="59" t="str">
        <f t="shared" ref="AQ17" si="135">IF(V16&gt;U16,", "&amp;U16,IF(U16&gt;V16,", "&amp;-V16,""))</f>
        <v/>
      </c>
      <c r="AR17" s="59" t="str">
        <f t="shared" ref="AR17" si="136">IF(X16&gt;W16,", "&amp;W16,IF(W16&gt;X16,", "&amp;-X16,""))</f>
        <v/>
      </c>
      <c r="AS17" s="59" t="str">
        <f t="shared" ref="AS17" si="137">IF(Z16&gt;Y16,", "&amp;Y16,IF(Y16&gt;Z16,", "&amp;-Z16,""))</f>
        <v/>
      </c>
      <c r="AU17" s="63"/>
      <c r="AV17" s="86">
        <v>3</v>
      </c>
      <c r="AW17" s="87" t="str">
        <f>VLOOKUP(AV17,$A$8:$L$87,6,FALSE)</f>
        <v>4 Julio-- Table</v>
      </c>
      <c r="AX17" s="88"/>
      <c r="AY17" s="89">
        <f>VLOOKUP(AY19,$A$8:$L$91,7,FALSE)</f>
        <v>4047</v>
      </c>
      <c r="AZ17" s="75" t="s">
        <v>28</v>
      </c>
      <c r="BA17" s="76" t="s">
        <v>11</v>
      </c>
      <c r="BB17" s="70"/>
      <c r="BC17" s="70"/>
      <c r="BD17" s="102"/>
      <c r="BE17" s="70"/>
      <c r="BF17" s="79"/>
      <c r="BG17" s="107"/>
      <c r="BH17" s="79"/>
      <c r="BI17" s="79"/>
      <c r="BJ17" s="90"/>
      <c r="BK17" s="79"/>
      <c r="BL17" s="91">
        <f t="shared" si="35"/>
        <v>9</v>
      </c>
      <c r="BM17" s="92" t="str">
        <f>C24</f>
        <v>4 Julio</v>
      </c>
      <c r="BN17" s="92">
        <f>D24</f>
        <v>0</v>
      </c>
      <c r="BO17" s="93">
        <f>E24</f>
        <v>0</v>
      </c>
      <c r="BP17" s="94" t="s">
        <v>222</v>
      </c>
      <c r="BQ17" s="91"/>
      <c r="BR17" s="91">
        <v>9</v>
      </c>
      <c r="BS17" s="95" t="e">
        <v>#REF!</v>
      </c>
      <c r="BT17" s="96"/>
      <c r="BU17" s="95" t="e">
        <v>#REF!</v>
      </c>
      <c r="BV17" s="96"/>
      <c r="BW17" s="91"/>
      <c r="BX17" s="81"/>
      <c r="BY17" s="97">
        <f>G24</f>
        <v>3918</v>
      </c>
      <c r="BZ17" s="98" t="str">
        <f>H24</f>
        <v>X</v>
      </c>
      <c r="CA17" s="84" t="s">
        <v>223</v>
      </c>
      <c r="CB17" s="85" t="s">
        <v>233</v>
      </c>
    </row>
    <row r="18" spans="1:80" s="62" customFormat="1" ht="12.75" x14ac:dyDescent="0.25">
      <c r="A18" s="213">
        <v>6</v>
      </c>
      <c r="B18" s="302" t="s">
        <v>227</v>
      </c>
      <c r="C18" s="304" t="s">
        <v>204</v>
      </c>
      <c r="D18" s="304"/>
      <c r="E18" s="290"/>
      <c r="F18" s="296" t="str">
        <f t="shared" ref="F18" si="138">C18&amp;"-"&amp;D18&amp;"- Table"&amp;E18</f>
        <v>4 Julio-- Table</v>
      </c>
      <c r="G18" s="290">
        <v>4274</v>
      </c>
      <c r="H18" s="290">
        <v>4159</v>
      </c>
      <c r="I18" s="290" t="s">
        <v>22</v>
      </c>
      <c r="J18" s="290" t="s">
        <v>15</v>
      </c>
      <c r="K18" s="290" t="s">
        <v>16</v>
      </c>
      <c r="L18" s="290" t="s">
        <v>11</v>
      </c>
      <c r="M18" s="294">
        <v>4</v>
      </c>
      <c r="N18" s="290">
        <v>11</v>
      </c>
      <c r="O18" s="290">
        <v>14</v>
      </c>
      <c r="P18" s="290">
        <v>12</v>
      </c>
      <c r="Q18" s="290">
        <v>5</v>
      </c>
      <c r="R18" s="290">
        <v>11</v>
      </c>
      <c r="S18" s="290"/>
      <c r="T18" s="290"/>
      <c r="U18" s="290"/>
      <c r="V18" s="290"/>
      <c r="W18" s="290"/>
      <c r="X18" s="290"/>
      <c r="Y18" s="290"/>
      <c r="Z18" s="292"/>
      <c r="AA18" s="226">
        <f t="shared" ref="AA18" si="139">IF(M18+N18&lt;&gt;0,SUM(AF18:AL18),"")</f>
        <v>1</v>
      </c>
      <c r="AB18" s="226">
        <f t="shared" ref="AB18" si="140">IF(M18+N18&lt;&gt;0,SUM(AF19:AL19),"")</f>
        <v>2</v>
      </c>
      <c r="AC18" s="226" t="str">
        <f t="shared" ref="AC18" si="141">IF(AA18&gt;AB18,AD18&amp;"  "&amp;AE18,IF(AB18&gt;AA18,AD18&amp;"  "&amp;AE19,""))</f>
        <v>2 - 1  (4, -12, 5)</v>
      </c>
      <c r="AD18" s="59" t="str">
        <f t="shared" ref="AD18" si="142">IF(AA18&gt;AB18,AA18&amp;" - "&amp;AB18,IF(AB18&gt;AA18,AB18&amp;" - "&amp;AA18,""))</f>
        <v>2 - 1</v>
      </c>
      <c r="AE18" s="59" t="str">
        <f t="shared" si="0"/>
        <v>(-4, 12, -5)</v>
      </c>
      <c r="AF18" s="59">
        <f t="shared" ref="AF18" si="143">IF(M18&gt;N18,1,0)</f>
        <v>0</v>
      </c>
      <c r="AG18" s="59">
        <f t="shared" ref="AG18" si="144">IF(O18&gt;P18,1,0)</f>
        <v>1</v>
      </c>
      <c r="AH18" s="59">
        <f t="shared" ref="AH18" si="145">IF(Q18&gt;R18,1,0)</f>
        <v>0</v>
      </c>
      <c r="AI18" s="59">
        <f t="shared" ref="AI18" si="146">IF(S18&gt;T18,1,0)</f>
        <v>0</v>
      </c>
      <c r="AJ18" s="59">
        <f t="shared" ref="AJ18" si="147">IF(U18&gt;V18,1,0)</f>
        <v>0</v>
      </c>
      <c r="AK18" s="59">
        <f t="shared" ref="AK18" si="148">IF(W18&gt;X18,1,0)</f>
        <v>0</v>
      </c>
      <c r="AL18" s="59">
        <f t="shared" ref="AL18" si="149">IF(Y18&gt;Z18,1,0)</f>
        <v>0</v>
      </c>
      <c r="AM18" s="59">
        <f t="shared" ref="AM18" si="150">IF(M18&gt;N18,N18,IF(N18&gt;M18,-M18,""))</f>
        <v>-4</v>
      </c>
      <c r="AN18" s="59" t="str">
        <f t="shared" ref="AN18" si="151">IF(O18&gt;P18,", "&amp;P18,IF(P18&gt;O18,", "&amp;-O18,""))</f>
        <v>, 12</v>
      </c>
      <c r="AO18" s="59" t="str">
        <f t="shared" ref="AO18" si="152">IF(Q18&gt;R18,", "&amp;R18,IF(R18&gt;Q18,", "&amp;-Q18,""))</f>
        <v>, -5</v>
      </c>
      <c r="AP18" s="59" t="str">
        <f t="shared" ref="AP18" si="153">IF(S18&gt;T18,", "&amp;T18,IF(T18&gt;S18,", "&amp;-S18,""))</f>
        <v/>
      </c>
      <c r="AQ18" s="59" t="str">
        <f t="shared" ref="AQ18" si="154">IF(U18&gt;V18,", "&amp;V18,IF(V18&gt;U18,", "&amp;-U18,""))</f>
        <v/>
      </c>
      <c r="AR18" s="59" t="str">
        <f t="shared" ref="AR18" si="155">IF(W18&gt;X18,", "&amp;X18,IF(X18&gt;W18,", "&amp;-W18,""))</f>
        <v/>
      </c>
      <c r="AS18" s="59" t="str">
        <f t="shared" ref="AS18" si="156">IF(Y18&gt;Z18,", "&amp;Z18,IF(Z18&gt;Y18,", "&amp;-Y18,""))</f>
        <v/>
      </c>
      <c r="AU18" s="73">
        <f>1+AU16</f>
        <v>6</v>
      </c>
      <c r="AV18" s="99">
        <f>VLOOKUP(AV17,$A$8:$L$87,8,FALSE)</f>
        <v>4047</v>
      </c>
      <c r="AW18" s="100" t="s">
        <v>28</v>
      </c>
      <c r="AX18" s="101" t="s">
        <v>11</v>
      </c>
      <c r="AY18" s="70"/>
      <c r="AZ18" s="70"/>
      <c r="BA18" s="102"/>
      <c r="BB18" s="70"/>
      <c r="BC18" s="70"/>
      <c r="BD18" s="102"/>
      <c r="BE18" s="70"/>
      <c r="BF18" s="79"/>
      <c r="BG18" s="107"/>
      <c r="BH18" s="79"/>
      <c r="BI18" s="79"/>
      <c r="BJ18" s="90"/>
      <c r="BK18" s="79"/>
      <c r="BL18" s="91">
        <f t="shared" si="35"/>
        <v>10</v>
      </c>
      <c r="BM18" s="92" t="str">
        <f>C26</f>
        <v>4 Julio</v>
      </c>
      <c r="BN18" s="92">
        <f>D26</f>
        <v>0</v>
      </c>
      <c r="BO18" s="93">
        <f>E26</f>
        <v>0</v>
      </c>
      <c r="BP18" s="94" t="s">
        <v>222</v>
      </c>
      <c r="BQ18" s="91"/>
      <c r="BR18" s="91">
        <v>10</v>
      </c>
      <c r="BS18" s="95" t="e">
        <v>#REF!</v>
      </c>
      <c r="BT18" s="96"/>
      <c r="BU18" s="95" t="e">
        <v>#REF!</v>
      </c>
      <c r="BV18" s="96"/>
      <c r="BW18" s="91"/>
      <c r="BX18" s="81"/>
      <c r="BY18" s="97">
        <f>G26</f>
        <v>4709</v>
      </c>
      <c r="BZ18" s="98">
        <f>H26</f>
        <v>4579</v>
      </c>
      <c r="CA18" s="84" t="s">
        <v>223</v>
      </c>
      <c r="CB18" s="85" t="s">
        <v>234</v>
      </c>
    </row>
    <row r="19" spans="1:80" s="62" customFormat="1" ht="12.75" x14ac:dyDescent="0.25">
      <c r="A19" s="213"/>
      <c r="B19" s="303"/>
      <c r="C19" s="305"/>
      <c r="D19" s="305"/>
      <c r="E19" s="291"/>
      <c r="F19" s="297"/>
      <c r="G19" s="291"/>
      <c r="H19" s="291"/>
      <c r="I19" s="291">
        <v>0</v>
      </c>
      <c r="J19" s="291">
        <v>0</v>
      </c>
      <c r="K19" s="291">
        <v>0</v>
      </c>
      <c r="L19" s="291">
        <v>0</v>
      </c>
      <c r="M19" s="295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3"/>
      <c r="AA19" s="226"/>
      <c r="AB19" s="226"/>
      <c r="AC19" s="226"/>
      <c r="AD19" s="59" t="str">
        <f t="shared" ref="AD19" si="157">IF(AA18&gt;AB18,AD18&amp;"  "&amp;AE18,IF(AB18&gt;AA18,AD18&amp;"  "&amp;AE19,""))</f>
        <v>2 - 1  (4, -12, 5)</v>
      </c>
      <c r="AE19" s="59" t="str">
        <f t="shared" si="0"/>
        <v>(4, -12, 5)</v>
      </c>
      <c r="AF19" s="59">
        <f t="shared" ref="AF19" si="158">IF(N18&gt;M18,1,0)</f>
        <v>1</v>
      </c>
      <c r="AG19" s="59">
        <f t="shared" ref="AG19" si="159">IF(P18&gt;O18,1,0)</f>
        <v>0</v>
      </c>
      <c r="AH19" s="59">
        <f t="shared" ref="AH19" si="160">IF(R18&gt;Q18,1,0)</f>
        <v>1</v>
      </c>
      <c r="AI19" s="59">
        <f t="shared" ref="AI19" si="161">IF(T18&gt;S18,1,0)</f>
        <v>0</v>
      </c>
      <c r="AJ19" s="59">
        <f t="shared" ref="AJ19" si="162">IF(V18&gt;U18,1,0)</f>
        <v>0</v>
      </c>
      <c r="AK19" s="59">
        <f t="shared" ref="AK19" si="163">IF(X18&gt;W18,1,0)</f>
        <v>0</v>
      </c>
      <c r="AL19" s="59">
        <f t="shared" ref="AL19" si="164">IF(Z18&gt;Y18,1,0)</f>
        <v>0</v>
      </c>
      <c r="AM19" s="59">
        <f t="shared" ref="AM19" si="165">IF(N18&gt;M18,M18,IF(M18&gt;N18,-N18,""))</f>
        <v>4</v>
      </c>
      <c r="AN19" s="59" t="str">
        <f t="shared" ref="AN19" si="166">IF(P18&gt;O18,", "&amp;O18,IF(O18&gt;P18,", "&amp;-P18,""))</f>
        <v>, -12</v>
      </c>
      <c r="AO19" s="59" t="str">
        <f t="shared" ref="AO19" si="167">IF(R18&gt;Q18,", "&amp;Q18,IF(Q18&gt;R18,", "&amp;-R18,""))</f>
        <v>, 5</v>
      </c>
      <c r="AP19" s="59" t="str">
        <f t="shared" ref="AP19" si="168">IF(T18&gt;S18,", "&amp;S18,IF(S18&gt;T18,", "&amp;-T18,""))</f>
        <v/>
      </c>
      <c r="AQ19" s="59" t="str">
        <f t="shared" ref="AQ19" si="169">IF(V18&gt;U18,", "&amp;U18,IF(U18&gt;V18,", "&amp;-V18,""))</f>
        <v/>
      </c>
      <c r="AR19" s="59" t="str">
        <f t="shared" ref="AR19" si="170">IF(X18&gt;W18,", "&amp;W18,IF(W18&gt;X18,", "&amp;-X18,""))</f>
        <v/>
      </c>
      <c r="AS19" s="59" t="str">
        <f t="shared" ref="AS19" si="171">IF(Z18&gt;Y18,", "&amp;Y18,IF(Y18&gt;Z18,", "&amp;-Z18,""))</f>
        <v/>
      </c>
      <c r="AU19" s="63"/>
      <c r="AV19" s="64"/>
      <c r="AW19" s="70"/>
      <c r="AX19" s="103"/>
      <c r="AY19" s="104">
        <v>18</v>
      </c>
      <c r="AZ19" s="87" t="str">
        <f>VLOOKUP(AY19,$A$8:$L$87,6,FALSE)</f>
        <v>4 Julio-- Table</v>
      </c>
      <c r="BA19" s="105"/>
      <c r="BB19" s="100">
        <f>VLOOKUP(BB15,$A$8:$L$91,8,FALSE)</f>
        <v>3423</v>
      </c>
      <c r="BC19" s="100" t="s">
        <v>12</v>
      </c>
      <c r="BD19" s="101" t="s">
        <v>11</v>
      </c>
      <c r="BE19" s="70"/>
      <c r="BF19" s="79"/>
      <c r="BG19" s="107"/>
      <c r="BH19" s="79"/>
      <c r="BI19" s="79"/>
      <c r="BJ19" s="90"/>
      <c r="BK19" s="79"/>
      <c r="BL19" s="91">
        <f t="shared" si="35"/>
        <v>11</v>
      </c>
      <c r="BM19" s="92" t="str">
        <f>C28</f>
        <v>4 Julio</v>
      </c>
      <c r="BN19" s="92">
        <f>D28</f>
        <v>0</v>
      </c>
      <c r="BO19" s="93">
        <f>E28</f>
        <v>0</v>
      </c>
      <c r="BP19" s="94" t="s">
        <v>222</v>
      </c>
      <c r="BQ19" s="91"/>
      <c r="BR19" s="91">
        <v>11</v>
      </c>
      <c r="BS19" s="95" t="e">
        <v>#REF!</v>
      </c>
      <c r="BT19" s="96"/>
      <c r="BU19" s="95" t="e">
        <v>#REF!</v>
      </c>
      <c r="BV19" s="96"/>
      <c r="BW19" s="91"/>
      <c r="BX19" s="81"/>
      <c r="BY19" s="97">
        <f>G28</f>
        <v>3767</v>
      </c>
      <c r="BZ19" s="98">
        <f>H28</f>
        <v>4273</v>
      </c>
      <c r="CA19" s="84" t="s">
        <v>223</v>
      </c>
      <c r="CB19" s="85" t="s">
        <v>235</v>
      </c>
    </row>
    <row r="20" spans="1:80" s="62" customFormat="1" ht="12.75" x14ac:dyDescent="0.25">
      <c r="A20" s="213">
        <v>7</v>
      </c>
      <c r="B20" s="308" t="s">
        <v>227</v>
      </c>
      <c r="C20" s="310" t="s">
        <v>204</v>
      </c>
      <c r="D20" s="310"/>
      <c r="E20" s="298"/>
      <c r="F20" s="312" t="str">
        <f t="shared" ref="F20" si="172">C20&amp;"-"&amp;D20&amp;"- Table"&amp;E20</f>
        <v>4 Julio-- Table</v>
      </c>
      <c r="G20" s="298">
        <v>4048</v>
      </c>
      <c r="H20" s="298">
        <v>3720</v>
      </c>
      <c r="I20" s="298" t="s">
        <v>21</v>
      </c>
      <c r="J20" s="298" t="s">
        <v>11</v>
      </c>
      <c r="K20" s="298" t="s">
        <v>29</v>
      </c>
      <c r="L20" s="298" t="s">
        <v>15</v>
      </c>
      <c r="M20" s="306">
        <v>7</v>
      </c>
      <c r="N20" s="298">
        <v>11</v>
      </c>
      <c r="O20" s="298">
        <v>11</v>
      </c>
      <c r="P20" s="298">
        <v>6</v>
      </c>
      <c r="Q20" s="298">
        <v>11</v>
      </c>
      <c r="R20" s="298">
        <v>3</v>
      </c>
      <c r="S20" s="298"/>
      <c r="T20" s="298"/>
      <c r="U20" s="298"/>
      <c r="V20" s="298"/>
      <c r="W20" s="298"/>
      <c r="X20" s="298"/>
      <c r="Y20" s="298"/>
      <c r="Z20" s="300"/>
      <c r="AA20" s="226">
        <f t="shared" ref="AA20" si="173">IF(M20+N20&lt;&gt;0,SUM(AF20:AL20),"")</f>
        <v>2</v>
      </c>
      <c r="AB20" s="226">
        <f t="shared" ref="AB20" si="174">IF(M20+N20&lt;&gt;0,SUM(AF21:AL21),"")</f>
        <v>1</v>
      </c>
      <c r="AC20" s="226" t="str">
        <f t="shared" ref="AC20" si="175">IF(AA20&gt;AB20,AD20&amp;"  "&amp;AE20,IF(AB20&gt;AA20,AD20&amp;"  "&amp;AE21,""))</f>
        <v>2 - 1  (-7, 6, 3)</v>
      </c>
      <c r="AD20" s="59" t="str">
        <f t="shared" ref="AD20" si="176">IF(AA20&gt;AB20,AA20&amp;" - "&amp;AB20,IF(AB20&gt;AA20,AB20&amp;" - "&amp;AA20,""))</f>
        <v>2 - 1</v>
      </c>
      <c r="AE20" s="59" t="str">
        <f t="shared" si="0"/>
        <v>(-7, 6, 3)</v>
      </c>
      <c r="AF20" s="59">
        <f t="shared" ref="AF20" si="177">IF(M20&gt;N20,1,0)</f>
        <v>0</v>
      </c>
      <c r="AG20" s="59">
        <f t="shared" ref="AG20" si="178">IF(O20&gt;P20,1,0)</f>
        <v>1</v>
      </c>
      <c r="AH20" s="59">
        <f t="shared" ref="AH20" si="179">IF(Q20&gt;R20,1,0)</f>
        <v>1</v>
      </c>
      <c r="AI20" s="59">
        <f t="shared" ref="AI20" si="180">IF(S20&gt;T20,1,0)</f>
        <v>0</v>
      </c>
      <c r="AJ20" s="59">
        <f t="shared" ref="AJ20" si="181">IF(U20&gt;V20,1,0)</f>
        <v>0</v>
      </c>
      <c r="AK20" s="59">
        <f t="shared" ref="AK20" si="182">IF(W20&gt;X20,1,0)</f>
        <v>0</v>
      </c>
      <c r="AL20" s="59">
        <f t="shared" ref="AL20" si="183">IF(Y20&gt;Z20,1,0)</f>
        <v>0</v>
      </c>
      <c r="AM20" s="59">
        <f t="shared" ref="AM20" si="184">IF(M20&gt;N20,N20,IF(N20&gt;M20,-M20,""))</f>
        <v>-7</v>
      </c>
      <c r="AN20" s="59" t="str">
        <f t="shared" ref="AN20" si="185">IF(O20&gt;P20,", "&amp;P20,IF(P20&gt;O20,", "&amp;-O20,""))</f>
        <v>, 6</v>
      </c>
      <c r="AO20" s="59" t="str">
        <f t="shared" ref="AO20" si="186">IF(Q20&gt;R20,", "&amp;R20,IF(R20&gt;Q20,", "&amp;-Q20,""))</f>
        <v>, 3</v>
      </c>
      <c r="AP20" s="59" t="str">
        <f t="shared" ref="AP20" si="187">IF(S20&gt;T20,", "&amp;T20,IF(T20&gt;S20,", "&amp;-S20,""))</f>
        <v/>
      </c>
      <c r="AQ20" s="59" t="str">
        <f t="shared" ref="AQ20" si="188">IF(U20&gt;V20,", "&amp;V20,IF(V20&gt;U20,", "&amp;-U20,""))</f>
        <v/>
      </c>
      <c r="AR20" s="59" t="str">
        <f t="shared" ref="AR20" si="189">IF(W20&gt;X20,", "&amp;X20,IF(X20&gt;W20,", "&amp;-W20,""))</f>
        <v/>
      </c>
      <c r="AS20" s="59" t="str">
        <f t="shared" ref="AS20" si="190">IF(Y20&gt;Z20,", "&amp;Z20,IF(Z20&gt;Y20,", "&amp;-Y20,""))</f>
        <v/>
      </c>
      <c r="AU20" s="73">
        <f>1+AU18</f>
        <v>7</v>
      </c>
      <c r="AV20" s="74" t="str">
        <f>VLOOKUP(AV21,$A$8:$L$87,7,FALSE)</f>
        <v>X</v>
      </c>
      <c r="AW20" s="75" t="s">
        <v>305</v>
      </c>
      <c r="AX20" s="76" t="s">
        <v>305</v>
      </c>
      <c r="AY20" s="106"/>
      <c r="AZ20" s="70"/>
      <c r="BA20" s="102"/>
      <c r="BB20" s="77"/>
      <c r="BC20" s="78" t="str">
        <f>VLOOKUP(AY19,$A$8:$AD$91,29,FALSE)</f>
        <v>2 - 1  (8, -9, 8)</v>
      </c>
      <c r="BD20" s="78"/>
      <c r="BE20" s="70"/>
      <c r="BF20" s="79"/>
      <c r="BG20" s="107"/>
      <c r="BH20" s="79"/>
      <c r="BI20" s="79"/>
      <c r="BJ20" s="90"/>
      <c r="BK20" s="79"/>
      <c r="BL20" s="91">
        <f t="shared" si="35"/>
        <v>12</v>
      </c>
      <c r="BM20" s="92" t="str">
        <f>C30</f>
        <v>4 Julio</v>
      </c>
      <c r="BN20" s="92">
        <f>D30</f>
        <v>0</v>
      </c>
      <c r="BO20" s="93">
        <f>E30</f>
        <v>0</v>
      </c>
      <c r="BP20" s="94" t="s">
        <v>222</v>
      </c>
      <c r="BQ20" s="91"/>
      <c r="BR20" s="91">
        <v>12</v>
      </c>
      <c r="BS20" s="95" t="e">
        <v>#REF!</v>
      </c>
      <c r="BT20" s="96"/>
      <c r="BU20" s="95" t="e">
        <v>#REF!</v>
      </c>
      <c r="BV20" s="96"/>
      <c r="BW20" s="91"/>
      <c r="BX20" s="81"/>
      <c r="BY20" s="97" t="str">
        <f>G30</f>
        <v>X</v>
      </c>
      <c r="BZ20" s="98">
        <f>H30</f>
        <v>3436</v>
      </c>
      <c r="CA20" s="84" t="s">
        <v>223</v>
      </c>
      <c r="CB20" s="85" t="s">
        <v>236</v>
      </c>
    </row>
    <row r="21" spans="1:80" s="62" customFormat="1" ht="12.75" x14ac:dyDescent="0.25">
      <c r="A21" s="213"/>
      <c r="B21" s="309"/>
      <c r="C21" s="311"/>
      <c r="D21" s="311"/>
      <c r="E21" s="299"/>
      <c r="F21" s="313"/>
      <c r="G21" s="299"/>
      <c r="H21" s="299"/>
      <c r="I21" s="299">
        <v>0</v>
      </c>
      <c r="J21" s="299">
        <v>0</v>
      </c>
      <c r="K21" s="299">
        <v>0</v>
      </c>
      <c r="L21" s="299">
        <v>0</v>
      </c>
      <c r="M21" s="307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301"/>
      <c r="AA21" s="226"/>
      <c r="AB21" s="226"/>
      <c r="AC21" s="226"/>
      <c r="AD21" s="59" t="str">
        <f t="shared" ref="AD21" si="191">IF(AA20&gt;AB20,AD20&amp;"  "&amp;AE20,IF(AB20&gt;AA20,AD20&amp;"  "&amp;AE21,""))</f>
        <v>2 - 1  (-7, 6, 3)</v>
      </c>
      <c r="AE21" s="59" t="str">
        <f t="shared" si="0"/>
        <v>(7, -6, -3)</v>
      </c>
      <c r="AF21" s="59">
        <f t="shared" ref="AF21" si="192">IF(N20&gt;M20,1,0)</f>
        <v>1</v>
      </c>
      <c r="AG21" s="59">
        <f t="shared" ref="AG21" si="193">IF(P20&gt;O20,1,0)</f>
        <v>0</v>
      </c>
      <c r="AH21" s="59">
        <f t="shared" ref="AH21" si="194">IF(R20&gt;Q20,1,0)</f>
        <v>0</v>
      </c>
      <c r="AI21" s="59">
        <f t="shared" ref="AI21" si="195">IF(T20&gt;S20,1,0)</f>
        <v>0</v>
      </c>
      <c r="AJ21" s="59">
        <f t="shared" ref="AJ21" si="196">IF(V20&gt;U20,1,0)</f>
        <v>0</v>
      </c>
      <c r="AK21" s="59">
        <f t="shared" ref="AK21" si="197">IF(X20&gt;W20,1,0)</f>
        <v>0</v>
      </c>
      <c r="AL21" s="59">
        <f t="shared" ref="AL21" si="198">IF(Z20&gt;Y20,1,0)</f>
        <v>0</v>
      </c>
      <c r="AM21" s="59">
        <f t="shared" ref="AM21" si="199">IF(N20&gt;M20,M20,IF(M20&gt;N20,-N20,""))</f>
        <v>7</v>
      </c>
      <c r="AN21" s="59" t="str">
        <f t="shared" ref="AN21" si="200">IF(P20&gt;O20,", "&amp;O20,IF(O20&gt;P20,", "&amp;-P20,""))</f>
        <v>, -6</v>
      </c>
      <c r="AO21" s="59" t="str">
        <f t="shared" ref="AO21" si="201">IF(R20&gt;Q20,", "&amp;Q20,IF(Q20&gt;R20,", "&amp;-R20,""))</f>
        <v>, -3</v>
      </c>
      <c r="AP21" s="59" t="str">
        <f t="shared" ref="AP21" si="202">IF(T20&gt;S20,", "&amp;S20,IF(S20&gt;T20,", "&amp;-T20,""))</f>
        <v/>
      </c>
      <c r="AQ21" s="59" t="str">
        <f t="shared" ref="AQ21" si="203">IF(V20&gt;U20,", "&amp;U20,IF(U20&gt;V20,", "&amp;-V20,""))</f>
        <v/>
      </c>
      <c r="AR21" s="59" t="str">
        <f t="shared" ref="AR21" si="204">IF(X20&gt;W20,", "&amp;W20,IF(W20&gt;X20,", "&amp;-X20,""))</f>
        <v/>
      </c>
      <c r="AS21" s="59" t="str">
        <f t="shared" ref="AS21" si="205">IF(Z20&gt;Y20,", "&amp;Y20,IF(Y20&gt;Z20,", "&amp;-Z20,""))</f>
        <v/>
      </c>
      <c r="AU21" s="63"/>
      <c r="AV21" s="86">
        <v>4</v>
      </c>
      <c r="AW21" s="87" t="str">
        <f>VLOOKUP(AV21,$A$8:$L$87,6,FALSE)</f>
        <v>4 Julio-- Table</v>
      </c>
      <c r="AX21" s="88"/>
      <c r="AY21" s="100">
        <f>VLOOKUP(AY19,$A$8:$L$91,8,FALSE)</f>
        <v>3423</v>
      </c>
      <c r="AZ21" s="100" t="s">
        <v>12</v>
      </c>
      <c r="BA21" s="101" t="s">
        <v>11</v>
      </c>
      <c r="BB21" s="70"/>
      <c r="BC21" s="70"/>
      <c r="BD21" s="71"/>
      <c r="BE21" s="70"/>
      <c r="BF21" s="79"/>
      <c r="BG21" s="107"/>
      <c r="BH21" s="79"/>
      <c r="BI21" s="79"/>
      <c r="BJ21" s="90"/>
      <c r="BK21" s="79"/>
      <c r="BL21" s="91">
        <f t="shared" si="35"/>
        <v>13</v>
      </c>
      <c r="BM21" s="92" t="str">
        <f>C32</f>
        <v>4 Julio</v>
      </c>
      <c r="BN21" s="92">
        <f>D32</f>
        <v>0</v>
      </c>
      <c r="BO21" s="93">
        <f>E32</f>
        <v>0</v>
      </c>
      <c r="BP21" s="94" t="s">
        <v>222</v>
      </c>
      <c r="BQ21" s="91"/>
      <c r="BR21" s="91">
        <v>13</v>
      </c>
      <c r="BS21" s="95" t="e">
        <v>#REF!</v>
      </c>
      <c r="BT21" s="96"/>
      <c r="BU21" s="95" t="e">
        <v>#REF!</v>
      </c>
      <c r="BV21" s="96"/>
      <c r="BW21" s="91"/>
      <c r="BX21" s="81"/>
      <c r="BY21" s="97">
        <f>G32</f>
        <v>3909</v>
      </c>
      <c r="BZ21" s="98" t="str">
        <f>H32</f>
        <v>X</v>
      </c>
      <c r="CA21" s="84" t="s">
        <v>223</v>
      </c>
      <c r="CB21" s="85" t="s">
        <v>237</v>
      </c>
    </row>
    <row r="22" spans="1:80" s="62" customFormat="1" ht="12.75" x14ac:dyDescent="0.25">
      <c r="A22" s="213">
        <v>8</v>
      </c>
      <c r="B22" s="302" t="s">
        <v>227</v>
      </c>
      <c r="C22" s="304" t="s">
        <v>204</v>
      </c>
      <c r="D22" s="304"/>
      <c r="E22" s="290"/>
      <c r="F22" s="296" t="str">
        <f t="shared" ref="F22" si="206">C22&amp;"-"&amp;D22&amp;"- Table"&amp;E22</f>
        <v>4 Julio-- Table</v>
      </c>
      <c r="G22" s="290" t="s">
        <v>306</v>
      </c>
      <c r="H22" s="290">
        <v>3756</v>
      </c>
      <c r="I22" s="290" t="s">
        <v>305</v>
      </c>
      <c r="J22" s="290" t="s">
        <v>305</v>
      </c>
      <c r="K22" s="290" t="s">
        <v>9</v>
      </c>
      <c r="L22" s="290" t="s">
        <v>6</v>
      </c>
      <c r="M22" s="294">
        <v>0</v>
      </c>
      <c r="N22" s="290">
        <v>11</v>
      </c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2"/>
      <c r="AA22" s="226">
        <f t="shared" ref="AA22" si="207">IF(M22+N22&lt;&gt;0,SUM(AF22:AL22),"")</f>
        <v>0</v>
      </c>
      <c r="AB22" s="226">
        <f t="shared" ref="AB22" si="208">IF(M22+N22&lt;&gt;0,SUM(AF23:AL23),"")</f>
        <v>1</v>
      </c>
      <c r="AC22" s="226" t="str">
        <f t="shared" ref="AC22" si="209">IF(AA22&gt;AB22,AD22&amp;"  "&amp;AE22,IF(AB22&gt;AA22,AD22&amp;"  "&amp;AE23,""))</f>
        <v>1 - 0  (0)</v>
      </c>
      <c r="AD22" s="59" t="str">
        <f t="shared" ref="AD22" si="210">IF(AA22&gt;AB22,AA22&amp;" - "&amp;AB22,IF(AB22&gt;AA22,AB22&amp;" - "&amp;AA22,""))</f>
        <v>1 - 0</v>
      </c>
      <c r="AE22" s="59" t="str">
        <f t="shared" si="0"/>
        <v>(0)</v>
      </c>
      <c r="AF22" s="59">
        <f t="shared" ref="AF22" si="211">IF(M22&gt;N22,1,0)</f>
        <v>0</v>
      </c>
      <c r="AG22" s="59">
        <f t="shared" ref="AG22" si="212">IF(O22&gt;P22,1,0)</f>
        <v>0</v>
      </c>
      <c r="AH22" s="59">
        <f t="shared" ref="AH22" si="213">IF(Q22&gt;R22,1,0)</f>
        <v>0</v>
      </c>
      <c r="AI22" s="59">
        <f t="shared" ref="AI22" si="214">IF(S22&gt;T22,1,0)</f>
        <v>0</v>
      </c>
      <c r="AJ22" s="59">
        <f t="shared" ref="AJ22" si="215">IF(U22&gt;V22,1,0)</f>
        <v>0</v>
      </c>
      <c r="AK22" s="59">
        <f t="shared" ref="AK22" si="216">IF(W22&gt;X22,1,0)</f>
        <v>0</v>
      </c>
      <c r="AL22" s="59">
        <f t="shared" ref="AL22" si="217">IF(Y22&gt;Z22,1,0)</f>
        <v>0</v>
      </c>
      <c r="AM22" s="59">
        <f t="shared" ref="AM22" si="218">IF(M22&gt;N22,N22,IF(N22&gt;M22,-M22,""))</f>
        <v>0</v>
      </c>
      <c r="AN22" s="59" t="str">
        <f t="shared" ref="AN22" si="219">IF(O22&gt;P22,", "&amp;P22,IF(P22&gt;O22,", "&amp;-O22,""))</f>
        <v/>
      </c>
      <c r="AO22" s="59" t="str">
        <f t="shared" ref="AO22" si="220">IF(Q22&gt;R22,", "&amp;R22,IF(R22&gt;Q22,", "&amp;-Q22,""))</f>
        <v/>
      </c>
      <c r="AP22" s="59" t="str">
        <f t="shared" ref="AP22" si="221">IF(S22&gt;T22,", "&amp;T22,IF(T22&gt;S22,", "&amp;-S22,""))</f>
        <v/>
      </c>
      <c r="AQ22" s="59" t="str">
        <f t="shared" ref="AQ22" si="222">IF(U22&gt;V22,", "&amp;V22,IF(V22&gt;U22,", "&amp;-U22,""))</f>
        <v/>
      </c>
      <c r="AR22" s="59" t="str">
        <f t="shared" ref="AR22" si="223">IF(W22&gt;X22,", "&amp;X22,IF(X22&gt;W22,", "&amp;-W22,""))</f>
        <v/>
      </c>
      <c r="AS22" s="59" t="str">
        <f t="shared" ref="AS22" si="224">IF(Y22&gt;Z22,", "&amp;Z22,IF(Z22&gt;Y22,", "&amp;-Y22,""))</f>
        <v/>
      </c>
      <c r="AU22" s="73">
        <f>1+AU20</f>
        <v>8</v>
      </c>
      <c r="AV22" s="99">
        <f>VLOOKUP(AV21,$A$8:$L$87,8,FALSE)</f>
        <v>3423</v>
      </c>
      <c r="AW22" s="100" t="s">
        <v>12</v>
      </c>
      <c r="AX22" s="101" t="s">
        <v>11</v>
      </c>
      <c r="AY22" s="77"/>
      <c r="AZ22" s="78" t="str">
        <f>VLOOKUP(AV21,$A$8:$AD$91,29,FALSE)</f>
        <v>1 - 0  (0)</v>
      </c>
      <c r="BA22" s="78"/>
      <c r="BB22" s="70"/>
      <c r="BC22" s="70"/>
      <c r="BD22" s="71"/>
      <c r="BE22" s="70"/>
      <c r="BF22" s="70"/>
      <c r="BG22" s="102"/>
      <c r="BH22" s="77"/>
      <c r="BI22" s="78" t="str">
        <f>VLOOKUP(BE23,$A$8:$AD$87,29,FALSE)</f>
        <v>3 - 1  (-7, 9, 12, 10)</v>
      </c>
      <c r="BJ22" s="78"/>
      <c r="BK22" s="79"/>
      <c r="BL22" s="91">
        <f t="shared" si="35"/>
        <v>14</v>
      </c>
      <c r="BM22" s="92" t="str">
        <f>C34</f>
        <v>4 Julio</v>
      </c>
      <c r="BN22" s="92">
        <f>D34</f>
        <v>0</v>
      </c>
      <c r="BO22" s="93">
        <f>E34</f>
        <v>0</v>
      </c>
      <c r="BP22" s="94" t="s">
        <v>222</v>
      </c>
      <c r="BQ22" s="91"/>
      <c r="BR22" s="91">
        <v>14</v>
      </c>
      <c r="BS22" s="95" t="e">
        <v>#REF!</v>
      </c>
      <c r="BT22" s="96"/>
      <c r="BU22" s="95" t="e">
        <v>#REF!</v>
      </c>
      <c r="BV22" s="96"/>
      <c r="BW22" s="91"/>
      <c r="BX22" s="81"/>
      <c r="BY22" s="97">
        <f>G34</f>
        <v>3433</v>
      </c>
      <c r="BZ22" s="98">
        <f>H34</f>
        <v>4101</v>
      </c>
      <c r="CA22" s="84" t="s">
        <v>223</v>
      </c>
      <c r="CB22" s="85" t="s">
        <v>238</v>
      </c>
    </row>
    <row r="23" spans="1:80" s="62" customFormat="1" ht="12.75" x14ac:dyDescent="0.25">
      <c r="A23" s="213"/>
      <c r="B23" s="303"/>
      <c r="C23" s="305"/>
      <c r="D23" s="305"/>
      <c r="E23" s="291"/>
      <c r="F23" s="297"/>
      <c r="G23" s="291"/>
      <c r="H23" s="291"/>
      <c r="I23" s="291">
        <v>0</v>
      </c>
      <c r="J23" s="291">
        <v>0</v>
      </c>
      <c r="K23" s="291">
        <v>0</v>
      </c>
      <c r="L23" s="291">
        <v>0</v>
      </c>
      <c r="M23" s="295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3"/>
      <c r="AA23" s="226"/>
      <c r="AB23" s="226"/>
      <c r="AC23" s="226"/>
      <c r="AD23" s="59" t="str">
        <f t="shared" ref="AD23" si="225">IF(AA22&gt;AB22,AD22&amp;"  "&amp;AE22,IF(AB22&gt;AA22,AD22&amp;"  "&amp;AE23,""))</f>
        <v>1 - 0  (0)</v>
      </c>
      <c r="AE23" s="59" t="str">
        <f t="shared" si="0"/>
        <v>(0)</v>
      </c>
      <c r="AF23" s="59">
        <f t="shared" ref="AF23" si="226">IF(N22&gt;M22,1,0)</f>
        <v>1</v>
      </c>
      <c r="AG23" s="59">
        <f t="shared" ref="AG23" si="227">IF(P22&gt;O22,1,0)</f>
        <v>0</v>
      </c>
      <c r="AH23" s="59">
        <f t="shared" ref="AH23" si="228">IF(R22&gt;Q22,1,0)</f>
        <v>0</v>
      </c>
      <c r="AI23" s="59">
        <f t="shared" ref="AI23" si="229">IF(T22&gt;S22,1,0)</f>
        <v>0</v>
      </c>
      <c r="AJ23" s="59">
        <f t="shared" ref="AJ23" si="230">IF(V22&gt;U22,1,0)</f>
        <v>0</v>
      </c>
      <c r="AK23" s="59">
        <f t="shared" ref="AK23" si="231">IF(X22&gt;W22,1,0)</f>
        <v>0</v>
      </c>
      <c r="AL23" s="59">
        <f t="shared" ref="AL23" si="232">IF(Z22&gt;Y22,1,0)</f>
        <v>0</v>
      </c>
      <c r="AM23" s="59">
        <f t="shared" ref="AM23" si="233">IF(N22&gt;M22,M22,IF(M22&gt;N22,-N22,""))</f>
        <v>0</v>
      </c>
      <c r="AN23" s="59" t="str">
        <f t="shared" ref="AN23" si="234">IF(P22&gt;O22,", "&amp;O22,IF(O22&gt;P22,", "&amp;-P22,""))</f>
        <v/>
      </c>
      <c r="AO23" s="59" t="str">
        <f t="shared" ref="AO23" si="235">IF(R22&gt;Q22,", "&amp;Q22,IF(Q22&gt;R22,", "&amp;-R22,""))</f>
        <v/>
      </c>
      <c r="AP23" s="59" t="str">
        <f t="shared" ref="AP23" si="236">IF(T22&gt;S22,", "&amp;S22,IF(S22&gt;T22,", "&amp;-T22,""))</f>
        <v/>
      </c>
      <c r="AQ23" s="59" t="str">
        <f t="shared" ref="AQ23" si="237">IF(V22&gt;U22,", "&amp;U22,IF(U22&gt;V22,", "&amp;-V22,""))</f>
        <v/>
      </c>
      <c r="AR23" s="59" t="str">
        <f t="shared" ref="AR23" si="238">IF(X22&gt;W22,", "&amp;W22,IF(W22&gt;X22,", "&amp;-X22,""))</f>
        <v/>
      </c>
      <c r="AS23" s="59" t="str">
        <f t="shared" ref="AS23" si="239">IF(Z22&gt;Y22,", "&amp;Y22,IF(Y22&gt;Z22,", "&amp;-Z22,""))</f>
        <v/>
      </c>
      <c r="AU23" s="63"/>
      <c r="AV23" s="64"/>
      <c r="AW23" s="70"/>
      <c r="AX23" s="103"/>
      <c r="AY23" s="70"/>
      <c r="AZ23" s="70"/>
      <c r="BA23" s="71"/>
      <c r="BB23" s="70"/>
      <c r="BC23" s="70"/>
      <c r="BD23" s="71"/>
      <c r="BE23" s="104">
        <v>29</v>
      </c>
      <c r="BF23" s="87" t="str">
        <f>VLOOKUP(BE23,$A$8:$L$87,6,FALSE)</f>
        <v>4 Julio-- Table</v>
      </c>
      <c r="BG23" s="102"/>
      <c r="BH23" s="89">
        <f>VLOOKUP(BH38,$A$8:$L$91,7,FALSE)</f>
        <v>3756</v>
      </c>
      <c r="BI23" s="75" t="s">
        <v>9</v>
      </c>
      <c r="BJ23" s="76" t="s">
        <v>6</v>
      </c>
      <c r="BK23" s="79"/>
      <c r="BL23" s="91">
        <f t="shared" si="35"/>
        <v>15</v>
      </c>
      <c r="BM23" s="92" t="str">
        <f>C36</f>
        <v>4 Julio</v>
      </c>
      <c r="BN23" s="92">
        <f>D36</f>
        <v>0</v>
      </c>
      <c r="BO23" s="93">
        <f>E36</f>
        <v>0</v>
      </c>
      <c r="BP23" s="94" t="s">
        <v>222</v>
      </c>
      <c r="BQ23" s="91"/>
      <c r="BR23" s="91">
        <v>15</v>
      </c>
      <c r="BS23" s="95" t="e">
        <v>#REF!</v>
      </c>
      <c r="BT23" s="96"/>
      <c r="BU23" s="95" t="e">
        <v>#REF!</v>
      </c>
      <c r="BV23" s="96"/>
      <c r="BW23" s="91"/>
      <c r="BX23" s="81"/>
      <c r="BY23" s="97">
        <f>G36</f>
        <v>3721</v>
      </c>
      <c r="BZ23" s="98">
        <f>H36</f>
        <v>4100</v>
      </c>
      <c r="CA23" s="84" t="s">
        <v>223</v>
      </c>
      <c r="CB23" s="85" t="s">
        <v>239</v>
      </c>
    </row>
    <row r="24" spans="1:80" s="62" customFormat="1" ht="12.75" x14ac:dyDescent="0.25">
      <c r="A24" s="213">
        <v>9</v>
      </c>
      <c r="B24" s="308" t="s">
        <v>227</v>
      </c>
      <c r="C24" s="310" t="s">
        <v>204</v>
      </c>
      <c r="D24" s="310"/>
      <c r="E24" s="298"/>
      <c r="F24" s="312" t="str">
        <f t="shared" ref="F24" si="240">C24&amp;"-"&amp;D24&amp;"- Table"&amp;E24</f>
        <v>4 Julio-- Table</v>
      </c>
      <c r="G24" s="298">
        <v>3918</v>
      </c>
      <c r="H24" s="298" t="s">
        <v>306</v>
      </c>
      <c r="I24" s="298" t="s">
        <v>10</v>
      </c>
      <c r="J24" s="298" t="s">
        <v>11</v>
      </c>
      <c r="K24" s="298" t="s">
        <v>305</v>
      </c>
      <c r="L24" s="298" t="s">
        <v>305</v>
      </c>
      <c r="M24" s="306">
        <v>11</v>
      </c>
      <c r="N24" s="298">
        <v>0</v>
      </c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300"/>
      <c r="AA24" s="226">
        <f t="shared" ref="AA24" si="241">IF(M24+N24&lt;&gt;0,SUM(AF24:AL24),"")</f>
        <v>1</v>
      </c>
      <c r="AB24" s="226">
        <f t="shared" ref="AB24" si="242">IF(M24+N24&lt;&gt;0,SUM(AF25:AL25),"")</f>
        <v>0</v>
      </c>
      <c r="AC24" s="226" t="str">
        <f t="shared" ref="AC24" si="243">IF(AA24&gt;AB24,AD24&amp;"  "&amp;AE24,IF(AB24&gt;AA24,AD24&amp;"  "&amp;AE25,""))</f>
        <v>1 - 0  (0)</v>
      </c>
      <c r="AD24" s="59" t="str">
        <f t="shared" ref="AD24" si="244">IF(AA24&gt;AB24,AA24&amp;" - "&amp;AB24,IF(AB24&gt;AA24,AB24&amp;" - "&amp;AA24,""))</f>
        <v>1 - 0</v>
      </c>
      <c r="AE24" s="59" t="str">
        <f t="shared" si="0"/>
        <v>(0)</v>
      </c>
      <c r="AF24" s="59">
        <f t="shared" ref="AF24" si="245">IF(M24&gt;N24,1,0)</f>
        <v>1</v>
      </c>
      <c r="AG24" s="59">
        <f t="shared" ref="AG24" si="246">IF(O24&gt;P24,1,0)</f>
        <v>0</v>
      </c>
      <c r="AH24" s="59">
        <f t="shared" ref="AH24" si="247">IF(Q24&gt;R24,1,0)</f>
        <v>0</v>
      </c>
      <c r="AI24" s="59">
        <f t="shared" ref="AI24" si="248">IF(S24&gt;T24,1,0)</f>
        <v>0</v>
      </c>
      <c r="AJ24" s="59">
        <f t="shared" ref="AJ24" si="249">IF(U24&gt;V24,1,0)</f>
        <v>0</v>
      </c>
      <c r="AK24" s="59">
        <f t="shared" ref="AK24" si="250">IF(W24&gt;X24,1,0)</f>
        <v>0</v>
      </c>
      <c r="AL24" s="59">
        <f t="shared" ref="AL24" si="251">IF(Y24&gt;Z24,1,0)</f>
        <v>0</v>
      </c>
      <c r="AM24" s="59">
        <f t="shared" ref="AM24" si="252">IF(M24&gt;N24,N24,IF(N24&gt;M24,-M24,""))</f>
        <v>0</v>
      </c>
      <c r="AN24" s="59" t="str">
        <f t="shared" ref="AN24" si="253">IF(O24&gt;P24,", "&amp;P24,IF(P24&gt;O24,", "&amp;-O24,""))</f>
        <v/>
      </c>
      <c r="AO24" s="59" t="str">
        <f t="shared" ref="AO24" si="254">IF(Q24&gt;R24,", "&amp;R24,IF(R24&gt;Q24,", "&amp;-Q24,""))</f>
        <v/>
      </c>
      <c r="AP24" s="59" t="str">
        <f t="shared" ref="AP24" si="255">IF(S24&gt;T24,", "&amp;T24,IF(T24&gt;S24,", "&amp;-S24,""))</f>
        <v/>
      </c>
      <c r="AQ24" s="59" t="str">
        <f t="shared" ref="AQ24" si="256">IF(U24&gt;V24,", "&amp;V24,IF(V24&gt;U24,", "&amp;-U24,""))</f>
        <v/>
      </c>
      <c r="AR24" s="59" t="str">
        <f t="shared" ref="AR24" si="257">IF(W24&gt;X24,", "&amp;X24,IF(X24&gt;W24,", "&amp;-W24,""))</f>
        <v/>
      </c>
      <c r="AS24" s="59" t="str">
        <f t="shared" ref="AS24" si="258">IF(Y24&gt;Z24,", "&amp;Z24,IF(Z24&gt;Y24,", "&amp;-Y24,""))</f>
        <v/>
      </c>
      <c r="AU24" s="73">
        <f>1+AU22</f>
        <v>9</v>
      </c>
      <c r="AV24" s="74">
        <f>VLOOKUP(AV25,$A$8:$L$87,7,FALSE)</f>
        <v>3828</v>
      </c>
      <c r="AW24" s="75" t="s">
        <v>14</v>
      </c>
      <c r="AX24" s="76" t="s">
        <v>15</v>
      </c>
      <c r="AY24" s="77"/>
      <c r="AZ24" s="78" t="str">
        <f>VLOOKUP(AV25,$A$8:$AD$87,29,FALSE)</f>
        <v>1 - 0  (0)</v>
      </c>
      <c r="BA24" s="78"/>
      <c r="BB24" s="70"/>
      <c r="BC24" s="70"/>
      <c r="BD24" s="71"/>
      <c r="BE24" s="70"/>
      <c r="BF24" s="70"/>
      <c r="BG24" s="102"/>
      <c r="BH24" s="79"/>
      <c r="BI24" s="79"/>
      <c r="BJ24" s="107"/>
      <c r="BK24" s="79"/>
      <c r="BL24" s="91">
        <f t="shared" si="35"/>
        <v>16</v>
      </c>
      <c r="BM24" s="92" t="str">
        <f>C38</f>
        <v>4 Julio</v>
      </c>
      <c r="BN24" s="92">
        <f>D38</f>
        <v>0</v>
      </c>
      <c r="BO24" s="93">
        <f>E38</f>
        <v>0</v>
      </c>
      <c r="BP24" s="94" t="s">
        <v>222</v>
      </c>
      <c r="BQ24" s="91"/>
      <c r="BR24" s="91">
        <v>16</v>
      </c>
      <c r="BS24" s="95" t="e">
        <v>#REF!</v>
      </c>
      <c r="BT24" s="96"/>
      <c r="BU24" s="95" t="e">
        <v>#REF!</v>
      </c>
      <c r="BV24" s="96"/>
      <c r="BW24" s="91"/>
      <c r="BX24" s="81"/>
      <c r="BY24" s="97" t="str">
        <f>G38</f>
        <v>X</v>
      </c>
      <c r="BZ24" s="98">
        <f>H38</f>
        <v>3717</v>
      </c>
      <c r="CA24" s="84" t="s">
        <v>223</v>
      </c>
      <c r="CB24" s="85" t="s">
        <v>240</v>
      </c>
    </row>
    <row r="25" spans="1:80" s="62" customFormat="1" ht="12.75" x14ac:dyDescent="0.25">
      <c r="A25" s="213"/>
      <c r="B25" s="309"/>
      <c r="C25" s="311"/>
      <c r="D25" s="311"/>
      <c r="E25" s="299"/>
      <c r="F25" s="313"/>
      <c r="G25" s="299"/>
      <c r="H25" s="299"/>
      <c r="I25" s="299">
        <v>0</v>
      </c>
      <c r="J25" s="299">
        <v>0</v>
      </c>
      <c r="K25" s="299">
        <v>0</v>
      </c>
      <c r="L25" s="299">
        <v>0</v>
      </c>
      <c r="M25" s="307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Y25" s="299"/>
      <c r="Z25" s="301"/>
      <c r="AA25" s="226"/>
      <c r="AB25" s="226"/>
      <c r="AC25" s="226"/>
      <c r="AD25" s="59" t="str">
        <f t="shared" ref="AD25" si="259">IF(AA24&gt;AB24,AD24&amp;"  "&amp;AE24,IF(AB24&gt;AA24,AD24&amp;"  "&amp;AE25,""))</f>
        <v>1 - 0  (0)</v>
      </c>
      <c r="AE25" s="59" t="str">
        <f t="shared" si="0"/>
        <v>(0)</v>
      </c>
      <c r="AF25" s="59">
        <f t="shared" ref="AF25" si="260">IF(N24&gt;M24,1,0)</f>
        <v>0</v>
      </c>
      <c r="AG25" s="59">
        <f t="shared" ref="AG25" si="261">IF(P24&gt;O24,1,0)</f>
        <v>0</v>
      </c>
      <c r="AH25" s="59">
        <f t="shared" ref="AH25" si="262">IF(R24&gt;Q24,1,0)</f>
        <v>0</v>
      </c>
      <c r="AI25" s="59">
        <f t="shared" ref="AI25" si="263">IF(T24&gt;S24,1,0)</f>
        <v>0</v>
      </c>
      <c r="AJ25" s="59">
        <f t="shared" ref="AJ25" si="264">IF(V24&gt;U24,1,0)</f>
        <v>0</v>
      </c>
      <c r="AK25" s="59">
        <f t="shared" ref="AK25" si="265">IF(X24&gt;W24,1,0)</f>
        <v>0</v>
      </c>
      <c r="AL25" s="59">
        <f t="shared" ref="AL25" si="266">IF(Z24&gt;Y24,1,0)</f>
        <v>0</v>
      </c>
      <c r="AM25" s="59">
        <f t="shared" ref="AM25" si="267">IF(N24&gt;M24,M24,IF(M24&gt;N24,-N24,""))</f>
        <v>0</v>
      </c>
      <c r="AN25" s="59" t="str">
        <f t="shared" ref="AN25" si="268">IF(P24&gt;O24,", "&amp;O24,IF(O24&gt;P24,", "&amp;-P24,""))</f>
        <v/>
      </c>
      <c r="AO25" s="59" t="str">
        <f t="shared" ref="AO25" si="269">IF(R24&gt;Q24,", "&amp;Q24,IF(Q24&gt;R24,", "&amp;-R24,""))</f>
        <v/>
      </c>
      <c r="AP25" s="59" t="str">
        <f t="shared" ref="AP25" si="270">IF(T24&gt;S24,", "&amp;S24,IF(S24&gt;T24,", "&amp;-T24,""))</f>
        <v/>
      </c>
      <c r="AQ25" s="59" t="str">
        <f t="shared" ref="AQ25" si="271">IF(V24&gt;U24,", "&amp;U24,IF(U24&gt;V24,", "&amp;-V24,""))</f>
        <v/>
      </c>
      <c r="AR25" s="59" t="str">
        <f t="shared" ref="AR25" si="272">IF(X24&gt;W24,", "&amp;W24,IF(W24&gt;X24,", "&amp;-X24,""))</f>
        <v/>
      </c>
      <c r="AS25" s="59" t="str">
        <f t="shared" ref="AS25" si="273">IF(Z24&gt;Y24,", "&amp;Y24,IF(Y24&gt;Z24,", "&amp;-Z24,""))</f>
        <v/>
      </c>
      <c r="AU25" s="63"/>
      <c r="AV25" s="86">
        <v>5</v>
      </c>
      <c r="AW25" s="87" t="str">
        <f>VLOOKUP(AV25,$A$8:$L$87,6,FALSE)</f>
        <v>4 Julio-- Table</v>
      </c>
      <c r="AX25" s="88"/>
      <c r="AY25" s="89">
        <f>VLOOKUP(AY27,$A$8:$L$91,7,FALSE)</f>
        <v>3828</v>
      </c>
      <c r="AZ25" s="75" t="s">
        <v>14</v>
      </c>
      <c r="BA25" s="76" t="s">
        <v>15</v>
      </c>
      <c r="BB25" s="70"/>
      <c r="BC25" s="70"/>
      <c r="BD25" s="71"/>
      <c r="BE25" s="70"/>
      <c r="BF25" s="79"/>
      <c r="BG25" s="107"/>
      <c r="BH25" s="79"/>
      <c r="BI25" s="79"/>
      <c r="BJ25" s="107"/>
      <c r="BK25" s="79"/>
      <c r="BL25" s="108">
        <f t="shared" si="35"/>
        <v>17</v>
      </c>
      <c r="BM25" s="109" t="str">
        <f>C40</f>
        <v>4 Julio</v>
      </c>
      <c r="BN25" s="109">
        <f>D40</f>
        <v>0</v>
      </c>
      <c r="BO25" s="110">
        <f>E40</f>
        <v>0</v>
      </c>
      <c r="BP25" s="111" t="s">
        <v>222</v>
      </c>
      <c r="BQ25" s="108"/>
      <c r="BR25" s="108">
        <v>33</v>
      </c>
      <c r="BS25" s="112" t="e">
        <v>#REF!</v>
      </c>
      <c r="BT25" s="108"/>
      <c r="BU25" s="112" t="e">
        <v>#REF!</v>
      </c>
      <c r="BV25" s="108"/>
      <c r="BW25" s="108"/>
      <c r="BY25" s="97">
        <f>G40</f>
        <v>3498</v>
      </c>
      <c r="BZ25" s="98">
        <f>H40</f>
        <v>4176</v>
      </c>
      <c r="CA25" s="84" t="s">
        <v>223</v>
      </c>
      <c r="CB25" s="85" t="s">
        <v>241</v>
      </c>
    </row>
    <row r="26" spans="1:80" s="62" customFormat="1" ht="12.75" x14ac:dyDescent="0.25">
      <c r="A26" s="213">
        <v>10</v>
      </c>
      <c r="B26" s="302" t="s">
        <v>227</v>
      </c>
      <c r="C26" s="304" t="s">
        <v>204</v>
      </c>
      <c r="D26" s="304"/>
      <c r="E26" s="290"/>
      <c r="F26" s="296" t="str">
        <f t="shared" ref="F26" si="274">C26&amp;"-"&amp;D26&amp;"- Table"&amp;E26</f>
        <v>4 Julio-- Table</v>
      </c>
      <c r="G26" s="290">
        <v>4709</v>
      </c>
      <c r="H26" s="290">
        <v>4579</v>
      </c>
      <c r="I26" s="290" t="s">
        <v>33</v>
      </c>
      <c r="J26" s="290" t="s">
        <v>34</v>
      </c>
      <c r="K26" s="290" t="s">
        <v>30</v>
      </c>
      <c r="L26" s="290" t="s">
        <v>11</v>
      </c>
      <c r="M26" s="294">
        <v>8</v>
      </c>
      <c r="N26" s="290">
        <v>11</v>
      </c>
      <c r="O26" s="290">
        <v>8</v>
      </c>
      <c r="P26" s="290">
        <v>11</v>
      </c>
      <c r="Q26" s="290"/>
      <c r="R26" s="290"/>
      <c r="S26" s="290"/>
      <c r="T26" s="290"/>
      <c r="U26" s="290"/>
      <c r="V26" s="290"/>
      <c r="W26" s="290"/>
      <c r="X26" s="290"/>
      <c r="Y26" s="290"/>
      <c r="Z26" s="292"/>
      <c r="AA26" s="226">
        <f t="shared" ref="AA26" si="275">IF(M26+N26&lt;&gt;0,SUM(AF26:AL26),"")</f>
        <v>0</v>
      </c>
      <c r="AB26" s="226">
        <f t="shared" ref="AB26" si="276">IF(M26+N26&lt;&gt;0,SUM(AF27:AL27),"")</f>
        <v>2</v>
      </c>
      <c r="AC26" s="226" t="str">
        <f t="shared" ref="AC26" si="277">IF(AA26&gt;AB26,AD26&amp;"  "&amp;AE26,IF(AB26&gt;AA26,AD26&amp;"  "&amp;AE27,""))</f>
        <v>2 - 0  (8, 8)</v>
      </c>
      <c r="AD26" s="59" t="str">
        <f t="shared" ref="AD26" si="278">IF(AA26&gt;AB26,AA26&amp;" - "&amp;AB26,IF(AB26&gt;AA26,AB26&amp;" - "&amp;AA26,""))</f>
        <v>2 - 0</v>
      </c>
      <c r="AE26" s="59" t="str">
        <f t="shared" si="0"/>
        <v>(-8, -8)</v>
      </c>
      <c r="AF26" s="59">
        <f t="shared" ref="AF26" si="279">IF(M26&gt;N26,1,0)</f>
        <v>0</v>
      </c>
      <c r="AG26" s="59">
        <f t="shared" ref="AG26" si="280">IF(O26&gt;P26,1,0)</f>
        <v>0</v>
      </c>
      <c r="AH26" s="59">
        <f t="shared" ref="AH26" si="281">IF(Q26&gt;R26,1,0)</f>
        <v>0</v>
      </c>
      <c r="AI26" s="59">
        <f t="shared" ref="AI26" si="282">IF(S26&gt;T26,1,0)</f>
        <v>0</v>
      </c>
      <c r="AJ26" s="59">
        <f t="shared" ref="AJ26" si="283">IF(U26&gt;V26,1,0)</f>
        <v>0</v>
      </c>
      <c r="AK26" s="59">
        <f t="shared" ref="AK26" si="284">IF(W26&gt;X26,1,0)</f>
        <v>0</v>
      </c>
      <c r="AL26" s="59">
        <f t="shared" ref="AL26" si="285">IF(Y26&gt;Z26,1,0)</f>
        <v>0</v>
      </c>
      <c r="AM26" s="59">
        <f t="shared" ref="AM26" si="286">IF(M26&gt;N26,N26,IF(N26&gt;M26,-M26,""))</f>
        <v>-8</v>
      </c>
      <c r="AN26" s="59" t="str">
        <f t="shared" ref="AN26" si="287">IF(O26&gt;P26,", "&amp;P26,IF(P26&gt;O26,", "&amp;-O26,""))</f>
        <v>, -8</v>
      </c>
      <c r="AO26" s="59" t="str">
        <f t="shared" ref="AO26" si="288">IF(Q26&gt;R26,", "&amp;R26,IF(R26&gt;Q26,", "&amp;-Q26,""))</f>
        <v/>
      </c>
      <c r="AP26" s="59" t="str">
        <f t="shared" ref="AP26" si="289">IF(S26&gt;T26,", "&amp;T26,IF(T26&gt;S26,", "&amp;-S26,""))</f>
        <v/>
      </c>
      <c r="AQ26" s="59" t="str">
        <f t="shared" ref="AQ26" si="290">IF(U26&gt;V26,", "&amp;V26,IF(V26&gt;U26,", "&amp;-U26,""))</f>
        <v/>
      </c>
      <c r="AR26" s="59" t="str">
        <f t="shared" ref="AR26" si="291">IF(W26&gt;X26,", "&amp;X26,IF(X26&gt;W26,", "&amp;-W26,""))</f>
        <v/>
      </c>
      <c r="AS26" s="59" t="str">
        <f t="shared" ref="AS26" si="292">IF(Y26&gt;Z26,", "&amp;Z26,IF(Z26&gt;Y26,", "&amp;-Y26,""))</f>
        <v/>
      </c>
      <c r="AU26" s="73">
        <f>1+AU24</f>
        <v>10</v>
      </c>
      <c r="AV26" s="99" t="str">
        <f>VLOOKUP(AV25,$A$8:$L$87,8,FALSE)</f>
        <v>X</v>
      </c>
      <c r="AW26" s="100" t="s">
        <v>305</v>
      </c>
      <c r="AX26" s="101" t="s">
        <v>305</v>
      </c>
      <c r="AY26" s="70"/>
      <c r="AZ26" s="70"/>
      <c r="BA26" s="102"/>
      <c r="BB26" s="77"/>
      <c r="BC26" s="78" t="str">
        <f>VLOOKUP(AY27,$A$8:$AD$87,29,FALSE)</f>
        <v>2 - 0  (5, 8)</v>
      </c>
      <c r="BD26" s="78"/>
      <c r="BE26" s="70"/>
      <c r="BF26" s="79"/>
      <c r="BG26" s="107"/>
      <c r="BH26" s="79"/>
      <c r="BI26" s="79"/>
      <c r="BJ26" s="107"/>
      <c r="BK26" s="79"/>
      <c r="BL26" s="108">
        <f t="shared" si="35"/>
        <v>18</v>
      </c>
      <c r="BM26" s="109" t="str">
        <f>C42</f>
        <v>4 Julio</v>
      </c>
      <c r="BN26" s="109">
        <f>D42</f>
        <v>0</v>
      </c>
      <c r="BO26" s="110">
        <f>E42</f>
        <v>0</v>
      </c>
      <c r="BP26" s="111" t="s">
        <v>222</v>
      </c>
      <c r="BQ26" s="108"/>
      <c r="BR26" s="108">
        <v>34</v>
      </c>
      <c r="BS26" s="112" t="e">
        <v>#REF!</v>
      </c>
      <c r="BT26" s="108"/>
      <c r="BU26" s="112" t="e">
        <v>#REF!</v>
      </c>
      <c r="BV26" s="108"/>
      <c r="BW26" s="108"/>
      <c r="BY26" s="97">
        <f>G42</f>
        <v>4047</v>
      </c>
      <c r="BZ26" s="98">
        <f>H42</f>
        <v>3423</v>
      </c>
      <c r="CA26" s="84" t="s">
        <v>223</v>
      </c>
      <c r="CB26" s="85" t="s">
        <v>242</v>
      </c>
    </row>
    <row r="27" spans="1:80" s="62" customFormat="1" ht="12.75" x14ac:dyDescent="0.25">
      <c r="A27" s="213"/>
      <c r="B27" s="303"/>
      <c r="C27" s="305"/>
      <c r="D27" s="305"/>
      <c r="E27" s="291"/>
      <c r="F27" s="297"/>
      <c r="G27" s="291"/>
      <c r="H27" s="291"/>
      <c r="I27" s="291">
        <v>0</v>
      </c>
      <c r="J27" s="291">
        <v>0</v>
      </c>
      <c r="K27" s="291">
        <v>0</v>
      </c>
      <c r="L27" s="291">
        <v>0</v>
      </c>
      <c r="M27" s="295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3"/>
      <c r="AA27" s="226"/>
      <c r="AB27" s="226"/>
      <c r="AC27" s="226"/>
      <c r="AD27" s="59" t="str">
        <f t="shared" ref="AD27" si="293">IF(AA26&gt;AB26,AD26&amp;"  "&amp;AE26,IF(AB26&gt;AA26,AD26&amp;"  "&amp;AE27,""))</f>
        <v>2 - 0  (8, 8)</v>
      </c>
      <c r="AE27" s="59" t="str">
        <f t="shared" si="0"/>
        <v>(8, 8)</v>
      </c>
      <c r="AF27" s="59">
        <f t="shared" ref="AF27" si="294">IF(N26&gt;M26,1,0)</f>
        <v>1</v>
      </c>
      <c r="AG27" s="59">
        <f t="shared" ref="AG27" si="295">IF(P26&gt;O26,1,0)</f>
        <v>1</v>
      </c>
      <c r="AH27" s="59">
        <f t="shared" ref="AH27" si="296">IF(R26&gt;Q26,1,0)</f>
        <v>0</v>
      </c>
      <c r="AI27" s="59">
        <f t="shared" ref="AI27" si="297">IF(T26&gt;S26,1,0)</f>
        <v>0</v>
      </c>
      <c r="AJ27" s="59">
        <f t="shared" ref="AJ27" si="298">IF(V26&gt;U26,1,0)</f>
        <v>0</v>
      </c>
      <c r="AK27" s="59">
        <f t="shared" ref="AK27" si="299">IF(X26&gt;W26,1,0)</f>
        <v>0</v>
      </c>
      <c r="AL27" s="59">
        <f t="shared" ref="AL27" si="300">IF(Z26&gt;Y26,1,0)</f>
        <v>0</v>
      </c>
      <c r="AM27" s="59">
        <f t="shared" ref="AM27" si="301">IF(N26&gt;M26,M26,IF(M26&gt;N26,-N26,""))</f>
        <v>8</v>
      </c>
      <c r="AN27" s="59" t="str">
        <f t="shared" ref="AN27" si="302">IF(P26&gt;O26,", "&amp;O26,IF(O26&gt;P26,", "&amp;-P26,""))</f>
        <v>, 8</v>
      </c>
      <c r="AO27" s="59" t="str">
        <f t="shared" ref="AO27" si="303">IF(R26&gt;Q26,", "&amp;Q26,IF(Q26&gt;R26,", "&amp;-R26,""))</f>
        <v/>
      </c>
      <c r="AP27" s="59" t="str">
        <f t="shared" ref="AP27" si="304">IF(T26&gt;S26,", "&amp;S26,IF(S26&gt;T26,", "&amp;-T26,""))</f>
        <v/>
      </c>
      <c r="AQ27" s="59" t="str">
        <f t="shared" ref="AQ27" si="305">IF(V26&gt;U26,", "&amp;U26,IF(U26&gt;V26,", "&amp;-V26,""))</f>
        <v/>
      </c>
      <c r="AR27" s="59" t="str">
        <f t="shared" ref="AR27" si="306">IF(X26&gt;W26,", "&amp;W26,IF(W26&gt;X26,", "&amp;-X26,""))</f>
        <v/>
      </c>
      <c r="AS27" s="59" t="str">
        <f t="shared" ref="AS27" si="307">IF(Z26&gt;Y26,", "&amp;Y26,IF(Y26&gt;Z26,", "&amp;-Z26,""))</f>
        <v/>
      </c>
      <c r="AU27" s="63"/>
      <c r="AV27" s="64"/>
      <c r="AW27" s="70"/>
      <c r="AX27" s="103"/>
      <c r="AY27" s="104">
        <v>19</v>
      </c>
      <c r="AZ27" s="87" t="str">
        <f>VLOOKUP(AY27,$A$8:$L$87,6,FALSE)</f>
        <v>4 Julio-- Table</v>
      </c>
      <c r="BA27" s="105"/>
      <c r="BB27" s="89">
        <f>VLOOKUP(BB31,$A$8:$L$91,7,FALSE)</f>
        <v>4159</v>
      </c>
      <c r="BC27" s="75" t="s">
        <v>16</v>
      </c>
      <c r="BD27" s="76" t="s">
        <v>11</v>
      </c>
      <c r="BE27" s="70"/>
      <c r="BF27" s="79"/>
      <c r="BG27" s="107"/>
      <c r="BH27" s="79"/>
      <c r="BI27" s="79"/>
      <c r="BJ27" s="107"/>
      <c r="BK27" s="79"/>
      <c r="BL27" s="108">
        <f t="shared" si="35"/>
        <v>19</v>
      </c>
      <c r="BM27" s="109" t="str">
        <f>C44</f>
        <v>4 Julio</v>
      </c>
      <c r="BN27" s="109">
        <f>D44</f>
        <v>0</v>
      </c>
      <c r="BO27" s="110">
        <f>E44</f>
        <v>0</v>
      </c>
      <c r="BP27" s="111" t="s">
        <v>222</v>
      </c>
      <c r="BQ27" s="108"/>
      <c r="BR27" s="108">
        <v>35</v>
      </c>
      <c r="BS27" s="112" t="e">
        <v>#REF!</v>
      </c>
      <c r="BT27" s="108"/>
      <c r="BU27" s="112" t="e">
        <v>#REF!</v>
      </c>
      <c r="BV27" s="108"/>
      <c r="BW27" s="108"/>
      <c r="BY27" s="97">
        <f>G44</f>
        <v>3828</v>
      </c>
      <c r="BZ27" s="98">
        <f>H44</f>
        <v>4159</v>
      </c>
      <c r="CA27" s="84" t="s">
        <v>223</v>
      </c>
      <c r="CB27" s="85" t="s">
        <v>243</v>
      </c>
    </row>
    <row r="28" spans="1:80" s="62" customFormat="1" ht="12.75" x14ac:dyDescent="0.25">
      <c r="A28" s="213">
        <v>11</v>
      </c>
      <c r="B28" s="308" t="s">
        <v>227</v>
      </c>
      <c r="C28" s="310" t="s">
        <v>204</v>
      </c>
      <c r="D28" s="310"/>
      <c r="E28" s="298"/>
      <c r="F28" s="312" t="str">
        <f t="shared" ref="F28" si="308">C28&amp;"-"&amp;D28&amp;"- Table"&amp;E28</f>
        <v>4 Julio-- Table</v>
      </c>
      <c r="G28" s="298">
        <v>3767</v>
      </c>
      <c r="H28" s="298">
        <v>4273</v>
      </c>
      <c r="I28" s="298" t="s">
        <v>23</v>
      </c>
      <c r="J28" s="298" t="s">
        <v>24</v>
      </c>
      <c r="K28" s="298" t="s">
        <v>32</v>
      </c>
      <c r="L28" s="298" t="s">
        <v>15</v>
      </c>
      <c r="M28" s="306">
        <v>8</v>
      </c>
      <c r="N28" s="298">
        <v>11</v>
      </c>
      <c r="O28" s="298">
        <v>11</v>
      </c>
      <c r="P28" s="298">
        <v>4</v>
      </c>
      <c r="Q28" s="298">
        <v>11</v>
      </c>
      <c r="R28" s="298">
        <v>5</v>
      </c>
      <c r="S28" s="298"/>
      <c r="T28" s="298"/>
      <c r="U28" s="298"/>
      <c r="V28" s="298"/>
      <c r="W28" s="298"/>
      <c r="X28" s="298"/>
      <c r="Y28" s="298"/>
      <c r="Z28" s="300"/>
      <c r="AA28" s="226">
        <f t="shared" ref="AA28" si="309">IF(M28+N28&lt;&gt;0,SUM(AF28:AL28),"")</f>
        <v>2</v>
      </c>
      <c r="AB28" s="226">
        <f t="shared" ref="AB28" si="310">IF(M28+N28&lt;&gt;0,SUM(AF29:AL29),"")</f>
        <v>1</v>
      </c>
      <c r="AC28" s="226" t="str">
        <f t="shared" ref="AC28" si="311">IF(AA28&gt;AB28,AD28&amp;"  "&amp;AE28,IF(AB28&gt;AA28,AD28&amp;"  "&amp;AE29,""))</f>
        <v>2 - 1  (-8, 4, 5)</v>
      </c>
      <c r="AD28" s="59" t="str">
        <f t="shared" ref="AD28" si="312">IF(AA28&gt;AB28,AA28&amp;" - "&amp;AB28,IF(AB28&gt;AA28,AB28&amp;" - "&amp;AA28,""))</f>
        <v>2 - 1</v>
      </c>
      <c r="AE28" s="59" t="str">
        <f t="shared" si="0"/>
        <v>(-8, 4, 5)</v>
      </c>
      <c r="AF28" s="59">
        <f t="shared" ref="AF28" si="313">IF(M28&gt;N28,1,0)</f>
        <v>0</v>
      </c>
      <c r="AG28" s="59">
        <f t="shared" ref="AG28" si="314">IF(O28&gt;P28,1,0)</f>
        <v>1</v>
      </c>
      <c r="AH28" s="59">
        <f t="shared" ref="AH28" si="315">IF(Q28&gt;R28,1,0)</f>
        <v>1</v>
      </c>
      <c r="AI28" s="59">
        <f t="shared" ref="AI28" si="316">IF(S28&gt;T28,1,0)</f>
        <v>0</v>
      </c>
      <c r="AJ28" s="59">
        <f t="shared" ref="AJ28" si="317">IF(U28&gt;V28,1,0)</f>
        <v>0</v>
      </c>
      <c r="AK28" s="59">
        <f t="shared" ref="AK28" si="318">IF(W28&gt;X28,1,0)</f>
        <v>0</v>
      </c>
      <c r="AL28" s="59">
        <f t="shared" ref="AL28" si="319">IF(Y28&gt;Z28,1,0)</f>
        <v>0</v>
      </c>
      <c r="AM28" s="59">
        <f t="shared" ref="AM28" si="320">IF(M28&gt;N28,N28,IF(N28&gt;M28,-M28,""))</f>
        <v>-8</v>
      </c>
      <c r="AN28" s="59" t="str">
        <f t="shared" ref="AN28" si="321">IF(O28&gt;P28,", "&amp;P28,IF(P28&gt;O28,", "&amp;-O28,""))</f>
        <v>, 4</v>
      </c>
      <c r="AO28" s="59" t="str">
        <f t="shared" ref="AO28" si="322">IF(Q28&gt;R28,", "&amp;R28,IF(R28&gt;Q28,", "&amp;-Q28,""))</f>
        <v>, 5</v>
      </c>
      <c r="AP28" s="59" t="str">
        <f t="shared" ref="AP28" si="323">IF(S28&gt;T28,", "&amp;T28,IF(T28&gt;S28,", "&amp;-S28,""))</f>
        <v/>
      </c>
      <c r="AQ28" s="59" t="str">
        <f t="shared" ref="AQ28" si="324">IF(U28&gt;V28,", "&amp;V28,IF(V28&gt;U28,", "&amp;-U28,""))</f>
        <v/>
      </c>
      <c r="AR28" s="59" t="str">
        <f t="shared" ref="AR28" si="325">IF(W28&gt;X28,", "&amp;X28,IF(X28&gt;W28,", "&amp;-W28,""))</f>
        <v/>
      </c>
      <c r="AS28" s="59" t="str">
        <f t="shared" ref="AS28" si="326">IF(Y28&gt;Z28,", "&amp;Z28,IF(Z28&gt;Y28,", "&amp;-Y28,""))</f>
        <v/>
      </c>
      <c r="AU28" s="73">
        <f>1+AU26</f>
        <v>11</v>
      </c>
      <c r="AV28" s="74">
        <f>VLOOKUP(AV29,$A$8:$L$87,7,FALSE)</f>
        <v>4274</v>
      </c>
      <c r="AW28" s="75" t="s">
        <v>22</v>
      </c>
      <c r="AX28" s="76" t="s">
        <v>15</v>
      </c>
      <c r="AY28" s="106"/>
      <c r="AZ28" s="70"/>
      <c r="BA28" s="102"/>
      <c r="BB28" s="70"/>
      <c r="BC28" s="70"/>
      <c r="BD28" s="102"/>
      <c r="BE28" s="70"/>
      <c r="BF28" s="79"/>
      <c r="BG28" s="107"/>
      <c r="BH28" s="79"/>
      <c r="BI28" s="79"/>
      <c r="BJ28" s="107"/>
      <c r="BK28" s="79"/>
      <c r="BL28" s="108">
        <f t="shared" si="35"/>
        <v>20</v>
      </c>
      <c r="BM28" s="109" t="str">
        <f>C46</f>
        <v>4 Julio</v>
      </c>
      <c r="BN28" s="109">
        <f>D46</f>
        <v>0</v>
      </c>
      <c r="BO28" s="110">
        <f>E46</f>
        <v>0</v>
      </c>
      <c r="BP28" s="111" t="s">
        <v>222</v>
      </c>
      <c r="BQ28" s="108"/>
      <c r="BR28" s="108">
        <v>36</v>
      </c>
      <c r="BS28" s="112" t="e">
        <v>#REF!</v>
      </c>
      <c r="BT28" s="108"/>
      <c r="BU28" s="112" t="e">
        <v>#REF!</v>
      </c>
      <c r="BV28" s="108"/>
      <c r="BW28" s="108"/>
      <c r="BY28" s="97">
        <f>G46</f>
        <v>4048</v>
      </c>
      <c r="BZ28" s="98">
        <f>H46</f>
        <v>3756</v>
      </c>
      <c r="CA28" s="84" t="s">
        <v>223</v>
      </c>
      <c r="CB28" s="85" t="s">
        <v>244</v>
      </c>
    </row>
    <row r="29" spans="1:80" s="62" customFormat="1" ht="12.75" x14ac:dyDescent="0.25">
      <c r="A29" s="213"/>
      <c r="B29" s="309"/>
      <c r="C29" s="311"/>
      <c r="D29" s="311"/>
      <c r="E29" s="299"/>
      <c r="F29" s="313"/>
      <c r="G29" s="299"/>
      <c r="H29" s="299"/>
      <c r="I29" s="299">
        <v>0</v>
      </c>
      <c r="J29" s="299">
        <v>0</v>
      </c>
      <c r="K29" s="299">
        <v>0</v>
      </c>
      <c r="L29" s="299">
        <v>0</v>
      </c>
      <c r="M29" s="307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  <c r="Z29" s="301"/>
      <c r="AA29" s="226"/>
      <c r="AB29" s="226"/>
      <c r="AC29" s="226"/>
      <c r="AD29" s="59" t="str">
        <f t="shared" ref="AD29" si="327">IF(AA28&gt;AB28,AD28&amp;"  "&amp;AE28,IF(AB28&gt;AA28,AD28&amp;"  "&amp;AE29,""))</f>
        <v>2 - 1  (-8, 4, 5)</v>
      </c>
      <c r="AE29" s="59" t="str">
        <f t="shared" si="0"/>
        <v>(8, -4, -5)</v>
      </c>
      <c r="AF29" s="59">
        <f t="shared" ref="AF29" si="328">IF(N28&gt;M28,1,0)</f>
        <v>1</v>
      </c>
      <c r="AG29" s="59">
        <f t="shared" ref="AG29" si="329">IF(P28&gt;O28,1,0)</f>
        <v>0</v>
      </c>
      <c r="AH29" s="59">
        <f t="shared" ref="AH29" si="330">IF(R28&gt;Q28,1,0)</f>
        <v>0</v>
      </c>
      <c r="AI29" s="59">
        <f t="shared" ref="AI29" si="331">IF(T28&gt;S28,1,0)</f>
        <v>0</v>
      </c>
      <c r="AJ29" s="59">
        <f t="shared" ref="AJ29" si="332">IF(V28&gt;U28,1,0)</f>
        <v>0</v>
      </c>
      <c r="AK29" s="59">
        <f t="shared" ref="AK29" si="333">IF(X28&gt;W28,1,0)</f>
        <v>0</v>
      </c>
      <c r="AL29" s="59">
        <f t="shared" ref="AL29" si="334">IF(Z28&gt;Y28,1,0)</f>
        <v>0</v>
      </c>
      <c r="AM29" s="59">
        <f t="shared" ref="AM29" si="335">IF(N28&gt;M28,M28,IF(M28&gt;N28,-N28,""))</f>
        <v>8</v>
      </c>
      <c r="AN29" s="59" t="str">
        <f t="shared" ref="AN29" si="336">IF(P28&gt;O28,", "&amp;O28,IF(O28&gt;P28,", "&amp;-P28,""))</f>
        <v>, -4</v>
      </c>
      <c r="AO29" s="59" t="str">
        <f t="shared" ref="AO29" si="337">IF(R28&gt;Q28,", "&amp;Q28,IF(Q28&gt;R28,", "&amp;-R28,""))</f>
        <v>, -5</v>
      </c>
      <c r="AP29" s="59" t="str">
        <f t="shared" ref="AP29" si="338">IF(T28&gt;S28,", "&amp;S28,IF(S28&gt;T28,", "&amp;-T28,""))</f>
        <v/>
      </c>
      <c r="AQ29" s="59" t="str">
        <f t="shared" ref="AQ29" si="339">IF(V28&gt;U28,", "&amp;U28,IF(U28&gt;V28,", "&amp;-V28,""))</f>
        <v/>
      </c>
      <c r="AR29" s="59" t="str">
        <f t="shared" ref="AR29" si="340">IF(X28&gt;W28,", "&amp;W28,IF(W28&gt;X28,", "&amp;-X28,""))</f>
        <v/>
      </c>
      <c r="AS29" s="59" t="str">
        <f t="shared" ref="AS29" si="341">IF(Z28&gt;Y28,", "&amp;Y28,IF(Y28&gt;Z28,", "&amp;-Z28,""))</f>
        <v/>
      </c>
      <c r="AU29" s="63"/>
      <c r="AV29" s="86">
        <v>6</v>
      </c>
      <c r="AW29" s="87" t="str">
        <f>VLOOKUP(AV29,$A$8:$L$87,6,FALSE)</f>
        <v>4 Julio-- Table</v>
      </c>
      <c r="AX29" s="88"/>
      <c r="AY29" s="100">
        <f>VLOOKUP(AY27,$A$8:$L$91,8,FALSE)</f>
        <v>4159</v>
      </c>
      <c r="AZ29" s="100" t="s">
        <v>16</v>
      </c>
      <c r="BA29" s="101" t="s">
        <v>11</v>
      </c>
      <c r="BB29" s="70"/>
      <c r="BC29" s="70"/>
      <c r="BD29" s="102"/>
      <c r="BE29" s="70"/>
      <c r="BF29" s="79"/>
      <c r="BG29" s="107"/>
      <c r="BH29" s="79"/>
      <c r="BI29" s="79"/>
      <c r="BJ29" s="107"/>
      <c r="BK29" s="79"/>
      <c r="BL29" s="108">
        <f t="shared" si="35"/>
        <v>21</v>
      </c>
      <c r="BM29" s="109" t="str">
        <f>C48</f>
        <v>4 Julio</v>
      </c>
      <c r="BN29" s="109">
        <f>D48</f>
        <v>0</v>
      </c>
      <c r="BO29" s="110">
        <f>E48</f>
        <v>0</v>
      </c>
      <c r="BP29" s="111" t="s">
        <v>222</v>
      </c>
      <c r="BQ29" s="108"/>
      <c r="BR29" s="108">
        <v>37</v>
      </c>
      <c r="BS29" s="112" t="e">
        <v>#REF!</v>
      </c>
      <c r="BT29" s="108"/>
      <c r="BU29" s="112" t="e">
        <v>#REF!</v>
      </c>
      <c r="BV29" s="108"/>
      <c r="BW29" s="108"/>
      <c r="BY29" s="97">
        <f>G48</f>
        <v>3918</v>
      </c>
      <c r="BZ29" s="98">
        <f>H48</f>
        <v>4579</v>
      </c>
      <c r="CA29" s="84" t="s">
        <v>223</v>
      </c>
      <c r="CB29" s="85" t="s">
        <v>245</v>
      </c>
    </row>
    <row r="30" spans="1:80" s="62" customFormat="1" ht="12.75" x14ac:dyDescent="0.25">
      <c r="A30" s="213">
        <v>12</v>
      </c>
      <c r="B30" s="302" t="s">
        <v>227</v>
      </c>
      <c r="C30" s="304" t="s">
        <v>204</v>
      </c>
      <c r="D30" s="304"/>
      <c r="E30" s="290"/>
      <c r="F30" s="296" t="str">
        <f t="shared" ref="F30" si="342">C30&amp;"-"&amp;D30&amp;"- Table"&amp;E30</f>
        <v>4 Julio-- Table</v>
      </c>
      <c r="G30" s="290" t="s">
        <v>306</v>
      </c>
      <c r="H30" s="290">
        <v>3436</v>
      </c>
      <c r="I30" s="290" t="s">
        <v>305</v>
      </c>
      <c r="J30" s="290" t="s">
        <v>305</v>
      </c>
      <c r="K30" s="290" t="s">
        <v>17</v>
      </c>
      <c r="L30" s="290" t="s">
        <v>18</v>
      </c>
      <c r="M30" s="294">
        <v>0</v>
      </c>
      <c r="N30" s="290">
        <v>11</v>
      </c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2"/>
      <c r="AA30" s="226">
        <f t="shared" ref="AA30" si="343">IF(M30+N30&lt;&gt;0,SUM(AF30:AL30),"")</f>
        <v>0</v>
      </c>
      <c r="AB30" s="226">
        <f t="shared" ref="AB30" si="344">IF(M30+N30&lt;&gt;0,SUM(AF31:AL31),"")</f>
        <v>1</v>
      </c>
      <c r="AC30" s="226" t="str">
        <f t="shared" ref="AC30" si="345">IF(AA30&gt;AB30,AD30&amp;"  "&amp;AE30,IF(AB30&gt;AA30,AD30&amp;"  "&amp;AE31,""))</f>
        <v>1 - 0  (0)</v>
      </c>
      <c r="AD30" s="59" t="str">
        <f t="shared" ref="AD30" si="346">IF(AA30&gt;AB30,AA30&amp;" - "&amp;AB30,IF(AB30&gt;AA30,AB30&amp;" - "&amp;AA30,""))</f>
        <v>1 - 0</v>
      </c>
      <c r="AE30" s="59" t="str">
        <f t="shared" si="0"/>
        <v>(0)</v>
      </c>
      <c r="AF30" s="59">
        <f t="shared" ref="AF30" si="347">IF(M30&gt;N30,1,0)</f>
        <v>0</v>
      </c>
      <c r="AG30" s="59">
        <f t="shared" ref="AG30" si="348">IF(O30&gt;P30,1,0)</f>
        <v>0</v>
      </c>
      <c r="AH30" s="59">
        <f t="shared" ref="AH30" si="349">IF(Q30&gt;R30,1,0)</f>
        <v>0</v>
      </c>
      <c r="AI30" s="59">
        <f t="shared" ref="AI30" si="350">IF(S30&gt;T30,1,0)</f>
        <v>0</v>
      </c>
      <c r="AJ30" s="59">
        <f t="shared" ref="AJ30" si="351">IF(U30&gt;V30,1,0)</f>
        <v>0</v>
      </c>
      <c r="AK30" s="59">
        <f t="shared" ref="AK30" si="352">IF(W30&gt;X30,1,0)</f>
        <v>0</v>
      </c>
      <c r="AL30" s="59">
        <f t="shared" ref="AL30" si="353">IF(Y30&gt;Z30,1,0)</f>
        <v>0</v>
      </c>
      <c r="AM30" s="59">
        <f t="shared" ref="AM30" si="354">IF(M30&gt;N30,N30,IF(N30&gt;M30,-M30,""))</f>
        <v>0</v>
      </c>
      <c r="AN30" s="59" t="str">
        <f t="shared" ref="AN30" si="355">IF(O30&gt;P30,", "&amp;P30,IF(P30&gt;O30,", "&amp;-O30,""))</f>
        <v/>
      </c>
      <c r="AO30" s="59" t="str">
        <f t="shared" ref="AO30" si="356">IF(Q30&gt;R30,", "&amp;R30,IF(R30&gt;Q30,", "&amp;-Q30,""))</f>
        <v/>
      </c>
      <c r="AP30" s="59" t="str">
        <f t="shared" ref="AP30" si="357">IF(S30&gt;T30,", "&amp;T30,IF(T30&gt;S30,", "&amp;-S30,""))</f>
        <v/>
      </c>
      <c r="AQ30" s="59" t="str">
        <f t="shared" ref="AQ30" si="358">IF(U30&gt;V30,", "&amp;V30,IF(V30&gt;U30,", "&amp;-U30,""))</f>
        <v/>
      </c>
      <c r="AR30" s="59" t="str">
        <f t="shared" ref="AR30" si="359">IF(W30&gt;X30,", "&amp;X30,IF(X30&gt;W30,", "&amp;-W30,""))</f>
        <v/>
      </c>
      <c r="AS30" s="59" t="str">
        <f t="shared" ref="AS30" si="360">IF(Y30&gt;Z30,", "&amp;Z30,IF(Z30&gt;Y30,", "&amp;-Y30,""))</f>
        <v/>
      </c>
      <c r="AU30" s="73">
        <f>1+AU28</f>
        <v>12</v>
      </c>
      <c r="AV30" s="99">
        <f>VLOOKUP(AV29,$A$8:$L$87,8,FALSE)</f>
        <v>4159</v>
      </c>
      <c r="AW30" s="100" t="s">
        <v>16</v>
      </c>
      <c r="AX30" s="101" t="s">
        <v>11</v>
      </c>
      <c r="AY30" s="77"/>
      <c r="AZ30" s="78" t="str">
        <f>VLOOKUP(AV29,$A$8:$AD$91,29,FALSE)</f>
        <v>2 - 1  (4, -12, 5)</v>
      </c>
      <c r="BA30" s="78"/>
      <c r="BB30" s="70"/>
      <c r="BC30" s="70"/>
      <c r="BD30" s="102"/>
      <c r="BE30" s="70"/>
      <c r="BF30" s="79"/>
      <c r="BG30" s="107"/>
      <c r="BH30" s="79"/>
      <c r="BI30" s="79"/>
      <c r="BJ30" s="107"/>
      <c r="BK30" s="79"/>
      <c r="BL30" s="108">
        <f t="shared" si="35"/>
        <v>22</v>
      </c>
      <c r="BM30" s="109" t="str">
        <f>C50</f>
        <v>4 Julio</v>
      </c>
      <c r="BN30" s="109">
        <f>D50</f>
        <v>0</v>
      </c>
      <c r="BO30" s="110">
        <f>E50</f>
        <v>0</v>
      </c>
      <c r="BP30" s="111" t="s">
        <v>222</v>
      </c>
      <c r="BQ30" s="108"/>
      <c r="BR30" s="108">
        <v>38</v>
      </c>
      <c r="BS30" s="112" t="e">
        <v>#REF!</v>
      </c>
      <c r="BT30" s="108"/>
      <c r="BU30" s="112" t="e">
        <v>#REF!</v>
      </c>
      <c r="BV30" s="108"/>
      <c r="BW30" s="108"/>
      <c r="BY30" s="97">
        <f>G50</f>
        <v>3767</v>
      </c>
      <c r="BZ30" s="98">
        <f>H50</f>
        <v>3436</v>
      </c>
      <c r="CA30" s="84" t="s">
        <v>223</v>
      </c>
      <c r="CB30" s="85" t="s">
        <v>246</v>
      </c>
    </row>
    <row r="31" spans="1:80" s="62" customFormat="1" ht="12.75" x14ac:dyDescent="0.25">
      <c r="A31" s="213"/>
      <c r="B31" s="303"/>
      <c r="C31" s="305"/>
      <c r="D31" s="305"/>
      <c r="E31" s="291"/>
      <c r="F31" s="297"/>
      <c r="G31" s="291"/>
      <c r="H31" s="291"/>
      <c r="I31" s="291">
        <v>0</v>
      </c>
      <c r="J31" s="291">
        <v>0</v>
      </c>
      <c r="K31" s="291">
        <v>0</v>
      </c>
      <c r="L31" s="291">
        <v>0</v>
      </c>
      <c r="M31" s="295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3"/>
      <c r="AA31" s="226"/>
      <c r="AB31" s="226"/>
      <c r="AC31" s="226"/>
      <c r="AD31" s="59" t="str">
        <f t="shared" ref="AD31" si="361">IF(AA30&gt;AB30,AD30&amp;"  "&amp;AE30,IF(AB30&gt;AA30,AD30&amp;"  "&amp;AE31,""))</f>
        <v>1 - 0  (0)</v>
      </c>
      <c r="AE31" s="59" t="str">
        <f t="shared" si="0"/>
        <v>(0)</v>
      </c>
      <c r="AF31" s="59">
        <f t="shared" ref="AF31" si="362">IF(N30&gt;M30,1,0)</f>
        <v>1</v>
      </c>
      <c r="AG31" s="59">
        <f t="shared" ref="AG31" si="363">IF(P30&gt;O30,1,0)</f>
        <v>0</v>
      </c>
      <c r="AH31" s="59">
        <f t="shared" ref="AH31" si="364">IF(R30&gt;Q30,1,0)</f>
        <v>0</v>
      </c>
      <c r="AI31" s="59">
        <f t="shared" ref="AI31" si="365">IF(T30&gt;S30,1,0)</f>
        <v>0</v>
      </c>
      <c r="AJ31" s="59">
        <f t="shared" ref="AJ31" si="366">IF(V30&gt;U30,1,0)</f>
        <v>0</v>
      </c>
      <c r="AK31" s="59">
        <f t="shared" ref="AK31" si="367">IF(X30&gt;W30,1,0)</f>
        <v>0</v>
      </c>
      <c r="AL31" s="59">
        <f t="shared" ref="AL31" si="368">IF(Z30&gt;Y30,1,0)</f>
        <v>0</v>
      </c>
      <c r="AM31" s="59">
        <f t="shared" ref="AM31" si="369">IF(N30&gt;M30,M30,IF(M30&gt;N30,-N30,""))</f>
        <v>0</v>
      </c>
      <c r="AN31" s="59" t="str">
        <f t="shared" ref="AN31" si="370">IF(P30&gt;O30,", "&amp;O30,IF(O30&gt;P30,", "&amp;-P30,""))</f>
        <v/>
      </c>
      <c r="AO31" s="59" t="str">
        <f t="shared" ref="AO31" si="371">IF(R30&gt;Q30,", "&amp;Q30,IF(Q30&gt;R30,", "&amp;-R30,""))</f>
        <v/>
      </c>
      <c r="AP31" s="59" t="str">
        <f t="shared" ref="AP31" si="372">IF(T30&gt;S30,", "&amp;S30,IF(S30&gt;T30,", "&amp;-T30,""))</f>
        <v/>
      </c>
      <c r="AQ31" s="59" t="str">
        <f t="shared" ref="AQ31" si="373">IF(V30&gt;U30,", "&amp;U30,IF(U30&gt;V30,", "&amp;-V30,""))</f>
        <v/>
      </c>
      <c r="AR31" s="59" t="str">
        <f t="shared" ref="AR31" si="374">IF(X30&gt;W30,", "&amp;W30,IF(W30&gt;X30,", "&amp;-X30,""))</f>
        <v/>
      </c>
      <c r="AS31" s="59" t="str">
        <f t="shared" ref="AS31" si="375">IF(Z30&gt;Y30,", "&amp;Y30,IF(Y30&gt;Z30,", "&amp;-Z30,""))</f>
        <v/>
      </c>
      <c r="AU31" s="63"/>
      <c r="AV31" s="64"/>
      <c r="AW31" s="70"/>
      <c r="AX31" s="103"/>
      <c r="AY31" s="70"/>
      <c r="AZ31" s="70"/>
      <c r="BA31" s="71"/>
      <c r="BB31" s="104">
        <v>26</v>
      </c>
      <c r="BC31" s="87" t="str">
        <f>VLOOKUP(BB31,$A$8:$L$87,6,FALSE)</f>
        <v>4 Julio-- Table</v>
      </c>
      <c r="BD31" s="102"/>
      <c r="BE31" s="100">
        <f>VLOOKUP(BE23,$A$8:$L$91,8,FALSE)</f>
        <v>3756</v>
      </c>
      <c r="BF31" s="100" t="s">
        <v>9</v>
      </c>
      <c r="BG31" s="101" t="s">
        <v>6</v>
      </c>
      <c r="BH31" s="79"/>
      <c r="BI31" s="79"/>
      <c r="BJ31" s="107"/>
      <c r="BK31" s="79"/>
      <c r="BL31" s="108">
        <f t="shared" si="35"/>
        <v>23</v>
      </c>
      <c r="BM31" s="109" t="str">
        <f>C52</f>
        <v>4 Julio</v>
      </c>
      <c r="BN31" s="109">
        <f>D52</f>
        <v>0</v>
      </c>
      <c r="BO31" s="110">
        <f>E52</f>
        <v>0</v>
      </c>
      <c r="BP31" s="111" t="s">
        <v>222</v>
      </c>
      <c r="BQ31" s="108"/>
      <c r="BR31" s="108">
        <v>39</v>
      </c>
      <c r="BS31" s="112" t="e">
        <v>#REF!</v>
      </c>
      <c r="BT31" s="108"/>
      <c r="BU31" s="112" t="e">
        <v>#REF!</v>
      </c>
      <c r="BV31" s="108"/>
      <c r="BW31" s="108"/>
      <c r="BY31" s="97">
        <f>G52</f>
        <v>3909</v>
      </c>
      <c r="BZ31" s="98">
        <f>H52</f>
        <v>3433</v>
      </c>
      <c r="CA31" s="84" t="s">
        <v>223</v>
      </c>
      <c r="CB31" s="85" t="s">
        <v>247</v>
      </c>
    </row>
    <row r="32" spans="1:80" s="62" customFormat="1" ht="12.75" x14ac:dyDescent="0.25">
      <c r="A32" s="213">
        <v>13</v>
      </c>
      <c r="B32" s="308" t="s">
        <v>227</v>
      </c>
      <c r="C32" s="310" t="s">
        <v>204</v>
      </c>
      <c r="D32" s="310"/>
      <c r="E32" s="298"/>
      <c r="F32" s="312" t="str">
        <f t="shared" ref="F32" si="376">C32&amp;"-"&amp;D32&amp;"- Table"&amp;E32</f>
        <v>4 Julio-- Table</v>
      </c>
      <c r="G32" s="298">
        <v>3909</v>
      </c>
      <c r="H32" s="298" t="s">
        <v>306</v>
      </c>
      <c r="I32" s="298" t="s">
        <v>13</v>
      </c>
      <c r="J32" s="298" t="s">
        <v>11</v>
      </c>
      <c r="K32" s="298" t="s">
        <v>305</v>
      </c>
      <c r="L32" s="298" t="s">
        <v>305</v>
      </c>
      <c r="M32" s="306">
        <v>11</v>
      </c>
      <c r="N32" s="298">
        <v>0</v>
      </c>
      <c r="O32" s="298"/>
      <c r="P32" s="298"/>
      <c r="Q32" s="298"/>
      <c r="R32" s="298"/>
      <c r="S32" s="298"/>
      <c r="T32" s="298"/>
      <c r="U32" s="298"/>
      <c r="V32" s="298"/>
      <c r="W32" s="298"/>
      <c r="X32" s="298"/>
      <c r="Y32" s="298"/>
      <c r="Z32" s="300"/>
      <c r="AA32" s="226">
        <f t="shared" ref="AA32" si="377">IF(M32+N32&lt;&gt;0,SUM(AF32:AL32),"")</f>
        <v>1</v>
      </c>
      <c r="AB32" s="226">
        <f t="shared" ref="AB32" si="378">IF(M32+N32&lt;&gt;0,SUM(AF33:AL33),"")</f>
        <v>0</v>
      </c>
      <c r="AC32" s="226" t="str">
        <f t="shared" ref="AC32" si="379">IF(AA32&gt;AB32,AD32&amp;"  "&amp;AE32,IF(AB32&gt;AA32,AD32&amp;"  "&amp;AE33,""))</f>
        <v>1 - 0  (0)</v>
      </c>
      <c r="AD32" s="59" t="str">
        <f t="shared" ref="AD32" si="380">IF(AA32&gt;AB32,AA32&amp;" - "&amp;AB32,IF(AB32&gt;AA32,AB32&amp;" - "&amp;AA32,""))</f>
        <v>1 - 0</v>
      </c>
      <c r="AE32" s="59" t="str">
        <f t="shared" si="0"/>
        <v>(0)</v>
      </c>
      <c r="AF32" s="59">
        <f t="shared" ref="AF32" si="381">IF(M32&gt;N32,1,0)</f>
        <v>1</v>
      </c>
      <c r="AG32" s="59">
        <f t="shared" ref="AG32" si="382">IF(O32&gt;P32,1,0)</f>
        <v>0</v>
      </c>
      <c r="AH32" s="59">
        <f t="shared" ref="AH32" si="383">IF(Q32&gt;R32,1,0)</f>
        <v>0</v>
      </c>
      <c r="AI32" s="59">
        <f t="shared" ref="AI32" si="384">IF(S32&gt;T32,1,0)</f>
        <v>0</v>
      </c>
      <c r="AJ32" s="59">
        <f t="shared" ref="AJ32" si="385">IF(U32&gt;V32,1,0)</f>
        <v>0</v>
      </c>
      <c r="AK32" s="59">
        <f t="shared" ref="AK32" si="386">IF(W32&gt;X32,1,0)</f>
        <v>0</v>
      </c>
      <c r="AL32" s="59">
        <f t="shared" ref="AL32" si="387">IF(Y32&gt;Z32,1,0)</f>
        <v>0</v>
      </c>
      <c r="AM32" s="59">
        <f t="shared" ref="AM32" si="388">IF(M32&gt;N32,N32,IF(N32&gt;M32,-M32,""))</f>
        <v>0</v>
      </c>
      <c r="AN32" s="59" t="str">
        <f t="shared" ref="AN32" si="389">IF(O32&gt;P32,", "&amp;P32,IF(P32&gt;O32,", "&amp;-O32,""))</f>
        <v/>
      </c>
      <c r="AO32" s="59" t="str">
        <f t="shared" ref="AO32" si="390">IF(Q32&gt;R32,", "&amp;R32,IF(R32&gt;Q32,", "&amp;-Q32,""))</f>
        <v/>
      </c>
      <c r="AP32" s="59" t="str">
        <f t="shared" ref="AP32" si="391">IF(S32&gt;T32,", "&amp;T32,IF(T32&gt;S32,", "&amp;-S32,""))</f>
        <v/>
      </c>
      <c r="AQ32" s="59" t="str">
        <f t="shared" ref="AQ32" si="392">IF(U32&gt;V32,", "&amp;V32,IF(V32&gt;U32,", "&amp;-U32,""))</f>
        <v/>
      </c>
      <c r="AR32" s="59" t="str">
        <f t="shared" ref="AR32" si="393">IF(W32&gt;X32,", "&amp;X32,IF(X32&gt;W32,", "&amp;-W32,""))</f>
        <v/>
      </c>
      <c r="AS32" s="59" t="str">
        <f t="shared" ref="AS32" si="394">IF(Y32&gt;Z32,", "&amp;Z32,IF(Z32&gt;Y32,", "&amp;-Y32,""))</f>
        <v/>
      </c>
      <c r="AU32" s="73">
        <f>1+AU30</f>
        <v>13</v>
      </c>
      <c r="AV32" s="74">
        <f>VLOOKUP(AV33,$A$8:$L$87,7,FALSE)</f>
        <v>4048</v>
      </c>
      <c r="AW32" s="75" t="s">
        <v>21</v>
      </c>
      <c r="AX32" s="76" t="s">
        <v>11</v>
      </c>
      <c r="AY32" s="77"/>
      <c r="AZ32" s="78" t="str">
        <f>VLOOKUP(AV33,$A$8:$AD$87,29,FALSE)</f>
        <v>2 - 1  (-7, 6, 3)</v>
      </c>
      <c r="BA32" s="78"/>
      <c r="BB32" s="70"/>
      <c r="BC32" s="70"/>
      <c r="BD32" s="102"/>
      <c r="BE32" s="77"/>
      <c r="BF32" s="78" t="str">
        <f>VLOOKUP(BB31,$A$8:$AD$91,29,FALSE)</f>
        <v>2 - 0  (6, 10)</v>
      </c>
      <c r="BG32" s="78"/>
      <c r="BH32" s="79"/>
      <c r="BI32" s="79"/>
      <c r="BJ32" s="107"/>
      <c r="BK32" s="79"/>
      <c r="BL32" s="108">
        <f t="shared" si="35"/>
        <v>24</v>
      </c>
      <c r="BM32" s="109" t="str">
        <f>C54</f>
        <v>4 Julio</v>
      </c>
      <c r="BN32" s="109">
        <f>D54</f>
        <v>0</v>
      </c>
      <c r="BO32" s="110">
        <f>E54</f>
        <v>0</v>
      </c>
      <c r="BP32" s="111" t="s">
        <v>222</v>
      </c>
      <c r="BQ32" s="108"/>
      <c r="BR32" s="108">
        <v>40</v>
      </c>
      <c r="BS32" s="112" t="e">
        <v>#REF!</v>
      </c>
      <c r="BT32" s="108"/>
      <c r="BU32" s="112" t="e">
        <v>#REF!</v>
      </c>
      <c r="BV32" s="108"/>
      <c r="BW32" s="108"/>
      <c r="BY32" s="97">
        <f>G54</f>
        <v>3721</v>
      </c>
      <c r="BZ32" s="98">
        <f>H54</f>
        <v>3717</v>
      </c>
      <c r="CA32" s="84" t="s">
        <v>223</v>
      </c>
      <c r="CB32" s="85" t="s">
        <v>248</v>
      </c>
    </row>
    <row r="33" spans="1:80" s="62" customFormat="1" ht="12.75" x14ac:dyDescent="0.25">
      <c r="A33" s="213"/>
      <c r="B33" s="309"/>
      <c r="C33" s="311"/>
      <c r="D33" s="311"/>
      <c r="E33" s="299"/>
      <c r="F33" s="313"/>
      <c r="G33" s="299"/>
      <c r="H33" s="299"/>
      <c r="I33" s="299">
        <v>0</v>
      </c>
      <c r="J33" s="299">
        <v>0</v>
      </c>
      <c r="K33" s="299">
        <v>0</v>
      </c>
      <c r="L33" s="299">
        <v>0</v>
      </c>
      <c r="M33" s="307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301"/>
      <c r="AA33" s="226"/>
      <c r="AB33" s="226"/>
      <c r="AC33" s="226"/>
      <c r="AD33" s="59" t="str">
        <f t="shared" ref="AD33" si="395">IF(AA32&gt;AB32,AD32&amp;"  "&amp;AE32,IF(AB32&gt;AA32,AD32&amp;"  "&amp;AE33,""))</f>
        <v>1 - 0  (0)</v>
      </c>
      <c r="AE33" s="59" t="str">
        <f t="shared" si="0"/>
        <v>(0)</v>
      </c>
      <c r="AF33" s="59">
        <f t="shared" ref="AF33" si="396">IF(N32&gt;M32,1,0)</f>
        <v>0</v>
      </c>
      <c r="AG33" s="59">
        <f t="shared" ref="AG33" si="397">IF(P32&gt;O32,1,0)</f>
        <v>0</v>
      </c>
      <c r="AH33" s="59">
        <f t="shared" ref="AH33" si="398">IF(R32&gt;Q32,1,0)</f>
        <v>0</v>
      </c>
      <c r="AI33" s="59">
        <f t="shared" ref="AI33" si="399">IF(T32&gt;S32,1,0)</f>
        <v>0</v>
      </c>
      <c r="AJ33" s="59">
        <f t="shared" ref="AJ33" si="400">IF(V32&gt;U32,1,0)</f>
        <v>0</v>
      </c>
      <c r="AK33" s="59">
        <f t="shared" ref="AK33" si="401">IF(X32&gt;W32,1,0)</f>
        <v>0</v>
      </c>
      <c r="AL33" s="59">
        <f t="shared" ref="AL33" si="402">IF(Z32&gt;Y32,1,0)</f>
        <v>0</v>
      </c>
      <c r="AM33" s="59">
        <f t="shared" ref="AM33" si="403">IF(N32&gt;M32,M32,IF(M32&gt;N32,-N32,""))</f>
        <v>0</v>
      </c>
      <c r="AN33" s="59" t="str">
        <f t="shared" ref="AN33" si="404">IF(P32&gt;O32,", "&amp;O32,IF(O32&gt;P32,", "&amp;-P32,""))</f>
        <v/>
      </c>
      <c r="AO33" s="59" t="str">
        <f t="shared" ref="AO33" si="405">IF(R32&gt;Q32,", "&amp;Q32,IF(Q32&gt;R32,", "&amp;-R32,""))</f>
        <v/>
      </c>
      <c r="AP33" s="59" t="str">
        <f t="shared" ref="AP33" si="406">IF(T32&gt;S32,", "&amp;S32,IF(S32&gt;T32,", "&amp;-T32,""))</f>
        <v/>
      </c>
      <c r="AQ33" s="59" t="str">
        <f t="shared" ref="AQ33" si="407">IF(V32&gt;U32,", "&amp;U32,IF(U32&gt;V32,", "&amp;-V32,""))</f>
        <v/>
      </c>
      <c r="AR33" s="59" t="str">
        <f t="shared" ref="AR33" si="408">IF(X32&gt;W32,", "&amp;W32,IF(W32&gt;X32,", "&amp;-X32,""))</f>
        <v/>
      </c>
      <c r="AS33" s="59" t="str">
        <f t="shared" ref="AS33" si="409">IF(Z32&gt;Y32,", "&amp;Y32,IF(Y32&gt;Z32,", "&amp;-Z32,""))</f>
        <v/>
      </c>
      <c r="AU33" s="63"/>
      <c r="AV33" s="86">
        <v>7</v>
      </c>
      <c r="AW33" s="87" t="str">
        <f>VLOOKUP(AV33,$A$8:$L$87,6,FALSE)</f>
        <v>4 Julio-- Table</v>
      </c>
      <c r="AX33" s="88"/>
      <c r="AY33" s="89">
        <f>VLOOKUP(AY35,$A$8:$L$91,7,FALSE)</f>
        <v>4048</v>
      </c>
      <c r="AZ33" s="75" t="s">
        <v>21</v>
      </c>
      <c r="BA33" s="76" t="s">
        <v>11</v>
      </c>
      <c r="BB33" s="70"/>
      <c r="BC33" s="70"/>
      <c r="BD33" s="102"/>
      <c r="BE33" s="70"/>
      <c r="BF33" s="79"/>
      <c r="BG33" s="90"/>
      <c r="BH33" s="79"/>
      <c r="BI33" s="79"/>
      <c r="BJ33" s="107"/>
      <c r="BK33" s="79"/>
      <c r="BL33" s="113">
        <f t="shared" si="35"/>
        <v>25</v>
      </c>
      <c r="BM33" s="114" t="str">
        <f>C56</f>
        <v>4 Julio</v>
      </c>
      <c r="BN33" s="114">
        <f>D56</f>
        <v>0</v>
      </c>
      <c r="BO33" s="115">
        <f>E56</f>
        <v>0</v>
      </c>
      <c r="BP33" s="116" t="s">
        <v>222</v>
      </c>
      <c r="BQ33" s="113"/>
      <c r="BR33" s="113">
        <v>49</v>
      </c>
      <c r="BS33" s="117" t="e">
        <v>#REF!</v>
      </c>
      <c r="BT33" s="113"/>
      <c r="BU33" s="117" t="e">
        <v>#REF!</v>
      </c>
      <c r="BV33" s="113"/>
      <c r="BW33" s="113"/>
      <c r="BY33" s="97">
        <f>G56</f>
        <v>4176</v>
      </c>
      <c r="BZ33" s="98">
        <f>H56</f>
        <v>3423</v>
      </c>
      <c r="CA33" s="84" t="s">
        <v>223</v>
      </c>
      <c r="CB33" s="85" t="s">
        <v>249</v>
      </c>
    </row>
    <row r="34" spans="1:80" s="62" customFormat="1" ht="12.75" x14ac:dyDescent="0.25">
      <c r="A34" s="213">
        <v>14</v>
      </c>
      <c r="B34" s="302" t="s">
        <v>227</v>
      </c>
      <c r="C34" s="304" t="s">
        <v>204</v>
      </c>
      <c r="D34" s="304"/>
      <c r="E34" s="290"/>
      <c r="F34" s="296" t="str">
        <f t="shared" ref="F34" si="410">C34&amp;"-"&amp;D34&amp;"- Table"&amp;E34</f>
        <v>4 Julio-- Table</v>
      </c>
      <c r="G34" s="290">
        <v>3433</v>
      </c>
      <c r="H34" s="290">
        <v>4101</v>
      </c>
      <c r="I34" s="290" t="s">
        <v>26</v>
      </c>
      <c r="J34" s="290" t="s">
        <v>18</v>
      </c>
      <c r="K34" s="290" t="s">
        <v>27</v>
      </c>
      <c r="L34" s="290" t="s">
        <v>11</v>
      </c>
      <c r="M34" s="294">
        <v>8</v>
      </c>
      <c r="N34" s="290">
        <v>11</v>
      </c>
      <c r="O34" s="290">
        <v>11</v>
      </c>
      <c r="P34" s="290">
        <v>7</v>
      </c>
      <c r="Q34" s="290">
        <v>11</v>
      </c>
      <c r="R34" s="290">
        <v>8</v>
      </c>
      <c r="S34" s="290"/>
      <c r="T34" s="290"/>
      <c r="U34" s="290"/>
      <c r="V34" s="290"/>
      <c r="W34" s="290"/>
      <c r="X34" s="290"/>
      <c r="Y34" s="290"/>
      <c r="Z34" s="292"/>
      <c r="AA34" s="226">
        <f t="shared" ref="AA34" si="411">IF(M34+N34&lt;&gt;0,SUM(AF34:AL34),"")</f>
        <v>2</v>
      </c>
      <c r="AB34" s="226">
        <f t="shared" ref="AB34" si="412">IF(M34+N34&lt;&gt;0,SUM(AF35:AL35),"")</f>
        <v>1</v>
      </c>
      <c r="AC34" s="226" t="str">
        <f t="shared" ref="AC34" si="413">IF(AA34&gt;AB34,AD34&amp;"  "&amp;AE34,IF(AB34&gt;AA34,AD34&amp;"  "&amp;AE35,""))</f>
        <v>2 - 1  (-8, 7, 8)</v>
      </c>
      <c r="AD34" s="59" t="str">
        <f t="shared" ref="AD34" si="414">IF(AA34&gt;AB34,AA34&amp;" - "&amp;AB34,IF(AB34&gt;AA34,AB34&amp;" - "&amp;AA34,""))</f>
        <v>2 - 1</v>
      </c>
      <c r="AE34" s="59" t="str">
        <f t="shared" si="0"/>
        <v>(-8, 7, 8)</v>
      </c>
      <c r="AF34" s="59">
        <f t="shared" ref="AF34" si="415">IF(M34&gt;N34,1,0)</f>
        <v>0</v>
      </c>
      <c r="AG34" s="59">
        <f t="shared" ref="AG34" si="416">IF(O34&gt;P34,1,0)</f>
        <v>1</v>
      </c>
      <c r="AH34" s="59">
        <f t="shared" ref="AH34" si="417">IF(Q34&gt;R34,1,0)</f>
        <v>1</v>
      </c>
      <c r="AI34" s="59">
        <f t="shared" ref="AI34" si="418">IF(S34&gt;T34,1,0)</f>
        <v>0</v>
      </c>
      <c r="AJ34" s="59">
        <f t="shared" ref="AJ34" si="419">IF(U34&gt;V34,1,0)</f>
        <v>0</v>
      </c>
      <c r="AK34" s="59">
        <f t="shared" ref="AK34" si="420">IF(W34&gt;X34,1,0)</f>
        <v>0</v>
      </c>
      <c r="AL34" s="59">
        <f t="shared" ref="AL34" si="421">IF(Y34&gt;Z34,1,0)</f>
        <v>0</v>
      </c>
      <c r="AM34" s="59">
        <f t="shared" ref="AM34" si="422">IF(M34&gt;N34,N34,IF(N34&gt;M34,-M34,""))</f>
        <v>-8</v>
      </c>
      <c r="AN34" s="59" t="str">
        <f t="shared" ref="AN34" si="423">IF(O34&gt;P34,", "&amp;P34,IF(P34&gt;O34,", "&amp;-O34,""))</f>
        <v>, 7</v>
      </c>
      <c r="AO34" s="59" t="str">
        <f t="shared" ref="AO34" si="424">IF(Q34&gt;R34,", "&amp;R34,IF(R34&gt;Q34,", "&amp;-Q34,""))</f>
        <v>, 8</v>
      </c>
      <c r="AP34" s="59" t="str">
        <f t="shared" ref="AP34" si="425">IF(S34&gt;T34,", "&amp;T34,IF(T34&gt;S34,", "&amp;-S34,""))</f>
        <v/>
      </c>
      <c r="AQ34" s="59" t="str">
        <f t="shared" ref="AQ34" si="426">IF(U34&gt;V34,", "&amp;V34,IF(V34&gt;U34,", "&amp;-U34,""))</f>
        <v/>
      </c>
      <c r="AR34" s="59" t="str">
        <f t="shared" ref="AR34" si="427">IF(W34&gt;X34,", "&amp;X34,IF(X34&gt;W34,", "&amp;-W34,""))</f>
        <v/>
      </c>
      <c r="AS34" s="59" t="str">
        <f t="shared" ref="AS34" si="428">IF(Y34&gt;Z34,", "&amp;Z34,IF(Z34&gt;Y34,", "&amp;-Y34,""))</f>
        <v/>
      </c>
      <c r="AU34" s="73">
        <f>1+AU32</f>
        <v>14</v>
      </c>
      <c r="AV34" s="99">
        <f>VLOOKUP(AV33,$A$8:$L$87,8,FALSE)</f>
        <v>3720</v>
      </c>
      <c r="AW34" s="100" t="s">
        <v>29</v>
      </c>
      <c r="AX34" s="101" t="s">
        <v>15</v>
      </c>
      <c r="AY34" s="70"/>
      <c r="AZ34" s="70"/>
      <c r="BA34" s="102"/>
      <c r="BB34" s="70"/>
      <c r="BC34" s="70"/>
      <c r="BD34" s="102"/>
      <c r="BE34" s="70"/>
      <c r="BF34" s="79"/>
      <c r="BG34" s="90"/>
      <c r="BH34" s="79"/>
      <c r="BI34" s="79"/>
      <c r="BJ34" s="107"/>
      <c r="BK34" s="79"/>
      <c r="BL34" s="113">
        <f t="shared" si="35"/>
        <v>26</v>
      </c>
      <c r="BM34" s="114" t="str">
        <f>C58</f>
        <v>4 Julio</v>
      </c>
      <c r="BN34" s="114">
        <f>D58</f>
        <v>0</v>
      </c>
      <c r="BO34" s="115">
        <f>E58</f>
        <v>0</v>
      </c>
      <c r="BP34" s="116" t="s">
        <v>222</v>
      </c>
      <c r="BQ34" s="113"/>
      <c r="BR34" s="113">
        <v>50</v>
      </c>
      <c r="BS34" s="117" t="e">
        <v>#REF!</v>
      </c>
      <c r="BT34" s="113"/>
      <c r="BU34" s="117" t="e">
        <v>#REF!</v>
      </c>
      <c r="BV34" s="113"/>
      <c r="BW34" s="113"/>
      <c r="BY34" s="97">
        <f>G58</f>
        <v>4159</v>
      </c>
      <c r="BZ34" s="98">
        <f>H58</f>
        <v>3756</v>
      </c>
      <c r="CA34" s="84" t="s">
        <v>223</v>
      </c>
      <c r="CB34" s="85" t="s">
        <v>249</v>
      </c>
    </row>
    <row r="35" spans="1:80" s="62" customFormat="1" ht="12.75" x14ac:dyDescent="0.25">
      <c r="A35" s="213"/>
      <c r="B35" s="303"/>
      <c r="C35" s="305"/>
      <c r="D35" s="305"/>
      <c r="E35" s="291"/>
      <c r="F35" s="297"/>
      <c r="G35" s="291"/>
      <c r="H35" s="291"/>
      <c r="I35" s="291">
        <v>0</v>
      </c>
      <c r="J35" s="291">
        <v>0</v>
      </c>
      <c r="K35" s="291">
        <v>0</v>
      </c>
      <c r="L35" s="291">
        <v>0</v>
      </c>
      <c r="M35" s="295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3"/>
      <c r="AA35" s="226"/>
      <c r="AB35" s="226"/>
      <c r="AC35" s="226"/>
      <c r="AD35" s="59" t="str">
        <f t="shared" ref="AD35" si="429">IF(AA34&gt;AB34,AD34&amp;"  "&amp;AE34,IF(AB34&gt;AA34,AD34&amp;"  "&amp;AE35,""))</f>
        <v>2 - 1  (-8, 7, 8)</v>
      </c>
      <c r="AE35" s="59" t="str">
        <f t="shared" si="0"/>
        <v>(8, -7, -8)</v>
      </c>
      <c r="AF35" s="59">
        <f t="shared" ref="AF35" si="430">IF(N34&gt;M34,1,0)</f>
        <v>1</v>
      </c>
      <c r="AG35" s="59">
        <f t="shared" ref="AG35" si="431">IF(P34&gt;O34,1,0)</f>
        <v>0</v>
      </c>
      <c r="AH35" s="59">
        <f t="shared" ref="AH35" si="432">IF(R34&gt;Q34,1,0)</f>
        <v>0</v>
      </c>
      <c r="AI35" s="59">
        <f t="shared" ref="AI35" si="433">IF(T34&gt;S34,1,0)</f>
        <v>0</v>
      </c>
      <c r="AJ35" s="59">
        <f t="shared" ref="AJ35" si="434">IF(V34&gt;U34,1,0)</f>
        <v>0</v>
      </c>
      <c r="AK35" s="59">
        <f t="shared" ref="AK35" si="435">IF(X34&gt;W34,1,0)</f>
        <v>0</v>
      </c>
      <c r="AL35" s="59">
        <f t="shared" ref="AL35" si="436">IF(Z34&gt;Y34,1,0)</f>
        <v>0</v>
      </c>
      <c r="AM35" s="59">
        <f t="shared" ref="AM35" si="437">IF(N34&gt;M34,M34,IF(M34&gt;N34,-N34,""))</f>
        <v>8</v>
      </c>
      <c r="AN35" s="59" t="str">
        <f t="shared" ref="AN35" si="438">IF(P34&gt;O34,", "&amp;O34,IF(O34&gt;P34,", "&amp;-P34,""))</f>
        <v>, -7</v>
      </c>
      <c r="AO35" s="59" t="str">
        <f t="shared" ref="AO35" si="439">IF(R34&gt;Q34,", "&amp;Q34,IF(Q34&gt;R34,", "&amp;-R34,""))</f>
        <v>, -8</v>
      </c>
      <c r="AP35" s="59" t="str">
        <f t="shared" ref="AP35" si="440">IF(T34&gt;S34,", "&amp;S34,IF(S34&gt;T34,", "&amp;-T34,""))</f>
        <v/>
      </c>
      <c r="AQ35" s="59" t="str">
        <f t="shared" ref="AQ35" si="441">IF(V34&gt;U34,", "&amp;U34,IF(U34&gt;V34,", "&amp;-V34,""))</f>
        <v/>
      </c>
      <c r="AR35" s="59" t="str">
        <f t="shared" ref="AR35" si="442">IF(X34&gt;W34,", "&amp;W34,IF(W34&gt;X34,", "&amp;-X34,""))</f>
        <v/>
      </c>
      <c r="AS35" s="59" t="str">
        <f t="shared" ref="AS35" si="443">IF(Z34&gt;Y34,", "&amp;Y34,IF(Y34&gt;Z34,", "&amp;-Z34,""))</f>
        <v/>
      </c>
      <c r="AU35" s="63"/>
      <c r="AV35" s="64"/>
      <c r="AW35" s="70"/>
      <c r="AX35" s="103"/>
      <c r="AY35" s="104">
        <v>20</v>
      </c>
      <c r="AZ35" s="87" t="str">
        <f>VLOOKUP(AY35,$A$8:$L$87,6,FALSE)</f>
        <v>4 Julio-- Table</v>
      </c>
      <c r="BA35" s="105"/>
      <c r="BB35" s="100">
        <f>VLOOKUP(BB31,$A$8:$L$91,8,FALSE)</f>
        <v>3756</v>
      </c>
      <c r="BC35" s="100" t="s">
        <v>9</v>
      </c>
      <c r="BD35" s="101" t="s">
        <v>6</v>
      </c>
      <c r="BE35" s="70"/>
      <c r="BF35" s="79"/>
      <c r="BG35" s="90"/>
      <c r="BH35" s="79"/>
      <c r="BI35" s="79"/>
      <c r="BJ35" s="107"/>
      <c r="BK35" s="79"/>
      <c r="BL35" s="113">
        <f t="shared" si="35"/>
        <v>27</v>
      </c>
      <c r="BM35" s="114" t="str">
        <f>C60</f>
        <v>4 Julio</v>
      </c>
      <c r="BN35" s="114">
        <f>D60</f>
        <v>0</v>
      </c>
      <c r="BO35" s="115">
        <f>E60</f>
        <v>0</v>
      </c>
      <c r="BP35" s="116" t="s">
        <v>222</v>
      </c>
      <c r="BQ35" s="113"/>
      <c r="BR35" s="113">
        <v>51</v>
      </c>
      <c r="BS35" s="117" t="e">
        <v>#REF!</v>
      </c>
      <c r="BT35" s="113"/>
      <c r="BU35" s="117" t="e">
        <v>#REF!</v>
      </c>
      <c r="BV35" s="113"/>
      <c r="BW35" s="113"/>
      <c r="BY35" s="97">
        <f>G60</f>
        <v>3918</v>
      </c>
      <c r="BZ35" s="98">
        <f>H60</f>
        <v>3436</v>
      </c>
      <c r="CA35" s="84" t="s">
        <v>223</v>
      </c>
      <c r="CB35" s="85" t="s">
        <v>249</v>
      </c>
    </row>
    <row r="36" spans="1:80" s="62" customFormat="1" ht="12.75" x14ac:dyDescent="0.25">
      <c r="A36" s="213">
        <v>15</v>
      </c>
      <c r="B36" s="308" t="s">
        <v>227</v>
      </c>
      <c r="C36" s="310" t="s">
        <v>204</v>
      </c>
      <c r="D36" s="310"/>
      <c r="E36" s="298"/>
      <c r="F36" s="312" t="str">
        <f t="shared" ref="F36" si="444">C36&amp;"-"&amp;D36&amp;"- Table"&amp;E36</f>
        <v>4 Julio-- Table</v>
      </c>
      <c r="G36" s="298">
        <v>3721</v>
      </c>
      <c r="H36" s="298">
        <v>4100</v>
      </c>
      <c r="I36" s="298" t="s">
        <v>20</v>
      </c>
      <c r="J36" s="298" t="s">
        <v>15</v>
      </c>
      <c r="K36" s="298" t="s">
        <v>36</v>
      </c>
      <c r="L36" s="298" t="s">
        <v>11</v>
      </c>
      <c r="M36" s="306">
        <v>11</v>
      </c>
      <c r="N36" s="298">
        <v>7</v>
      </c>
      <c r="O36" s="298">
        <v>13</v>
      </c>
      <c r="P36" s="298">
        <v>11</v>
      </c>
      <c r="Q36" s="298"/>
      <c r="R36" s="298"/>
      <c r="S36" s="298"/>
      <c r="T36" s="298"/>
      <c r="U36" s="298"/>
      <c r="V36" s="298"/>
      <c r="W36" s="298"/>
      <c r="X36" s="298"/>
      <c r="Y36" s="298"/>
      <c r="Z36" s="300"/>
      <c r="AA36" s="226">
        <f t="shared" ref="AA36" si="445">IF(M36+N36&lt;&gt;0,SUM(AF36:AL36),"")</f>
        <v>2</v>
      </c>
      <c r="AB36" s="226">
        <f t="shared" ref="AB36" si="446">IF(M36+N36&lt;&gt;0,SUM(AF37:AL37),"")</f>
        <v>0</v>
      </c>
      <c r="AC36" s="226" t="str">
        <f t="shared" ref="AC36" si="447">IF(AA36&gt;AB36,AD36&amp;"  "&amp;AE36,IF(AB36&gt;AA36,AD36&amp;"  "&amp;AE37,""))</f>
        <v>2 - 0  (7, 11)</v>
      </c>
      <c r="AD36" s="59" t="str">
        <f t="shared" ref="AD36" si="448">IF(AA36&gt;AB36,AA36&amp;" - "&amp;AB36,IF(AB36&gt;AA36,AB36&amp;" - "&amp;AA36,""))</f>
        <v>2 - 0</v>
      </c>
      <c r="AE36" s="59" t="str">
        <f t="shared" si="0"/>
        <v>(7, 11)</v>
      </c>
      <c r="AF36" s="59">
        <f t="shared" ref="AF36" si="449">IF(M36&gt;N36,1,0)</f>
        <v>1</v>
      </c>
      <c r="AG36" s="59">
        <f t="shared" ref="AG36" si="450">IF(O36&gt;P36,1,0)</f>
        <v>1</v>
      </c>
      <c r="AH36" s="59">
        <f t="shared" ref="AH36" si="451">IF(Q36&gt;R36,1,0)</f>
        <v>0</v>
      </c>
      <c r="AI36" s="59">
        <f t="shared" ref="AI36" si="452">IF(S36&gt;T36,1,0)</f>
        <v>0</v>
      </c>
      <c r="AJ36" s="59">
        <f t="shared" ref="AJ36" si="453">IF(U36&gt;V36,1,0)</f>
        <v>0</v>
      </c>
      <c r="AK36" s="59">
        <f t="shared" ref="AK36" si="454">IF(W36&gt;X36,1,0)</f>
        <v>0</v>
      </c>
      <c r="AL36" s="59">
        <f t="shared" ref="AL36" si="455">IF(Y36&gt;Z36,1,0)</f>
        <v>0</v>
      </c>
      <c r="AM36" s="59">
        <f t="shared" ref="AM36" si="456">IF(M36&gt;N36,N36,IF(N36&gt;M36,-M36,""))</f>
        <v>7</v>
      </c>
      <c r="AN36" s="59" t="str">
        <f t="shared" ref="AN36" si="457">IF(O36&gt;P36,", "&amp;P36,IF(P36&gt;O36,", "&amp;-O36,""))</f>
        <v>, 11</v>
      </c>
      <c r="AO36" s="59" t="str">
        <f t="shared" ref="AO36" si="458">IF(Q36&gt;R36,", "&amp;R36,IF(R36&gt;Q36,", "&amp;-Q36,""))</f>
        <v/>
      </c>
      <c r="AP36" s="59" t="str">
        <f t="shared" ref="AP36" si="459">IF(S36&gt;T36,", "&amp;T36,IF(T36&gt;S36,", "&amp;-S36,""))</f>
        <v/>
      </c>
      <c r="AQ36" s="59" t="str">
        <f t="shared" ref="AQ36" si="460">IF(U36&gt;V36,", "&amp;V36,IF(V36&gt;U36,", "&amp;-U36,""))</f>
        <v/>
      </c>
      <c r="AR36" s="59" t="str">
        <f t="shared" ref="AR36" si="461">IF(W36&gt;X36,", "&amp;X36,IF(X36&gt;W36,", "&amp;-W36,""))</f>
        <v/>
      </c>
      <c r="AS36" s="59" t="str">
        <f t="shared" ref="AS36" si="462">IF(Y36&gt;Z36,", "&amp;Z36,IF(Z36&gt;Y36,", "&amp;-Y36,""))</f>
        <v/>
      </c>
      <c r="AU36" s="73">
        <f>1+AU34</f>
        <v>15</v>
      </c>
      <c r="AV36" s="74" t="str">
        <f>VLOOKUP(AV37,$A$8:$L$87,7,FALSE)</f>
        <v>X</v>
      </c>
      <c r="AW36" s="75" t="s">
        <v>305</v>
      </c>
      <c r="AX36" s="76" t="s">
        <v>305</v>
      </c>
      <c r="AY36" s="106"/>
      <c r="AZ36" s="70"/>
      <c r="BA36" s="102"/>
      <c r="BB36" s="77"/>
      <c r="BC36" s="78" t="str">
        <f>VLOOKUP(AY35,$A$8:$AD$91,29,FALSE)</f>
        <v>2 - 0  (9, 14)</v>
      </c>
      <c r="BD36" s="78"/>
      <c r="BE36" s="70"/>
      <c r="BF36" s="79"/>
      <c r="BG36" s="90"/>
      <c r="BH36" s="79"/>
      <c r="BI36" s="79"/>
      <c r="BJ36" s="107"/>
      <c r="BK36" s="79"/>
      <c r="BL36" s="113">
        <f t="shared" si="35"/>
        <v>28</v>
      </c>
      <c r="BM36" s="114" t="str">
        <f>C62</f>
        <v>4 Julio</v>
      </c>
      <c r="BN36" s="114">
        <f>D62</f>
        <v>0</v>
      </c>
      <c r="BO36" s="115">
        <f>E62</f>
        <v>0</v>
      </c>
      <c r="BP36" s="116" t="s">
        <v>222</v>
      </c>
      <c r="BQ36" s="113"/>
      <c r="BR36" s="113">
        <v>52</v>
      </c>
      <c r="BS36" s="117" t="e">
        <v>#REF!</v>
      </c>
      <c r="BT36" s="113"/>
      <c r="BU36" s="117" t="e">
        <v>#REF!</v>
      </c>
      <c r="BV36" s="113"/>
      <c r="BW36" s="113"/>
      <c r="BY36" s="97">
        <f>G62</f>
        <v>3909</v>
      </c>
      <c r="BZ36" s="98">
        <f>H62</f>
        <v>3717</v>
      </c>
      <c r="CA36" s="84" t="s">
        <v>223</v>
      </c>
      <c r="CB36" s="85" t="s">
        <v>249</v>
      </c>
    </row>
    <row r="37" spans="1:80" s="62" customFormat="1" ht="12.75" x14ac:dyDescent="0.25">
      <c r="A37" s="213"/>
      <c r="B37" s="309"/>
      <c r="C37" s="311"/>
      <c r="D37" s="311"/>
      <c r="E37" s="299"/>
      <c r="F37" s="313"/>
      <c r="G37" s="299"/>
      <c r="H37" s="299"/>
      <c r="I37" s="299">
        <v>0</v>
      </c>
      <c r="J37" s="299">
        <v>0</v>
      </c>
      <c r="K37" s="299">
        <v>0</v>
      </c>
      <c r="L37" s="299">
        <v>0</v>
      </c>
      <c r="M37" s="307"/>
      <c r="N37" s="299"/>
      <c r="O37" s="299"/>
      <c r="P37" s="299"/>
      <c r="Q37" s="299"/>
      <c r="R37" s="299"/>
      <c r="S37" s="299"/>
      <c r="T37" s="299"/>
      <c r="U37" s="299"/>
      <c r="V37" s="299"/>
      <c r="W37" s="299"/>
      <c r="X37" s="299"/>
      <c r="Y37" s="299"/>
      <c r="Z37" s="301"/>
      <c r="AA37" s="226"/>
      <c r="AB37" s="226"/>
      <c r="AC37" s="226"/>
      <c r="AD37" s="59" t="str">
        <f t="shared" ref="AD37" si="463">IF(AA36&gt;AB36,AD36&amp;"  "&amp;AE36,IF(AB36&gt;AA36,AD36&amp;"  "&amp;AE37,""))</f>
        <v>2 - 0  (7, 11)</v>
      </c>
      <c r="AE37" s="59" t="str">
        <f t="shared" si="0"/>
        <v>(-7, -11)</v>
      </c>
      <c r="AF37" s="59">
        <f t="shared" ref="AF37" si="464">IF(N36&gt;M36,1,0)</f>
        <v>0</v>
      </c>
      <c r="AG37" s="59">
        <f t="shared" ref="AG37" si="465">IF(P36&gt;O36,1,0)</f>
        <v>0</v>
      </c>
      <c r="AH37" s="59">
        <f t="shared" ref="AH37" si="466">IF(R36&gt;Q36,1,0)</f>
        <v>0</v>
      </c>
      <c r="AI37" s="59">
        <f t="shared" ref="AI37" si="467">IF(T36&gt;S36,1,0)</f>
        <v>0</v>
      </c>
      <c r="AJ37" s="59">
        <f t="shared" ref="AJ37" si="468">IF(V36&gt;U36,1,0)</f>
        <v>0</v>
      </c>
      <c r="AK37" s="59">
        <f t="shared" ref="AK37" si="469">IF(X36&gt;W36,1,0)</f>
        <v>0</v>
      </c>
      <c r="AL37" s="59">
        <f t="shared" ref="AL37" si="470">IF(Z36&gt;Y36,1,0)</f>
        <v>0</v>
      </c>
      <c r="AM37" s="59">
        <f t="shared" ref="AM37" si="471">IF(N36&gt;M36,M36,IF(M36&gt;N36,-N36,""))</f>
        <v>-7</v>
      </c>
      <c r="AN37" s="59" t="str">
        <f t="shared" ref="AN37" si="472">IF(P36&gt;O36,", "&amp;O36,IF(O36&gt;P36,", "&amp;-P36,""))</f>
        <v>, -11</v>
      </c>
      <c r="AO37" s="59" t="str">
        <f t="shared" ref="AO37" si="473">IF(R36&gt;Q36,", "&amp;Q36,IF(Q36&gt;R36,", "&amp;-R36,""))</f>
        <v/>
      </c>
      <c r="AP37" s="59" t="str">
        <f t="shared" ref="AP37" si="474">IF(T36&gt;S36,", "&amp;S36,IF(S36&gt;T36,", "&amp;-T36,""))</f>
        <v/>
      </c>
      <c r="AQ37" s="59" t="str">
        <f t="shared" ref="AQ37" si="475">IF(V36&gt;U36,", "&amp;U36,IF(U36&gt;V36,", "&amp;-V36,""))</f>
        <v/>
      </c>
      <c r="AR37" s="59" t="str">
        <f t="shared" ref="AR37" si="476">IF(X36&gt;W36,", "&amp;W36,IF(W36&gt;X36,", "&amp;-X36,""))</f>
        <v/>
      </c>
      <c r="AS37" s="59" t="str">
        <f t="shared" ref="AS37" si="477">IF(Z36&gt;Y36,", "&amp;Y36,IF(Y36&gt;Z36,", "&amp;-Z36,""))</f>
        <v/>
      </c>
      <c r="AU37" s="63"/>
      <c r="AV37" s="86">
        <v>8</v>
      </c>
      <c r="AW37" s="87" t="str">
        <f>VLOOKUP(AV37,$A$8:$L$87,6,FALSE)</f>
        <v>4 Julio-- Table</v>
      </c>
      <c r="AX37" s="88"/>
      <c r="AY37" s="100">
        <f>VLOOKUP(AY35,$A$8:$L$91,8,FALSE)</f>
        <v>3756</v>
      </c>
      <c r="AZ37" s="100" t="s">
        <v>9</v>
      </c>
      <c r="BA37" s="101" t="s">
        <v>6</v>
      </c>
      <c r="BB37" s="70"/>
      <c r="BC37" s="70"/>
      <c r="BD37" s="71"/>
      <c r="BE37" s="70"/>
      <c r="BF37" s="79"/>
      <c r="BG37" s="90"/>
      <c r="BH37" s="79"/>
      <c r="BI37" s="79"/>
      <c r="BJ37" s="107"/>
      <c r="BK37" s="79"/>
      <c r="BL37" s="118">
        <f t="shared" si="35"/>
        <v>29</v>
      </c>
      <c r="BM37" s="119" t="str">
        <f>C64</f>
        <v>4 Julio</v>
      </c>
      <c r="BN37" s="119">
        <f>D64</f>
        <v>0</v>
      </c>
      <c r="BO37" s="120">
        <f>E64</f>
        <v>0</v>
      </c>
      <c r="BP37" s="121" t="s">
        <v>222</v>
      </c>
      <c r="BQ37" s="118"/>
      <c r="BR37" s="118">
        <v>57</v>
      </c>
      <c r="BS37" s="122" t="e">
        <v>#REF!</v>
      </c>
      <c r="BT37" s="118"/>
      <c r="BU37" s="122" t="e">
        <v>#REF!</v>
      </c>
      <c r="BV37" s="118"/>
      <c r="BW37" s="118"/>
      <c r="BY37" s="97">
        <f>G64</f>
        <v>3423</v>
      </c>
      <c r="BZ37" s="98">
        <f>H64</f>
        <v>3756</v>
      </c>
      <c r="CA37" s="84" t="s">
        <v>223</v>
      </c>
      <c r="CB37" s="85" t="s">
        <v>250</v>
      </c>
    </row>
    <row r="38" spans="1:80" s="62" customFormat="1" ht="12.75" x14ac:dyDescent="0.25">
      <c r="A38" s="213">
        <v>16</v>
      </c>
      <c r="B38" s="302" t="s">
        <v>227</v>
      </c>
      <c r="C38" s="304" t="s">
        <v>204</v>
      </c>
      <c r="D38" s="304"/>
      <c r="E38" s="290"/>
      <c r="F38" s="296" t="str">
        <f t="shared" ref="F38" si="478">C38&amp;"-"&amp;D38&amp;"- Table"&amp;E38</f>
        <v>4 Julio-- Table</v>
      </c>
      <c r="G38" s="290" t="s">
        <v>306</v>
      </c>
      <c r="H38" s="290">
        <v>3717</v>
      </c>
      <c r="I38" s="290" t="s">
        <v>305</v>
      </c>
      <c r="J38" s="290" t="s">
        <v>305</v>
      </c>
      <c r="K38" s="290" t="s">
        <v>5</v>
      </c>
      <c r="L38" s="290" t="s">
        <v>6</v>
      </c>
      <c r="M38" s="294">
        <v>0</v>
      </c>
      <c r="N38" s="290">
        <v>11</v>
      </c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2"/>
      <c r="AA38" s="226">
        <f t="shared" ref="AA38" si="479">IF(M38+N38&lt;&gt;0,SUM(AF38:AL38),"")</f>
        <v>0</v>
      </c>
      <c r="AB38" s="226">
        <f t="shared" ref="AB38" si="480">IF(M38+N38&lt;&gt;0,SUM(AF39:AL39),"")</f>
        <v>1</v>
      </c>
      <c r="AC38" s="226" t="str">
        <f t="shared" ref="AC38" si="481">IF(AA38&gt;AB38,AD38&amp;"  "&amp;AE38,IF(AB38&gt;AA38,AD38&amp;"  "&amp;AE39,""))</f>
        <v>1 - 0  (0)</v>
      </c>
      <c r="AD38" s="59" t="str">
        <f t="shared" ref="AD38" si="482">IF(AA38&gt;AB38,AA38&amp;" - "&amp;AB38,IF(AB38&gt;AA38,AB38&amp;" - "&amp;AA38,""))</f>
        <v>1 - 0</v>
      </c>
      <c r="AE38" s="59" t="str">
        <f t="shared" si="0"/>
        <v>(0)</v>
      </c>
      <c r="AF38" s="59">
        <f t="shared" ref="AF38" si="483">IF(M38&gt;N38,1,0)</f>
        <v>0</v>
      </c>
      <c r="AG38" s="59">
        <f t="shared" ref="AG38" si="484">IF(O38&gt;P38,1,0)</f>
        <v>0</v>
      </c>
      <c r="AH38" s="59">
        <f t="shared" ref="AH38" si="485">IF(Q38&gt;R38,1,0)</f>
        <v>0</v>
      </c>
      <c r="AI38" s="59">
        <f t="shared" ref="AI38" si="486">IF(S38&gt;T38,1,0)</f>
        <v>0</v>
      </c>
      <c r="AJ38" s="59">
        <f t="shared" ref="AJ38" si="487">IF(U38&gt;V38,1,0)</f>
        <v>0</v>
      </c>
      <c r="AK38" s="59">
        <f t="shared" ref="AK38" si="488">IF(W38&gt;X38,1,0)</f>
        <v>0</v>
      </c>
      <c r="AL38" s="59">
        <f t="shared" ref="AL38" si="489">IF(Y38&gt;Z38,1,0)</f>
        <v>0</v>
      </c>
      <c r="AM38" s="59">
        <f t="shared" ref="AM38" si="490">IF(M38&gt;N38,N38,IF(N38&gt;M38,-M38,""))</f>
        <v>0</v>
      </c>
      <c r="AN38" s="59" t="str">
        <f t="shared" ref="AN38" si="491">IF(O38&gt;P38,", "&amp;P38,IF(P38&gt;O38,", "&amp;-O38,""))</f>
        <v/>
      </c>
      <c r="AO38" s="59" t="str">
        <f t="shared" ref="AO38" si="492">IF(Q38&gt;R38,", "&amp;R38,IF(R38&gt;Q38,", "&amp;-Q38,""))</f>
        <v/>
      </c>
      <c r="AP38" s="59" t="str">
        <f t="shared" ref="AP38" si="493">IF(S38&gt;T38,", "&amp;T38,IF(T38&gt;S38,", "&amp;-S38,""))</f>
        <v/>
      </c>
      <c r="AQ38" s="59" t="str">
        <f t="shared" ref="AQ38" si="494">IF(U38&gt;V38,", "&amp;V38,IF(V38&gt;U38,", "&amp;-U38,""))</f>
        <v/>
      </c>
      <c r="AR38" s="59" t="str">
        <f t="shared" ref="AR38" si="495">IF(W38&gt;X38,", "&amp;X38,IF(X38&gt;W38,", "&amp;-W38,""))</f>
        <v/>
      </c>
      <c r="AS38" s="59" t="str">
        <f t="shared" ref="AS38" si="496">IF(Y38&gt;Z38,", "&amp;Z38,IF(Z38&gt;Y38,", "&amp;-Y38,""))</f>
        <v/>
      </c>
      <c r="AU38" s="73">
        <f>1+AU36</f>
        <v>16</v>
      </c>
      <c r="AV38" s="99">
        <f>VLOOKUP(AV37,$A$8:$L$87,8,FALSE)</f>
        <v>3756</v>
      </c>
      <c r="AW38" s="100" t="s">
        <v>9</v>
      </c>
      <c r="AX38" s="101" t="s">
        <v>6</v>
      </c>
      <c r="AY38" s="77"/>
      <c r="AZ38" s="78" t="str">
        <f>VLOOKUP(AV37,$A$8:$AD$91,29,FALSE)</f>
        <v>1 - 0  (0)</v>
      </c>
      <c r="BA38" s="78"/>
      <c r="BB38" s="70"/>
      <c r="BC38" s="70"/>
      <c r="BD38" s="71"/>
      <c r="BE38" s="70"/>
      <c r="BF38" s="79"/>
      <c r="BG38" s="90"/>
      <c r="BH38" s="104">
        <v>32</v>
      </c>
      <c r="BI38" s="87" t="str">
        <f>VLOOKUP(BH38,$A$8:$L$87,6,FALSE)</f>
        <v>4 Julio-- Table</v>
      </c>
      <c r="BJ38" s="107"/>
      <c r="BK38" s="79"/>
      <c r="BL38" s="118">
        <f t="shared" si="35"/>
        <v>30</v>
      </c>
      <c r="BM38" s="119" t="str">
        <f>C66</f>
        <v>4 Julio</v>
      </c>
      <c r="BN38" s="119">
        <f>D66</f>
        <v>0</v>
      </c>
      <c r="BO38" s="120">
        <f>E66</f>
        <v>0</v>
      </c>
      <c r="BP38" s="121" t="s">
        <v>222</v>
      </c>
      <c r="BQ38" s="118"/>
      <c r="BR38" s="118">
        <v>58</v>
      </c>
      <c r="BS38" s="122" t="e">
        <v>#REF!</v>
      </c>
      <c r="BT38" s="118"/>
      <c r="BU38" s="122" t="e">
        <v>#REF!</v>
      </c>
      <c r="BV38" s="118"/>
      <c r="BW38" s="118"/>
      <c r="BY38" s="97">
        <f>G66</f>
        <v>3436</v>
      </c>
      <c r="BZ38" s="98">
        <f>H66</f>
        <v>3717</v>
      </c>
      <c r="CA38" s="84" t="s">
        <v>223</v>
      </c>
      <c r="CB38" s="85" t="s">
        <v>250</v>
      </c>
    </row>
    <row r="39" spans="1:80" s="62" customFormat="1" ht="12.75" x14ac:dyDescent="0.25">
      <c r="A39" s="213"/>
      <c r="B39" s="303"/>
      <c r="C39" s="305"/>
      <c r="D39" s="305"/>
      <c r="E39" s="291"/>
      <c r="F39" s="297"/>
      <c r="G39" s="291"/>
      <c r="H39" s="291"/>
      <c r="I39" s="291">
        <v>0</v>
      </c>
      <c r="J39" s="291">
        <v>0</v>
      </c>
      <c r="K39" s="291">
        <v>0</v>
      </c>
      <c r="L39" s="291">
        <v>0</v>
      </c>
      <c r="M39" s="295"/>
      <c r="N39" s="291"/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1"/>
      <c r="Z39" s="293"/>
      <c r="AA39" s="226"/>
      <c r="AB39" s="226"/>
      <c r="AC39" s="226"/>
      <c r="AD39" s="59" t="str">
        <f t="shared" ref="AD39" si="497">IF(AA38&gt;AB38,AD38&amp;"  "&amp;AE38,IF(AB38&gt;AA38,AD38&amp;"  "&amp;AE39,""))</f>
        <v>1 - 0  (0)</v>
      </c>
      <c r="AE39" s="59" t="str">
        <f t="shared" si="0"/>
        <v>(0)</v>
      </c>
      <c r="AF39" s="59">
        <f t="shared" ref="AF39" si="498">IF(N38&gt;M38,1,0)</f>
        <v>1</v>
      </c>
      <c r="AG39" s="59">
        <f t="shared" ref="AG39" si="499">IF(P38&gt;O38,1,0)</f>
        <v>0</v>
      </c>
      <c r="AH39" s="59">
        <f t="shared" ref="AH39" si="500">IF(R38&gt;Q38,1,0)</f>
        <v>0</v>
      </c>
      <c r="AI39" s="59">
        <f t="shared" ref="AI39" si="501">IF(T38&gt;S38,1,0)</f>
        <v>0</v>
      </c>
      <c r="AJ39" s="59">
        <f t="shared" ref="AJ39" si="502">IF(V38&gt;U38,1,0)</f>
        <v>0</v>
      </c>
      <c r="AK39" s="59">
        <f t="shared" ref="AK39" si="503">IF(X38&gt;W38,1,0)</f>
        <v>0</v>
      </c>
      <c r="AL39" s="59">
        <f t="shared" ref="AL39" si="504">IF(Z38&gt;Y38,1,0)</f>
        <v>0</v>
      </c>
      <c r="AM39" s="59">
        <f t="shared" ref="AM39" si="505">IF(N38&gt;M38,M38,IF(M38&gt;N38,-N38,""))</f>
        <v>0</v>
      </c>
      <c r="AN39" s="59" t="str">
        <f t="shared" ref="AN39" si="506">IF(P38&gt;O38,", "&amp;O38,IF(O38&gt;P38,", "&amp;-P38,""))</f>
        <v/>
      </c>
      <c r="AO39" s="59" t="str">
        <f t="shared" ref="AO39" si="507">IF(R38&gt;Q38,", "&amp;Q38,IF(Q38&gt;R38,", "&amp;-R38,""))</f>
        <v/>
      </c>
      <c r="AP39" s="59" t="str">
        <f t="shared" ref="AP39" si="508">IF(T38&gt;S38,", "&amp;S38,IF(S38&gt;T38,", "&amp;-T38,""))</f>
        <v/>
      </c>
      <c r="AQ39" s="59" t="str">
        <f t="shared" ref="AQ39" si="509">IF(V38&gt;U38,", "&amp;U38,IF(U38&gt;V38,", "&amp;-V38,""))</f>
        <v/>
      </c>
      <c r="AR39" s="59" t="str">
        <f t="shared" ref="AR39" si="510">IF(X38&gt;W38,", "&amp;W38,IF(W38&gt;X38,", "&amp;-X38,""))</f>
        <v/>
      </c>
      <c r="AS39" s="59" t="str">
        <f t="shared" ref="AS39" si="511">IF(Z38&gt;Y38,", "&amp;Y38,IF(Y38&gt;Z38,", "&amp;-Z38,""))</f>
        <v/>
      </c>
      <c r="AU39" s="73"/>
      <c r="AV39" s="64"/>
      <c r="AW39" s="70"/>
      <c r="AX39" s="71"/>
      <c r="AY39" s="70"/>
      <c r="AZ39" s="70"/>
      <c r="BA39" s="71"/>
      <c r="BB39" s="70"/>
      <c r="BC39" s="70"/>
      <c r="BD39" s="71"/>
      <c r="BE39" s="79"/>
      <c r="BF39" s="79"/>
      <c r="BG39" s="64" t="s">
        <v>251</v>
      </c>
      <c r="BH39" s="123">
        <f>G74</f>
        <v>3717</v>
      </c>
      <c r="BI39" s="124" t="s">
        <v>5</v>
      </c>
      <c r="BJ39" s="125" t="s">
        <v>6</v>
      </c>
      <c r="BK39" s="79"/>
      <c r="BL39" s="126">
        <f t="shared" si="35"/>
        <v>31</v>
      </c>
      <c r="BM39" s="127" t="str">
        <f>C68</f>
        <v>4 Julio</v>
      </c>
      <c r="BN39" s="127">
        <f>D68</f>
        <v>0</v>
      </c>
      <c r="BO39" s="128">
        <f>E68</f>
        <v>0</v>
      </c>
      <c r="BP39" s="129" t="s">
        <v>222</v>
      </c>
      <c r="BQ39" s="126"/>
      <c r="BR39" s="126">
        <v>63</v>
      </c>
      <c r="BS39" s="130" t="e">
        <v>#REF!</v>
      </c>
      <c r="BT39" s="126"/>
      <c r="BU39" s="130" t="e">
        <v>#REF!</v>
      </c>
      <c r="BV39" s="126"/>
      <c r="BW39" s="126"/>
      <c r="BY39" s="97">
        <f>G68</f>
        <v>3423</v>
      </c>
      <c r="BZ39" s="98">
        <f>H68</f>
        <v>3436</v>
      </c>
      <c r="CA39" s="84" t="s">
        <v>223</v>
      </c>
      <c r="CB39" s="85" t="s">
        <v>252</v>
      </c>
    </row>
    <row r="40" spans="1:80" s="62" customFormat="1" ht="12.75" x14ac:dyDescent="0.25">
      <c r="A40" s="213">
        <v>17</v>
      </c>
      <c r="B40" s="284" t="s">
        <v>253</v>
      </c>
      <c r="C40" s="286" t="s">
        <v>204</v>
      </c>
      <c r="D40" s="286"/>
      <c r="E40" s="277"/>
      <c r="F40" s="288" t="str">
        <f t="shared" ref="F40:F52" si="512">C40&amp;"-"&amp;D40&amp;"- Table"&amp;E40</f>
        <v>4 Julio-- Table</v>
      </c>
      <c r="G40" s="277">
        <f>IF(M8="",0,IF(AA8&gt;AB8,G8,H8))</f>
        <v>3498</v>
      </c>
      <c r="H40" s="277">
        <f>IF(M10="",0,IF(AA10&gt;AB10,G10,H10))</f>
        <v>4176</v>
      </c>
      <c r="I40" s="277" t="s">
        <v>7</v>
      </c>
      <c r="J40" s="277" t="s">
        <v>8</v>
      </c>
      <c r="K40" s="277" t="s">
        <v>19</v>
      </c>
      <c r="L40" s="277" t="s">
        <v>11</v>
      </c>
      <c r="M40" s="282">
        <v>7</v>
      </c>
      <c r="N40" s="277">
        <v>11</v>
      </c>
      <c r="O40" s="277">
        <v>9</v>
      </c>
      <c r="P40" s="277">
        <v>11</v>
      </c>
      <c r="Q40" s="277"/>
      <c r="R40" s="277"/>
      <c r="S40" s="277"/>
      <c r="T40" s="277"/>
      <c r="U40" s="277"/>
      <c r="V40" s="277"/>
      <c r="W40" s="277"/>
      <c r="X40" s="277"/>
      <c r="Y40" s="277"/>
      <c r="Z40" s="279"/>
      <c r="AA40" s="226">
        <f t="shared" ref="AA40" si="513">IF(M40+N40&lt;&gt;0,SUM(AF40:AL40),"")</f>
        <v>0</v>
      </c>
      <c r="AB40" s="226">
        <f t="shared" ref="AB40" si="514">IF(M40+N40&lt;&gt;0,SUM(AF41:AL41),"")</f>
        <v>2</v>
      </c>
      <c r="AC40" s="59" t="str">
        <f t="shared" ref="AC40" si="515">IF(AA40&gt;AB40,AD40&amp;"  "&amp;AE40,IF(AB40&gt;AA40,AD40&amp;"  "&amp;AE41,""))</f>
        <v>2 - 0  (7, 9)</v>
      </c>
      <c r="AD40" s="59" t="str">
        <f t="shared" ref="AD40" si="516">IF(AA40&gt;AB40,AA40&amp;" - "&amp;AB40,IF(AB40&gt;AA40,AB40&amp;" - "&amp;AA40,""))</f>
        <v>2 - 0</v>
      </c>
      <c r="AE40" s="59" t="str">
        <f t="shared" si="0"/>
        <v>(-7, -9)</v>
      </c>
      <c r="AF40" s="59">
        <f t="shared" ref="AF40" si="517">IF(M40&gt;N40,1,0)</f>
        <v>0</v>
      </c>
      <c r="AG40" s="59">
        <f t="shared" ref="AG40" si="518">IF(O40&gt;P40,1,0)</f>
        <v>0</v>
      </c>
      <c r="AH40" s="59">
        <f t="shared" ref="AH40" si="519">IF(Q40&gt;R40,1,0)</f>
        <v>0</v>
      </c>
      <c r="AI40" s="59">
        <f t="shared" ref="AI40" si="520">IF(S40&gt;T40,1,0)</f>
        <v>0</v>
      </c>
      <c r="AJ40" s="59">
        <f t="shared" ref="AJ40" si="521">IF(U40&gt;V40,1,0)</f>
        <v>0</v>
      </c>
      <c r="AK40" s="59">
        <f t="shared" ref="AK40" si="522">IF(W40&gt;X40,1,0)</f>
        <v>0</v>
      </c>
      <c r="AL40" s="59">
        <f t="shared" ref="AL40" si="523">IF(Y40&gt;Z40,1,0)</f>
        <v>0</v>
      </c>
      <c r="AM40" s="59">
        <f t="shared" ref="AM40" si="524">IF(M40&gt;N40,N40,IF(N40&gt;M40,-M40,""))</f>
        <v>-7</v>
      </c>
      <c r="AN40" s="59" t="str">
        <f t="shared" ref="AN40" si="525">IF(O40&gt;P40,", "&amp;P40,IF(P40&gt;O40,", "&amp;-O40,""))</f>
        <v>, -9</v>
      </c>
      <c r="AO40" s="59" t="str">
        <f t="shared" ref="AO40" si="526">IF(Q40&gt;R40,", "&amp;R40,IF(R40&gt;Q40,", "&amp;-Q40,""))</f>
        <v/>
      </c>
      <c r="AP40" s="59" t="str">
        <f t="shared" ref="AP40" si="527">IF(S40&gt;T40,", "&amp;T40,IF(T40&gt;S40,", "&amp;-S40,""))</f>
        <v/>
      </c>
      <c r="AQ40" s="59" t="str">
        <f t="shared" ref="AQ40" si="528">IF(U40&gt;V40,", "&amp;V40,IF(V40&gt;U40,", "&amp;-U40,""))</f>
        <v/>
      </c>
      <c r="AR40" s="59" t="str">
        <f t="shared" ref="AR40" si="529">IF(W40&gt;X40,", "&amp;X40,IF(X40&gt;W40,", "&amp;-W40,""))</f>
        <v/>
      </c>
      <c r="AS40" s="59" t="str">
        <f t="shared" ref="AS40" si="530">IF(Y40&gt;Z40,", "&amp;Z40,IF(Z40&gt;Y40,", "&amp;-Y40,""))</f>
        <v/>
      </c>
      <c r="AU40" s="73">
        <f>1+AU38</f>
        <v>17</v>
      </c>
      <c r="AV40" s="74">
        <f>VLOOKUP(AV41,$A$8:$L$87,7,FALSE)</f>
        <v>3918</v>
      </c>
      <c r="AW40" s="75" t="s">
        <v>10</v>
      </c>
      <c r="AX40" s="76" t="s">
        <v>11</v>
      </c>
      <c r="AY40" s="77"/>
      <c r="AZ40" s="78" t="str">
        <f>VLOOKUP(AV41,$A$8:$AD$87,29,FALSE)</f>
        <v>1 - 0  (0)</v>
      </c>
      <c r="BA40" s="78"/>
      <c r="BB40" s="70"/>
      <c r="BC40" s="70"/>
      <c r="BD40" s="71"/>
      <c r="BE40" s="70"/>
      <c r="BF40" s="79"/>
      <c r="BG40" s="90"/>
      <c r="BH40" s="77"/>
      <c r="BI40" s="78" t="str">
        <f>VLOOKUP(BH38,$A$8:$AD$91,29,FALSE)</f>
        <v>3 - 0  (9, 12, 10)</v>
      </c>
      <c r="BJ40" s="131"/>
      <c r="BK40" s="79"/>
      <c r="BL40" s="126">
        <f t="shared" si="35"/>
        <v>32</v>
      </c>
      <c r="BM40" s="127" t="str">
        <f>C70</f>
        <v>4 Julio</v>
      </c>
      <c r="BN40" s="127">
        <f>D70</f>
        <v>0</v>
      </c>
      <c r="BO40" s="128">
        <f>E70</f>
        <v>0</v>
      </c>
      <c r="BP40" s="129" t="s">
        <v>222</v>
      </c>
      <c r="BQ40" s="126"/>
      <c r="BR40" s="126">
        <v>64</v>
      </c>
      <c r="BS40" s="130" t="e">
        <v>#REF!</v>
      </c>
      <c r="BT40" s="126"/>
      <c r="BU40" s="130" t="e">
        <v>#REF!</v>
      </c>
      <c r="BV40" s="126"/>
      <c r="BW40" s="126"/>
      <c r="BY40" s="97">
        <f>G70</f>
        <v>3756</v>
      </c>
      <c r="BZ40" s="98">
        <f>H70</f>
        <v>3717</v>
      </c>
      <c r="CA40" s="84" t="s">
        <v>223</v>
      </c>
      <c r="CB40" s="85" t="s">
        <v>254</v>
      </c>
    </row>
    <row r="41" spans="1:80" s="62" customFormat="1" ht="12.75" x14ac:dyDescent="0.25">
      <c r="A41" s="213"/>
      <c r="B41" s="285"/>
      <c r="C41" s="287"/>
      <c r="D41" s="287"/>
      <c r="E41" s="278"/>
      <c r="F41" s="289"/>
      <c r="G41" s="278" t="s">
        <v>255</v>
      </c>
      <c r="H41" s="278" t="s">
        <v>255</v>
      </c>
      <c r="I41" s="278"/>
      <c r="J41" s="278"/>
      <c r="K41" s="278">
        <v>0</v>
      </c>
      <c r="L41" s="278">
        <v>0</v>
      </c>
      <c r="M41" s="283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80"/>
      <c r="AA41" s="226"/>
      <c r="AB41" s="226"/>
      <c r="AC41" s="59"/>
      <c r="AD41" s="59" t="str">
        <f t="shared" ref="AD41" si="531">IF(AA40&gt;AB40,AD40&amp;"  "&amp;AE40,IF(AB40&gt;AA40,AD40&amp;"  "&amp;AE41,""))</f>
        <v>2 - 0  (7, 9)</v>
      </c>
      <c r="AE41" s="59" t="str">
        <f t="shared" si="0"/>
        <v>(7, 9)</v>
      </c>
      <c r="AF41" s="59">
        <f t="shared" ref="AF41" si="532">IF(N40&gt;M40,1,0)</f>
        <v>1</v>
      </c>
      <c r="AG41" s="59">
        <f t="shared" ref="AG41" si="533">IF(P40&gt;O40,1,0)</f>
        <v>1</v>
      </c>
      <c r="AH41" s="59">
        <f t="shared" ref="AH41" si="534">IF(R40&gt;Q40,1,0)</f>
        <v>0</v>
      </c>
      <c r="AI41" s="59">
        <f t="shared" ref="AI41" si="535">IF(T40&gt;S40,1,0)</f>
        <v>0</v>
      </c>
      <c r="AJ41" s="59">
        <f t="shared" ref="AJ41" si="536">IF(V40&gt;U40,1,0)</f>
        <v>0</v>
      </c>
      <c r="AK41" s="59">
        <f t="shared" ref="AK41" si="537">IF(X40&gt;W40,1,0)</f>
        <v>0</v>
      </c>
      <c r="AL41" s="59">
        <f t="shared" ref="AL41" si="538">IF(Z40&gt;Y40,1,0)</f>
        <v>0</v>
      </c>
      <c r="AM41" s="59">
        <f t="shared" ref="AM41" si="539">IF(N40&gt;M40,M40,IF(M40&gt;N40,-N40,""))</f>
        <v>7</v>
      </c>
      <c r="AN41" s="59" t="str">
        <f t="shared" ref="AN41" si="540">IF(P40&gt;O40,", "&amp;O40,IF(O40&gt;P40,", "&amp;-P40,""))</f>
        <v>, 9</v>
      </c>
      <c r="AO41" s="59" t="str">
        <f t="shared" ref="AO41" si="541">IF(R40&gt;Q40,", "&amp;Q40,IF(Q40&gt;R40,", "&amp;-R40,""))</f>
        <v/>
      </c>
      <c r="AP41" s="59" t="str">
        <f t="shared" ref="AP41" si="542">IF(T40&gt;S40,", "&amp;S40,IF(S40&gt;T40,", "&amp;-T40,""))</f>
        <v/>
      </c>
      <c r="AQ41" s="59" t="str">
        <f t="shared" ref="AQ41" si="543">IF(V40&gt;U40,", "&amp;U40,IF(U40&gt;V40,", "&amp;-V40,""))</f>
        <v/>
      </c>
      <c r="AR41" s="59" t="str">
        <f t="shared" ref="AR41" si="544">IF(X40&gt;W40,", "&amp;W40,IF(W40&gt;X40,", "&amp;-X40,""))</f>
        <v/>
      </c>
      <c r="AS41" s="59" t="str">
        <f t="shared" ref="AS41" si="545">IF(Z40&gt;Y40,", "&amp;Y40,IF(Y40&gt;Z40,", "&amp;-Z40,""))</f>
        <v/>
      </c>
      <c r="AU41" s="63"/>
      <c r="AV41" s="86">
        <v>9</v>
      </c>
      <c r="AW41" s="87" t="str">
        <f>VLOOKUP(AV41,$A$8:$L$87,6,FALSE)</f>
        <v>4 Julio-- Table</v>
      </c>
      <c r="AX41" s="88"/>
      <c r="AY41" s="89">
        <f>VLOOKUP(AY43,$A$8:$L$91,7,FALSE)</f>
        <v>3918</v>
      </c>
      <c r="AZ41" s="75" t="s">
        <v>10</v>
      </c>
      <c r="BA41" s="76" t="s">
        <v>11</v>
      </c>
      <c r="BB41" s="70"/>
      <c r="BC41" s="70"/>
      <c r="BD41" s="71"/>
      <c r="BE41" s="70"/>
      <c r="BF41" s="79"/>
      <c r="BG41" s="90"/>
      <c r="BH41" s="79"/>
      <c r="BI41" s="79"/>
      <c r="BJ41" s="107"/>
      <c r="BK41" s="79"/>
    </row>
    <row r="42" spans="1:80" s="62" customFormat="1" ht="12.75" x14ac:dyDescent="0.25">
      <c r="A42" s="213">
        <v>18</v>
      </c>
      <c r="B42" s="281" t="s">
        <v>253</v>
      </c>
      <c r="C42" s="241" t="s">
        <v>204</v>
      </c>
      <c r="D42" s="241"/>
      <c r="E42" s="222"/>
      <c r="F42" s="243" t="str">
        <f t="shared" ref="F42:F54" si="546">C42&amp;"-"&amp;D42&amp;"- Table"&amp;E42</f>
        <v>4 Julio-- Table</v>
      </c>
      <c r="G42" s="222">
        <f>IF(M12="",0,IF(AA12&gt;AB12,G12,H12))</f>
        <v>4047</v>
      </c>
      <c r="H42" s="222">
        <f>IF(M14="",0,IF(AA14&gt;AB14,G14,H14))</f>
        <v>3423</v>
      </c>
      <c r="I42" s="222" t="s">
        <v>28</v>
      </c>
      <c r="J42" s="222" t="s">
        <v>11</v>
      </c>
      <c r="K42" s="222" t="s">
        <v>12</v>
      </c>
      <c r="L42" s="222" t="s">
        <v>11</v>
      </c>
      <c r="M42" s="233">
        <v>8</v>
      </c>
      <c r="N42" s="222">
        <v>11</v>
      </c>
      <c r="O42" s="222">
        <v>11</v>
      </c>
      <c r="P42" s="222">
        <v>9</v>
      </c>
      <c r="Q42" s="222">
        <v>8</v>
      </c>
      <c r="R42" s="222">
        <v>11</v>
      </c>
      <c r="S42" s="222"/>
      <c r="T42" s="222"/>
      <c r="U42" s="222"/>
      <c r="V42" s="222"/>
      <c r="W42" s="222"/>
      <c r="X42" s="222"/>
      <c r="Y42" s="222"/>
      <c r="Z42" s="224"/>
      <c r="AA42" s="226">
        <f t="shared" ref="AA42" si="547">IF(M42+N42&lt;&gt;0,SUM(AF42:AL42),"")</f>
        <v>1</v>
      </c>
      <c r="AB42" s="226">
        <f t="shared" ref="AB42" si="548">IF(M42+N42&lt;&gt;0,SUM(AF43:AL43),"")</f>
        <v>2</v>
      </c>
      <c r="AC42" s="59" t="str">
        <f t="shared" ref="AC42" si="549">IF(AA42&gt;AB42,AD42&amp;"  "&amp;AE42,IF(AB42&gt;AA42,AD42&amp;"  "&amp;AE43,""))</f>
        <v>2 - 1  (8, -9, 8)</v>
      </c>
      <c r="AD42" s="59" t="str">
        <f t="shared" ref="AD42" si="550">IF(AA42&gt;AB42,AA42&amp;" - "&amp;AB42,IF(AB42&gt;AA42,AB42&amp;" - "&amp;AA42,""))</f>
        <v>2 - 1</v>
      </c>
      <c r="AE42" s="59" t="str">
        <f t="shared" si="0"/>
        <v>(-8, 9, -8)</v>
      </c>
      <c r="AF42" s="59">
        <f t="shared" ref="AF42" si="551">IF(M42&gt;N42,1,0)</f>
        <v>0</v>
      </c>
      <c r="AG42" s="59">
        <f t="shared" ref="AG42" si="552">IF(O42&gt;P42,1,0)</f>
        <v>1</v>
      </c>
      <c r="AH42" s="59">
        <f t="shared" ref="AH42" si="553">IF(Q42&gt;R42,1,0)</f>
        <v>0</v>
      </c>
      <c r="AI42" s="59">
        <f t="shared" ref="AI42" si="554">IF(S42&gt;T42,1,0)</f>
        <v>0</v>
      </c>
      <c r="AJ42" s="59">
        <f t="shared" ref="AJ42" si="555">IF(U42&gt;V42,1,0)</f>
        <v>0</v>
      </c>
      <c r="AK42" s="59">
        <f t="shared" ref="AK42" si="556">IF(W42&gt;X42,1,0)</f>
        <v>0</v>
      </c>
      <c r="AL42" s="59">
        <f t="shared" ref="AL42" si="557">IF(Y42&gt;Z42,1,0)</f>
        <v>0</v>
      </c>
      <c r="AM42" s="59">
        <f t="shared" ref="AM42" si="558">IF(M42&gt;N42,N42,IF(N42&gt;M42,-M42,""))</f>
        <v>-8</v>
      </c>
      <c r="AN42" s="59" t="str">
        <f t="shared" ref="AN42" si="559">IF(O42&gt;P42,", "&amp;P42,IF(P42&gt;O42,", "&amp;-O42,""))</f>
        <v>, 9</v>
      </c>
      <c r="AO42" s="59" t="str">
        <f t="shared" ref="AO42" si="560">IF(Q42&gt;R42,", "&amp;R42,IF(R42&gt;Q42,", "&amp;-Q42,""))</f>
        <v>, -8</v>
      </c>
      <c r="AP42" s="59" t="str">
        <f t="shared" ref="AP42" si="561">IF(S42&gt;T42,", "&amp;T42,IF(T42&gt;S42,", "&amp;-S42,""))</f>
        <v/>
      </c>
      <c r="AQ42" s="59" t="str">
        <f t="shared" ref="AQ42" si="562">IF(U42&gt;V42,", "&amp;V42,IF(V42&gt;U42,", "&amp;-U42,""))</f>
        <v/>
      </c>
      <c r="AR42" s="59" t="str">
        <f t="shared" ref="AR42" si="563">IF(W42&gt;X42,", "&amp;X42,IF(X42&gt;W42,", "&amp;-W42,""))</f>
        <v/>
      </c>
      <c r="AS42" s="59" t="str">
        <f t="shared" ref="AS42" si="564">IF(Y42&gt;Z42,", "&amp;Z42,IF(Z42&gt;Y42,", "&amp;-Y42,""))</f>
        <v/>
      </c>
      <c r="AU42" s="73">
        <f>1+AU40</f>
        <v>18</v>
      </c>
      <c r="AV42" s="99" t="str">
        <f>VLOOKUP(AV41,$A$8:$L$87,8,FALSE)</f>
        <v>X</v>
      </c>
      <c r="AW42" s="100" t="s">
        <v>305</v>
      </c>
      <c r="AX42" s="101" t="s">
        <v>305</v>
      </c>
      <c r="AY42" s="70"/>
      <c r="AZ42" s="70"/>
      <c r="BA42" s="102"/>
      <c r="BB42" s="77"/>
      <c r="BC42" s="78" t="str">
        <f>VLOOKUP(AY43,$A$8:$AD$87,29,FALSE)</f>
        <v>2 - 1  (-7, 9, 7)</v>
      </c>
      <c r="BD42" s="78"/>
      <c r="BE42" s="70"/>
      <c r="BF42" s="79"/>
      <c r="BG42" s="90"/>
      <c r="BH42" s="79"/>
      <c r="BI42" s="79"/>
      <c r="BJ42" s="107"/>
      <c r="BK42" s="79"/>
    </row>
    <row r="43" spans="1:80" s="62" customFormat="1" ht="12.75" x14ac:dyDescent="0.25">
      <c r="A43" s="213"/>
      <c r="B43" s="240"/>
      <c r="C43" s="242"/>
      <c r="D43" s="242"/>
      <c r="E43" s="223"/>
      <c r="F43" s="244"/>
      <c r="G43" s="223" t="s">
        <v>255</v>
      </c>
      <c r="H43" s="223" t="s">
        <v>255</v>
      </c>
      <c r="I43" s="223"/>
      <c r="J43" s="223"/>
      <c r="K43" s="223">
        <v>0</v>
      </c>
      <c r="L43" s="223">
        <v>0</v>
      </c>
      <c r="M43" s="234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5"/>
      <c r="AA43" s="226"/>
      <c r="AB43" s="226"/>
      <c r="AC43" s="59"/>
      <c r="AD43" s="59" t="str">
        <f t="shared" ref="AD43" si="565">IF(AA42&gt;AB42,AD42&amp;"  "&amp;AE42,IF(AB42&gt;AA42,AD42&amp;"  "&amp;AE43,""))</f>
        <v>2 - 1  (8, -9, 8)</v>
      </c>
      <c r="AE43" s="59" t="str">
        <f t="shared" si="0"/>
        <v>(8, -9, 8)</v>
      </c>
      <c r="AF43" s="59">
        <f t="shared" ref="AF43" si="566">IF(N42&gt;M42,1,0)</f>
        <v>1</v>
      </c>
      <c r="AG43" s="59">
        <f t="shared" ref="AG43" si="567">IF(P42&gt;O42,1,0)</f>
        <v>0</v>
      </c>
      <c r="AH43" s="59">
        <f t="shared" ref="AH43" si="568">IF(R42&gt;Q42,1,0)</f>
        <v>1</v>
      </c>
      <c r="AI43" s="59">
        <f t="shared" ref="AI43" si="569">IF(T42&gt;S42,1,0)</f>
        <v>0</v>
      </c>
      <c r="AJ43" s="59">
        <f t="shared" ref="AJ43" si="570">IF(V42&gt;U42,1,0)</f>
        <v>0</v>
      </c>
      <c r="AK43" s="59">
        <f t="shared" ref="AK43" si="571">IF(X42&gt;W42,1,0)</f>
        <v>0</v>
      </c>
      <c r="AL43" s="59">
        <f t="shared" ref="AL43" si="572">IF(Z42&gt;Y42,1,0)</f>
        <v>0</v>
      </c>
      <c r="AM43" s="59">
        <f t="shared" ref="AM43" si="573">IF(N42&gt;M42,M42,IF(M42&gt;N42,-N42,""))</f>
        <v>8</v>
      </c>
      <c r="AN43" s="59" t="str">
        <f t="shared" ref="AN43" si="574">IF(P42&gt;O42,", "&amp;O42,IF(O42&gt;P42,", "&amp;-P42,""))</f>
        <v>, -9</v>
      </c>
      <c r="AO43" s="59" t="str">
        <f t="shared" ref="AO43" si="575">IF(R42&gt;Q42,", "&amp;Q42,IF(Q42&gt;R42,", "&amp;-R42,""))</f>
        <v>, 8</v>
      </c>
      <c r="AP43" s="59" t="str">
        <f t="shared" ref="AP43" si="576">IF(T42&gt;S42,", "&amp;S42,IF(S42&gt;T42,", "&amp;-T42,""))</f>
        <v/>
      </c>
      <c r="AQ43" s="59" t="str">
        <f t="shared" ref="AQ43" si="577">IF(V42&gt;U42,", "&amp;U42,IF(U42&gt;V42,", "&amp;-V42,""))</f>
        <v/>
      </c>
      <c r="AR43" s="59" t="str">
        <f t="shared" ref="AR43" si="578">IF(X42&gt;W42,", "&amp;W42,IF(W42&gt;X42,", "&amp;-X42,""))</f>
        <v/>
      </c>
      <c r="AS43" s="59" t="str">
        <f t="shared" ref="AS43" si="579">IF(Z42&gt;Y42,", "&amp;Y42,IF(Y42&gt;Z42,", "&amp;-Z42,""))</f>
        <v/>
      </c>
      <c r="AU43" s="73"/>
      <c r="AV43" s="64"/>
      <c r="AW43" s="70"/>
      <c r="AX43" s="103"/>
      <c r="AY43" s="104">
        <v>21</v>
      </c>
      <c r="AZ43" s="87" t="str">
        <f>VLOOKUP(AY43,$A$8:$L$87,6,FALSE)</f>
        <v>4 Julio-- Table</v>
      </c>
      <c r="BA43" s="105"/>
      <c r="BB43" s="89">
        <f>VLOOKUP(BB47,$A$8:$L$91,7,FALSE)</f>
        <v>3918</v>
      </c>
      <c r="BC43" s="75" t="s">
        <v>10</v>
      </c>
      <c r="BD43" s="76" t="s">
        <v>11</v>
      </c>
      <c r="BE43" s="70"/>
      <c r="BF43" s="79"/>
      <c r="BG43" s="90"/>
      <c r="BH43" s="79"/>
      <c r="BI43" s="79"/>
      <c r="BJ43" s="107"/>
      <c r="BK43" s="79"/>
    </row>
    <row r="44" spans="1:80" s="62" customFormat="1" ht="12.75" x14ac:dyDescent="0.25">
      <c r="A44" s="213">
        <v>19</v>
      </c>
      <c r="B44" s="284" t="s">
        <v>256</v>
      </c>
      <c r="C44" s="286" t="s">
        <v>204</v>
      </c>
      <c r="D44" s="286"/>
      <c r="E44" s="277"/>
      <c r="F44" s="288" t="str">
        <f t="shared" si="512"/>
        <v>4 Julio-- Table</v>
      </c>
      <c r="G44" s="277">
        <f>IF(M16="",0,IF(AA16&gt;AB16,G16,H16))</f>
        <v>3828</v>
      </c>
      <c r="H44" s="277">
        <f>IF(M18="",0,IF(AA18&gt;AB18,G18,H18))</f>
        <v>4159</v>
      </c>
      <c r="I44" s="277" t="s">
        <v>14</v>
      </c>
      <c r="J44" s="277" t="s">
        <v>15</v>
      </c>
      <c r="K44" s="277" t="s">
        <v>16</v>
      </c>
      <c r="L44" s="277" t="s">
        <v>11</v>
      </c>
      <c r="M44" s="282">
        <v>5</v>
      </c>
      <c r="N44" s="277">
        <v>11</v>
      </c>
      <c r="O44" s="277">
        <v>8</v>
      </c>
      <c r="P44" s="277">
        <v>11</v>
      </c>
      <c r="Q44" s="277"/>
      <c r="R44" s="277"/>
      <c r="S44" s="277"/>
      <c r="T44" s="277"/>
      <c r="U44" s="277"/>
      <c r="V44" s="277"/>
      <c r="W44" s="277"/>
      <c r="X44" s="277"/>
      <c r="Y44" s="277"/>
      <c r="Z44" s="279"/>
      <c r="AA44" s="226">
        <f t="shared" ref="AA44" si="580">IF(M44+N44&lt;&gt;0,SUM(AF44:AL44),"")</f>
        <v>0</v>
      </c>
      <c r="AB44" s="226">
        <f t="shared" ref="AB44" si="581">IF(M44+N44&lt;&gt;0,SUM(AF45:AL45),"")</f>
        <v>2</v>
      </c>
      <c r="AC44" s="59" t="str">
        <f t="shared" ref="AC44" si="582">IF(AA44&gt;AB44,AD44&amp;"  "&amp;AE44,IF(AB44&gt;AA44,AD44&amp;"  "&amp;AE45,""))</f>
        <v>2 - 0  (5, 8)</v>
      </c>
      <c r="AD44" s="59" t="str">
        <f t="shared" ref="AD44" si="583">IF(AA44&gt;AB44,AA44&amp;" - "&amp;AB44,IF(AB44&gt;AA44,AB44&amp;" - "&amp;AA44,""))</f>
        <v>2 - 0</v>
      </c>
      <c r="AE44" s="59" t="str">
        <f t="shared" si="0"/>
        <v>(-5, -8)</v>
      </c>
      <c r="AF44" s="59">
        <f t="shared" ref="AF44" si="584">IF(M44&gt;N44,1,0)</f>
        <v>0</v>
      </c>
      <c r="AG44" s="59">
        <f t="shared" ref="AG44" si="585">IF(O44&gt;P44,1,0)</f>
        <v>0</v>
      </c>
      <c r="AH44" s="59">
        <f t="shared" ref="AH44" si="586">IF(Q44&gt;R44,1,0)</f>
        <v>0</v>
      </c>
      <c r="AI44" s="59">
        <f t="shared" ref="AI44" si="587">IF(S44&gt;T44,1,0)</f>
        <v>0</v>
      </c>
      <c r="AJ44" s="59">
        <f t="shared" ref="AJ44" si="588">IF(U44&gt;V44,1,0)</f>
        <v>0</v>
      </c>
      <c r="AK44" s="59">
        <f t="shared" ref="AK44" si="589">IF(W44&gt;X44,1,0)</f>
        <v>0</v>
      </c>
      <c r="AL44" s="59">
        <f t="shared" ref="AL44" si="590">IF(Y44&gt;Z44,1,0)</f>
        <v>0</v>
      </c>
      <c r="AM44" s="59">
        <f t="shared" ref="AM44" si="591">IF(M44&gt;N44,N44,IF(N44&gt;M44,-M44,""))</f>
        <v>-5</v>
      </c>
      <c r="AN44" s="59" t="str">
        <f t="shared" ref="AN44" si="592">IF(O44&gt;P44,", "&amp;P44,IF(P44&gt;O44,", "&amp;-O44,""))</f>
        <v>, -8</v>
      </c>
      <c r="AO44" s="59" t="str">
        <f t="shared" ref="AO44" si="593">IF(Q44&gt;R44,", "&amp;R44,IF(R44&gt;Q44,", "&amp;-Q44,""))</f>
        <v/>
      </c>
      <c r="AP44" s="59" t="str">
        <f t="shared" ref="AP44" si="594">IF(S44&gt;T44,", "&amp;T44,IF(T44&gt;S44,", "&amp;-S44,""))</f>
        <v/>
      </c>
      <c r="AQ44" s="59" t="str">
        <f t="shared" ref="AQ44" si="595">IF(U44&gt;V44,", "&amp;V44,IF(V44&gt;U44,", "&amp;-U44,""))</f>
        <v/>
      </c>
      <c r="AR44" s="59" t="str">
        <f t="shared" ref="AR44" si="596">IF(W44&gt;X44,", "&amp;X44,IF(X44&gt;W44,", "&amp;-W44,""))</f>
        <v/>
      </c>
      <c r="AS44" s="59" t="str">
        <f t="shared" ref="AS44" si="597">IF(Y44&gt;Z44,", "&amp;Z44,IF(Z44&gt;Y44,", "&amp;-Y44,""))</f>
        <v/>
      </c>
      <c r="AU44" s="73">
        <f>1+AU42</f>
        <v>19</v>
      </c>
      <c r="AV44" s="74">
        <f>VLOOKUP(AV45,$A$8:$L$87,7,FALSE)</f>
        <v>4709</v>
      </c>
      <c r="AW44" s="75" t="s">
        <v>33</v>
      </c>
      <c r="AX44" s="76" t="s">
        <v>34</v>
      </c>
      <c r="AY44" s="106"/>
      <c r="AZ44" s="70"/>
      <c r="BA44" s="102"/>
      <c r="BB44" s="70"/>
      <c r="BC44" s="70"/>
      <c r="BD44" s="102"/>
      <c r="BE44" s="70"/>
      <c r="BF44" s="79"/>
      <c r="BG44" s="90"/>
      <c r="BH44" s="79"/>
      <c r="BI44" s="79"/>
      <c r="BJ44" s="107"/>
      <c r="BK44" s="79"/>
    </row>
    <row r="45" spans="1:80" s="62" customFormat="1" ht="12.75" x14ac:dyDescent="0.25">
      <c r="A45" s="213"/>
      <c r="B45" s="285"/>
      <c r="C45" s="287"/>
      <c r="D45" s="287"/>
      <c r="E45" s="278"/>
      <c r="F45" s="289"/>
      <c r="G45" s="278" t="s">
        <v>255</v>
      </c>
      <c r="H45" s="278" t="s">
        <v>255</v>
      </c>
      <c r="I45" s="278"/>
      <c r="J45" s="278"/>
      <c r="K45" s="278">
        <v>0</v>
      </c>
      <c r="L45" s="278">
        <v>0</v>
      </c>
      <c r="M45" s="283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80"/>
      <c r="AA45" s="226"/>
      <c r="AB45" s="226"/>
      <c r="AC45" s="59"/>
      <c r="AD45" s="59" t="str">
        <f t="shared" ref="AD45" si="598">IF(AA44&gt;AB44,AD44&amp;"  "&amp;AE44,IF(AB44&gt;AA44,AD44&amp;"  "&amp;AE45,""))</f>
        <v>2 - 0  (5, 8)</v>
      </c>
      <c r="AE45" s="59" t="str">
        <f t="shared" si="0"/>
        <v>(5, 8)</v>
      </c>
      <c r="AF45" s="59">
        <f t="shared" ref="AF45" si="599">IF(N44&gt;M44,1,0)</f>
        <v>1</v>
      </c>
      <c r="AG45" s="59">
        <f t="shared" ref="AG45" si="600">IF(P44&gt;O44,1,0)</f>
        <v>1</v>
      </c>
      <c r="AH45" s="59">
        <f t="shared" ref="AH45" si="601">IF(R44&gt;Q44,1,0)</f>
        <v>0</v>
      </c>
      <c r="AI45" s="59">
        <f t="shared" ref="AI45" si="602">IF(T44&gt;S44,1,0)</f>
        <v>0</v>
      </c>
      <c r="AJ45" s="59">
        <f t="shared" ref="AJ45" si="603">IF(V44&gt;U44,1,0)</f>
        <v>0</v>
      </c>
      <c r="AK45" s="59">
        <f t="shared" ref="AK45" si="604">IF(X44&gt;W44,1,0)</f>
        <v>0</v>
      </c>
      <c r="AL45" s="59">
        <f t="shared" ref="AL45" si="605">IF(Z44&gt;Y44,1,0)</f>
        <v>0</v>
      </c>
      <c r="AM45" s="59">
        <f t="shared" ref="AM45" si="606">IF(N44&gt;M44,M44,IF(M44&gt;N44,-N44,""))</f>
        <v>5</v>
      </c>
      <c r="AN45" s="59" t="str">
        <f t="shared" ref="AN45" si="607">IF(P44&gt;O44,", "&amp;O44,IF(O44&gt;P44,", "&amp;-P44,""))</f>
        <v>, 8</v>
      </c>
      <c r="AO45" s="59" t="str">
        <f t="shared" ref="AO45" si="608">IF(R44&gt;Q44,", "&amp;Q44,IF(Q44&gt;R44,", "&amp;-R44,""))</f>
        <v/>
      </c>
      <c r="AP45" s="59" t="str">
        <f t="shared" ref="AP45" si="609">IF(T44&gt;S44,", "&amp;S44,IF(S44&gt;T44,", "&amp;-T44,""))</f>
        <v/>
      </c>
      <c r="AQ45" s="59" t="str">
        <f t="shared" ref="AQ45" si="610">IF(V44&gt;U44,", "&amp;U44,IF(U44&gt;V44,", "&amp;-V44,""))</f>
        <v/>
      </c>
      <c r="AR45" s="59" t="str">
        <f t="shared" ref="AR45" si="611">IF(X44&gt;W44,", "&amp;W44,IF(W44&gt;X44,", "&amp;-X44,""))</f>
        <v/>
      </c>
      <c r="AS45" s="59" t="str">
        <f t="shared" ref="AS45" si="612">IF(Z44&gt;Y44,", "&amp;Y44,IF(Y44&gt;Z44,", "&amp;-Z44,""))</f>
        <v/>
      </c>
      <c r="AU45" s="63"/>
      <c r="AV45" s="86">
        <v>10</v>
      </c>
      <c r="AW45" s="87" t="str">
        <f>VLOOKUP(AV45,$A$8:$L$87,6,FALSE)</f>
        <v>4 Julio-- Table</v>
      </c>
      <c r="AX45" s="88"/>
      <c r="AY45" s="100">
        <f>VLOOKUP(AY43,$A$8:$L$91,8,FALSE)</f>
        <v>4579</v>
      </c>
      <c r="AZ45" s="100" t="s">
        <v>30</v>
      </c>
      <c r="BA45" s="101" t="s">
        <v>11</v>
      </c>
      <c r="BB45" s="70"/>
      <c r="BC45" s="70"/>
      <c r="BD45" s="102"/>
      <c r="BE45" s="70"/>
      <c r="BF45" s="79"/>
      <c r="BG45" s="90"/>
      <c r="BH45" s="79"/>
      <c r="BI45" s="79"/>
      <c r="BJ45" s="107"/>
      <c r="BK45" s="79"/>
    </row>
    <row r="46" spans="1:80" s="62" customFormat="1" ht="12.75" x14ac:dyDescent="0.25">
      <c r="A46" s="213">
        <v>20</v>
      </c>
      <c r="B46" s="281" t="s">
        <v>256</v>
      </c>
      <c r="C46" s="241" t="s">
        <v>204</v>
      </c>
      <c r="D46" s="241"/>
      <c r="E46" s="222"/>
      <c r="F46" s="243" t="str">
        <f t="shared" si="546"/>
        <v>4 Julio-- Table</v>
      </c>
      <c r="G46" s="222">
        <f>IF(M20="",0,IF(AA20&gt;AB20,G20,H20))</f>
        <v>4048</v>
      </c>
      <c r="H46" s="222">
        <f>IF(M22="",0,IF(AA22&gt;AB22,G22,H22))</f>
        <v>3756</v>
      </c>
      <c r="I46" s="222" t="s">
        <v>21</v>
      </c>
      <c r="J46" s="222" t="s">
        <v>11</v>
      </c>
      <c r="K46" s="222" t="s">
        <v>9</v>
      </c>
      <c r="L46" s="222" t="s">
        <v>6</v>
      </c>
      <c r="M46" s="233">
        <v>9</v>
      </c>
      <c r="N46" s="222">
        <v>11</v>
      </c>
      <c r="O46" s="222">
        <v>14</v>
      </c>
      <c r="P46" s="222">
        <v>16</v>
      </c>
      <c r="Q46" s="222"/>
      <c r="R46" s="222"/>
      <c r="S46" s="222"/>
      <c r="T46" s="222"/>
      <c r="U46" s="222"/>
      <c r="V46" s="222"/>
      <c r="W46" s="222"/>
      <c r="X46" s="222"/>
      <c r="Y46" s="222"/>
      <c r="Z46" s="224"/>
      <c r="AA46" s="226">
        <f t="shared" ref="AA46" si="613">IF(M46+N46&lt;&gt;0,SUM(AF46:AL46),"")</f>
        <v>0</v>
      </c>
      <c r="AB46" s="226">
        <f t="shared" ref="AB46" si="614">IF(M46+N46&lt;&gt;0,SUM(AF47:AL47),"")</f>
        <v>2</v>
      </c>
      <c r="AC46" s="59" t="str">
        <f t="shared" ref="AC46" si="615">IF(AA46&gt;AB46,AD46&amp;"  "&amp;AE46,IF(AB46&gt;AA46,AD46&amp;"  "&amp;AE47,""))</f>
        <v>2 - 0  (9, 14)</v>
      </c>
      <c r="AD46" s="59" t="str">
        <f t="shared" ref="AD46" si="616">IF(AA46&gt;AB46,AA46&amp;" - "&amp;AB46,IF(AB46&gt;AA46,AB46&amp;" - "&amp;AA46,""))</f>
        <v>2 - 0</v>
      </c>
      <c r="AE46" s="59" t="str">
        <f t="shared" si="0"/>
        <v>(-9, -14)</v>
      </c>
      <c r="AF46" s="59">
        <f t="shared" ref="AF46" si="617">IF(M46&gt;N46,1,0)</f>
        <v>0</v>
      </c>
      <c r="AG46" s="59">
        <f t="shared" ref="AG46" si="618">IF(O46&gt;P46,1,0)</f>
        <v>0</v>
      </c>
      <c r="AH46" s="59">
        <f t="shared" ref="AH46" si="619">IF(Q46&gt;R46,1,0)</f>
        <v>0</v>
      </c>
      <c r="AI46" s="59">
        <f t="shared" ref="AI46" si="620">IF(S46&gt;T46,1,0)</f>
        <v>0</v>
      </c>
      <c r="AJ46" s="59">
        <f t="shared" ref="AJ46" si="621">IF(U46&gt;V46,1,0)</f>
        <v>0</v>
      </c>
      <c r="AK46" s="59">
        <f t="shared" ref="AK46" si="622">IF(W46&gt;X46,1,0)</f>
        <v>0</v>
      </c>
      <c r="AL46" s="59">
        <f t="shared" ref="AL46" si="623">IF(Y46&gt;Z46,1,0)</f>
        <v>0</v>
      </c>
      <c r="AM46" s="59">
        <f t="shared" ref="AM46" si="624">IF(M46&gt;N46,N46,IF(N46&gt;M46,-M46,""))</f>
        <v>-9</v>
      </c>
      <c r="AN46" s="59" t="str">
        <f t="shared" ref="AN46" si="625">IF(O46&gt;P46,", "&amp;P46,IF(P46&gt;O46,", "&amp;-O46,""))</f>
        <v>, -14</v>
      </c>
      <c r="AO46" s="59" t="str">
        <f t="shared" ref="AO46" si="626">IF(Q46&gt;R46,", "&amp;R46,IF(R46&gt;Q46,", "&amp;-Q46,""))</f>
        <v/>
      </c>
      <c r="AP46" s="59" t="str">
        <f t="shared" ref="AP46" si="627">IF(S46&gt;T46,", "&amp;T46,IF(T46&gt;S46,", "&amp;-S46,""))</f>
        <v/>
      </c>
      <c r="AQ46" s="59" t="str">
        <f t="shared" ref="AQ46" si="628">IF(U46&gt;V46,", "&amp;V46,IF(V46&gt;U46,", "&amp;-U46,""))</f>
        <v/>
      </c>
      <c r="AR46" s="59" t="str">
        <f t="shared" ref="AR46" si="629">IF(W46&gt;X46,", "&amp;X46,IF(X46&gt;W46,", "&amp;-W46,""))</f>
        <v/>
      </c>
      <c r="AS46" s="59" t="str">
        <f t="shared" ref="AS46" si="630">IF(Y46&gt;Z46,", "&amp;Z46,IF(Z46&gt;Y46,", "&amp;-Y46,""))</f>
        <v/>
      </c>
      <c r="AU46" s="73">
        <f>1+AU44</f>
        <v>20</v>
      </c>
      <c r="AV46" s="99">
        <f>VLOOKUP(AV45,$A$8:$L$87,8,FALSE)</f>
        <v>4579</v>
      </c>
      <c r="AW46" s="100" t="s">
        <v>30</v>
      </c>
      <c r="AX46" s="101" t="s">
        <v>11</v>
      </c>
      <c r="AY46" s="77"/>
      <c r="AZ46" s="78" t="str">
        <f>VLOOKUP(AV45,$A$8:$AD$91,29,FALSE)</f>
        <v>2 - 0  (8, 8)</v>
      </c>
      <c r="BA46" s="78"/>
      <c r="BB46" s="70"/>
      <c r="BC46" s="70"/>
      <c r="BD46" s="102"/>
      <c r="BE46" s="77"/>
      <c r="BF46" s="78" t="str">
        <f>VLOOKUP(BB47,$A$8:$AD$87,29,FALSE)</f>
        <v>2 - 1  (8, -9, 9)</v>
      </c>
      <c r="BG46" s="78"/>
      <c r="BH46" s="79"/>
      <c r="BI46" s="79"/>
      <c r="BJ46" s="107"/>
      <c r="BK46" s="79"/>
    </row>
    <row r="47" spans="1:80" s="62" customFormat="1" ht="12.75" x14ac:dyDescent="0.25">
      <c r="A47" s="213"/>
      <c r="B47" s="240"/>
      <c r="C47" s="242"/>
      <c r="D47" s="242"/>
      <c r="E47" s="223"/>
      <c r="F47" s="244"/>
      <c r="G47" s="223" t="s">
        <v>255</v>
      </c>
      <c r="H47" s="223" t="s">
        <v>255</v>
      </c>
      <c r="I47" s="223"/>
      <c r="J47" s="223"/>
      <c r="K47" s="223">
        <v>0</v>
      </c>
      <c r="L47" s="223">
        <v>0</v>
      </c>
      <c r="M47" s="234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5"/>
      <c r="AA47" s="226"/>
      <c r="AB47" s="226"/>
      <c r="AC47" s="59"/>
      <c r="AD47" s="59" t="str">
        <f t="shared" ref="AD47" si="631">IF(AA46&gt;AB46,AD46&amp;"  "&amp;AE46,IF(AB46&gt;AA46,AD46&amp;"  "&amp;AE47,""))</f>
        <v>2 - 0  (9, 14)</v>
      </c>
      <c r="AE47" s="59" t="str">
        <f t="shared" si="0"/>
        <v>(9, 14)</v>
      </c>
      <c r="AF47" s="59">
        <f t="shared" ref="AF47" si="632">IF(N46&gt;M46,1,0)</f>
        <v>1</v>
      </c>
      <c r="AG47" s="59">
        <f t="shared" ref="AG47" si="633">IF(P46&gt;O46,1,0)</f>
        <v>1</v>
      </c>
      <c r="AH47" s="59">
        <f t="shared" ref="AH47" si="634">IF(R46&gt;Q46,1,0)</f>
        <v>0</v>
      </c>
      <c r="AI47" s="59">
        <f t="shared" ref="AI47" si="635">IF(T46&gt;S46,1,0)</f>
        <v>0</v>
      </c>
      <c r="AJ47" s="59">
        <f t="shared" ref="AJ47" si="636">IF(V46&gt;U46,1,0)</f>
        <v>0</v>
      </c>
      <c r="AK47" s="59">
        <f t="shared" ref="AK47" si="637">IF(X46&gt;W46,1,0)</f>
        <v>0</v>
      </c>
      <c r="AL47" s="59">
        <f t="shared" ref="AL47" si="638">IF(Z46&gt;Y46,1,0)</f>
        <v>0</v>
      </c>
      <c r="AM47" s="59">
        <f t="shared" ref="AM47" si="639">IF(N46&gt;M46,M46,IF(M46&gt;N46,-N46,""))</f>
        <v>9</v>
      </c>
      <c r="AN47" s="59" t="str">
        <f t="shared" ref="AN47" si="640">IF(P46&gt;O46,", "&amp;O46,IF(O46&gt;P46,", "&amp;-P46,""))</f>
        <v>, 14</v>
      </c>
      <c r="AO47" s="59" t="str">
        <f t="shared" ref="AO47" si="641">IF(R46&gt;Q46,", "&amp;Q46,IF(Q46&gt;R46,", "&amp;-R46,""))</f>
        <v/>
      </c>
      <c r="AP47" s="59" t="str">
        <f t="shared" ref="AP47" si="642">IF(T46&gt;S46,", "&amp;S46,IF(S46&gt;T46,", "&amp;-T46,""))</f>
        <v/>
      </c>
      <c r="AQ47" s="59" t="str">
        <f t="shared" ref="AQ47" si="643">IF(V46&gt;U46,", "&amp;U46,IF(U46&gt;V46,", "&amp;-V46,""))</f>
        <v/>
      </c>
      <c r="AR47" s="59" t="str">
        <f t="shared" ref="AR47" si="644">IF(X46&gt;W46,", "&amp;W46,IF(W46&gt;X46,", "&amp;-X46,""))</f>
        <v/>
      </c>
      <c r="AS47" s="59" t="str">
        <f t="shared" ref="AS47" si="645">IF(Z46&gt;Y46,", "&amp;Y46,IF(Y46&gt;Z46,", "&amp;-Z46,""))</f>
        <v/>
      </c>
      <c r="AU47" s="63"/>
      <c r="AV47" s="64"/>
      <c r="AW47" s="70"/>
      <c r="AX47" s="103"/>
      <c r="AY47" s="70"/>
      <c r="AZ47" s="70"/>
      <c r="BA47" s="71"/>
      <c r="BB47" s="104">
        <v>27</v>
      </c>
      <c r="BC47" s="87" t="str">
        <f>VLOOKUP(BB47,$A$8:$L$87,6,FALSE)</f>
        <v>4 Julio-- Table</v>
      </c>
      <c r="BD47" s="102"/>
      <c r="BE47" s="89">
        <f>VLOOKUP(BE55,$A$8:$L$91,7,FALSE)</f>
        <v>3436</v>
      </c>
      <c r="BF47" s="75" t="s">
        <v>17</v>
      </c>
      <c r="BG47" s="76" t="s">
        <v>18</v>
      </c>
      <c r="BH47" s="79"/>
      <c r="BI47" s="79"/>
      <c r="BJ47" s="107"/>
      <c r="BK47" s="79"/>
    </row>
    <row r="48" spans="1:80" s="62" customFormat="1" ht="12.75" x14ac:dyDescent="0.25">
      <c r="A48" s="213">
        <v>21</v>
      </c>
      <c r="B48" s="284" t="s">
        <v>256</v>
      </c>
      <c r="C48" s="286" t="s">
        <v>204</v>
      </c>
      <c r="D48" s="286"/>
      <c r="E48" s="277"/>
      <c r="F48" s="288" t="str">
        <f t="shared" si="512"/>
        <v>4 Julio-- Table</v>
      </c>
      <c r="G48" s="277">
        <f>IF(M24="",0,IF(AA24&gt;AB24,G24,H24))</f>
        <v>3918</v>
      </c>
      <c r="H48" s="277">
        <f>IF(M26="",0,IF(AA26&gt;AB26,G26,H26))</f>
        <v>4579</v>
      </c>
      <c r="I48" s="277" t="s">
        <v>10</v>
      </c>
      <c r="J48" s="277" t="s">
        <v>11</v>
      </c>
      <c r="K48" s="277" t="s">
        <v>30</v>
      </c>
      <c r="L48" s="277" t="s">
        <v>11</v>
      </c>
      <c r="M48" s="282">
        <v>7</v>
      </c>
      <c r="N48" s="277">
        <v>11</v>
      </c>
      <c r="O48" s="277">
        <v>11</v>
      </c>
      <c r="P48" s="277">
        <v>9</v>
      </c>
      <c r="Q48" s="277">
        <v>11</v>
      </c>
      <c r="R48" s="277">
        <v>7</v>
      </c>
      <c r="S48" s="277"/>
      <c r="T48" s="277"/>
      <c r="U48" s="277"/>
      <c r="V48" s="277"/>
      <c r="W48" s="277"/>
      <c r="X48" s="277"/>
      <c r="Y48" s="277"/>
      <c r="Z48" s="279"/>
      <c r="AA48" s="226">
        <f t="shared" ref="AA48" si="646">IF(M48+N48&lt;&gt;0,SUM(AF48:AL48),"")</f>
        <v>2</v>
      </c>
      <c r="AB48" s="226">
        <f t="shared" ref="AB48" si="647">IF(M48+N48&lt;&gt;0,SUM(AF49:AL49),"")</f>
        <v>1</v>
      </c>
      <c r="AC48" s="59" t="str">
        <f t="shared" ref="AC48" si="648">IF(AA48&gt;AB48,AD48&amp;"  "&amp;AE48,IF(AB48&gt;AA48,AD48&amp;"  "&amp;AE49,""))</f>
        <v>2 - 1  (-7, 9, 7)</v>
      </c>
      <c r="AD48" s="59" t="str">
        <f t="shared" ref="AD48" si="649">IF(AA48&gt;AB48,AA48&amp;" - "&amp;AB48,IF(AB48&gt;AA48,AB48&amp;" - "&amp;AA48,""))</f>
        <v>2 - 1</v>
      </c>
      <c r="AE48" s="59" t="str">
        <f t="shared" si="0"/>
        <v>(-7, 9, 7)</v>
      </c>
      <c r="AF48" s="59">
        <f t="shared" ref="AF48" si="650">IF(M48&gt;N48,1,0)</f>
        <v>0</v>
      </c>
      <c r="AG48" s="59">
        <f t="shared" ref="AG48" si="651">IF(O48&gt;P48,1,0)</f>
        <v>1</v>
      </c>
      <c r="AH48" s="59">
        <f t="shared" ref="AH48" si="652">IF(Q48&gt;R48,1,0)</f>
        <v>1</v>
      </c>
      <c r="AI48" s="59">
        <f t="shared" ref="AI48" si="653">IF(S48&gt;T48,1,0)</f>
        <v>0</v>
      </c>
      <c r="AJ48" s="59">
        <f t="shared" ref="AJ48" si="654">IF(U48&gt;V48,1,0)</f>
        <v>0</v>
      </c>
      <c r="AK48" s="59">
        <f t="shared" ref="AK48" si="655">IF(W48&gt;X48,1,0)</f>
        <v>0</v>
      </c>
      <c r="AL48" s="59">
        <f t="shared" ref="AL48" si="656">IF(Y48&gt;Z48,1,0)</f>
        <v>0</v>
      </c>
      <c r="AM48" s="59">
        <f t="shared" ref="AM48" si="657">IF(M48&gt;N48,N48,IF(N48&gt;M48,-M48,""))</f>
        <v>-7</v>
      </c>
      <c r="AN48" s="59" t="str">
        <f t="shared" ref="AN48" si="658">IF(O48&gt;P48,", "&amp;P48,IF(P48&gt;O48,", "&amp;-O48,""))</f>
        <v>, 9</v>
      </c>
      <c r="AO48" s="59" t="str">
        <f t="shared" ref="AO48" si="659">IF(Q48&gt;R48,", "&amp;R48,IF(R48&gt;Q48,", "&amp;-Q48,""))</f>
        <v>, 7</v>
      </c>
      <c r="AP48" s="59" t="str">
        <f t="shared" ref="AP48" si="660">IF(S48&gt;T48,", "&amp;T48,IF(T48&gt;S48,", "&amp;-S48,""))</f>
        <v/>
      </c>
      <c r="AQ48" s="59" t="str">
        <f t="shared" ref="AQ48" si="661">IF(U48&gt;V48,", "&amp;V48,IF(V48&gt;U48,", "&amp;-U48,""))</f>
        <v/>
      </c>
      <c r="AR48" s="59" t="str">
        <f t="shared" ref="AR48" si="662">IF(W48&gt;X48,", "&amp;X48,IF(X48&gt;W48,", "&amp;-W48,""))</f>
        <v/>
      </c>
      <c r="AS48" s="59" t="str">
        <f t="shared" ref="AS48" si="663">IF(Y48&gt;Z48,", "&amp;Z48,IF(Z48&gt;Y48,", "&amp;-Y48,""))</f>
        <v/>
      </c>
      <c r="AU48" s="73">
        <f>1+AU46</f>
        <v>21</v>
      </c>
      <c r="AV48" s="74">
        <f>VLOOKUP(AV49,$A$8:$L$87,7,FALSE)</f>
        <v>3767</v>
      </c>
      <c r="AW48" s="75" t="s">
        <v>23</v>
      </c>
      <c r="AX48" s="76" t="s">
        <v>24</v>
      </c>
      <c r="AY48" s="77"/>
      <c r="AZ48" s="78" t="str">
        <f>VLOOKUP(AV49,$A$8:$AD$87,29,FALSE)</f>
        <v>2 - 1  (-8, 4, 5)</v>
      </c>
      <c r="BA48" s="78"/>
      <c r="BB48" s="70"/>
      <c r="BC48" s="70"/>
      <c r="BD48" s="102"/>
      <c r="BE48" s="70"/>
      <c r="BF48" s="79"/>
      <c r="BG48" s="107"/>
      <c r="BH48" s="79"/>
      <c r="BI48" s="79"/>
      <c r="BJ48" s="107"/>
      <c r="BK48" s="79"/>
    </row>
    <row r="49" spans="1:63" s="62" customFormat="1" ht="12.75" x14ac:dyDescent="0.25">
      <c r="A49" s="213"/>
      <c r="B49" s="285"/>
      <c r="C49" s="287"/>
      <c r="D49" s="287"/>
      <c r="E49" s="278"/>
      <c r="F49" s="289"/>
      <c r="G49" s="278" t="s">
        <v>255</v>
      </c>
      <c r="H49" s="278" t="s">
        <v>255</v>
      </c>
      <c r="I49" s="278"/>
      <c r="J49" s="278"/>
      <c r="K49" s="278">
        <v>0</v>
      </c>
      <c r="L49" s="278">
        <v>0</v>
      </c>
      <c r="M49" s="283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80"/>
      <c r="AA49" s="226"/>
      <c r="AB49" s="226"/>
      <c r="AC49" s="59"/>
      <c r="AD49" s="59" t="str">
        <f t="shared" ref="AD49" si="664">IF(AA48&gt;AB48,AD48&amp;"  "&amp;AE48,IF(AB48&gt;AA48,AD48&amp;"  "&amp;AE49,""))</f>
        <v>2 - 1  (-7, 9, 7)</v>
      </c>
      <c r="AE49" s="59" t="str">
        <f t="shared" si="0"/>
        <v>(7, -9, -7)</v>
      </c>
      <c r="AF49" s="59">
        <f t="shared" ref="AF49" si="665">IF(N48&gt;M48,1,0)</f>
        <v>1</v>
      </c>
      <c r="AG49" s="59">
        <f t="shared" ref="AG49" si="666">IF(P48&gt;O48,1,0)</f>
        <v>0</v>
      </c>
      <c r="AH49" s="59">
        <f t="shared" ref="AH49" si="667">IF(R48&gt;Q48,1,0)</f>
        <v>0</v>
      </c>
      <c r="AI49" s="59">
        <f t="shared" ref="AI49" si="668">IF(T48&gt;S48,1,0)</f>
        <v>0</v>
      </c>
      <c r="AJ49" s="59">
        <f t="shared" ref="AJ49" si="669">IF(V48&gt;U48,1,0)</f>
        <v>0</v>
      </c>
      <c r="AK49" s="59">
        <f t="shared" ref="AK49" si="670">IF(X48&gt;W48,1,0)</f>
        <v>0</v>
      </c>
      <c r="AL49" s="59">
        <f t="shared" ref="AL49" si="671">IF(Z48&gt;Y48,1,0)</f>
        <v>0</v>
      </c>
      <c r="AM49" s="59">
        <f t="shared" ref="AM49" si="672">IF(N48&gt;M48,M48,IF(M48&gt;N48,-N48,""))</f>
        <v>7</v>
      </c>
      <c r="AN49" s="59" t="str">
        <f t="shared" ref="AN49" si="673">IF(P48&gt;O48,", "&amp;O48,IF(O48&gt;P48,", "&amp;-P48,""))</f>
        <v>, -9</v>
      </c>
      <c r="AO49" s="59" t="str">
        <f t="shared" ref="AO49" si="674">IF(R48&gt;Q48,", "&amp;Q48,IF(Q48&gt;R48,", "&amp;-R48,""))</f>
        <v>, -7</v>
      </c>
      <c r="AP49" s="59" t="str">
        <f t="shared" ref="AP49" si="675">IF(T48&gt;S48,", "&amp;S48,IF(S48&gt;T48,", "&amp;-T48,""))</f>
        <v/>
      </c>
      <c r="AQ49" s="59" t="str">
        <f t="shared" ref="AQ49" si="676">IF(V48&gt;U48,", "&amp;U48,IF(U48&gt;V48,", "&amp;-V48,""))</f>
        <v/>
      </c>
      <c r="AR49" s="59" t="str">
        <f t="shared" ref="AR49" si="677">IF(X48&gt;W48,", "&amp;W48,IF(W48&gt;X48,", "&amp;-X48,""))</f>
        <v/>
      </c>
      <c r="AS49" s="59" t="str">
        <f t="shared" ref="AS49" si="678">IF(Z48&gt;Y48,", "&amp;Y48,IF(Y48&gt;Z48,", "&amp;-Z48,""))</f>
        <v/>
      </c>
      <c r="AU49" s="63"/>
      <c r="AV49" s="86">
        <v>11</v>
      </c>
      <c r="AW49" s="87" t="str">
        <f>VLOOKUP(AV49,$A$8:$L$87,6,FALSE)</f>
        <v>4 Julio-- Table</v>
      </c>
      <c r="AX49" s="88"/>
      <c r="AY49" s="89">
        <f>VLOOKUP(AY51,$A$8:$L$91,7,FALSE)</f>
        <v>3767</v>
      </c>
      <c r="AZ49" s="75" t="s">
        <v>23</v>
      </c>
      <c r="BA49" s="76" t="s">
        <v>24</v>
      </c>
      <c r="BB49" s="70"/>
      <c r="BC49" s="70"/>
      <c r="BD49" s="102"/>
      <c r="BE49" s="70"/>
      <c r="BF49" s="79"/>
      <c r="BG49" s="107"/>
      <c r="BH49" s="79"/>
      <c r="BI49" s="79"/>
      <c r="BJ49" s="107"/>
      <c r="BK49" s="79"/>
    </row>
    <row r="50" spans="1:63" s="62" customFormat="1" ht="12.75" x14ac:dyDescent="0.25">
      <c r="A50" s="213">
        <v>22</v>
      </c>
      <c r="B50" s="281" t="s">
        <v>256</v>
      </c>
      <c r="C50" s="241" t="s">
        <v>204</v>
      </c>
      <c r="D50" s="241"/>
      <c r="E50" s="222"/>
      <c r="F50" s="243" t="str">
        <f t="shared" si="546"/>
        <v>4 Julio-- Table</v>
      </c>
      <c r="G50" s="222">
        <f>IF(M28="",0,IF(AA28&gt;AB28,G28,H28))</f>
        <v>3767</v>
      </c>
      <c r="H50" s="222">
        <f>IF(M30="",0,IF(AA30&gt;AB30,G30,H30))</f>
        <v>3436</v>
      </c>
      <c r="I50" s="222" t="s">
        <v>23</v>
      </c>
      <c r="J50" s="222" t="s">
        <v>24</v>
      </c>
      <c r="K50" s="222" t="s">
        <v>17</v>
      </c>
      <c r="L50" s="222" t="s">
        <v>18</v>
      </c>
      <c r="M50" s="233">
        <v>4</v>
      </c>
      <c r="N50" s="222">
        <v>11</v>
      </c>
      <c r="O50" s="222">
        <v>11</v>
      </c>
      <c r="P50" s="222">
        <v>6</v>
      </c>
      <c r="Q50" s="222">
        <v>6</v>
      </c>
      <c r="R50" s="222">
        <v>11</v>
      </c>
      <c r="S50" s="222"/>
      <c r="T50" s="222"/>
      <c r="U50" s="222"/>
      <c r="V50" s="222"/>
      <c r="W50" s="222"/>
      <c r="X50" s="222"/>
      <c r="Y50" s="222"/>
      <c r="Z50" s="224"/>
      <c r="AA50" s="226">
        <f t="shared" ref="AA50" si="679">IF(M50+N50&lt;&gt;0,SUM(AF50:AL50),"")</f>
        <v>1</v>
      </c>
      <c r="AB50" s="226">
        <f t="shared" ref="AB50" si="680">IF(M50+N50&lt;&gt;0,SUM(AF51:AL51),"")</f>
        <v>2</v>
      </c>
      <c r="AC50" s="59" t="str">
        <f t="shared" ref="AC50" si="681">IF(AA50&gt;AB50,AD50&amp;"  "&amp;AE50,IF(AB50&gt;AA50,AD50&amp;"  "&amp;AE51,""))</f>
        <v>2 - 1  (4, -6, 6)</v>
      </c>
      <c r="AD50" s="59" t="str">
        <f t="shared" ref="AD50" si="682">IF(AA50&gt;AB50,AA50&amp;" - "&amp;AB50,IF(AB50&gt;AA50,AB50&amp;" - "&amp;AA50,""))</f>
        <v>2 - 1</v>
      </c>
      <c r="AE50" s="59" t="str">
        <f t="shared" si="0"/>
        <v>(-4, 6, -6)</v>
      </c>
      <c r="AF50" s="59">
        <f t="shared" ref="AF50" si="683">IF(M50&gt;N50,1,0)</f>
        <v>0</v>
      </c>
      <c r="AG50" s="59">
        <f t="shared" ref="AG50" si="684">IF(O50&gt;P50,1,0)</f>
        <v>1</v>
      </c>
      <c r="AH50" s="59">
        <f t="shared" ref="AH50" si="685">IF(Q50&gt;R50,1,0)</f>
        <v>0</v>
      </c>
      <c r="AI50" s="59">
        <f t="shared" ref="AI50" si="686">IF(S50&gt;T50,1,0)</f>
        <v>0</v>
      </c>
      <c r="AJ50" s="59">
        <f t="shared" ref="AJ50" si="687">IF(U50&gt;V50,1,0)</f>
        <v>0</v>
      </c>
      <c r="AK50" s="59">
        <f t="shared" ref="AK50" si="688">IF(W50&gt;X50,1,0)</f>
        <v>0</v>
      </c>
      <c r="AL50" s="59">
        <f t="shared" ref="AL50" si="689">IF(Y50&gt;Z50,1,0)</f>
        <v>0</v>
      </c>
      <c r="AM50" s="59">
        <f t="shared" ref="AM50" si="690">IF(M50&gt;N50,N50,IF(N50&gt;M50,-M50,""))</f>
        <v>-4</v>
      </c>
      <c r="AN50" s="59" t="str">
        <f t="shared" ref="AN50" si="691">IF(O50&gt;P50,", "&amp;P50,IF(P50&gt;O50,", "&amp;-O50,""))</f>
        <v>, 6</v>
      </c>
      <c r="AO50" s="59" t="str">
        <f t="shared" ref="AO50" si="692">IF(Q50&gt;R50,", "&amp;R50,IF(R50&gt;Q50,", "&amp;-Q50,""))</f>
        <v>, -6</v>
      </c>
      <c r="AP50" s="59" t="str">
        <f t="shared" ref="AP50" si="693">IF(S50&gt;T50,", "&amp;T50,IF(T50&gt;S50,", "&amp;-S50,""))</f>
        <v/>
      </c>
      <c r="AQ50" s="59" t="str">
        <f t="shared" ref="AQ50" si="694">IF(U50&gt;V50,", "&amp;V50,IF(V50&gt;U50,", "&amp;-U50,""))</f>
        <v/>
      </c>
      <c r="AR50" s="59" t="str">
        <f t="shared" ref="AR50" si="695">IF(W50&gt;X50,", "&amp;X50,IF(X50&gt;W50,", "&amp;-W50,""))</f>
        <v/>
      </c>
      <c r="AS50" s="59" t="str">
        <f t="shared" ref="AS50" si="696">IF(Y50&gt;Z50,", "&amp;Z50,IF(Z50&gt;Y50,", "&amp;-Y50,""))</f>
        <v/>
      </c>
      <c r="AU50" s="73">
        <f>1+AU48</f>
        <v>22</v>
      </c>
      <c r="AV50" s="99">
        <f>VLOOKUP(AV49,$A$8:$L$87,8,FALSE)</f>
        <v>4273</v>
      </c>
      <c r="AW50" s="100" t="s">
        <v>32</v>
      </c>
      <c r="AX50" s="101" t="s">
        <v>15</v>
      </c>
      <c r="AY50" s="70"/>
      <c r="AZ50" s="70"/>
      <c r="BA50" s="102"/>
      <c r="BB50" s="70"/>
      <c r="BC50" s="70"/>
      <c r="BD50" s="102"/>
      <c r="BE50" s="70"/>
      <c r="BF50" s="79"/>
      <c r="BG50" s="107"/>
      <c r="BH50" s="79"/>
      <c r="BI50" s="79"/>
      <c r="BJ50" s="107"/>
      <c r="BK50" s="79"/>
    </row>
    <row r="51" spans="1:63" s="62" customFormat="1" ht="12.75" x14ac:dyDescent="0.25">
      <c r="A51" s="213"/>
      <c r="B51" s="240"/>
      <c r="C51" s="242"/>
      <c r="D51" s="242"/>
      <c r="E51" s="223"/>
      <c r="F51" s="244"/>
      <c r="G51" s="223" t="s">
        <v>255</v>
      </c>
      <c r="H51" s="223" t="s">
        <v>255</v>
      </c>
      <c r="I51" s="223"/>
      <c r="J51" s="223"/>
      <c r="K51" s="223">
        <v>0</v>
      </c>
      <c r="L51" s="223">
        <v>0</v>
      </c>
      <c r="M51" s="234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5"/>
      <c r="AA51" s="226"/>
      <c r="AB51" s="226"/>
      <c r="AC51" s="59"/>
      <c r="AD51" s="59" t="str">
        <f t="shared" ref="AD51" si="697">IF(AA50&gt;AB50,AD50&amp;"  "&amp;AE50,IF(AB50&gt;AA50,AD50&amp;"  "&amp;AE51,""))</f>
        <v>2 - 1  (4, -6, 6)</v>
      </c>
      <c r="AE51" s="59" t="str">
        <f t="shared" si="0"/>
        <v>(4, -6, 6)</v>
      </c>
      <c r="AF51" s="59">
        <f t="shared" ref="AF51" si="698">IF(N50&gt;M50,1,0)</f>
        <v>1</v>
      </c>
      <c r="AG51" s="59">
        <f t="shared" ref="AG51" si="699">IF(P50&gt;O50,1,0)</f>
        <v>0</v>
      </c>
      <c r="AH51" s="59">
        <f t="shared" ref="AH51" si="700">IF(R50&gt;Q50,1,0)</f>
        <v>1</v>
      </c>
      <c r="AI51" s="59">
        <f t="shared" ref="AI51" si="701">IF(T50&gt;S50,1,0)</f>
        <v>0</v>
      </c>
      <c r="AJ51" s="59">
        <f t="shared" ref="AJ51" si="702">IF(V50&gt;U50,1,0)</f>
        <v>0</v>
      </c>
      <c r="AK51" s="59">
        <f t="shared" ref="AK51" si="703">IF(X50&gt;W50,1,0)</f>
        <v>0</v>
      </c>
      <c r="AL51" s="59">
        <f t="shared" ref="AL51" si="704">IF(Z50&gt;Y50,1,0)</f>
        <v>0</v>
      </c>
      <c r="AM51" s="59">
        <f t="shared" ref="AM51" si="705">IF(N50&gt;M50,M50,IF(M50&gt;N50,-N50,""))</f>
        <v>4</v>
      </c>
      <c r="AN51" s="59" t="str">
        <f t="shared" ref="AN51" si="706">IF(P50&gt;O50,", "&amp;O50,IF(O50&gt;P50,", "&amp;-P50,""))</f>
        <v>, -6</v>
      </c>
      <c r="AO51" s="59" t="str">
        <f t="shared" ref="AO51" si="707">IF(R50&gt;Q50,", "&amp;Q50,IF(Q50&gt;R50,", "&amp;-R50,""))</f>
        <v>, 6</v>
      </c>
      <c r="AP51" s="59" t="str">
        <f t="shared" ref="AP51" si="708">IF(T50&gt;S50,", "&amp;S50,IF(S50&gt;T50,", "&amp;-T50,""))</f>
        <v/>
      </c>
      <c r="AQ51" s="59" t="str">
        <f t="shared" ref="AQ51" si="709">IF(V50&gt;U50,", "&amp;U50,IF(U50&gt;V50,", "&amp;-V50,""))</f>
        <v/>
      </c>
      <c r="AR51" s="59" t="str">
        <f t="shared" ref="AR51" si="710">IF(X50&gt;W50,", "&amp;W50,IF(W50&gt;X50,", "&amp;-X50,""))</f>
        <v/>
      </c>
      <c r="AS51" s="59" t="str">
        <f t="shared" ref="AS51" si="711">IF(Z50&gt;Y50,", "&amp;Y50,IF(Y50&gt;Z50,", "&amp;-Z50,""))</f>
        <v/>
      </c>
      <c r="AU51" s="63"/>
      <c r="AV51" s="64"/>
      <c r="AW51" s="70"/>
      <c r="AX51" s="103"/>
      <c r="AY51" s="104">
        <v>22</v>
      </c>
      <c r="AZ51" s="87" t="str">
        <f>VLOOKUP(AY51,$A$8:$L$87,6,FALSE)</f>
        <v>4 Julio-- Table</v>
      </c>
      <c r="BA51" s="105"/>
      <c r="BB51" s="100">
        <f>VLOOKUP(BB47,$A$8:$L$91,8,FALSE)</f>
        <v>3436</v>
      </c>
      <c r="BC51" s="100" t="s">
        <v>17</v>
      </c>
      <c r="BD51" s="101" t="s">
        <v>18</v>
      </c>
      <c r="BE51" s="70"/>
      <c r="BF51" s="79"/>
      <c r="BG51" s="107"/>
      <c r="BH51" s="79"/>
      <c r="BI51" s="79"/>
      <c r="BJ51" s="107"/>
      <c r="BK51" s="79"/>
    </row>
    <row r="52" spans="1:63" s="62" customFormat="1" ht="12.75" x14ac:dyDescent="0.25">
      <c r="A52" s="213">
        <v>23</v>
      </c>
      <c r="B52" s="284" t="s">
        <v>256</v>
      </c>
      <c r="C52" s="286" t="s">
        <v>204</v>
      </c>
      <c r="D52" s="286"/>
      <c r="E52" s="277"/>
      <c r="F52" s="288" t="str">
        <f t="shared" si="512"/>
        <v>4 Julio-- Table</v>
      </c>
      <c r="G52" s="277">
        <f>IF(M32="",0,IF(AA32&gt;AB32,G32,H32))</f>
        <v>3909</v>
      </c>
      <c r="H52" s="277">
        <f>IF(M34="",0,IF(AA34&gt;AB34,G34,H34))</f>
        <v>3433</v>
      </c>
      <c r="I52" s="277" t="s">
        <v>13</v>
      </c>
      <c r="J52" s="277" t="s">
        <v>11</v>
      </c>
      <c r="K52" s="277" t="s">
        <v>26</v>
      </c>
      <c r="L52" s="277" t="s">
        <v>18</v>
      </c>
      <c r="M52" s="282">
        <v>11</v>
      </c>
      <c r="N52" s="277">
        <v>3</v>
      </c>
      <c r="O52" s="277">
        <v>11</v>
      </c>
      <c r="P52" s="277">
        <v>6</v>
      </c>
      <c r="Q52" s="277"/>
      <c r="R52" s="277"/>
      <c r="S52" s="277"/>
      <c r="T52" s="277"/>
      <c r="U52" s="277"/>
      <c r="V52" s="277"/>
      <c r="W52" s="277"/>
      <c r="X52" s="277"/>
      <c r="Y52" s="277"/>
      <c r="Z52" s="279"/>
      <c r="AA52" s="226">
        <f t="shared" ref="AA52" si="712">IF(M52+N52&lt;&gt;0,SUM(AF52:AL52),"")</f>
        <v>2</v>
      </c>
      <c r="AB52" s="226">
        <f t="shared" ref="AB52" si="713">IF(M52+N52&lt;&gt;0,SUM(AF53:AL53),"")</f>
        <v>0</v>
      </c>
      <c r="AC52" s="59" t="str">
        <f t="shared" ref="AC52" si="714">IF(AA52&gt;AB52,AD52&amp;"  "&amp;AE52,IF(AB52&gt;AA52,AD52&amp;"  "&amp;AE53,""))</f>
        <v>2 - 0  (3, 6)</v>
      </c>
      <c r="AD52" s="59" t="str">
        <f t="shared" ref="AD52" si="715">IF(AA52&gt;AB52,AA52&amp;" - "&amp;AB52,IF(AB52&gt;AA52,AB52&amp;" - "&amp;AA52,""))</f>
        <v>2 - 0</v>
      </c>
      <c r="AE52" s="59" t="str">
        <f t="shared" si="0"/>
        <v>(3, 6)</v>
      </c>
      <c r="AF52" s="59">
        <f t="shared" ref="AF52" si="716">IF(M52&gt;N52,1,0)</f>
        <v>1</v>
      </c>
      <c r="AG52" s="59">
        <f t="shared" ref="AG52" si="717">IF(O52&gt;P52,1,0)</f>
        <v>1</v>
      </c>
      <c r="AH52" s="59">
        <f t="shared" ref="AH52" si="718">IF(Q52&gt;R52,1,0)</f>
        <v>0</v>
      </c>
      <c r="AI52" s="59">
        <f t="shared" ref="AI52" si="719">IF(S52&gt;T52,1,0)</f>
        <v>0</v>
      </c>
      <c r="AJ52" s="59">
        <f t="shared" ref="AJ52" si="720">IF(U52&gt;V52,1,0)</f>
        <v>0</v>
      </c>
      <c r="AK52" s="59">
        <f t="shared" ref="AK52" si="721">IF(W52&gt;X52,1,0)</f>
        <v>0</v>
      </c>
      <c r="AL52" s="59">
        <f t="shared" ref="AL52" si="722">IF(Y52&gt;Z52,1,0)</f>
        <v>0</v>
      </c>
      <c r="AM52" s="59">
        <f t="shared" ref="AM52" si="723">IF(M52&gt;N52,N52,IF(N52&gt;M52,-M52,""))</f>
        <v>3</v>
      </c>
      <c r="AN52" s="59" t="str">
        <f t="shared" ref="AN52" si="724">IF(O52&gt;P52,", "&amp;P52,IF(P52&gt;O52,", "&amp;-O52,""))</f>
        <v>, 6</v>
      </c>
      <c r="AO52" s="59" t="str">
        <f t="shared" ref="AO52" si="725">IF(Q52&gt;R52,", "&amp;R52,IF(R52&gt;Q52,", "&amp;-Q52,""))</f>
        <v/>
      </c>
      <c r="AP52" s="59" t="str">
        <f t="shared" ref="AP52" si="726">IF(S52&gt;T52,", "&amp;T52,IF(T52&gt;S52,", "&amp;-S52,""))</f>
        <v/>
      </c>
      <c r="AQ52" s="59" t="str">
        <f t="shared" ref="AQ52" si="727">IF(U52&gt;V52,", "&amp;V52,IF(V52&gt;U52,", "&amp;-U52,""))</f>
        <v/>
      </c>
      <c r="AR52" s="59" t="str">
        <f t="shared" ref="AR52" si="728">IF(W52&gt;X52,", "&amp;X52,IF(X52&gt;W52,", "&amp;-W52,""))</f>
        <v/>
      </c>
      <c r="AS52" s="59" t="str">
        <f t="shared" ref="AS52" si="729">IF(Y52&gt;Z52,", "&amp;Z52,IF(Z52&gt;Y52,", "&amp;-Y52,""))</f>
        <v/>
      </c>
      <c r="AU52" s="73">
        <f>1+AU50</f>
        <v>23</v>
      </c>
      <c r="AV52" s="74" t="str">
        <f>VLOOKUP(AV53,$A$8:$L$87,7,FALSE)</f>
        <v>X</v>
      </c>
      <c r="AW52" s="75" t="s">
        <v>305</v>
      </c>
      <c r="AX52" s="76" t="s">
        <v>305</v>
      </c>
      <c r="AY52" s="106"/>
      <c r="AZ52" s="70"/>
      <c r="BA52" s="102"/>
      <c r="BB52" s="77"/>
      <c r="BC52" s="78" t="str">
        <f>VLOOKUP(AY51,$A$8:$AD$91,29,FALSE)</f>
        <v>2 - 1  (4, -6, 6)</v>
      </c>
      <c r="BD52" s="78"/>
      <c r="BE52" s="70"/>
      <c r="BF52" s="79"/>
      <c r="BG52" s="107"/>
      <c r="BH52" s="79"/>
      <c r="BI52" s="79"/>
      <c r="BJ52" s="107"/>
      <c r="BK52" s="79"/>
    </row>
    <row r="53" spans="1:63" s="62" customFormat="1" ht="12.75" x14ac:dyDescent="0.25">
      <c r="A53" s="213"/>
      <c r="B53" s="285"/>
      <c r="C53" s="287"/>
      <c r="D53" s="287"/>
      <c r="E53" s="278"/>
      <c r="F53" s="289"/>
      <c r="G53" s="278" t="s">
        <v>255</v>
      </c>
      <c r="H53" s="278" t="s">
        <v>255</v>
      </c>
      <c r="I53" s="278"/>
      <c r="J53" s="278"/>
      <c r="K53" s="278">
        <v>0</v>
      </c>
      <c r="L53" s="278">
        <v>0</v>
      </c>
      <c r="M53" s="283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80"/>
      <c r="AA53" s="226"/>
      <c r="AB53" s="226"/>
      <c r="AC53" s="59"/>
      <c r="AD53" s="59" t="str">
        <f t="shared" ref="AD53" si="730">IF(AA52&gt;AB52,AD52&amp;"  "&amp;AE52,IF(AB52&gt;AA52,AD52&amp;"  "&amp;AE53,""))</f>
        <v>2 - 0  (3, 6)</v>
      </c>
      <c r="AE53" s="59" t="str">
        <f t="shared" si="0"/>
        <v>(-3, -6)</v>
      </c>
      <c r="AF53" s="59">
        <f t="shared" ref="AF53" si="731">IF(N52&gt;M52,1,0)</f>
        <v>0</v>
      </c>
      <c r="AG53" s="59">
        <f t="shared" ref="AG53" si="732">IF(P52&gt;O52,1,0)</f>
        <v>0</v>
      </c>
      <c r="AH53" s="59">
        <f t="shared" ref="AH53" si="733">IF(R52&gt;Q52,1,0)</f>
        <v>0</v>
      </c>
      <c r="AI53" s="59">
        <f t="shared" ref="AI53" si="734">IF(T52&gt;S52,1,0)</f>
        <v>0</v>
      </c>
      <c r="AJ53" s="59">
        <f t="shared" ref="AJ53" si="735">IF(V52&gt;U52,1,0)</f>
        <v>0</v>
      </c>
      <c r="AK53" s="59">
        <f t="shared" ref="AK53" si="736">IF(X52&gt;W52,1,0)</f>
        <v>0</v>
      </c>
      <c r="AL53" s="59">
        <f t="shared" ref="AL53" si="737">IF(Z52&gt;Y52,1,0)</f>
        <v>0</v>
      </c>
      <c r="AM53" s="59">
        <f t="shared" ref="AM53" si="738">IF(N52&gt;M52,M52,IF(M52&gt;N52,-N52,""))</f>
        <v>-3</v>
      </c>
      <c r="AN53" s="59" t="str">
        <f t="shared" ref="AN53" si="739">IF(P52&gt;O52,", "&amp;O52,IF(O52&gt;P52,", "&amp;-P52,""))</f>
        <v>, -6</v>
      </c>
      <c r="AO53" s="59" t="str">
        <f t="shared" ref="AO53" si="740">IF(R52&gt;Q52,", "&amp;Q52,IF(Q52&gt;R52,", "&amp;-R52,""))</f>
        <v/>
      </c>
      <c r="AP53" s="59" t="str">
        <f t="shared" ref="AP53" si="741">IF(T52&gt;S52,", "&amp;S52,IF(S52&gt;T52,", "&amp;-T52,""))</f>
        <v/>
      </c>
      <c r="AQ53" s="59" t="str">
        <f t="shared" ref="AQ53" si="742">IF(V52&gt;U52,", "&amp;U52,IF(U52&gt;V52,", "&amp;-V52,""))</f>
        <v/>
      </c>
      <c r="AR53" s="59" t="str">
        <f t="shared" ref="AR53" si="743">IF(X52&gt;W52,", "&amp;W52,IF(W52&gt;X52,", "&amp;-X52,""))</f>
        <v/>
      </c>
      <c r="AS53" s="59" t="str">
        <f t="shared" ref="AS53" si="744">IF(Z52&gt;Y52,", "&amp;Y52,IF(Y52&gt;Z52,", "&amp;-Z52,""))</f>
        <v/>
      </c>
      <c r="AU53" s="63"/>
      <c r="AV53" s="86">
        <v>12</v>
      </c>
      <c r="AW53" s="87" t="str">
        <f>VLOOKUP(AV53,$A$8:$L$87,6,FALSE)</f>
        <v>4 Julio-- Table</v>
      </c>
      <c r="AX53" s="88"/>
      <c r="AY53" s="100">
        <f>VLOOKUP(AY51,$A$8:$L$91,8,FALSE)</f>
        <v>3436</v>
      </c>
      <c r="AZ53" s="100" t="s">
        <v>17</v>
      </c>
      <c r="BA53" s="101" t="s">
        <v>18</v>
      </c>
      <c r="BB53" s="70"/>
      <c r="BC53" s="70"/>
      <c r="BD53" s="71"/>
      <c r="BE53" s="70"/>
      <c r="BF53" s="79"/>
      <c r="BG53" s="107"/>
      <c r="BH53" s="79"/>
      <c r="BI53" s="79"/>
      <c r="BJ53" s="107"/>
      <c r="BK53" s="79"/>
    </row>
    <row r="54" spans="1:63" s="62" customFormat="1" ht="12.75" x14ac:dyDescent="0.25">
      <c r="A54" s="213">
        <v>24</v>
      </c>
      <c r="B54" s="281" t="s">
        <v>256</v>
      </c>
      <c r="C54" s="241" t="s">
        <v>204</v>
      </c>
      <c r="D54" s="241"/>
      <c r="E54" s="222"/>
      <c r="F54" s="243" t="str">
        <f t="shared" si="546"/>
        <v>4 Julio-- Table</v>
      </c>
      <c r="G54" s="222">
        <f>IF(M36="",0,IF(AA36&gt;AB36,G36,H36))</f>
        <v>3721</v>
      </c>
      <c r="H54" s="222">
        <f>IF(M38="",0,IF(AA38&gt;AB38,G38,H38))</f>
        <v>3717</v>
      </c>
      <c r="I54" s="222" t="s">
        <v>20</v>
      </c>
      <c r="J54" s="222" t="s">
        <v>15</v>
      </c>
      <c r="K54" s="222" t="s">
        <v>5</v>
      </c>
      <c r="L54" s="222" t="s">
        <v>6</v>
      </c>
      <c r="M54" s="233">
        <v>5</v>
      </c>
      <c r="N54" s="222">
        <v>11</v>
      </c>
      <c r="O54" s="222">
        <v>1</v>
      </c>
      <c r="P54" s="222">
        <v>11</v>
      </c>
      <c r="Q54" s="222"/>
      <c r="R54" s="222"/>
      <c r="S54" s="222"/>
      <c r="T54" s="222"/>
      <c r="U54" s="222"/>
      <c r="V54" s="222"/>
      <c r="W54" s="222"/>
      <c r="X54" s="222"/>
      <c r="Y54" s="222"/>
      <c r="Z54" s="224"/>
      <c r="AA54" s="226">
        <f t="shared" ref="AA54" si="745">IF(M54+N54&lt;&gt;0,SUM(AF54:AL54),"")</f>
        <v>0</v>
      </c>
      <c r="AB54" s="226">
        <f t="shared" ref="AB54" si="746">IF(M54+N54&lt;&gt;0,SUM(AF55:AL55),"")</f>
        <v>2</v>
      </c>
      <c r="AC54" s="59" t="str">
        <f t="shared" ref="AC54" si="747">IF(AA54&gt;AB54,AD54&amp;"  "&amp;AE54,IF(AB54&gt;AA54,AD54&amp;"  "&amp;AE55,""))</f>
        <v>2 - 0  (5, 1)</v>
      </c>
      <c r="AD54" s="59" t="str">
        <f t="shared" ref="AD54" si="748">IF(AA54&gt;AB54,AA54&amp;" - "&amp;AB54,IF(AB54&gt;AA54,AB54&amp;" - "&amp;AA54,""))</f>
        <v>2 - 0</v>
      </c>
      <c r="AE54" s="59" t="str">
        <f t="shared" si="0"/>
        <v>(-5, -1)</v>
      </c>
      <c r="AF54" s="59">
        <f t="shared" ref="AF54" si="749">IF(M54&gt;N54,1,0)</f>
        <v>0</v>
      </c>
      <c r="AG54" s="59">
        <f t="shared" ref="AG54" si="750">IF(O54&gt;P54,1,0)</f>
        <v>0</v>
      </c>
      <c r="AH54" s="59">
        <f t="shared" ref="AH54" si="751">IF(Q54&gt;R54,1,0)</f>
        <v>0</v>
      </c>
      <c r="AI54" s="59">
        <f t="shared" ref="AI54" si="752">IF(S54&gt;T54,1,0)</f>
        <v>0</v>
      </c>
      <c r="AJ54" s="59">
        <f t="shared" ref="AJ54" si="753">IF(U54&gt;V54,1,0)</f>
        <v>0</v>
      </c>
      <c r="AK54" s="59">
        <f t="shared" ref="AK54" si="754">IF(W54&gt;X54,1,0)</f>
        <v>0</v>
      </c>
      <c r="AL54" s="59">
        <f t="shared" ref="AL54" si="755">IF(Y54&gt;Z54,1,0)</f>
        <v>0</v>
      </c>
      <c r="AM54" s="59">
        <f t="shared" ref="AM54" si="756">IF(M54&gt;N54,N54,IF(N54&gt;M54,-M54,""))</f>
        <v>-5</v>
      </c>
      <c r="AN54" s="59" t="str">
        <f t="shared" ref="AN54" si="757">IF(O54&gt;P54,", "&amp;P54,IF(P54&gt;O54,", "&amp;-O54,""))</f>
        <v>, -1</v>
      </c>
      <c r="AO54" s="59" t="str">
        <f t="shared" ref="AO54" si="758">IF(Q54&gt;R54,", "&amp;R54,IF(R54&gt;Q54,", "&amp;-Q54,""))</f>
        <v/>
      </c>
      <c r="AP54" s="59" t="str">
        <f t="shared" ref="AP54" si="759">IF(S54&gt;T54,", "&amp;T54,IF(T54&gt;S54,", "&amp;-S54,""))</f>
        <v/>
      </c>
      <c r="AQ54" s="59" t="str">
        <f t="shared" ref="AQ54" si="760">IF(U54&gt;V54,", "&amp;V54,IF(V54&gt;U54,", "&amp;-U54,""))</f>
        <v/>
      </c>
      <c r="AR54" s="59" t="str">
        <f t="shared" ref="AR54" si="761">IF(W54&gt;X54,", "&amp;X54,IF(X54&gt;W54,", "&amp;-W54,""))</f>
        <v/>
      </c>
      <c r="AS54" s="59" t="str">
        <f t="shared" ref="AS54" si="762">IF(Y54&gt;Z54,", "&amp;Z54,IF(Z54&gt;Y54,", "&amp;-Y54,""))</f>
        <v/>
      </c>
      <c r="AU54" s="73">
        <f>1+AU52</f>
        <v>24</v>
      </c>
      <c r="AV54" s="99">
        <f>VLOOKUP(AV53,$A$8:$L$87,8,FALSE)</f>
        <v>3436</v>
      </c>
      <c r="AW54" s="100" t="s">
        <v>17</v>
      </c>
      <c r="AX54" s="101" t="s">
        <v>18</v>
      </c>
      <c r="AY54" s="77"/>
      <c r="AZ54" s="78" t="str">
        <f>VLOOKUP(AV53,$A$8:$AD$91,29,FALSE)</f>
        <v>1 - 0  (0)</v>
      </c>
      <c r="BA54" s="78"/>
      <c r="BB54" s="70"/>
      <c r="BC54" s="70"/>
      <c r="BD54" s="71"/>
      <c r="BE54" s="70"/>
      <c r="BF54" s="70"/>
      <c r="BG54" s="102"/>
      <c r="BH54" s="79"/>
      <c r="BI54" s="79"/>
      <c r="BJ54" s="107"/>
      <c r="BK54" s="79"/>
    </row>
    <row r="55" spans="1:63" s="62" customFormat="1" ht="12.75" x14ac:dyDescent="0.25">
      <c r="A55" s="213"/>
      <c r="B55" s="240"/>
      <c r="C55" s="242"/>
      <c r="D55" s="242"/>
      <c r="E55" s="223"/>
      <c r="F55" s="244"/>
      <c r="G55" s="223" t="s">
        <v>255</v>
      </c>
      <c r="H55" s="223" t="s">
        <v>255</v>
      </c>
      <c r="I55" s="223"/>
      <c r="J55" s="223"/>
      <c r="K55" s="223">
        <v>0</v>
      </c>
      <c r="L55" s="223">
        <v>0</v>
      </c>
      <c r="M55" s="234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5"/>
      <c r="AA55" s="226"/>
      <c r="AB55" s="226"/>
      <c r="AC55" s="59"/>
      <c r="AD55" s="59" t="str">
        <f t="shared" ref="AD55" si="763">IF(AA54&gt;AB54,AD54&amp;"  "&amp;AE54,IF(AB54&gt;AA54,AD54&amp;"  "&amp;AE55,""))</f>
        <v>2 - 0  (5, 1)</v>
      </c>
      <c r="AE55" s="59" t="str">
        <f t="shared" si="0"/>
        <v>(5, 1)</v>
      </c>
      <c r="AF55" s="59">
        <f t="shared" ref="AF55" si="764">IF(N54&gt;M54,1,0)</f>
        <v>1</v>
      </c>
      <c r="AG55" s="59">
        <f t="shared" ref="AG55" si="765">IF(P54&gt;O54,1,0)</f>
        <v>1</v>
      </c>
      <c r="AH55" s="59">
        <f t="shared" ref="AH55" si="766">IF(R54&gt;Q54,1,0)</f>
        <v>0</v>
      </c>
      <c r="AI55" s="59">
        <f t="shared" ref="AI55" si="767">IF(T54&gt;S54,1,0)</f>
        <v>0</v>
      </c>
      <c r="AJ55" s="59">
        <f t="shared" ref="AJ55" si="768">IF(V54&gt;U54,1,0)</f>
        <v>0</v>
      </c>
      <c r="AK55" s="59">
        <f t="shared" ref="AK55" si="769">IF(X54&gt;W54,1,0)</f>
        <v>0</v>
      </c>
      <c r="AL55" s="59">
        <f t="shared" ref="AL55" si="770">IF(Z54&gt;Y54,1,0)</f>
        <v>0</v>
      </c>
      <c r="AM55" s="59">
        <f t="shared" ref="AM55" si="771">IF(N54&gt;M54,M54,IF(M54&gt;N54,-N54,""))</f>
        <v>5</v>
      </c>
      <c r="AN55" s="59" t="str">
        <f t="shared" ref="AN55" si="772">IF(P54&gt;O54,", "&amp;O54,IF(O54&gt;P54,", "&amp;-P54,""))</f>
        <v>, 1</v>
      </c>
      <c r="AO55" s="59" t="str">
        <f t="shared" ref="AO55" si="773">IF(R54&gt;Q54,", "&amp;Q54,IF(Q54&gt;R54,", "&amp;-R54,""))</f>
        <v/>
      </c>
      <c r="AP55" s="59" t="str">
        <f t="shared" ref="AP55" si="774">IF(T54&gt;S54,", "&amp;S54,IF(S54&gt;T54,", "&amp;-T54,""))</f>
        <v/>
      </c>
      <c r="AQ55" s="59" t="str">
        <f t="shared" ref="AQ55" si="775">IF(V54&gt;U54,", "&amp;U54,IF(U54&gt;V54,", "&amp;-V54,""))</f>
        <v/>
      </c>
      <c r="AR55" s="59" t="str">
        <f t="shared" ref="AR55" si="776">IF(X54&gt;W54,", "&amp;W54,IF(W54&gt;X54,", "&amp;-X54,""))</f>
        <v/>
      </c>
      <c r="AS55" s="59" t="str">
        <f t="shared" ref="AS55" si="777">IF(Z54&gt;Y54,", "&amp;Y54,IF(Y54&gt;Z54,", "&amp;-Z54,""))</f>
        <v/>
      </c>
      <c r="AU55" s="63"/>
      <c r="AV55" s="64"/>
      <c r="AW55" s="70"/>
      <c r="AX55" s="103"/>
      <c r="AY55" s="70"/>
      <c r="AZ55" s="70"/>
      <c r="BA55" s="71"/>
      <c r="BB55" s="70"/>
      <c r="BC55" s="70"/>
      <c r="BD55" s="71"/>
      <c r="BE55" s="104">
        <v>30</v>
      </c>
      <c r="BF55" s="87" t="str">
        <f>VLOOKUP(BE55,$A$8:$L$87,6,FALSE)</f>
        <v>4 Julio-- Table</v>
      </c>
      <c r="BG55" s="102"/>
      <c r="BH55" s="100">
        <f>VLOOKUP(BH38,$A$8:$L$91,8,FALSE)</f>
        <v>3717</v>
      </c>
      <c r="BI55" s="100" t="s">
        <v>5</v>
      </c>
      <c r="BJ55" s="101" t="s">
        <v>6</v>
      </c>
      <c r="BK55" s="79"/>
    </row>
    <row r="56" spans="1:63" s="62" customFormat="1" ht="12.75" x14ac:dyDescent="0.25">
      <c r="A56" s="213">
        <v>25</v>
      </c>
      <c r="B56" s="271" t="s">
        <v>257</v>
      </c>
      <c r="C56" s="273" t="s">
        <v>204</v>
      </c>
      <c r="D56" s="273"/>
      <c r="E56" s="259"/>
      <c r="F56" s="275" t="str">
        <f t="shared" ref="F56:F68" si="778">C56&amp;"-"&amp;D56&amp;"- Table"&amp;E56</f>
        <v>4 Julio-- Table</v>
      </c>
      <c r="G56" s="259">
        <f>IF(M40="",0,IF(AA40&gt;AB40,G40,H40))</f>
        <v>4176</v>
      </c>
      <c r="H56" s="259">
        <f>IF(M42="",0,IF(AA42&gt;AB42,G42,H42))</f>
        <v>3423</v>
      </c>
      <c r="I56" s="259" t="s">
        <v>19</v>
      </c>
      <c r="J56" s="259" t="s">
        <v>11</v>
      </c>
      <c r="K56" s="259" t="s">
        <v>12</v>
      </c>
      <c r="L56" s="259" t="s">
        <v>11</v>
      </c>
      <c r="M56" s="269">
        <v>10</v>
      </c>
      <c r="N56" s="259">
        <v>12</v>
      </c>
      <c r="O56" s="259">
        <v>8</v>
      </c>
      <c r="P56" s="259">
        <v>11</v>
      </c>
      <c r="Q56" s="259"/>
      <c r="R56" s="259"/>
      <c r="S56" s="259"/>
      <c r="T56" s="259"/>
      <c r="U56" s="259"/>
      <c r="V56" s="259"/>
      <c r="W56" s="259"/>
      <c r="X56" s="259"/>
      <c r="Y56" s="259"/>
      <c r="Z56" s="261"/>
      <c r="AA56" s="226">
        <f t="shared" ref="AA56" si="779">IF(M56+N56&lt;&gt;0,SUM(AF56:AL56),"")</f>
        <v>0</v>
      </c>
      <c r="AB56" s="226">
        <f t="shared" ref="AB56" si="780">IF(M56+N56&lt;&gt;0,SUM(AF57:AL57),"")</f>
        <v>2</v>
      </c>
      <c r="AC56" s="59" t="str">
        <f t="shared" ref="AC56" si="781">IF(AA56&gt;AB56,AD56&amp;"  "&amp;AE56,IF(AB56&gt;AA56,AD56&amp;"  "&amp;AE57,""))</f>
        <v>2 - 0  (10, 8)</v>
      </c>
      <c r="AD56" s="59" t="str">
        <f t="shared" ref="AD56" si="782">IF(AA56&gt;AB56,AA56&amp;" - "&amp;AB56,IF(AB56&gt;AA56,AB56&amp;" - "&amp;AA56,""))</f>
        <v>2 - 0</v>
      </c>
      <c r="AE56" s="59" t="str">
        <f t="shared" si="0"/>
        <v>(-10, -8)</v>
      </c>
      <c r="AF56" s="59">
        <f t="shared" ref="AF56" si="783">IF(M56&gt;N56,1,0)</f>
        <v>0</v>
      </c>
      <c r="AG56" s="59">
        <f t="shared" ref="AG56" si="784">IF(O56&gt;P56,1,0)</f>
        <v>0</v>
      </c>
      <c r="AH56" s="59">
        <f t="shared" ref="AH56" si="785">IF(Q56&gt;R56,1,0)</f>
        <v>0</v>
      </c>
      <c r="AI56" s="59">
        <f t="shared" ref="AI56" si="786">IF(S56&gt;T56,1,0)</f>
        <v>0</v>
      </c>
      <c r="AJ56" s="59">
        <f t="shared" ref="AJ56" si="787">IF(U56&gt;V56,1,0)</f>
        <v>0</v>
      </c>
      <c r="AK56" s="59">
        <f t="shared" ref="AK56" si="788">IF(W56&gt;X56,1,0)</f>
        <v>0</v>
      </c>
      <c r="AL56" s="59">
        <f t="shared" ref="AL56" si="789">IF(Y56&gt;Z56,1,0)</f>
        <v>0</v>
      </c>
      <c r="AM56" s="59">
        <f t="shared" ref="AM56" si="790">IF(M56&gt;N56,N56,IF(N56&gt;M56,-M56,""))</f>
        <v>-10</v>
      </c>
      <c r="AN56" s="59" t="str">
        <f t="shared" ref="AN56" si="791">IF(O56&gt;P56,", "&amp;P56,IF(P56&gt;O56,", "&amp;-O56,""))</f>
        <v>, -8</v>
      </c>
      <c r="AO56" s="59" t="str">
        <f t="shared" ref="AO56" si="792">IF(Q56&gt;R56,", "&amp;R56,IF(R56&gt;Q56,", "&amp;-Q56,""))</f>
        <v/>
      </c>
      <c r="AP56" s="59" t="str">
        <f t="shared" ref="AP56" si="793">IF(S56&gt;T56,", "&amp;T56,IF(T56&gt;S56,", "&amp;-S56,""))</f>
        <v/>
      </c>
      <c r="AQ56" s="59" t="str">
        <f t="shared" ref="AQ56" si="794">IF(U56&gt;V56,", "&amp;V56,IF(V56&gt;U56,", "&amp;-U56,""))</f>
        <v/>
      </c>
      <c r="AR56" s="59" t="str">
        <f t="shared" ref="AR56" si="795">IF(W56&gt;X56,", "&amp;X56,IF(X56&gt;W56,", "&amp;-W56,""))</f>
        <v/>
      </c>
      <c r="AS56" s="59" t="str">
        <f t="shared" ref="AS56" si="796">IF(Y56&gt;Z56,", "&amp;Z56,IF(Z56&gt;Y56,", "&amp;-Y56,""))</f>
        <v/>
      </c>
      <c r="AU56" s="73">
        <f>1+AU54</f>
        <v>25</v>
      </c>
      <c r="AV56" s="74">
        <f>VLOOKUP(AV57,$A$8:$L$87,7,FALSE)</f>
        <v>3909</v>
      </c>
      <c r="AW56" s="75" t="s">
        <v>13</v>
      </c>
      <c r="AX56" s="76" t="s">
        <v>11</v>
      </c>
      <c r="AY56" s="77"/>
      <c r="AZ56" s="78" t="str">
        <f>VLOOKUP(AV57,$A$8:$AD$87,29,FALSE)</f>
        <v>1 - 0  (0)</v>
      </c>
      <c r="BA56" s="78"/>
      <c r="BB56" s="70"/>
      <c r="BC56" s="70"/>
      <c r="BD56" s="71"/>
      <c r="BE56" s="70"/>
      <c r="BF56" s="70"/>
      <c r="BG56" s="102"/>
      <c r="BH56" s="77"/>
      <c r="BI56" s="78" t="str">
        <f>VLOOKUP(BE55,$A$8:$AD$91,29,FALSE)</f>
        <v>3 - 0  (5, 6, 10)</v>
      </c>
      <c r="BJ56" s="78"/>
      <c r="BK56" s="79"/>
    </row>
    <row r="57" spans="1:63" s="62" customFormat="1" ht="12.75" x14ac:dyDescent="0.25">
      <c r="A57" s="213"/>
      <c r="B57" s="272"/>
      <c r="C57" s="274"/>
      <c r="D57" s="274"/>
      <c r="E57" s="260"/>
      <c r="F57" s="276"/>
      <c r="G57" s="260" t="s">
        <v>255</v>
      </c>
      <c r="H57" s="260" t="s">
        <v>255</v>
      </c>
      <c r="I57" s="260"/>
      <c r="J57" s="260"/>
      <c r="K57" s="260">
        <v>0</v>
      </c>
      <c r="L57" s="260">
        <v>0</v>
      </c>
      <c r="M57" s="27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2"/>
      <c r="AA57" s="226"/>
      <c r="AB57" s="226"/>
      <c r="AC57" s="59"/>
      <c r="AD57" s="59" t="str">
        <f t="shared" ref="AD57" si="797">IF(AA56&gt;AB56,AD56&amp;"  "&amp;AE56,IF(AB56&gt;AA56,AD56&amp;"  "&amp;AE57,""))</f>
        <v>2 - 0  (10, 8)</v>
      </c>
      <c r="AE57" s="59" t="str">
        <f t="shared" si="0"/>
        <v>(10, 8)</v>
      </c>
      <c r="AF57" s="59">
        <f t="shared" ref="AF57" si="798">IF(N56&gt;M56,1,0)</f>
        <v>1</v>
      </c>
      <c r="AG57" s="59">
        <f t="shared" ref="AG57" si="799">IF(P56&gt;O56,1,0)</f>
        <v>1</v>
      </c>
      <c r="AH57" s="59">
        <f t="shared" ref="AH57" si="800">IF(R56&gt;Q56,1,0)</f>
        <v>0</v>
      </c>
      <c r="AI57" s="59">
        <f t="shared" ref="AI57" si="801">IF(T56&gt;S56,1,0)</f>
        <v>0</v>
      </c>
      <c r="AJ57" s="59">
        <f t="shared" ref="AJ57" si="802">IF(V56&gt;U56,1,0)</f>
        <v>0</v>
      </c>
      <c r="AK57" s="59">
        <f t="shared" ref="AK57" si="803">IF(X56&gt;W56,1,0)</f>
        <v>0</v>
      </c>
      <c r="AL57" s="59">
        <f t="shared" ref="AL57" si="804">IF(Z56&gt;Y56,1,0)</f>
        <v>0</v>
      </c>
      <c r="AM57" s="59">
        <f t="shared" ref="AM57" si="805">IF(N56&gt;M56,M56,IF(M56&gt;N56,-N56,""))</f>
        <v>10</v>
      </c>
      <c r="AN57" s="59" t="str">
        <f t="shared" ref="AN57" si="806">IF(P56&gt;O56,", "&amp;O56,IF(O56&gt;P56,", "&amp;-P56,""))</f>
        <v>, 8</v>
      </c>
      <c r="AO57" s="59" t="str">
        <f t="shared" ref="AO57" si="807">IF(R56&gt;Q56,", "&amp;Q56,IF(Q56&gt;R56,", "&amp;-R56,""))</f>
        <v/>
      </c>
      <c r="AP57" s="59" t="str">
        <f t="shared" ref="AP57" si="808">IF(T56&gt;S56,", "&amp;S56,IF(S56&gt;T56,", "&amp;-T56,""))</f>
        <v/>
      </c>
      <c r="AQ57" s="59" t="str">
        <f t="shared" ref="AQ57" si="809">IF(V56&gt;U56,", "&amp;U56,IF(U56&gt;V56,", "&amp;-V56,""))</f>
        <v/>
      </c>
      <c r="AR57" s="59" t="str">
        <f t="shared" ref="AR57" si="810">IF(X56&gt;W56,", "&amp;W56,IF(W56&gt;X56,", "&amp;-X56,""))</f>
        <v/>
      </c>
      <c r="AS57" s="59" t="str">
        <f t="shared" ref="AS57" si="811">IF(Z56&gt;Y56,", "&amp;Y56,IF(Y56&gt;Z56,", "&amp;-Z56,""))</f>
        <v/>
      </c>
      <c r="AU57" s="63"/>
      <c r="AV57" s="86">
        <v>13</v>
      </c>
      <c r="AW57" s="87" t="str">
        <f>VLOOKUP(AV57,$A$8:$L$87,6,FALSE)</f>
        <v>4 Julio-- Table</v>
      </c>
      <c r="AX57" s="88"/>
      <c r="AY57" s="89">
        <f>VLOOKUP(AY59,$A$8:$L$91,7,FALSE)</f>
        <v>3909</v>
      </c>
      <c r="AZ57" s="75" t="s">
        <v>13</v>
      </c>
      <c r="BA57" s="76" t="s">
        <v>11</v>
      </c>
      <c r="BB57" s="70"/>
      <c r="BC57" s="70"/>
      <c r="BD57" s="71"/>
      <c r="BE57" s="70"/>
      <c r="BF57" s="79"/>
      <c r="BG57" s="107"/>
      <c r="BH57" s="79"/>
      <c r="BI57" s="79"/>
      <c r="BJ57" s="90"/>
      <c r="BK57" s="79"/>
    </row>
    <row r="58" spans="1:63" s="62" customFormat="1" ht="12.75" x14ac:dyDescent="0.25">
      <c r="A58" s="213">
        <v>26</v>
      </c>
      <c r="B58" s="263" t="s">
        <v>257</v>
      </c>
      <c r="C58" s="265" t="s">
        <v>204</v>
      </c>
      <c r="D58" s="265"/>
      <c r="E58" s="247"/>
      <c r="F58" s="267" t="str">
        <f t="shared" ref="F58:F70" si="812">C58&amp;"-"&amp;D58&amp;"- Table"&amp;E58</f>
        <v>4 Julio-- Table</v>
      </c>
      <c r="G58" s="247">
        <f>IF(M44="",0,IF(AA44&gt;AB44,G44,H44))</f>
        <v>4159</v>
      </c>
      <c r="H58" s="247">
        <f>IF(M46="",0,IF(AA46&gt;AB46,G46,H46))</f>
        <v>3756</v>
      </c>
      <c r="I58" s="247" t="s">
        <v>16</v>
      </c>
      <c r="J58" s="247" t="s">
        <v>11</v>
      </c>
      <c r="K58" s="247" t="s">
        <v>9</v>
      </c>
      <c r="L58" s="247" t="s">
        <v>6</v>
      </c>
      <c r="M58" s="257">
        <v>6</v>
      </c>
      <c r="N58" s="247">
        <v>11</v>
      </c>
      <c r="O58" s="247">
        <v>10</v>
      </c>
      <c r="P58" s="247">
        <v>12</v>
      </c>
      <c r="Q58" s="247"/>
      <c r="R58" s="247"/>
      <c r="S58" s="247"/>
      <c r="T58" s="247"/>
      <c r="U58" s="247"/>
      <c r="V58" s="247"/>
      <c r="W58" s="247"/>
      <c r="X58" s="247"/>
      <c r="Y58" s="247"/>
      <c r="Z58" s="249"/>
      <c r="AA58" s="226">
        <f t="shared" ref="AA58" si="813">IF(M58+N58&lt;&gt;0,SUM(AF58:AL58),"")</f>
        <v>0</v>
      </c>
      <c r="AB58" s="226">
        <f t="shared" ref="AB58" si="814">IF(M58+N58&lt;&gt;0,SUM(AF59:AL59),"")</f>
        <v>2</v>
      </c>
      <c r="AC58" s="59" t="str">
        <f t="shared" ref="AC58" si="815">IF(AA58&gt;AB58,AD58&amp;"  "&amp;AE58,IF(AB58&gt;AA58,AD58&amp;"  "&amp;AE59,""))</f>
        <v>2 - 0  (6, 10)</v>
      </c>
      <c r="AD58" s="59" t="str">
        <f t="shared" ref="AD58" si="816">IF(AA58&gt;AB58,AA58&amp;" - "&amp;AB58,IF(AB58&gt;AA58,AB58&amp;" - "&amp;AA58,""))</f>
        <v>2 - 0</v>
      </c>
      <c r="AE58" s="59" t="str">
        <f t="shared" si="0"/>
        <v>(-6, -10)</v>
      </c>
      <c r="AF58" s="59">
        <f t="shared" ref="AF58" si="817">IF(M58&gt;N58,1,0)</f>
        <v>0</v>
      </c>
      <c r="AG58" s="59">
        <f t="shared" ref="AG58" si="818">IF(O58&gt;P58,1,0)</f>
        <v>0</v>
      </c>
      <c r="AH58" s="59">
        <f t="shared" ref="AH58" si="819">IF(Q58&gt;R58,1,0)</f>
        <v>0</v>
      </c>
      <c r="AI58" s="59">
        <f t="shared" ref="AI58" si="820">IF(S58&gt;T58,1,0)</f>
        <v>0</v>
      </c>
      <c r="AJ58" s="59">
        <f t="shared" ref="AJ58" si="821">IF(U58&gt;V58,1,0)</f>
        <v>0</v>
      </c>
      <c r="AK58" s="59">
        <f t="shared" ref="AK58" si="822">IF(W58&gt;X58,1,0)</f>
        <v>0</v>
      </c>
      <c r="AL58" s="59">
        <f t="shared" ref="AL58" si="823">IF(Y58&gt;Z58,1,0)</f>
        <v>0</v>
      </c>
      <c r="AM58" s="59">
        <f t="shared" ref="AM58" si="824">IF(M58&gt;N58,N58,IF(N58&gt;M58,-M58,""))</f>
        <v>-6</v>
      </c>
      <c r="AN58" s="59" t="str">
        <f t="shared" ref="AN58" si="825">IF(O58&gt;P58,", "&amp;P58,IF(P58&gt;O58,", "&amp;-O58,""))</f>
        <v>, -10</v>
      </c>
      <c r="AO58" s="59" t="str">
        <f t="shared" ref="AO58" si="826">IF(Q58&gt;R58,", "&amp;R58,IF(R58&gt;Q58,", "&amp;-Q58,""))</f>
        <v/>
      </c>
      <c r="AP58" s="59" t="str">
        <f t="shared" ref="AP58" si="827">IF(S58&gt;T58,", "&amp;T58,IF(T58&gt;S58,", "&amp;-S58,""))</f>
        <v/>
      </c>
      <c r="AQ58" s="59" t="str">
        <f t="shared" ref="AQ58" si="828">IF(U58&gt;V58,", "&amp;V58,IF(V58&gt;U58,", "&amp;-U58,""))</f>
        <v/>
      </c>
      <c r="AR58" s="59" t="str">
        <f t="shared" ref="AR58" si="829">IF(W58&gt;X58,", "&amp;X58,IF(X58&gt;W58,", "&amp;-W58,""))</f>
        <v/>
      </c>
      <c r="AS58" s="59" t="str">
        <f t="shared" ref="AS58" si="830">IF(Y58&gt;Z58,", "&amp;Z58,IF(Z58&gt;Y58,", "&amp;-Y58,""))</f>
        <v/>
      </c>
      <c r="AU58" s="73">
        <f>1+AU56</f>
        <v>26</v>
      </c>
      <c r="AV58" s="99" t="str">
        <f>VLOOKUP(AV57,$A$8:$L$87,8,FALSE)</f>
        <v>X</v>
      </c>
      <c r="AW58" s="100" t="s">
        <v>305</v>
      </c>
      <c r="AX58" s="101" t="s">
        <v>305</v>
      </c>
      <c r="AY58" s="70"/>
      <c r="AZ58" s="70"/>
      <c r="BA58" s="102"/>
      <c r="BB58" s="77"/>
      <c r="BC58" s="78" t="str">
        <f>VLOOKUP(AY59,$A$8:$AD$87,29,FALSE)</f>
        <v>2 - 0  (3, 6)</v>
      </c>
      <c r="BD58" s="78"/>
      <c r="BE58" s="70"/>
      <c r="BF58" s="79"/>
      <c r="BG58" s="107"/>
      <c r="BH58" s="79"/>
      <c r="BI58" s="79"/>
      <c r="BJ58" s="90"/>
      <c r="BK58" s="79"/>
    </row>
    <row r="59" spans="1:63" s="62" customFormat="1" ht="12.75" x14ac:dyDescent="0.25">
      <c r="A59" s="213"/>
      <c r="B59" s="264"/>
      <c r="C59" s="266"/>
      <c r="D59" s="266"/>
      <c r="E59" s="248"/>
      <c r="F59" s="268"/>
      <c r="G59" s="248" t="s">
        <v>255</v>
      </c>
      <c r="H59" s="248" t="s">
        <v>255</v>
      </c>
      <c r="I59" s="248"/>
      <c r="J59" s="248"/>
      <c r="K59" s="248">
        <v>0</v>
      </c>
      <c r="L59" s="248">
        <v>0</v>
      </c>
      <c r="M59" s="25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50"/>
      <c r="AA59" s="226"/>
      <c r="AB59" s="226"/>
      <c r="AC59" s="59"/>
      <c r="AD59" s="59" t="str">
        <f t="shared" ref="AD59" si="831">IF(AA58&gt;AB58,AD58&amp;"  "&amp;AE58,IF(AB58&gt;AA58,AD58&amp;"  "&amp;AE59,""))</f>
        <v>2 - 0  (6, 10)</v>
      </c>
      <c r="AE59" s="59" t="str">
        <f t="shared" si="0"/>
        <v>(6, 10)</v>
      </c>
      <c r="AF59" s="59">
        <f t="shared" ref="AF59" si="832">IF(N58&gt;M58,1,0)</f>
        <v>1</v>
      </c>
      <c r="AG59" s="59">
        <f t="shared" ref="AG59" si="833">IF(P58&gt;O58,1,0)</f>
        <v>1</v>
      </c>
      <c r="AH59" s="59">
        <f t="shared" ref="AH59" si="834">IF(R58&gt;Q58,1,0)</f>
        <v>0</v>
      </c>
      <c r="AI59" s="59">
        <f t="shared" ref="AI59" si="835">IF(T58&gt;S58,1,0)</f>
        <v>0</v>
      </c>
      <c r="AJ59" s="59">
        <f t="shared" ref="AJ59" si="836">IF(V58&gt;U58,1,0)</f>
        <v>0</v>
      </c>
      <c r="AK59" s="59">
        <f t="shared" ref="AK59" si="837">IF(X58&gt;W58,1,0)</f>
        <v>0</v>
      </c>
      <c r="AL59" s="59">
        <f t="shared" ref="AL59" si="838">IF(Z58&gt;Y58,1,0)</f>
        <v>0</v>
      </c>
      <c r="AM59" s="59">
        <f t="shared" ref="AM59" si="839">IF(N58&gt;M58,M58,IF(M58&gt;N58,-N58,""))</f>
        <v>6</v>
      </c>
      <c r="AN59" s="59" t="str">
        <f t="shared" ref="AN59" si="840">IF(P58&gt;O58,", "&amp;O58,IF(O58&gt;P58,", "&amp;-P58,""))</f>
        <v>, 10</v>
      </c>
      <c r="AO59" s="59" t="str">
        <f t="shared" ref="AO59" si="841">IF(R58&gt;Q58,", "&amp;Q58,IF(Q58&gt;R58,", "&amp;-R58,""))</f>
        <v/>
      </c>
      <c r="AP59" s="59" t="str">
        <f t="shared" ref="AP59" si="842">IF(T58&gt;S58,", "&amp;S58,IF(S58&gt;T58,", "&amp;-T58,""))</f>
        <v/>
      </c>
      <c r="AQ59" s="59" t="str">
        <f t="shared" ref="AQ59" si="843">IF(V58&gt;U58,", "&amp;U58,IF(U58&gt;V58,", "&amp;-V58,""))</f>
        <v/>
      </c>
      <c r="AR59" s="59" t="str">
        <f t="shared" ref="AR59" si="844">IF(X58&gt;W58,", "&amp;W58,IF(W58&gt;X58,", "&amp;-X58,""))</f>
        <v/>
      </c>
      <c r="AS59" s="59" t="str">
        <f t="shared" ref="AS59" si="845">IF(Z58&gt;Y58,", "&amp;Y58,IF(Y58&gt;Z58,", "&amp;-Z58,""))</f>
        <v/>
      </c>
      <c r="AU59" s="63"/>
      <c r="AV59" s="64"/>
      <c r="AW59" s="70"/>
      <c r="AX59" s="103"/>
      <c r="AY59" s="104">
        <v>23</v>
      </c>
      <c r="AZ59" s="87" t="str">
        <f>VLOOKUP(AY59,$A$8:$L$87,6,FALSE)</f>
        <v>4 Julio-- Table</v>
      </c>
      <c r="BA59" s="105"/>
      <c r="BB59" s="89">
        <f>VLOOKUP(BB63,$A$8:$L$91,7,FALSE)</f>
        <v>3909</v>
      </c>
      <c r="BC59" s="75" t="s">
        <v>13</v>
      </c>
      <c r="BD59" s="76" t="s">
        <v>11</v>
      </c>
      <c r="BE59" s="70"/>
      <c r="BF59" s="79"/>
      <c r="BG59" s="107"/>
      <c r="BH59" s="79"/>
      <c r="BI59" s="79"/>
      <c r="BJ59" s="90"/>
      <c r="BK59" s="79"/>
    </row>
    <row r="60" spans="1:63" s="62" customFormat="1" ht="12.75" x14ac:dyDescent="0.25">
      <c r="A60" s="213">
        <v>27</v>
      </c>
      <c r="B60" s="271" t="s">
        <v>257</v>
      </c>
      <c r="C60" s="273" t="s">
        <v>204</v>
      </c>
      <c r="D60" s="273"/>
      <c r="E60" s="259"/>
      <c r="F60" s="275" t="str">
        <f t="shared" si="778"/>
        <v>4 Julio-- Table</v>
      </c>
      <c r="G60" s="259">
        <f>IF(M48="",0,IF(AA48&gt;AB48,G48,H48))</f>
        <v>3918</v>
      </c>
      <c r="H60" s="259">
        <f>IF(M50="",0,IF(AA50&gt;AB50,G50,H50))</f>
        <v>3436</v>
      </c>
      <c r="I60" s="259" t="s">
        <v>10</v>
      </c>
      <c r="J60" s="259" t="s">
        <v>11</v>
      </c>
      <c r="K60" s="259" t="s">
        <v>17</v>
      </c>
      <c r="L60" s="259" t="s">
        <v>18</v>
      </c>
      <c r="M60" s="269">
        <v>8</v>
      </c>
      <c r="N60" s="259">
        <v>11</v>
      </c>
      <c r="O60" s="259">
        <v>11</v>
      </c>
      <c r="P60" s="259">
        <v>9</v>
      </c>
      <c r="Q60" s="259">
        <v>9</v>
      </c>
      <c r="R60" s="259">
        <v>11</v>
      </c>
      <c r="S60" s="259"/>
      <c r="T60" s="259"/>
      <c r="U60" s="259"/>
      <c r="V60" s="259"/>
      <c r="W60" s="259"/>
      <c r="X60" s="259"/>
      <c r="Y60" s="259"/>
      <c r="Z60" s="261"/>
      <c r="AA60" s="226">
        <f t="shared" ref="AA60" si="846">IF(M60+N60&lt;&gt;0,SUM(AF60:AL60),"")</f>
        <v>1</v>
      </c>
      <c r="AB60" s="226">
        <f t="shared" ref="AB60" si="847">IF(M60+N60&lt;&gt;0,SUM(AF61:AL61),"")</f>
        <v>2</v>
      </c>
      <c r="AC60" s="59" t="str">
        <f t="shared" ref="AC60" si="848">IF(AA60&gt;AB60,AD60&amp;"  "&amp;AE60,IF(AB60&gt;AA60,AD60&amp;"  "&amp;AE61,""))</f>
        <v>2 - 1  (8, -9, 9)</v>
      </c>
      <c r="AD60" s="59" t="str">
        <f t="shared" ref="AD60" si="849">IF(AA60&gt;AB60,AA60&amp;" - "&amp;AB60,IF(AB60&gt;AA60,AB60&amp;" - "&amp;AA60,""))</f>
        <v>2 - 1</v>
      </c>
      <c r="AE60" s="59" t="str">
        <f t="shared" si="0"/>
        <v>(-8, 9, -9)</v>
      </c>
      <c r="AF60" s="59">
        <f t="shared" ref="AF60" si="850">IF(M60&gt;N60,1,0)</f>
        <v>0</v>
      </c>
      <c r="AG60" s="59">
        <f t="shared" ref="AG60" si="851">IF(O60&gt;P60,1,0)</f>
        <v>1</v>
      </c>
      <c r="AH60" s="59">
        <f t="shared" ref="AH60" si="852">IF(Q60&gt;R60,1,0)</f>
        <v>0</v>
      </c>
      <c r="AI60" s="59">
        <f t="shared" ref="AI60" si="853">IF(S60&gt;T60,1,0)</f>
        <v>0</v>
      </c>
      <c r="AJ60" s="59">
        <f t="shared" ref="AJ60" si="854">IF(U60&gt;V60,1,0)</f>
        <v>0</v>
      </c>
      <c r="AK60" s="59">
        <f t="shared" ref="AK60" si="855">IF(W60&gt;X60,1,0)</f>
        <v>0</v>
      </c>
      <c r="AL60" s="59">
        <f t="shared" ref="AL60" si="856">IF(Y60&gt;Z60,1,0)</f>
        <v>0</v>
      </c>
      <c r="AM60" s="59">
        <f t="shared" ref="AM60" si="857">IF(M60&gt;N60,N60,IF(N60&gt;M60,-M60,""))</f>
        <v>-8</v>
      </c>
      <c r="AN60" s="59" t="str">
        <f t="shared" ref="AN60" si="858">IF(O60&gt;P60,", "&amp;P60,IF(P60&gt;O60,", "&amp;-O60,""))</f>
        <v>, 9</v>
      </c>
      <c r="AO60" s="59" t="str">
        <f t="shared" ref="AO60" si="859">IF(Q60&gt;R60,", "&amp;R60,IF(R60&gt;Q60,", "&amp;-Q60,""))</f>
        <v>, -9</v>
      </c>
      <c r="AP60" s="59" t="str">
        <f t="shared" ref="AP60" si="860">IF(S60&gt;T60,", "&amp;T60,IF(T60&gt;S60,", "&amp;-S60,""))</f>
        <v/>
      </c>
      <c r="AQ60" s="59" t="str">
        <f t="shared" ref="AQ60" si="861">IF(U60&gt;V60,", "&amp;V60,IF(V60&gt;U60,", "&amp;-U60,""))</f>
        <v/>
      </c>
      <c r="AR60" s="59" t="str">
        <f t="shared" ref="AR60" si="862">IF(W60&gt;X60,", "&amp;X60,IF(X60&gt;W60,", "&amp;-W60,""))</f>
        <v/>
      </c>
      <c r="AS60" s="59" t="str">
        <f t="shared" ref="AS60" si="863">IF(Y60&gt;Z60,", "&amp;Z60,IF(Z60&gt;Y60,", "&amp;-Y60,""))</f>
        <v/>
      </c>
      <c r="AU60" s="73">
        <f>1+AU58</f>
        <v>27</v>
      </c>
      <c r="AV60" s="74">
        <f>VLOOKUP(AV61,$A$8:$L$87,7,FALSE)</f>
        <v>3433</v>
      </c>
      <c r="AW60" s="75" t="s">
        <v>26</v>
      </c>
      <c r="AX60" s="76" t="s">
        <v>18</v>
      </c>
      <c r="AY60" s="106"/>
      <c r="AZ60" s="70"/>
      <c r="BA60" s="102"/>
      <c r="BB60" s="70"/>
      <c r="BC60" s="70"/>
      <c r="BD60" s="102"/>
      <c r="BE60" s="70"/>
      <c r="BF60" s="79"/>
      <c r="BG60" s="107"/>
      <c r="BH60" s="79"/>
      <c r="BI60" s="79"/>
      <c r="BJ60" s="90"/>
      <c r="BK60" s="79"/>
    </row>
    <row r="61" spans="1:63" s="62" customFormat="1" ht="12.75" x14ac:dyDescent="0.25">
      <c r="A61" s="213"/>
      <c r="B61" s="272"/>
      <c r="C61" s="274"/>
      <c r="D61" s="274"/>
      <c r="E61" s="260"/>
      <c r="F61" s="276"/>
      <c r="G61" s="260" t="s">
        <v>255</v>
      </c>
      <c r="H61" s="260" t="s">
        <v>255</v>
      </c>
      <c r="I61" s="260"/>
      <c r="J61" s="260"/>
      <c r="K61" s="260">
        <v>0</v>
      </c>
      <c r="L61" s="260">
        <v>0</v>
      </c>
      <c r="M61" s="27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2"/>
      <c r="AA61" s="226"/>
      <c r="AB61" s="226"/>
      <c r="AC61" s="59"/>
      <c r="AD61" s="59" t="str">
        <f t="shared" ref="AD61" si="864">IF(AA60&gt;AB60,AD60&amp;"  "&amp;AE60,IF(AB60&gt;AA60,AD60&amp;"  "&amp;AE61,""))</f>
        <v>2 - 1  (8, -9, 9)</v>
      </c>
      <c r="AE61" s="59" t="str">
        <f t="shared" si="0"/>
        <v>(8, -9, 9)</v>
      </c>
      <c r="AF61" s="59">
        <f t="shared" ref="AF61" si="865">IF(N60&gt;M60,1,0)</f>
        <v>1</v>
      </c>
      <c r="AG61" s="59">
        <f t="shared" ref="AG61" si="866">IF(P60&gt;O60,1,0)</f>
        <v>0</v>
      </c>
      <c r="AH61" s="59">
        <f t="shared" ref="AH61" si="867">IF(R60&gt;Q60,1,0)</f>
        <v>1</v>
      </c>
      <c r="AI61" s="59">
        <f t="shared" ref="AI61" si="868">IF(T60&gt;S60,1,0)</f>
        <v>0</v>
      </c>
      <c r="AJ61" s="59">
        <f t="shared" ref="AJ61" si="869">IF(V60&gt;U60,1,0)</f>
        <v>0</v>
      </c>
      <c r="AK61" s="59">
        <f t="shared" ref="AK61" si="870">IF(X60&gt;W60,1,0)</f>
        <v>0</v>
      </c>
      <c r="AL61" s="59">
        <f t="shared" ref="AL61" si="871">IF(Z60&gt;Y60,1,0)</f>
        <v>0</v>
      </c>
      <c r="AM61" s="59">
        <f t="shared" ref="AM61" si="872">IF(N60&gt;M60,M60,IF(M60&gt;N60,-N60,""))</f>
        <v>8</v>
      </c>
      <c r="AN61" s="59" t="str">
        <f t="shared" ref="AN61" si="873">IF(P60&gt;O60,", "&amp;O60,IF(O60&gt;P60,", "&amp;-P60,""))</f>
        <v>, -9</v>
      </c>
      <c r="AO61" s="59" t="str">
        <f t="shared" ref="AO61" si="874">IF(R60&gt;Q60,", "&amp;Q60,IF(Q60&gt;R60,", "&amp;-R60,""))</f>
        <v>, 9</v>
      </c>
      <c r="AP61" s="59" t="str">
        <f t="shared" ref="AP61" si="875">IF(T60&gt;S60,", "&amp;S60,IF(S60&gt;T60,", "&amp;-T60,""))</f>
        <v/>
      </c>
      <c r="AQ61" s="59" t="str">
        <f t="shared" ref="AQ61" si="876">IF(V60&gt;U60,", "&amp;U60,IF(U60&gt;V60,", "&amp;-V60,""))</f>
        <v/>
      </c>
      <c r="AR61" s="59" t="str">
        <f t="shared" ref="AR61" si="877">IF(X60&gt;W60,", "&amp;W60,IF(W60&gt;X60,", "&amp;-X60,""))</f>
        <v/>
      </c>
      <c r="AS61" s="59" t="str">
        <f t="shared" ref="AS61" si="878">IF(Z60&gt;Y60,", "&amp;Y60,IF(Y60&gt;Z60,", "&amp;-Z60,""))</f>
        <v/>
      </c>
      <c r="AU61" s="63"/>
      <c r="AV61" s="86">
        <v>14</v>
      </c>
      <c r="AW61" s="87" t="str">
        <f>VLOOKUP(AV61,$A$8:$L$87,6,FALSE)</f>
        <v>4 Julio-- Table</v>
      </c>
      <c r="AX61" s="88"/>
      <c r="AY61" s="100">
        <f>VLOOKUP(AY59,$A$8:$L$91,8,FALSE)</f>
        <v>3433</v>
      </c>
      <c r="AZ61" s="100" t="s">
        <v>26</v>
      </c>
      <c r="BA61" s="101" t="s">
        <v>18</v>
      </c>
      <c r="BB61" s="70"/>
      <c r="BC61" s="70"/>
      <c r="BD61" s="102"/>
      <c r="BE61" s="70"/>
      <c r="BF61" s="79"/>
      <c r="BG61" s="107"/>
      <c r="BH61" s="79"/>
      <c r="BI61" s="79"/>
      <c r="BJ61" s="90"/>
      <c r="BK61" s="79"/>
    </row>
    <row r="62" spans="1:63" s="62" customFormat="1" ht="12.75" x14ac:dyDescent="0.25">
      <c r="A62" s="213">
        <v>28</v>
      </c>
      <c r="B62" s="263" t="s">
        <v>257</v>
      </c>
      <c r="C62" s="265" t="s">
        <v>204</v>
      </c>
      <c r="D62" s="265"/>
      <c r="E62" s="247"/>
      <c r="F62" s="267" t="str">
        <f t="shared" si="812"/>
        <v>4 Julio-- Table</v>
      </c>
      <c r="G62" s="247">
        <f>IF(M52="",0,IF(AA52&gt;AB52,G52,H52))</f>
        <v>3909</v>
      </c>
      <c r="H62" s="247">
        <f>IF(M54="",0,IF(AA54&gt;AB54,G54,H54))</f>
        <v>3717</v>
      </c>
      <c r="I62" s="247" t="s">
        <v>13</v>
      </c>
      <c r="J62" s="247" t="s">
        <v>11</v>
      </c>
      <c r="K62" s="247" t="s">
        <v>5</v>
      </c>
      <c r="L62" s="247" t="s">
        <v>6</v>
      </c>
      <c r="M62" s="257">
        <v>6</v>
      </c>
      <c r="N62" s="247">
        <v>11</v>
      </c>
      <c r="O62" s="247">
        <v>6</v>
      </c>
      <c r="P62" s="247">
        <v>11</v>
      </c>
      <c r="Q62" s="247" t="s">
        <v>258</v>
      </c>
      <c r="R62" s="247"/>
      <c r="S62" s="247"/>
      <c r="T62" s="247"/>
      <c r="U62" s="247"/>
      <c r="V62" s="247"/>
      <c r="W62" s="247"/>
      <c r="X62" s="247"/>
      <c r="Y62" s="247"/>
      <c r="Z62" s="249"/>
      <c r="AA62" s="226">
        <f t="shared" ref="AA62" si="879">IF(M62+N62&lt;&gt;0,SUM(AF62:AL62),"")</f>
        <v>1</v>
      </c>
      <c r="AB62" s="226">
        <f t="shared" ref="AB62" si="880">IF(M62+N62&lt;&gt;0,SUM(AF63:AL63),"")</f>
        <v>2</v>
      </c>
      <c r="AC62" s="59" t="str">
        <f t="shared" ref="AC62" si="881">IF(AA62&gt;AB62,AD62&amp;"  "&amp;AE62,IF(AB62&gt;AA62,AD62&amp;"  "&amp;AE63,""))</f>
        <v>2 - 1  (6, 6, 0)</v>
      </c>
      <c r="AD62" s="59" t="str">
        <f t="shared" ref="AD62" si="882">IF(AA62&gt;AB62,AA62&amp;" - "&amp;AB62,IF(AB62&gt;AA62,AB62&amp;" - "&amp;AA62,""))</f>
        <v>2 - 1</v>
      </c>
      <c r="AE62" s="59" t="str">
        <f t="shared" si="0"/>
        <v>(-6, -6, )</v>
      </c>
      <c r="AF62" s="59">
        <f t="shared" ref="AF62" si="883">IF(M62&gt;N62,1,0)</f>
        <v>0</v>
      </c>
      <c r="AG62" s="59">
        <f t="shared" ref="AG62" si="884">IF(O62&gt;P62,1,0)</f>
        <v>0</v>
      </c>
      <c r="AH62" s="59">
        <f t="shared" ref="AH62" si="885">IF(Q62&gt;R62,1,0)</f>
        <v>1</v>
      </c>
      <c r="AI62" s="59">
        <f t="shared" ref="AI62" si="886">IF(S62&gt;T62,1,0)</f>
        <v>0</v>
      </c>
      <c r="AJ62" s="59">
        <f t="shared" ref="AJ62" si="887">IF(U62&gt;V62,1,0)</f>
        <v>0</v>
      </c>
      <c r="AK62" s="59">
        <f t="shared" ref="AK62" si="888">IF(W62&gt;X62,1,0)</f>
        <v>0</v>
      </c>
      <c r="AL62" s="59">
        <f t="shared" ref="AL62" si="889">IF(Y62&gt;Z62,1,0)</f>
        <v>0</v>
      </c>
      <c r="AM62" s="59">
        <f t="shared" ref="AM62" si="890">IF(M62&gt;N62,N62,IF(N62&gt;M62,-M62,""))</f>
        <v>-6</v>
      </c>
      <c r="AN62" s="59" t="str">
        <f t="shared" ref="AN62" si="891">IF(O62&gt;P62,", "&amp;P62,IF(P62&gt;O62,", "&amp;-O62,""))</f>
        <v>, -6</v>
      </c>
      <c r="AO62" s="59" t="str">
        <f t="shared" ref="AO62" si="892">IF(Q62&gt;R62,", "&amp;R62,IF(R62&gt;Q62,", "&amp;-Q62,""))</f>
        <v xml:space="preserve">, </v>
      </c>
      <c r="AP62" s="59" t="str">
        <f t="shared" ref="AP62" si="893">IF(S62&gt;T62,", "&amp;T62,IF(T62&gt;S62,", "&amp;-S62,""))</f>
        <v/>
      </c>
      <c r="AQ62" s="59" t="str">
        <f t="shared" ref="AQ62" si="894">IF(U62&gt;V62,", "&amp;V62,IF(V62&gt;U62,", "&amp;-U62,""))</f>
        <v/>
      </c>
      <c r="AR62" s="59" t="str">
        <f t="shared" ref="AR62" si="895">IF(W62&gt;X62,", "&amp;X62,IF(X62&gt;W62,", "&amp;-W62,""))</f>
        <v/>
      </c>
      <c r="AS62" s="59" t="str">
        <f t="shared" ref="AS62" si="896">IF(Y62&gt;Z62,", "&amp;Z62,IF(Z62&gt;Y62,", "&amp;-Y62,""))</f>
        <v/>
      </c>
      <c r="AU62" s="73">
        <f>1+AU60</f>
        <v>28</v>
      </c>
      <c r="AV62" s="99">
        <f>VLOOKUP(AV61,$A$8:$L$87,8,FALSE)</f>
        <v>4101</v>
      </c>
      <c r="AW62" s="100" t="s">
        <v>27</v>
      </c>
      <c r="AX62" s="101" t="s">
        <v>11</v>
      </c>
      <c r="AY62" s="77"/>
      <c r="AZ62" s="78" t="str">
        <f>VLOOKUP(AV61,$A$8:$AD$91,29,FALSE)</f>
        <v>2 - 1  (-8, 7, 8)</v>
      </c>
      <c r="BA62" s="78"/>
      <c r="BB62" s="70"/>
      <c r="BC62" s="70"/>
      <c r="BD62" s="102"/>
      <c r="BE62" s="70"/>
      <c r="BF62" s="79"/>
      <c r="BG62" s="107"/>
      <c r="BH62" s="79"/>
      <c r="BI62" s="79"/>
      <c r="BJ62" s="90"/>
      <c r="BK62" s="79"/>
    </row>
    <row r="63" spans="1:63" s="62" customFormat="1" ht="12.75" x14ac:dyDescent="0.25">
      <c r="A63" s="213"/>
      <c r="B63" s="264"/>
      <c r="C63" s="266"/>
      <c r="D63" s="266"/>
      <c r="E63" s="248"/>
      <c r="F63" s="268"/>
      <c r="G63" s="248" t="s">
        <v>255</v>
      </c>
      <c r="H63" s="248" t="s">
        <v>255</v>
      </c>
      <c r="I63" s="248"/>
      <c r="J63" s="248"/>
      <c r="K63" s="248">
        <v>0</v>
      </c>
      <c r="L63" s="248">
        <v>0</v>
      </c>
      <c r="M63" s="25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50"/>
      <c r="AA63" s="226"/>
      <c r="AB63" s="226"/>
      <c r="AC63" s="59"/>
      <c r="AD63" s="59" t="str">
        <f t="shared" ref="AD63" si="897">IF(AA62&gt;AB62,AD62&amp;"  "&amp;AE62,IF(AB62&gt;AA62,AD62&amp;"  "&amp;AE63,""))</f>
        <v>2 - 1  (6, 6, 0)</v>
      </c>
      <c r="AE63" s="59" t="str">
        <f t="shared" si="0"/>
        <v>(6, 6, 0)</v>
      </c>
      <c r="AF63" s="59">
        <f t="shared" ref="AF63" si="898">IF(N62&gt;M62,1,0)</f>
        <v>1</v>
      </c>
      <c r="AG63" s="59">
        <f t="shared" ref="AG63" si="899">IF(P62&gt;O62,1,0)</f>
        <v>1</v>
      </c>
      <c r="AH63" s="59">
        <f t="shared" ref="AH63" si="900">IF(R62&gt;Q62,1,0)</f>
        <v>0</v>
      </c>
      <c r="AI63" s="59">
        <f t="shared" ref="AI63" si="901">IF(T62&gt;S62,1,0)</f>
        <v>0</v>
      </c>
      <c r="AJ63" s="59">
        <f t="shared" ref="AJ63" si="902">IF(V62&gt;U62,1,0)</f>
        <v>0</v>
      </c>
      <c r="AK63" s="59">
        <f t="shared" ref="AK63" si="903">IF(X62&gt;W62,1,0)</f>
        <v>0</v>
      </c>
      <c r="AL63" s="59">
        <f t="shared" ref="AL63" si="904">IF(Z62&gt;Y62,1,0)</f>
        <v>0</v>
      </c>
      <c r="AM63" s="59">
        <f t="shared" ref="AM63" si="905">IF(N62&gt;M62,M62,IF(M62&gt;N62,-N62,""))</f>
        <v>6</v>
      </c>
      <c r="AN63" s="59" t="str">
        <f t="shared" ref="AN63" si="906">IF(P62&gt;O62,", "&amp;O62,IF(O62&gt;P62,", "&amp;-P62,""))</f>
        <v>, 6</v>
      </c>
      <c r="AO63" s="59" t="str">
        <f t="shared" ref="AO63" si="907">IF(R62&gt;Q62,", "&amp;Q62,IF(Q62&gt;R62,", "&amp;-R62,""))</f>
        <v>, 0</v>
      </c>
      <c r="AP63" s="59" t="str">
        <f t="shared" ref="AP63" si="908">IF(T62&gt;S62,", "&amp;S62,IF(S62&gt;T62,", "&amp;-T62,""))</f>
        <v/>
      </c>
      <c r="AQ63" s="59" t="str">
        <f t="shared" ref="AQ63" si="909">IF(V62&gt;U62,", "&amp;U62,IF(U62&gt;V62,", "&amp;-V62,""))</f>
        <v/>
      </c>
      <c r="AR63" s="59" t="str">
        <f t="shared" ref="AR63" si="910">IF(X62&gt;W62,", "&amp;W62,IF(W62&gt;X62,", "&amp;-X62,""))</f>
        <v/>
      </c>
      <c r="AS63" s="59" t="str">
        <f t="shared" ref="AS63" si="911">IF(Z62&gt;Y62,", "&amp;Y62,IF(Y62&gt;Z62,", "&amp;-Z62,""))</f>
        <v/>
      </c>
      <c r="AU63" s="63"/>
      <c r="AV63" s="64"/>
      <c r="AW63" s="70"/>
      <c r="AX63" s="103"/>
      <c r="AY63" s="70"/>
      <c r="AZ63" s="70"/>
      <c r="BA63" s="71"/>
      <c r="BB63" s="104">
        <v>28</v>
      </c>
      <c r="BC63" s="87" t="str">
        <f>VLOOKUP(BB63,$A$8:$L$87,6,FALSE)</f>
        <v>4 Julio-- Table</v>
      </c>
      <c r="BD63" s="102"/>
      <c r="BE63" s="100">
        <f>VLOOKUP(BE55,$A$8:$L$91,8,FALSE)</f>
        <v>3717</v>
      </c>
      <c r="BF63" s="100" t="s">
        <v>5</v>
      </c>
      <c r="BG63" s="101" t="s">
        <v>6</v>
      </c>
      <c r="BH63" s="79"/>
      <c r="BI63" s="79"/>
      <c r="BJ63" s="90"/>
      <c r="BK63" s="79"/>
    </row>
    <row r="64" spans="1:63" s="62" customFormat="1" ht="12.75" x14ac:dyDescent="0.25">
      <c r="A64" s="213">
        <v>29</v>
      </c>
      <c r="B64" s="251" t="s">
        <v>259</v>
      </c>
      <c r="C64" s="253" t="s">
        <v>204</v>
      </c>
      <c r="D64" s="253"/>
      <c r="E64" s="235"/>
      <c r="F64" s="255" t="str">
        <f t="shared" si="778"/>
        <v>4 Julio-- Table</v>
      </c>
      <c r="G64" s="235">
        <f>IF(M56="",0,IF(AA56&gt;AB56,G56,H56))</f>
        <v>3423</v>
      </c>
      <c r="H64" s="235">
        <f>IF(M58="",0,IF(AA58&gt;AB58,G58,H58))</f>
        <v>3756</v>
      </c>
      <c r="I64" s="235" t="s">
        <v>12</v>
      </c>
      <c r="J64" s="235" t="s">
        <v>11</v>
      </c>
      <c r="K64" s="235" t="s">
        <v>9</v>
      </c>
      <c r="L64" s="235" t="s">
        <v>6</v>
      </c>
      <c r="M64" s="245">
        <v>11</v>
      </c>
      <c r="N64" s="235">
        <v>7</v>
      </c>
      <c r="O64" s="235">
        <v>9</v>
      </c>
      <c r="P64" s="235">
        <v>11</v>
      </c>
      <c r="Q64" s="235">
        <v>12</v>
      </c>
      <c r="R64" s="235">
        <v>14</v>
      </c>
      <c r="S64" s="235">
        <v>10</v>
      </c>
      <c r="T64" s="235">
        <v>12</v>
      </c>
      <c r="U64" s="235"/>
      <c r="V64" s="235"/>
      <c r="W64" s="235"/>
      <c r="X64" s="235"/>
      <c r="Y64" s="235"/>
      <c r="Z64" s="237"/>
      <c r="AA64" s="226">
        <f t="shared" ref="AA64" si="912">IF(M64+N64&lt;&gt;0,SUM(AF64:AL64),"")</f>
        <v>1</v>
      </c>
      <c r="AB64" s="226">
        <f t="shared" ref="AB64" si="913">IF(M64+N64&lt;&gt;0,SUM(AF65:AL65),"")</f>
        <v>3</v>
      </c>
      <c r="AC64" s="59" t="str">
        <f t="shared" ref="AC64" si="914">IF(AA64&gt;AB64,AD64&amp;"  "&amp;AE64,IF(AB64&gt;AA64,AD64&amp;"  "&amp;AE65,""))</f>
        <v>3 - 1  (-7, 9, 12, 10)</v>
      </c>
      <c r="AD64" s="59" t="str">
        <f t="shared" ref="AD64" si="915">IF(AA64&gt;AB64,AA64&amp;" - "&amp;AB64,IF(AB64&gt;AA64,AB64&amp;" - "&amp;AA64,""))</f>
        <v>3 - 1</v>
      </c>
      <c r="AE64" s="59" t="str">
        <f t="shared" si="0"/>
        <v>(7, -9, -12, -10)</v>
      </c>
      <c r="AF64" s="59">
        <f t="shared" ref="AF64" si="916">IF(M64&gt;N64,1,0)</f>
        <v>1</v>
      </c>
      <c r="AG64" s="59">
        <f t="shared" ref="AG64" si="917">IF(O64&gt;P64,1,0)</f>
        <v>0</v>
      </c>
      <c r="AH64" s="59">
        <f t="shared" ref="AH64" si="918">IF(Q64&gt;R64,1,0)</f>
        <v>0</v>
      </c>
      <c r="AI64" s="59">
        <f t="shared" ref="AI64" si="919">IF(S64&gt;T64,1,0)</f>
        <v>0</v>
      </c>
      <c r="AJ64" s="59">
        <f t="shared" ref="AJ64" si="920">IF(U64&gt;V64,1,0)</f>
        <v>0</v>
      </c>
      <c r="AK64" s="59">
        <f t="shared" ref="AK64" si="921">IF(W64&gt;X64,1,0)</f>
        <v>0</v>
      </c>
      <c r="AL64" s="59">
        <f t="shared" ref="AL64" si="922">IF(Y64&gt;Z64,1,0)</f>
        <v>0</v>
      </c>
      <c r="AM64" s="59">
        <f t="shared" ref="AM64" si="923">IF(M64&gt;N64,N64,IF(N64&gt;M64,-M64,""))</f>
        <v>7</v>
      </c>
      <c r="AN64" s="59" t="str">
        <f t="shared" ref="AN64" si="924">IF(O64&gt;P64,", "&amp;P64,IF(P64&gt;O64,", "&amp;-O64,""))</f>
        <v>, -9</v>
      </c>
      <c r="AO64" s="59" t="str">
        <f t="shared" ref="AO64" si="925">IF(Q64&gt;R64,", "&amp;R64,IF(R64&gt;Q64,", "&amp;-Q64,""))</f>
        <v>, -12</v>
      </c>
      <c r="AP64" s="59" t="str">
        <f t="shared" ref="AP64" si="926">IF(S64&gt;T64,", "&amp;T64,IF(T64&gt;S64,", "&amp;-S64,""))</f>
        <v>, -10</v>
      </c>
      <c r="AQ64" s="59" t="str">
        <f t="shared" ref="AQ64" si="927">IF(U64&gt;V64,", "&amp;V64,IF(V64&gt;U64,", "&amp;-U64,""))</f>
        <v/>
      </c>
      <c r="AR64" s="59" t="str">
        <f t="shared" ref="AR64" si="928">IF(W64&gt;X64,", "&amp;X64,IF(X64&gt;W64,", "&amp;-W64,""))</f>
        <v/>
      </c>
      <c r="AS64" s="59" t="str">
        <f t="shared" ref="AS64" si="929">IF(Y64&gt;Z64,", "&amp;Z64,IF(Z64&gt;Y64,", "&amp;-Y64,""))</f>
        <v/>
      </c>
      <c r="AU64" s="73">
        <f>1+AU62</f>
        <v>29</v>
      </c>
      <c r="AV64" s="74">
        <f>VLOOKUP(AV65,$A$8:$L$87,7,FALSE)</f>
        <v>3721</v>
      </c>
      <c r="AW64" s="75" t="s">
        <v>20</v>
      </c>
      <c r="AX64" s="76" t="s">
        <v>15</v>
      </c>
      <c r="AY64" s="77"/>
      <c r="AZ64" s="78" t="str">
        <f>VLOOKUP(AV65,$A$8:$AD$87,29,FALSE)</f>
        <v>2 - 0  (7, 11)</v>
      </c>
      <c r="BA64" s="78"/>
      <c r="BB64" s="70"/>
      <c r="BC64" s="70"/>
      <c r="BD64" s="102"/>
      <c r="BE64" s="77"/>
      <c r="BF64" s="78" t="str">
        <f>VLOOKUP(BB63,$A$8:$AD$91,29,FALSE)</f>
        <v>2 - 1  (6, 6, 0)</v>
      </c>
      <c r="BG64" s="78"/>
      <c r="BH64" s="79"/>
      <c r="BI64" s="79"/>
      <c r="BJ64" s="90"/>
      <c r="BK64" s="79"/>
    </row>
    <row r="65" spans="1:63" s="62" customFormat="1" ht="12.75" x14ac:dyDescent="0.25">
      <c r="A65" s="213"/>
      <c r="B65" s="252"/>
      <c r="C65" s="254"/>
      <c r="D65" s="254"/>
      <c r="E65" s="236"/>
      <c r="F65" s="256"/>
      <c r="G65" s="236" t="s">
        <v>255</v>
      </c>
      <c r="H65" s="236" t="s">
        <v>255</v>
      </c>
      <c r="I65" s="236"/>
      <c r="J65" s="236"/>
      <c r="K65" s="236">
        <v>0</v>
      </c>
      <c r="L65" s="236">
        <v>0</v>
      </c>
      <c r="M65" s="24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8"/>
      <c r="AA65" s="226"/>
      <c r="AB65" s="226"/>
      <c r="AC65" s="59"/>
      <c r="AD65" s="59" t="str">
        <f t="shared" ref="AD65" si="930">IF(AA64&gt;AB64,AD64&amp;"  "&amp;AE64,IF(AB64&gt;AA64,AD64&amp;"  "&amp;AE65,""))</f>
        <v>3 - 1  (-7, 9, 12, 10)</v>
      </c>
      <c r="AE65" s="59" t="str">
        <f t="shared" si="0"/>
        <v>(-7, 9, 12, 10)</v>
      </c>
      <c r="AF65" s="59">
        <f t="shared" ref="AF65" si="931">IF(N64&gt;M64,1,0)</f>
        <v>0</v>
      </c>
      <c r="AG65" s="59">
        <f t="shared" ref="AG65" si="932">IF(P64&gt;O64,1,0)</f>
        <v>1</v>
      </c>
      <c r="AH65" s="59">
        <f t="shared" ref="AH65" si="933">IF(R64&gt;Q64,1,0)</f>
        <v>1</v>
      </c>
      <c r="AI65" s="59">
        <f t="shared" ref="AI65" si="934">IF(T64&gt;S64,1,0)</f>
        <v>1</v>
      </c>
      <c r="AJ65" s="59">
        <f t="shared" ref="AJ65" si="935">IF(V64&gt;U64,1,0)</f>
        <v>0</v>
      </c>
      <c r="AK65" s="59">
        <f t="shared" ref="AK65" si="936">IF(X64&gt;W64,1,0)</f>
        <v>0</v>
      </c>
      <c r="AL65" s="59">
        <f t="shared" ref="AL65" si="937">IF(Z64&gt;Y64,1,0)</f>
        <v>0</v>
      </c>
      <c r="AM65" s="59">
        <f t="shared" ref="AM65" si="938">IF(N64&gt;M64,M64,IF(M64&gt;N64,-N64,""))</f>
        <v>-7</v>
      </c>
      <c r="AN65" s="59" t="str">
        <f t="shared" ref="AN65" si="939">IF(P64&gt;O64,", "&amp;O64,IF(O64&gt;P64,", "&amp;-P64,""))</f>
        <v>, 9</v>
      </c>
      <c r="AO65" s="59" t="str">
        <f t="shared" ref="AO65" si="940">IF(R64&gt;Q64,", "&amp;Q64,IF(Q64&gt;R64,", "&amp;-R64,""))</f>
        <v>, 12</v>
      </c>
      <c r="AP65" s="59" t="str">
        <f t="shared" ref="AP65" si="941">IF(T64&gt;S64,", "&amp;S64,IF(S64&gt;T64,", "&amp;-T64,""))</f>
        <v>, 10</v>
      </c>
      <c r="AQ65" s="59" t="str">
        <f t="shared" ref="AQ65" si="942">IF(V64&gt;U64,", "&amp;U64,IF(U64&gt;V64,", "&amp;-V64,""))</f>
        <v/>
      </c>
      <c r="AR65" s="59" t="str">
        <f t="shared" ref="AR65" si="943">IF(X64&gt;W64,", "&amp;W64,IF(W64&gt;X64,", "&amp;-X64,""))</f>
        <v/>
      </c>
      <c r="AS65" s="59" t="str">
        <f t="shared" ref="AS65" si="944">IF(Z64&gt;Y64,", "&amp;Y64,IF(Y64&gt;Z64,", "&amp;-Z64,""))</f>
        <v/>
      </c>
      <c r="AU65" s="63"/>
      <c r="AV65" s="86">
        <v>15</v>
      </c>
      <c r="AW65" s="87" t="str">
        <f>VLOOKUP(AV65,$A$8:$L$87,6,FALSE)</f>
        <v>4 Julio-- Table</v>
      </c>
      <c r="AX65" s="88"/>
      <c r="AY65" s="89">
        <f>VLOOKUP(AY67,$A$8:$L$91,7,FALSE)</f>
        <v>3721</v>
      </c>
      <c r="AZ65" s="75" t="s">
        <v>20</v>
      </c>
      <c r="BA65" s="76" t="s">
        <v>15</v>
      </c>
      <c r="BB65" s="70"/>
      <c r="BC65" s="70"/>
      <c r="BD65" s="102"/>
      <c r="BE65" s="70"/>
      <c r="BF65" s="79"/>
      <c r="BG65" s="90"/>
      <c r="BH65" s="79"/>
      <c r="BI65" s="79"/>
      <c r="BJ65" s="90"/>
      <c r="BK65" s="79"/>
    </row>
    <row r="66" spans="1:63" s="62" customFormat="1" ht="12.75" x14ac:dyDescent="0.25">
      <c r="A66" s="213">
        <v>30</v>
      </c>
      <c r="B66" s="239" t="s">
        <v>259</v>
      </c>
      <c r="C66" s="241" t="s">
        <v>204</v>
      </c>
      <c r="D66" s="241"/>
      <c r="E66" s="222"/>
      <c r="F66" s="243" t="str">
        <f t="shared" si="812"/>
        <v>4 Julio-- Table</v>
      </c>
      <c r="G66" s="222">
        <f>IF(M60="",0,IF(AA60&gt;AB60,G60,H60))</f>
        <v>3436</v>
      </c>
      <c r="H66" s="222">
        <f>IF(M62="",0,IF(AA62&gt;AB62,G62,H62))</f>
        <v>3717</v>
      </c>
      <c r="I66" s="222" t="s">
        <v>17</v>
      </c>
      <c r="J66" s="222" t="s">
        <v>18</v>
      </c>
      <c r="K66" s="222" t="s">
        <v>5</v>
      </c>
      <c r="L66" s="222" t="s">
        <v>6</v>
      </c>
      <c r="M66" s="233">
        <v>5</v>
      </c>
      <c r="N66" s="222">
        <v>11</v>
      </c>
      <c r="O66" s="222">
        <v>6</v>
      </c>
      <c r="P66" s="222">
        <v>11</v>
      </c>
      <c r="Q66" s="222">
        <v>10</v>
      </c>
      <c r="R66" s="222">
        <v>12</v>
      </c>
      <c r="S66" s="222"/>
      <c r="T66" s="222"/>
      <c r="U66" s="222"/>
      <c r="V66" s="222"/>
      <c r="W66" s="222"/>
      <c r="X66" s="222"/>
      <c r="Y66" s="222"/>
      <c r="Z66" s="224"/>
      <c r="AA66" s="226">
        <f t="shared" ref="AA66" si="945">IF(M66+N66&lt;&gt;0,SUM(AF66:AL66),"")</f>
        <v>0</v>
      </c>
      <c r="AB66" s="226">
        <f t="shared" ref="AB66" si="946">IF(M66+N66&lt;&gt;0,SUM(AF67:AL67),"")</f>
        <v>3</v>
      </c>
      <c r="AC66" s="59" t="str">
        <f t="shared" ref="AC66" si="947">IF(AA66&gt;AB66,AD66&amp;"  "&amp;AE66,IF(AB66&gt;AA66,AD66&amp;"  "&amp;AE67,""))</f>
        <v>3 - 0  (5, 6, 10)</v>
      </c>
      <c r="AD66" s="59" t="str">
        <f t="shared" ref="AD66" si="948">IF(AA66&gt;AB66,AA66&amp;" - "&amp;AB66,IF(AB66&gt;AA66,AB66&amp;" - "&amp;AA66,""))</f>
        <v>3 - 0</v>
      </c>
      <c r="AE66" s="59" t="str">
        <f t="shared" si="0"/>
        <v>(-5, -6, -10)</v>
      </c>
      <c r="AF66" s="59">
        <f t="shared" ref="AF66" si="949">IF(M66&gt;N66,1,0)</f>
        <v>0</v>
      </c>
      <c r="AG66" s="59">
        <f t="shared" ref="AG66" si="950">IF(O66&gt;P66,1,0)</f>
        <v>0</v>
      </c>
      <c r="AH66" s="59">
        <f t="shared" ref="AH66" si="951">IF(Q66&gt;R66,1,0)</f>
        <v>0</v>
      </c>
      <c r="AI66" s="59">
        <f t="shared" ref="AI66" si="952">IF(S66&gt;T66,1,0)</f>
        <v>0</v>
      </c>
      <c r="AJ66" s="59">
        <f t="shared" ref="AJ66" si="953">IF(U66&gt;V66,1,0)</f>
        <v>0</v>
      </c>
      <c r="AK66" s="59">
        <f t="shared" ref="AK66" si="954">IF(W66&gt;X66,1,0)</f>
        <v>0</v>
      </c>
      <c r="AL66" s="59">
        <f t="shared" ref="AL66" si="955">IF(Y66&gt;Z66,1,0)</f>
        <v>0</v>
      </c>
      <c r="AM66" s="59">
        <f t="shared" ref="AM66" si="956">IF(M66&gt;N66,N66,IF(N66&gt;M66,-M66,""))</f>
        <v>-5</v>
      </c>
      <c r="AN66" s="59" t="str">
        <f t="shared" ref="AN66" si="957">IF(O66&gt;P66,", "&amp;P66,IF(P66&gt;O66,", "&amp;-O66,""))</f>
        <v>, -6</v>
      </c>
      <c r="AO66" s="59" t="str">
        <f t="shared" ref="AO66" si="958">IF(Q66&gt;R66,", "&amp;R66,IF(R66&gt;Q66,", "&amp;-Q66,""))</f>
        <v>, -10</v>
      </c>
      <c r="AP66" s="59" t="str">
        <f t="shared" ref="AP66" si="959">IF(S66&gt;T66,", "&amp;T66,IF(T66&gt;S66,", "&amp;-S66,""))</f>
        <v/>
      </c>
      <c r="AQ66" s="59" t="str">
        <f t="shared" ref="AQ66" si="960">IF(U66&gt;V66,", "&amp;V66,IF(V66&gt;U66,", "&amp;-U66,""))</f>
        <v/>
      </c>
      <c r="AR66" s="59" t="str">
        <f t="shared" ref="AR66" si="961">IF(W66&gt;X66,", "&amp;X66,IF(X66&gt;W66,", "&amp;-W66,""))</f>
        <v/>
      </c>
      <c r="AS66" s="59" t="str">
        <f t="shared" ref="AS66" si="962">IF(Y66&gt;Z66,", "&amp;Z66,IF(Z66&gt;Y66,", "&amp;-Y66,""))</f>
        <v/>
      </c>
      <c r="AU66" s="73">
        <f>1+AU64</f>
        <v>30</v>
      </c>
      <c r="AV66" s="99">
        <f>VLOOKUP(AV65,$A$8:$L$87,8,FALSE)</f>
        <v>4100</v>
      </c>
      <c r="AW66" s="100" t="s">
        <v>36</v>
      </c>
      <c r="AX66" s="101" t="s">
        <v>11</v>
      </c>
      <c r="AY66" s="70"/>
      <c r="AZ66" s="70"/>
      <c r="BA66" s="102"/>
      <c r="BB66" s="70"/>
      <c r="BC66" s="70"/>
      <c r="BD66" s="102"/>
      <c r="BE66" s="70"/>
      <c r="BF66" s="79"/>
      <c r="BG66" s="90"/>
      <c r="BH66" s="79"/>
      <c r="BI66" s="79"/>
      <c r="BJ66" s="90"/>
      <c r="BK66" s="79"/>
    </row>
    <row r="67" spans="1:63" s="62" customFormat="1" ht="12.75" x14ac:dyDescent="0.25">
      <c r="A67" s="213"/>
      <c r="B67" s="240"/>
      <c r="C67" s="242"/>
      <c r="D67" s="242"/>
      <c r="E67" s="223"/>
      <c r="F67" s="244"/>
      <c r="G67" s="223" t="s">
        <v>255</v>
      </c>
      <c r="H67" s="223" t="s">
        <v>255</v>
      </c>
      <c r="I67" s="223"/>
      <c r="J67" s="223"/>
      <c r="K67" s="223">
        <v>0</v>
      </c>
      <c r="L67" s="223">
        <v>0</v>
      </c>
      <c r="M67" s="234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5"/>
      <c r="AA67" s="226"/>
      <c r="AB67" s="226"/>
      <c r="AC67" s="59"/>
      <c r="AD67" s="59" t="str">
        <f t="shared" ref="AD67" si="963">IF(AA66&gt;AB66,AD66&amp;"  "&amp;AE66,IF(AB66&gt;AA66,AD66&amp;"  "&amp;AE67,""))</f>
        <v>3 - 0  (5, 6, 10)</v>
      </c>
      <c r="AE67" s="59" t="str">
        <f t="shared" si="0"/>
        <v>(5, 6, 10)</v>
      </c>
      <c r="AF67" s="59">
        <f t="shared" ref="AF67" si="964">IF(N66&gt;M66,1,0)</f>
        <v>1</v>
      </c>
      <c r="AG67" s="59">
        <f t="shared" ref="AG67" si="965">IF(P66&gt;O66,1,0)</f>
        <v>1</v>
      </c>
      <c r="AH67" s="59">
        <f t="shared" ref="AH67" si="966">IF(R66&gt;Q66,1,0)</f>
        <v>1</v>
      </c>
      <c r="AI67" s="59">
        <f t="shared" ref="AI67" si="967">IF(T66&gt;S66,1,0)</f>
        <v>0</v>
      </c>
      <c r="AJ67" s="59">
        <f t="shared" ref="AJ67" si="968">IF(V66&gt;U66,1,0)</f>
        <v>0</v>
      </c>
      <c r="AK67" s="59">
        <f t="shared" ref="AK67" si="969">IF(X66&gt;W66,1,0)</f>
        <v>0</v>
      </c>
      <c r="AL67" s="59">
        <f t="shared" ref="AL67" si="970">IF(Z66&gt;Y66,1,0)</f>
        <v>0</v>
      </c>
      <c r="AM67" s="59">
        <f t="shared" ref="AM67" si="971">IF(N66&gt;M66,M66,IF(M66&gt;N66,-N66,""))</f>
        <v>5</v>
      </c>
      <c r="AN67" s="59" t="str">
        <f t="shared" ref="AN67" si="972">IF(P66&gt;O66,", "&amp;O66,IF(O66&gt;P66,", "&amp;-P66,""))</f>
        <v>, 6</v>
      </c>
      <c r="AO67" s="59" t="str">
        <f t="shared" ref="AO67" si="973">IF(R66&gt;Q66,", "&amp;Q66,IF(Q66&gt;R66,", "&amp;-R66,""))</f>
        <v>, 10</v>
      </c>
      <c r="AP67" s="59" t="str">
        <f t="shared" ref="AP67" si="974">IF(T66&gt;S66,", "&amp;S66,IF(S66&gt;T66,", "&amp;-T66,""))</f>
        <v/>
      </c>
      <c r="AQ67" s="59" t="str">
        <f t="shared" ref="AQ67" si="975">IF(V66&gt;U66,", "&amp;U66,IF(U66&gt;V66,", "&amp;-V66,""))</f>
        <v/>
      </c>
      <c r="AR67" s="59" t="str">
        <f t="shared" ref="AR67" si="976">IF(X66&gt;W66,", "&amp;W66,IF(W66&gt;X66,", "&amp;-X66,""))</f>
        <v/>
      </c>
      <c r="AS67" s="59" t="str">
        <f t="shared" ref="AS67" si="977">IF(Z66&gt;Y66,", "&amp;Y66,IF(Y66&gt;Z66,", "&amp;-Z66,""))</f>
        <v/>
      </c>
      <c r="AU67" s="63"/>
      <c r="AV67" s="64"/>
      <c r="AW67" s="70"/>
      <c r="AX67" s="103"/>
      <c r="AY67" s="104">
        <v>24</v>
      </c>
      <c r="AZ67" s="87" t="str">
        <f>VLOOKUP(AY67,$A$8:$L$87,6,FALSE)</f>
        <v>4 Julio-- Table</v>
      </c>
      <c r="BA67" s="105"/>
      <c r="BB67" s="100">
        <f>VLOOKUP(BB63,$A$8:$L$91,8,FALSE)</f>
        <v>3717</v>
      </c>
      <c r="BC67" s="100" t="s">
        <v>5</v>
      </c>
      <c r="BD67" s="101" t="s">
        <v>6</v>
      </c>
      <c r="BE67" s="70"/>
      <c r="BF67" s="79"/>
      <c r="BG67" s="90"/>
      <c r="BH67" s="79"/>
      <c r="BI67" s="79"/>
      <c r="BJ67" s="90"/>
      <c r="BK67" s="79"/>
    </row>
    <row r="68" spans="1:63" s="62" customFormat="1" ht="12.75" x14ac:dyDescent="0.25">
      <c r="A68" s="213">
        <v>31</v>
      </c>
      <c r="B68" s="227" t="s">
        <v>260</v>
      </c>
      <c r="C68" s="229" t="s">
        <v>204</v>
      </c>
      <c r="D68" s="229"/>
      <c r="E68" s="208"/>
      <c r="F68" s="231" t="str">
        <f t="shared" si="778"/>
        <v>4 Julio-- Table</v>
      </c>
      <c r="G68" s="208">
        <f>IF(M64="",0,IF(AA64&lt;AB64,G64,H64))</f>
        <v>3423</v>
      </c>
      <c r="H68" s="208">
        <f>IF(M66="",0,IF(AA66&lt;AB66,G66,H66))</f>
        <v>3436</v>
      </c>
      <c r="I68" s="208" t="s">
        <v>12</v>
      </c>
      <c r="J68" s="208" t="s">
        <v>11</v>
      </c>
      <c r="K68" s="208" t="s">
        <v>17</v>
      </c>
      <c r="L68" s="208" t="s">
        <v>18</v>
      </c>
      <c r="M68" s="220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10"/>
      <c r="AA68" s="212" t="str">
        <f t="shared" ref="AA68" si="978">IF(M68+N68&lt;&gt;0,SUM(AF68:AL68),"")</f>
        <v/>
      </c>
      <c r="AB68" s="212" t="str">
        <f t="shared" ref="AB68" si="979">IF(M68+N68&lt;&gt;0,SUM(AF69:AL69),"")</f>
        <v/>
      </c>
      <c r="AC68" s="132" t="str">
        <f t="shared" ref="AC68" si="980">IF(AA68&gt;AB68,AD68&amp;"  "&amp;AE68,IF(AB68&gt;AA68,AD68&amp;"  "&amp;AE69,""))</f>
        <v/>
      </c>
      <c r="AD68" s="132" t="str">
        <f t="shared" ref="AD68" si="981">IF(AA68&gt;AB68,AA68&amp;" - "&amp;AB68,IF(AB68&gt;AA68,AB68&amp;" - "&amp;AA68,""))</f>
        <v/>
      </c>
      <c r="AE68" s="132" t="str">
        <f t="shared" si="0"/>
        <v>()</v>
      </c>
      <c r="AF68" s="132">
        <f t="shared" ref="AF68" si="982">IF(M68&gt;N68,1,0)</f>
        <v>0</v>
      </c>
      <c r="AG68" s="132">
        <f t="shared" ref="AG68" si="983">IF(O68&gt;P68,1,0)</f>
        <v>0</v>
      </c>
      <c r="AH68" s="132">
        <f t="shared" ref="AH68" si="984">IF(Q68&gt;R68,1,0)</f>
        <v>0</v>
      </c>
      <c r="AI68" s="132">
        <f t="shared" ref="AI68" si="985">IF(S68&gt;T68,1,0)</f>
        <v>0</v>
      </c>
      <c r="AJ68" s="132">
        <f t="shared" ref="AJ68" si="986">IF(U68&gt;V68,1,0)</f>
        <v>0</v>
      </c>
      <c r="AK68" s="132">
        <f t="shared" ref="AK68" si="987">IF(W68&gt;X68,1,0)</f>
        <v>0</v>
      </c>
      <c r="AL68" s="132">
        <f t="shared" ref="AL68" si="988">IF(Y68&gt;Z68,1,0)</f>
        <v>0</v>
      </c>
      <c r="AM68" s="59" t="str">
        <f t="shared" ref="AM68" si="989">IF(M68&gt;N68,N68,IF(N68&gt;M68,-M68,""))</f>
        <v/>
      </c>
      <c r="AN68" s="59" t="str">
        <f t="shared" ref="AN68" si="990">IF(O68&gt;P68,", "&amp;P68,IF(P68&gt;O68,", "&amp;-O68,""))</f>
        <v/>
      </c>
      <c r="AO68" s="59" t="str">
        <f t="shared" ref="AO68" si="991">IF(Q68&gt;R68,", "&amp;R68,IF(R68&gt;Q68,", "&amp;-Q68,""))</f>
        <v/>
      </c>
      <c r="AP68" s="59" t="str">
        <f t="shared" ref="AP68" si="992">IF(S68&gt;T68,", "&amp;T68,IF(T68&gt;S68,", "&amp;-S68,""))</f>
        <v/>
      </c>
      <c r="AQ68" s="59" t="str">
        <f t="shared" ref="AQ68" si="993">IF(U68&gt;V68,", "&amp;V68,IF(V68&gt;U68,", "&amp;-U68,""))</f>
        <v/>
      </c>
      <c r="AR68" s="59" t="str">
        <f t="shared" ref="AR68" si="994">IF(W68&gt;X68,", "&amp;X68,IF(X68&gt;W68,", "&amp;-W68,""))</f>
        <v/>
      </c>
      <c r="AS68" s="59" t="str">
        <f t="shared" ref="AS68" si="995">IF(Y68&gt;Z68,", "&amp;Z68,IF(Z68&gt;Y68,", "&amp;-Y68,""))</f>
        <v/>
      </c>
      <c r="AT68" s="133"/>
      <c r="AU68" s="73">
        <f>1+AU66</f>
        <v>31</v>
      </c>
      <c r="AV68" s="74" t="str">
        <f>VLOOKUP(AV69,$A$8:$L$87,7,FALSE)</f>
        <v>X</v>
      </c>
      <c r="AW68" s="75" t="s">
        <v>305</v>
      </c>
      <c r="AX68" s="76" t="s">
        <v>305</v>
      </c>
      <c r="AY68" s="106"/>
      <c r="AZ68" s="70"/>
      <c r="BA68" s="102"/>
      <c r="BB68" s="77"/>
      <c r="BC68" s="78" t="str">
        <f>VLOOKUP(AY67,$A$8:$AD$91,29,FALSE)</f>
        <v>2 - 0  (5, 1)</v>
      </c>
      <c r="BD68" s="78"/>
      <c r="BE68" s="70"/>
      <c r="BF68" s="79"/>
      <c r="BG68" s="90"/>
      <c r="BH68" s="79"/>
      <c r="BI68" s="79"/>
      <c r="BJ68" s="90"/>
      <c r="BK68" s="79"/>
    </row>
    <row r="69" spans="1:63" s="62" customFormat="1" ht="12.75" x14ac:dyDescent="0.25">
      <c r="A69" s="213"/>
      <c r="B69" s="228"/>
      <c r="C69" s="230"/>
      <c r="D69" s="230"/>
      <c r="E69" s="209"/>
      <c r="F69" s="232"/>
      <c r="G69" s="209" t="s">
        <v>255</v>
      </c>
      <c r="H69" s="209" t="s">
        <v>255</v>
      </c>
      <c r="I69" s="209"/>
      <c r="J69" s="209"/>
      <c r="K69" s="209">
        <v>0</v>
      </c>
      <c r="L69" s="209">
        <v>0</v>
      </c>
      <c r="M69" s="221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11"/>
      <c r="AA69" s="212"/>
      <c r="AB69" s="212"/>
      <c r="AC69" s="132"/>
      <c r="AD69" s="132" t="str">
        <f t="shared" ref="AD69" si="996">IF(AA68&gt;AB68,AD68&amp;"  "&amp;AE68,IF(AB68&gt;AA68,AD68&amp;"  "&amp;AE69,""))</f>
        <v/>
      </c>
      <c r="AE69" s="132" t="str">
        <f t="shared" si="0"/>
        <v>()</v>
      </c>
      <c r="AF69" s="132">
        <f t="shared" ref="AF69" si="997">IF(N68&gt;M68,1,0)</f>
        <v>0</v>
      </c>
      <c r="AG69" s="132">
        <f t="shared" ref="AG69" si="998">IF(P68&gt;O68,1,0)</f>
        <v>0</v>
      </c>
      <c r="AH69" s="132">
        <f t="shared" ref="AH69" si="999">IF(R68&gt;Q68,1,0)</f>
        <v>0</v>
      </c>
      <c r="AI69" s="132">
        <f t="shared" ref="AI69" si="1000">IF(T68&gt;S68,1,0)</f>
        <v>0</v>
      </c>
      <c r="AJ69" s="132">
        <f t="shared" ref="AJ69" si="1001">IF(V68&gt;U68,1,0)</f>
        <v>0</v>
      </c>
      <c r="AK69" s="132">
        <f t="shared" ref="AK69" si="1002">IF(X68&gt;W68,1,0)</f>
        <v>0</v>
      </c>
      <c r="AL69" s="132">
        <f t="shared" ref="AL69" si="1003">IF(Z68&gt;Y68,1,0)</f>
        <v>0</v>
      </c>
      <c r="AM69" s="59" t="str">
        <f t="shared" ref="AM69" si="1004">IF(N68&gt;M68,M68,IF(M68&gt;N68,-N68,""))</f>
        <v/>
      </c>
      <c r="AN69" s="59" t="str">
        <f t="shared" ref="AN69" si="1005">IF(P68&gt;O68,", "&amp;O68,IF(O68&gt;P68,", "&amp;-P68,""))</f>
        <v/>
      </c>
      <c r="AO69" s="59" t="str">
        <f t="shared" ref="AO69" si="1006">IF(R68&gt;Q68,", "&amp;Q68,IF(Q68&gt;R68,", "&amp;-R68,""))</f>
        <v/>
      </c>
      <c r="AP69" s="59" t="str">
        <f t="shared" ref="AP69" si="1007">IF(T68&gt;S68,", "&amp;S68,IF(S68&gt;T68,", "&amp;-T68,""))</f>
        <v/>
      </c>
      <c r="AQ69" s="59" t="str">
        <f t="shared" ref="AQ69" si="1008">IF(V68&gt;U68,", "&amp;U68,IF(U68&gt;V68,", "&amp;-V68,""))</f>
        <v/>
      </c>
      <c r="AR69" s="59" t="str">
        <f t="shared" ref="AR69" si="1009">IF(X68&gt;W68,", "&amp;W68,IF(W68&gt;X68,", "&amp;-X68,""))</f>
        <v/>
      </c>
      <c r="AS69" s="59" t="str">
        <f t="shared" ref="AS69" si="1010">IF(Z68&gt;Y68,", "&amp;Y68,IF(Y68&gt;Z68,", "&amp;-Z68,""))</f>
        <v/>
      </c>
      <c r="AT69" s="133"/>
      <c r="AU69" s="63"/>
      <c r="AV69" s="86">
        <v>16</v>
      </c>
      <c r="AW69" s="87" t="str">
        <f>VLOOKUP(AV69,$A$8:$L$87,6,FALSE)</f>
        <v>4 Julio-- Table</v>
      </c>
      <c r="AX69" s="88"/>
      <c r="AY69" s="100">
        <f>VLOOKUP(AY67,$A$8:$L$91,8,FALSE)</f>
        <v>3717</v>
      </c>
      <c r="AZ69" s="100" t="s">
        <v>5</v>
      </c>
      <c r="BA69" s="101" t="s">
        <v>6</v>
      </c>
      <c r="BB69" s="70"/>
      <c r="BC69" s="70"/>
      <c r="BD69" s="71"/>
      <c r="BE69" s="70"/>
      <c r="BF69" s="79"/>
      <c r="BG69" s="90"/>
      <c r="BH69" s="79"/>
      <c r="BI69" s="79"/>
      <c r="BJ69" s="90"/>
      <c r="BK69" s="79"/>
    </row>
    <row r="70" spans="1:63" s="62" customFormat="1" ht="12.75" x14ac:dyDescent="0.25">
      <c r="A70" s="213">
        <v>32</v>
      </c>
      <c r="B70" s="214" t="s">
        <v>261</v>
      </c>
      <c r="C70" s="216" t="s">
        <v>204</v>
      </c>
      <c r="D70" s="216"/>
      <c r="E70" s="193"/>
      <c r="F70" s="218" t="str">
        <f t="shared" si="812"/>
        <v>4 Julio-- Table</v>
      </c>
      <c r="G70" s="193">
        <f>IF(M64="",0,IF(AA64&gt;AB64,G64,H64))</f>
        <v>3756</v>
      </c>
      <c r="H70" s="193">
        <f>IF(M66="",0,IF(AA66&gt;AB66,G66,H66))</f>
        <v>3717</v>
      </c>
      <c r="I70" s="193" t="s">
        <v>9</v>
      </c>
      <c r="J70" s="193" t="s">
        <v>6</v>
      </c>
      <c r="K70" s="193" t="s">
        <v>5</v>
      </c>
      <c r="L70" s="193" t="s">
        <v>6</v>
      </c>
      <c r="M70" s="206">
        <v>9</v>
      </c>
      <c r="N70" s="193">
        <v>11</v>
      </c>
      <c r="O70" s="193">
        <v>12</v>
      </c>
      <c r="P70" s="193">
        <v>14</v>
      </c>
      <c r="Q70" s="193">
        <v>10</v>
      </c>
      <c r="R70" s="193">
        <v>12</v>
      </c>
      <c r="S70" s="193"/>
      <c r="T70" s="193"/>
      <c r="U70" s="193"/>
      <c r="V70" s="193"/>
      <c r="W70" s="193"/>
      <c r="X70" s="193"/>
      <c r="Y70" s="193"/>
      <c r="Z70" s="195"/>
      <c r="AA70" s="59">
        <f t="shared" ref="AA70" si="1011">IF(M70+N70&lt;&gt;0,SUM(AF70:AL70),"")</f>
        <v>0</v>
      </c>
      <c r="AB70" s="59">
        <f t="shared" ref="AB70" si="1012">IF(M70+N70&lt;&gt;0,SUM(AF71:AL71),"")</f>
        <v>3</v>
      </c>
      <c r="AC70" s="59" t="str">
        <f t="shared" ref="AC70" si="1013">IF(AA70&gt;AB70,AD70&amp;"  "&amp;AE70,IF(AB70&gt;AA70,AD70&amp;"  "&amp;AE71,""))</f>
        <v>3 - 0  (9, 12, 10)</v>
      </c>
      <c r="AD70" s="59" t="str">
        <f t="shared" ref="AD70" si="1014">IF(AA70&gt;AB70,AA70&amp;" - "&amp;AB70,IF(AB70&gt;AA70,AB70&amp;" - "&amp;AA70,""))</f>
        <v>3 - 0</v>
      </c>
      <c r="AE70" s="59" t="str">
        <f t="shared" si="0"/>
        <v>(-9, -12, -10)</v>
      </c>
      <c r="AF70" s="59">
        <f t="shared" ref="AF70" si="1015">IF(M70&gt;N70,1,0)</f>
        <v>0</v>
      </c>
      <c r="AG70" s="59">
        <f t="shared" ref="AG70" si="1016">IF(O70&gt;P70,1,0)</f>
        <v>0</v>
      </c>
      <c r="AH70" s="59">
        <f t="shared" ref="AH70" si="1017">IF(Q70&gt;R70,1,0)</f>
        <v>0</v>
      </c>
      <c r="AI70" s="59">
        <f t="shared" ref="AI70" si="1018">IF(S70&gt;T70,1,0)</f>
        <v>0</v>
      </c>
      <c r="AJ70" s="59">
        <f t="shared" ref="AJ70" si="1019">IF(U70&gt;V70,1,0)</f>
        <v>0</v>
      </c>
      <c r="AK70" s="59">
        <f t="shared" ref="AK70" si="1020">IF(W70&gt;X70,1,0)</f>
        <v>0</v>
      </c>
      <c r="AL70" s="59">
        <f t="shared" ref="AL70" si="1021">IF(Y70&gt;Z70,1,0)</f>
        <v>0</v>
      </c>
      <c r="AM70" s="59">
        <f t="shared" ref="AM70" si="1022">IF(M70&gt;N70,N70,IF(N70&gt;M70,-M70,""))</f>
        <v>-9</v>
      </c>
      <c r="AN70" s="59" t="str">
        <f t="shared" ref="AN70" si="1023">IF(O70&gt;P70,", "&amp;P70,IF(P70&gt;O70,", "&amp;-O70,""))</f>
        <v>, -12</v>
      </c>
      <c r="AO70" s="59" t="str">
        <f t="shared" ref="AO70" si="1024">IF(Q70&gt;R70,", "&amp;R70,IF(R70&gt;Q70,", "&amp;-Q70,""))</f>
        <v>, -10</v>
      </c>
      <c r="AP70" s="59" t="str">
        <f t="shared" ref="AP70" si="1025">IF(S70&gt;T70,", "&amp;T70,IF(T70&gt;S70,", "&amp;-S70,""))</f>
        <v/>
      </c>
      <c r="AQ70" s="59" t="str">
        <f t="shared" ref="AQ70" si="1026">IF(U70&gt;V70,", "&amp;V70,IF(V70&gt;U70,", "&amp;-U70,""))</f>
        <v/>
      </c>
      <c r="AR70" s="59" t="str">
        <f t="shared" ref="AR70" si="1027">IF(W70&gt;X70,", "&amp;X70,IF(X70&gt;W70,", "&amp;-W70,""))</f>
        <v/>
      </c>
      <c r="AS70" s="59" t="str">
        <f t="shared" ref="AS70" si="1028">IF(Y70&gt;Z70,", "&amp;Z70,IF(Z70&gt;Y70,", "&amp;-Y70,""))</f>
        <v/>
      </c>
      <c r="AU70" s="73">
        <f>1+AU68</f>
        <v>32</v>
      </c>
      <c r="AV70" s="99">
        <f>VLOOKUP(AV69,$A$8:$L$87,8,FALSE)</f>
        <v>3717</v>
      </c>
      <c r="AW70" s="100" t="s">
        <v>5</v>
      </c>
      <c r="AX70" s="101" t="s">
        <v>6</v>
      </c>
      <c r="AY70" s="77"/>
      <c r="AZ70" s="78" t="str">
        <f>VLOOKUP(AV69,$A$8:$AD$91,29,FALSE)</f>
        <v>1 - 0  (0)</v>
      </c>
      <c r="BA70" s="78"/>
      <c r="BB70" s="70"/>
      <c r="BC70" s="70"/>
      <c r="BD70" s="71"/>
      <c r="BE70" s="79"/>
      <c r="BF70" s="79"/>
      <c r="BG70" s="90"/>
      <c r="BH70" s="79"/>
      <c r="BI70" s="79"/>
      <c r="BJ70" s="90"/>
      <c r="BK70" s="79"/>
    </row>
    <row r="71" spans="1:63" s="62" customFormat="1" ht="13.5" thickBot="1" x14ac:dyDescent="0.3">
      <c r="A71" s="213"/>
      <c r="B71" s="215"/>
      <c r="C71" s="217"/>
      <c r="D71" s="217"/>
      <c r="E71" s="194"/>
      <c r="F71" s="219"/>
      <c r="G71" s="194" t="s">
        <v>255</v>
      </c>
      <c r="H71" s="194" t="s">
        <v>255</v>
      </c>
      <c r="I71" s="194"/>
      <c r="J71" s="194"/>
      <c r="K71" s="194">
        <v>0</v>
      </c>
      <c r="L71" s="194">
        <v>0</v>
      </c>
      <c r="M71" s="207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6"/>
      <c r="AA71" s="59"/>
      <c r="AB71" s="59"/>
      <c r="AC71" s="59"/>
      <c r="AD71" s="59" t="str">
        <f t="shared" ref="AD71" si="1029">IF(AA70&gt;AB70,AD70&amp;"  "&amp;AE70,IF(AB70&gt;AA70,AD70&amp;"  "&amp;AE71,""))</f>
        <v>3 - 0  (9, 12, 10)</v>
      </c>
      <c r="AE71" s="59" t="str">
        <f t="shared" si="0"/>
        <v>(9, 12, 10)</v>
      </c>
      <c r="AF71" s="59">
        <f t="shared" ref="AF71" si="1030">IF(N70&gt;M70,1,0)</f>
        <v>1</v>
      </c>
      <c r="AG71" s="59">
        <f t="shared" ref="AG71" si="1031">IF(P70&gt;O70,1,0)</f>
        <v>1</v>
      </c>
      <c r="AH71" s="59">
        <f t="shared" ref="AH71" si="1032">IF(R70&gt;Q70,1,0)</f>
        <v>1</v>
      </c>
      <c r="AI71" s="59">
        <f t="shared" ref="AI71" si="1033">IF(T70&gt;S70,1,0)</f>
        <v>0</v>
      </c>
      <c r="AJ71" s="59">
        <f t="shared" ref="AJ71" si="1034">IF(V70&gt;U70,1,0)</f>
        <v>0</v>
      </c>
      <c r="AK71" s="59">
        <f t="shared" ref="AK71" si="1035">IF(X70&gt;W70,1,0)</f>
        <v>0</v>
      </c>
      <c r="AL71" s="59">
        <f t="shared" ref="AL71" si="1036">IF(Z70&gt;Y70,1,0)</f>
        <v>0</v>
      </c>
      <c r="AM71" s="59">
        <f t="shared" ref="AM71" si="1037">IF(N70&gt;M70,M70,IF(M70&gt;N70,-N70,""))</f>
        <v>9</v>
      </c>
      <c r="AN71" s="59" t="str">
        <f t="shared" ref="AN71" si="1038">IF(P70&gt;O70,", "&amp;O70,IF(O70&gt;P70,", "&amp;-P70,""))</f>
        <v>, 12</v>
      </c>
      <c r="AO71" s="59" t="str">
        <f t="shared" ref="AO71" si="1039">IF(R70&gt;Q70,", "&amp;Q70,IF(Q70&gt;R70,", "&amp;-R70,""))</f>
        <v>, 10</v>
      </c>
      <c r="AP71" s="59" t="str">
        <f t="shared" ref="AP71" si="1040">IF(T70&gt;S70,", "&amp;S70,IF(S70&gt;T70,", "&amp;-T70,""))</f>
        <v/>
      </c>
      <c r="AQ71" s="59" t="str">
        <f t="shared" ref="AQ71" si="1041">IF(V70&gt;U70,", "&amp;U70,IF(U70&gt;V70,", "&amp;-V70,""))</f>
        <v/>
      </c>
      <c r="AR71" s="59" t="str">
        <f t="shared" ref="AR71" si="1042">IF(X70&gt;W70,", "&amp;W70,IF(W70&gt;X70,", "&amp;-X70,""))</f>
        <v/>
      </c>
      <c r="AS71" s="59" t="str">
        <f t="shared" ref="AS71" si="1043">IF(Z70&gt;Y70,", "&amp;Y70,IF(Y70&gt;Z70,", "&amp;-Z70,""))</f>
        <v/>
      </c>
      <c r="AU71" s="73"/>
      <c r="AV71" s="64"/>
      <c r="AW71" s="79"/>
      <c r="AX71" s="90"/>
      <c r="AY71" s="79"/>
      <c r="AZ71" s="79"/>
      <c r="BA71" s="90"/>
      <c r="BB71" s="79"/>
      <c r="BC71" s="79"/>
      <c r="BD71" s="90"/>
      <c r="BE71" s="79"/>
      <c r="BF71" s="79"/>
      <c r="BG71" s="90"/>
      <c r="BH71" s="79"/>
      <c r="BI71" s="79"/>
      <c r="BJ71" s="90"/>
      <c r="BK71" s="79"/>
    </row>
    <row r="72" spans="1:63" s="62" customFormat="1" ht="12.75" x14ac:dyDescent="0.25">
      <c r="A72" s="59"/>
      <c r="B72" s="197" t="s">
        <v>262</v>
      </c>
      <c r="C72" s="198"/>
      <c r="D72" s="198"/>
      <c r="E72" s="203"/>
      <c r="F72" s="59"/>
      <c r="G72" s="193">
        <f>IF(M68="",0,IF(AA68&gt;AB68,G68,H68))</f>
        <v>0</v>
      </c>
      <c r="H72" s="59"/>
      <c r="I72" s="193">
        <v>0</v>
      </c>
      <c r="J72" s="193">
        <v>0</v>
      </c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U72" s="73"/>
      <c r="AV72" s="64"/>
      <c r="AW72" s="70"/>
      <c r="AX72" s="90"/>
      <c r="AY72" s="79"/>
      <c r="AZ72" s="79"/>
      <c r="BA72" s="90"/>
      <c r="BD72" s="69"/>
      <c r="BG72" s="69"/>
      <c r="BJ72" s="69"/>
    </row>
    <row r="73" spans="1:63" s="62" customFormat="1" ht="12.75" x14ac:dyDescent="0.25">
      <c r="A73" s="59"/>
      <c r="B73" s="199"/>
      <c r="C73" s="200"/>
      <c r="D73" s="200"/>
      <c r="E73" s="204"/>
      <c r="F73" s="59"/>
      <c r="G73" s="194" t="s">
        <v>255</v>
      </c>
      <c r="H73" s="59"/>
      <c r="I73" s="194"/>
      <c r="J73" s="194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U73" s="73"/>
      <c r="AV73" s="64"/>
      <c r="AW73" s="70"/>
      <c r="AX73" s="90"/>
      <c r="AY73" s="79"/>
      <c r="AZ73" s="79"/>
      <c r="BA73" s="90"/>
      <c r="BD73" s="69"/>
      <c r="BG73" s="69"/>
      <c r="BJ73" s="69"/>
    </row>
    <row r="74" spans="1:63" s="62" customFormat="1" ht="12.75" x14ac:dyDescent="0.25">
      <c r="A74" s="59"/>
      <c r="B74" s="199"/>
      <c r="C74" s="200"/>
      <c r="D74" s="200"/>
      <c r="E74" s="204"/>
      <c r="F74" s="59"/>
      <c r="G74" s="193">
        <f>IF(M70="",0,IF(AA70&gt;AB70,G70,H70))</f>
        <v>3717</v>
      </c>
      <c r="H74" s="59"/>
      <c r="I74" s="193" t="s">
        <v>5</v>
      </c>
      <c r="J74" s="193" t="s">
        <v>6</v>
      </c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V74" s="64"/>
      <c r="AW74" s="79"/>
      <c r="AX74" s="90"/>
      <c r="AY74" s="79"/>
      <c r="AZ74" s="79"/>
      <c r="BA74" s="90"/>
      <c r="BD74" s="69"/>
      <c r="BG74" s="69"/>
      <c r="BJ74" s="69"/>
    </row>
    <row r="75" spans="1:63" s="62" customFormat="1" ht="13.5" thickBot="1" x14ac:dyDescent="0.3">
      <c r="A75" s="59"/>
      <c r="B75" s="201"/>
      <c r="C75" s="202"/>
      <c r="D75" s="202"/>
      <c r="E75" s="205"/>
      <c r="F75" s="59"/>
      <c r="G75" s="194" t="s">
        <v>255</v>
      </c>
      <c r="H75" s="59"/>
      <c r="I75" s="194"/>
      <c r="J75" s="194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V75" s="64"/>
      <c r="AW75" s="79"/>
      <c r="AX75" s="90"/>
      <c r="AY75" s="79"/>
      <c r="AZ75" s="79"/>
      <c r="BA75" s="90"/>
      <c r="BD75" s="69"/>
      <c r="BE75" s="134">
        <f>VLOOKUP(BE76,$A$8:$L$91,7,FALSE)</f>
        <v>3423</v>
      </c>
      <c r="BF75" s="135" t="s">
        <v>12</v>
      </c>
      <c r="BG75" s="136" t="s">
        <v>11</v>
      </c>
      <c r="BH75" s="137"/>
      <c r="BI75" s="59" t="s">
        <v>263</v>
      </c>
      <c r="BJ75" s="59"/>
    </row>
    <row r="76" spans="1:63" s="62" customFormat="1" ht="12.75" x14ac:dyDescent="0.25">
      <c r="A76" s="59"/>
      <c r="B76" s="59"/>
      <c r="C76" s="59"/>
      <c r="D76" s="60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V76" s="64"/>
      <c r="AW76" s="79"/>
      <c r="AX76" s="90"/>
      <c r="AY76" s="79"/>
      <c r="AZ76" s="79"/>
      <c r="BA76" s="90"/>
      <c r="BD76" s="69"/>
      <c r="BE76" s="138">
        <v>31</v>
      </c>
      <c r="BF76" s="132" t="str">
        <f>VLOOKUP(BE76,$A$8:$L$87,6,FALSE)</f>
        <v>4 Julio-- Table</v>
      </c>
      <c r="BG76" s="139"/>
      <c r="BH76" s="140">
        <f>G72</f>
        <v>0</v>
      </c>
      <c r="BI76" s="141">
        <v>0</v>
      </c>
      <c r="BJ76" s="142">
        <v>0</v>
      </c>
    </row>
    <row r="77" spans="1:63" s="62" customFormat="1" ht="12.75" hidden="1" x14ac:dyDescent="0.25">
      <c r="A77" s="59"/>
      <c r="B77" s="59"/>
      <c r="C77" s="59"/>
      <c r="D77" s="60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V77" s="64"/>
      <c r="AW77" s="79"/>
      <c r="AX77" s="90"/>
      <c r="AY77" s="79"/>
      <c r="AZ77" s="79"/>
      <c r="BA77" s="90"/>
      <c r="BD77" s="69"/>
      <c r="BE77" s="143">
        <f>VLOOKUP(BE76,$A$8:$L$1449,8,FALSE)</f>
        <v>3436</v>
      </c>
      <c r="BF77" s="144" t="s">
        <v>17</v>
      </c>
      <c r="BG77" s="145" t="s">
        <v>18</v>
      </c>
      <c r="BH77" s="146"/>
      <c r="BI77" s="147" t="str">
        <f>VLOOKUP(BE76,$A$8:$AD$91,29,FALSE)</f>
        <v/>
      </c>
      <c r="BJ77" s="147"/>
    </row>
    <row r="78" spans="1:63" s="62" customFormat="1" ht="12.75" hidden="1" x14ac:dyDescent="0.25">
      <c r="A78" s="59"/>
      <c r="B78" s="59"/>
      <c r="C78" s="59"/>
      <c r="D78" s="60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V78" s="64"/>
      <c r="AW78" s="79"/>
      <c r="AX78" s="90"/>
      <c r="AY78" s="79"/>
      <c r="AZ78" s="79"/>
      <c r="BA78" s="90"/>
      <c r="BD78" s="69"/>
      <c r="BG78" s="69"/>
      <c r="BJ78" s="69"/>
    </row>
    <row r="79" spans="1:63" s="62" customFormat="1" ht="12.75" hidden="1" x14ac:dyDescent="0.25">
      <c r="A79" s="59"/>
      <c r="B79" s="59"/>
      <c r="C79" s="59"/>
      <c r="D79" s="60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V79" s="64"/>
      <c r="AW79" s="79"/>
      <c r="AX79" s="90"/>
      <c r="AY79" s="79"/>
      <c r="AZ79" s="79"/>
      <c r="BA79" s="90"/>
      <c r="BD79" s="69"/>
      <c r="BG79" s="69"/>
      <c r="BJ79" s="69"/>
    </row>
    <row r="80" spans="1:63" s="62" customFormat="1" ht="12.75" hidden="1" x14ac:dyDescent="0.25">
      <c r="A80" s="59"/>
      <c r="B80" s="59"/>
      <c r="C80" s="59"/>
      <c r="D80" s="60" t="s">
        <v>264</v>
      </c>
      <c r="E80" s="59">
        <v>1</v>
      </c>
      <c r="F80" s="59"/>
      <c r="G80" s="132">
        <f>G74</f>
        <v>3717</v>
      </c>
      <c r="H80" s="59"/>
      <c r="I80" s="59" t="s">
        <v>5</v>
      </c>
      <c r="J80" s="59" t="s">
        <v>6</v>
      </c>
      <c r="K80" s="148">
        <f>G64</f>
        <v>3423</v>
      </c>
      <c r="L80" s="149">
        <f>H64</f>
        <v>3756</v>
      </c>
      <c r="M80" s="185" t="s">
        <v>265</v>
      </c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V80" s="64"/>
      <c r="AW80" s="79"/>
      <c r="AX80" s="90"/>
      <c r="AY80" s="79"/>
      <c r="AZ80" s="79"/>
      <c r="BA80" s="90"/>
      <c r="BD80" s="69"/>
      <c r="BG80" s="69"/>
      <c r="BJ80" s="69"/>
    </row>
    <row r="81" spans="1:62" s="62" customFormat="1" ht="12.75" hidden="1" x14ac:dyDescent="0.25">
      <c r="A81" s="59"/>
      <c r="B81" s="59"/>
      <c r="C81" s="59"/>
      <c r="D81" s="60" t="s">
        <v>266</v>
      </c>
      <c r="E81" s="59">
        <v>2</v>
      </c>
      <c r="F81" s="59"/>
      <c r="G81" s="132">
        <f>IF(G80=G70,H70,G70)</f>
        <v>3756</v>
      </c>
      <c r="H81" s="59"/>
      <c r="I81" s="59" t="s">
        <v>9</v>
      </c>
      <c r="J81" s="59" t="s">
        <v>6</v>
      </c>
      <c r="K81" s="150">
        <f>H64</f>
        <v>3756</v>
      </c>
      <c r="L81" s="151">
        <f>G64</f>
        <v>3423</v>
      </c>
      <c r="M81" s="186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V81" s="64"/>
      <c r="AW81" s="79"/>
      <c r="AX81" s="90"/>
      <c r="AY81" s="79"/>
      <c r="AZ81" s="79"/>
      <c r="BA81" s="90"/>
      <c r="BD81" s="69"/>
      <c r="BG81" s="69"/>
      <c r="BJ81" s="69"/>
    </row>
    <row r="82" spans="1:62" s="62" customFormat="1" ht="12.75" hidden="1" x14ac:dyDescent="0.25">
      <c r="A82" s="59"/>
      <c r="B82" s="59"/>
      <c r="C82" s="59"/>
      <c r="D82" s="60" t="s">
        <v>267</v>
      </c>
      <c r="E82" s="59">
        <v>3</v>
      </c>
      <c r="F82" s="59"/>
      <c r="G82" s="132">
        <f>IF(E72=1,G72,VLOOKUP(G80,K80:L83,2,FALSE))</f>
        <v>3436</v>
      </c>
      <c r="H82" s="59"/>
      <c r="I82" s="59" t="s">
        <v>17</v>
      </c>
      <c r="J82" s="59" t="s">
        <v>18</v>
      </c>
      <c r="K82" s="150">
        <f>G66</f>
        <v>3436</v>
      </c>
      <c r="L82" s="151">
        <f>H66</f>
        <v>3717</v>
      </c>
      <c r="M82" s="186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V82" s="64"/>
      <c r="AW82" s="79"/>
      <c r="AX82" s="90"/>
      <c r="AY82" s="79"/>
      <c r="AZ82" s="79"/>
      <c r="BA82" s="90"/>
      <c r="BD82" s="69"/>
      <c r="BG82" s="69"/>
      <c r="BJ82" s="69"/>
    </row>
    <row r="83" spans="1:62" s="62" customFormat="1" ht="12.75" hidden="1" x14ac:dyDescent="0.25">
      <c r="A83" s="59"/>
      <c r="B83" s="59"/>
      <c r="C83" s="59"/>
      <c r="D83" s="60" t="s">
        <v>268</v>
      </c>
      <c r="E83" s="59">
        <v>4</v>
      </c>
      <c r="F83" s="59"/>
      <c r="G83" s="132">
        <f>IF(G82=G68,H68,G68)</f>
        <v>3423</v>
      </c>
      <c r="H83" s="59"/>
      <c r="I83" s="59" t="s">
        <v>12</v>
      </c>
      <c r="J83" s="59" t="s">
        <v>11</v>
      </c>
      <c r="K83" s="152">
        <f>H66</f>
        <v>3717</v>
      </c>
      <c r="L83" s="153">
        <f>G66</f>
        <v>3436</v>
      </c>
      <c r="M83" s="187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V83" s="64"/>
      <c r="AW83" s="79"/>
      <c r="AX83" s="90"/>
      <c r="AY83" s="79"/>
      <c r="AZ83" s="79"/>
      <c r="BA83" s="90"/>
      <c r="BD83" s="69"/>
      <c r="BG83" s="69"/>
      <c r="BJ83" s="69"/>
    </row>
    <row r="84" spans="1:62" s="62" customFormat="1" ht="12.75" hidden="1" x14ac:dyDescent="0.25">
      <c r="A84" s="59"/>
      <c r="B84" s="59"/>
      <c r="C84" s="59"/>
      <c r="D84" s="60"/>
      <c r="E84" s="59"/>
      <c r="F84" s="59"/>
      <c r="G84" s="59"/>
      <c r="H84" s="59"/>
      <c r="I84" s="59"/>
      <c r="J84" s="59"/>
      <c r="K84" s="148">
        <f>G56</f>
        <v>4176</v>
      </c>
      <c r="L84" s="149">
        <f>H56</f>
        <v>3423</v>
      </c>
      <c r="M84" s="188" t="s">
        <v>269</v>
      </c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V84" s="64"/>
      <c r="AW84" s="79"/>
      <c r="AX84" s="90"/>
      <c r="AY84" s="79"/>
      <c r="AZ84" s="79"/>
      <c r="BA84" s="90"/>
      <c r="BD84" s="69"/>
      <c r="BG84" s="69"/>
      <c r="BJ84" s="69"/>
    </row>
    <row r="85" spans="1:62" s="62" customFormat="1" ht="12.75" hidden="1" x14ac:dyDescent="0.25">
      <c r="A85" s="59"/>
      <c r="B85" s="59"/>
      <c r="C85" s="59"/>
      <c r="D85" s="60"/>
      <c r="E85" s="59"/>
      <c r="F85" s="59"/>
      <c r="G85" s="59"/>
      <c r="H85" s="59"/>
      <c r="I85" s="59"/>
      <c r="J85" s="59"/>
      <c r="K85" s="150">
        <f>H56</f>
        <v>3423</v>
      </c>
      <c r="L85" s="151">
        <f>G56</f>
        <v>4176</v>
      </c>
      <c r="M85" s="18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V85" s="64"/>
      <c r="AW85" s="79"/>
      <c r="AX85" s="90"/>
      <c r="AY85" s="79"/>
      <c r="AZ85" s="79"/>
      <c r="BA85" s="90"/>
      <c r="BD85" s="69"/>
      <c r="BG85" s="69"/>
      <c r="BJ85" s="69"/>
    </row>
    <row r="86" spans="1:62" s="62" customFormat="1" ht="10.7" hidden="1" customHeight="1" x14ac:dyDescent="0.25">
      <c r="A86" s="59"/>
      <c r="B86" s="59"/>
      <c r="C86" s="59"/>
      <c r="D86" s="60"/>
      <c r="E86" s="59"/>
      <c r="F86" s="59"/>
      <c r="G86" s="59"/>
      <c r="H86" s="59"/>
      <c r="I86" s="59"/>
      <c r="J86" s="59"/>
      <c r="K86" s="150">
        <f>G58</f>
        <v>4159</v>
      </c>
      <c r="L86" s="151">
        <f>H58</f>
        <v>3756</v>
      </c>
      <c r="M86" s="18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V86" s="64"/>
      <c r="AW86" s="79"/>
      <c r="AX86" s="90"/>
      <c r="AY86" s="79"/>
      <c r="AZ86" s="79"/>
      <c r="BA86" s="90"/>
      <c r="BD86" s="69"/>
      <c r="BG86" s="69"/>
      <c r="BJ86" s="69"/>
    </row>
    <row r="87" spans="1:62" s="62" customFormat="1" ht="10.7" hidden="1" customHeight="1" x14ac:dyDescent="0.25">
      <c r="A87" s="59"/>
      <c r="B87" s="59"/>
      <c r="C87" s="59"/>
      <c r="D87" s="60"/>
      <c r="E87" s="59"/>
      <c r="F87" s="59"/>
      <c r="G87" s="59"/>
      <c r="H87" s="59"/>
      <c r="I87" s="59"/>
      <c r="J87" s="59"/>
      <c r="K87" s="150">
        <f>H58</f>
        <v>3756</v>
      </c>
      <c r="L87" s="151">
        <f>G58</f>
        <v>4159</v>
      </c>
      <c r="M87" s="18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V87" s="64"/>
      <c r="AW87" s="79"/>
      <c r="AX87" s="90"/>
      <c r="AY87" s="79"/>
      <c r="AZ87" s="79"/>
      <c r="BA87" s="90"/>
      <c r="BD87" s="69"/>
      <c r="BG87" s="69"/>
      <c r="BJ87" s="69"/>
    </row>
    <row r="88" spans="1:62" s="62" customFormat="1" ht="10.7" hidden="1" customHeight="1" x14ac:dyDescent="0.25">
      <c r="A88" s="59"/>
      <c r="B88" s="59"/>
      <c r="C88" s="59"/>
      <c r="D88" s="60" t="s">
        <v>270</v>
      </c>
      <c r="E88" s="59"/>
      <c r="F88" s="59"/>
      <c r="G88" s="132">
        <f>VLOOKUP(G80,K84:L91,2,FALSE)</f>
        <v>3909</v>
      </c>
      <c r="H88" s="59"/>
      <c r="I88" s="59" t="s">
        <v>13</v>
      </c>
      <c r="J88" s="59" t="s">
        <v>11</v>
      </c>
      <c r="K88" s="150">
        <f>G60</f>
        <v>3918</v>
      </c>
      <c r="L88" s="151">
        <f>H60</f>
        <v>3436</v>
      </c>
      <c r="M88" s="18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V88" s="64"/>
      <c r="AW88" s="79"/>
      <c r="AX88" s="90"/>
      <c r="AY88" s="79"/>
      <c r="AZ88" s="79"/>
      <c r="BA88" s="90"/>
      <c r="BD88" s="69"/>
      <c r="BG88" s="69"/>
      <c r="BJ88" s="69"/>
    </row>
    <row r="89" spans="1:62" s="62" customFormat="1" ht="10.7" hidden="1" customHeight="1" x14ac:dyDescent="0.25">
      <c r="A89" s="59"/>
      <c r="B89" s="59"/>
      <c r="C89" s="59"/>
      <c r="D89" s="60" t="s">
        <v>271</v>
      </c>
      <c r="E89" s="59"/>
      <c r="F89" s="59"/>
      <c r="G89" s="132">
        <f>VLOOKUP(G81,K84:L91,2,FALSE)</f>
        <v>4159</v>
      </c>
      <c r="H89" s="59"/>
      <c r="I89" s="59" t="s">
        <v>16</v>
      </c>
      <c r="J89" s="59" t="s">
        <v>11</v>
      </c>
      <c r="K89" s="150">
        <f>H60</f>
        <v>3436</v>
      </c>
      <c r="L89" s="151">
        <f>G60</f>
        <v>3918</v>
      </c>
      <c r="M89" s="18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V89" s="64"/>
      <c r="AW89" s="79"/>
      <c r="AX89" s="90"/>
      <c r="AY89" s="79"/>
      <c r="AZ89" s="79"/>
      <c r="BA89" s="90"/>
      <c r="BD89" s="69"/>
      <c r="BG89" s="69"/>
      <c r="BJ89" s="69"/>
    </row>
    <row r="90" spans="1:62" s="62" customFormat="1" ht="10.7" hidden="1" customHeight="1" x14ac:dyDescent="0.25">
      <c r="A90" s="59"/>
      <c r="B90" s="59"/>
      <c r="C90" s="59"/>
      <c r="D90" s="60" t="s">
        <v>272</v>
      </c>
      <c r="E90" s="59"/>
      <c r="F90" s="59"/>
      <c r="G90" s="132">
        <f>VLOOKUP(G82,K84:L91,2,FALSE)</f>
        <v>3918</v>
      </c>
      <c r="H90" s="59"/>
      <c r="I90" s="59" t="s">
        <v>10</v>
      </c>
      <c r="J90" s="59" t="s">
        <v>11</v>
      </c>
      <c r="K90" s="150">
        <f>G62</f>
        <v>3909</v>
      </c>
      <c r="L90" s="151">
        <f>H62</f>
        <v>3717</v>
      </c>
      <c r="M90" s="18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V90" s="64"/>
      <c r="AW90" s="79"/>
      <c r="AX90" s="90"/>
      <c r="AY90" s="79"/>
      <c r="AZ90" s="79"/>
      <c r="BA90" s="90"/>
      <c r="BD90" s="69"/>
      <c r="BG90" s="69"/>
      <c r="BJ90" s="69"/>
    </row>
    <row r="91" spans="1:62" s="62" customFormat="1" ht="10.7" hidden="1" customHeight="1" x14ac:dyDescent="0.25">
      <c r="A91" s="59"/>
      <c r="B91" s="59"/>
      <c r="C91" s="59"/>
      <c r="D91" s="60" t="s">
        <v>273</v>
      </c>
      <c r="E91" s="59"/>
      <c r="F91" s="59"/>
      <c r="G91" s="132">
        <f>VLOOKUP(G83,K84:L91,2,FALSE)</f>
        <v>4176</v>
      </c>
      <c r="H91" s="59"/>
      <c r="I91" s="59" t="s">
        <v>19</v>
      </c>
      <c r="J91" s="59" t="s">
        <v>11</v>
      </c>
      <c r="K91" s="152">
        <f>H62</f>
        <v>3717</v>
      </c>
      <c r="L91" s="153">
        <f>G62</f>
        <v>3909</v>
      </c>
      <c r="M91" s="190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V91" s="64"/>
      <c r="AW91" s="79"/>
      <c r="AX91" s="90"/>
      <c r="AY91" s="79"/>
      <c r="AZ91" s="79"/>
      <c r="BA91" s="90"/>
      <c r="BD91" s="69"/>
      <c r="BG91" s="69"/>
      <c r="BJ91" s="69"/>
    </row>
    <row r="92" spans="1:62" s="62" customFormat="1" ht="10.7" hidden="1" customHeight="1" x14ac:dyDescent="0.25">
      <c r="A92" s="59"/>
      <c r="B92" s="59"/>
      <c r="C92" s="59"/>
      <c r="D92" s="60"/>
      <c r="E92" s="59"/>
      <c r="F92" s="59"/>
      <c r="G92" s="59"/>
      <c r="H92" s="59"/>
      <c r="I92" s="59"/>
      <c r="J92" s="59"/>
      <c r="K92" s="148">
        <f>G40</f>
        <v>3498</v>
      </c>
      <c r="L92" s="149">
        <f>H40</f>
        <v>4176</v>
      </c>
      <c r="M92" s="189" t="s">
        <v>274</v>
      </c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V92" s="64"/>
      <c r="AW92" s="79"/>
      <c r="AX92" s="90"/>
      <c r="AY92" s="79"/>
      <c r="AZ92" s="79"/>
      <c r="BA92" s="90"/>
      <c r="BD92" s="69"/>
      <c r="BG92" s="69"/>
      <c r="BJ92" s="69"/>
    </row>
    <row r="93" spans="1:62" s="62" customFormat="1" ht="10.7" hidden="1" customHeight="1" x14ac:dyDescent="0.25">
      <c r="A93" s="59"/>
      <c r="B93" s="59"/>
      <c r="C93" s="59"/>
      <c r="D93" s="60"/>
      <c r="E93" s="59"/>
      <c r="F93" s="59"/>
      <c r="G93" s="59"/>
      <c r="H93" s="59"/>
      <c r="I93" s="59"/>
      <c r="J93" s="59"/>
      <c r="K93" s="150">
        <f>H40</f>
        <v>4176</v>
      </c>
      <c r="L93" s="151">
        <f>G40</f>
        <v>3498</v>
      </c>
      <c r="M93" s="18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V93" s="64"/>
      <c r="AW93" s="79"/>
      <c r="AX93" s="90"/>
      <c r="AY93" s="79"/>
      <c r="AZ93" s="79"/>
      <c r="BA93" s="90"/>
      <c r="BD93" s="69"/>
      <c r="BG93" s="69"/>
      <c r="BJ93" s="69"/>
    </row>
    <row r="94" spans="1:62" s="62" customFormat="1" ht="10.7" hidden="1" customHeight="1" x14ac:dyDescent="0.25">
      <c r="A94" s="59"/>
      <c r="B94" s="59"/>
      <c r="C94" s="59"/>
      <c r="D94" s="60"/>
      <c r="E94" s="59"/>
      <c r="F94" s="59"/>
      <c r="G94" s="59"/>
      <c r="H94" s="59"/>
      <c r="I94" s="59"/>
      <c r="J94" s="59"/>
      <c r="K94" s="150">
        <f>G42</f>
        <v>4047</v>
      </c>
      <c r="L94" s="151">
        <f>H42</f>
        <v>3423</v>
      </c>
      <c r="M94" s="18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V94" s="64"/>
      <c r="AW94" s="79"/>
      <c r="AX94" s="90"/>
      <c r="AY94" s="79"/>
      <c r="AZ94" s="79"/>
      <c r="BA94" s="90"/>
      <c r="BD94" s="69"/>
      <c r="BG94" s="69"/>
      <c r="BJ94" s="69"/>
    </row>
    <row r="95" spans="1:62" s="62" customFormat="1" ht="10.7" hidden="1" customHeight="1" x14ac:dyDescent="0.25">
      <c r="A95" s="59"/>
      <c r="B95" s="59"/>
      <c r="C95" s="59"/>
      <c r="D95" s="60"/>
      <c r="E95" s="59"/>
      <c r="F95" s="59"/>
      <c r="G95" s="59"/>
      <c r="H95" s="59"/>
      <c r="I95" s="59"/>
      <c r="J95" s="59"/>
      <c r="K95" s="150">
        <f>H42</f>
        <v>3423</v>
      </c>
      <c r="L95" s="151">
        <f>G42</f>
        <v>4047</v>
      </c>
      <c r="M95" s="18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V95" s="64"/>
      <c r="AW95" s="79"/>
      <c r="AX95" s="90"/>
      <c r="AY95" s="79"/>
      <c r="AZ95" s="79"/>
      <c r="BA95" s="90"/>
      <c r="BD95" s="69"/>
      <c r="BG95" s="69"/>
      <c r="BJ95" s="69"/>
    </row>
    <row r="96" spans="1:62" s="62" customFormat="1" ht="10.7" hidden="1" customHeight="1" x14ac:dyDescent="0.25">
      <c r="A96" s="59"/>
      <c r="B96" s="59"/>
      <c r="C96" s="59"/>
      <c r="D96" s="60"/>
      <c r="E96" s="59"/>
      <c r="F96" s="59"/>
      <c r="G96" s="59"/>
      <c r="H96" s="59"/>
      <c r="I96" s="59"/>
      <c r="J96" s="59"/>
      <c r="K96" s="150">
        <f>G44</f>
        <v>3828</v>
      </c>
      <c r="L96" s="151">
        <f>H44</f>
        <v>4159</v>
      </c>
      <c r="M96" s="18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V96" s="64"/>
      <c r="AW96" s="79"/>
      <c r="AX96" s="90"/>
      <c r="AY96" s="79"/>
      <c r="AZ96" s="79"/>
      <c r="BA96" s="90"/>
      <c r="BD96" s="69"/>
      <c r="BG96" s="69"/>
      <c r="BJ96" s="69"/>
    </row>
    <row r="97" spans="1:62" s="62" customFormat="1" ht="10.7" hidden="1" customHeight="1" x14ac:dyDescent="0.25">
      <c r="A97" s="59"/>
      <c r="B97" s="59"/>
      <c r="C97" s="59"/>
      <c r="D97" s="60"/>
      <c r="E97" s="59"/>
      <c r="F97" s="59"/>
      <c r="G97" s="59"/>
      <c r="H97" s="59"/>
      <c r="I97" s="59"/>
      <c r="J97" s="59"/>
      <c r="K97" s="150">
        <f>H44</f>
        <v>4159</v>
      </c>
      <c r="L97" s="151">
        <f>G44</f>
        <v>3828</v>
      </c>
      <c r="M97" s="18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V97" s="64"/>
      <c r="AW97" s="79"/>
      <c r="AX97" s="90"/>
      <c r="AY97" s="79"/>
      <c r="AZ97" s="79"/>
      <c r="BA97" s="90"/>
      <c r="BD97" s="69"/>
      <c r="BG97" s="69"/>
      <c r="BJ97" s="69"/>
    </row>
    <row r="98" spans="1:62" s="62" customFormat="1" ht="10.7" hidden="1" customHeight="1" x14ac:dyDescent="0.25">
      <c r="A98" s="59"/>
      <c r="B98" s="59"/>
      <c r="C98" s="59"/>
      <c r="D98" s="60"/>
      <c r="E98" s="59"/>
      <c r="F98" s="59"/>
      <c r="G98" s="59"/>
      <c r="H98" s="59"/>
      <c r="I98" s="59"/>
      <c r="J98" s="59"/>
      <c r="K98" s="150">
        <f>G46</f>
        <v>4048</v>
      </c>
      <c r="L98" s="151">
        <f>H46</f>
        <v>3756</v>
      </c>
      <c r="M98" s="18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V98" s="64"/>
      <c r="AW98" s="79"/>
      <c r="AX98" s="90"/>
      <c r="AY98" s="79"/>
      <c r="AZ98" s="79"/>
      <c r="BA98" s="90"/>
      <c r="BD98" s="69"/>
      <c r="BG98" s="69"/>
      <c r="BJ98" s="69"/>
    </row>
    <row r="99" spans="1:62" s="62" customFormat="1" ht="10.7" hidden="1" customHeight="1" x14ac:dyDescent="0.25">
      <c r="A99" s="59"/>
      <c r="B99" s="59"/>
      <c r="C99" s="59"/>
      <c r="D99" s="60"/>
      <c r="E99" s="59"/>
      <c r="F99" s="59"/>
      <c r="G99" s="59"/>
      <c r="H99" s="59"/>
      <c r="I99" s="59"/>
      <c r="J99" s="59"/>
      <c r="K99" s="150">
        <f>H46</f>
        <v>3756</v>
      </c>
      <c r="L99" s="151">
        <f>G46</f>
        <v>4048</v>
      </c>
      <c r="M99" s="18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V99" s="64"/>
      <c r="AW99" s="79"/>
      <c r="AX99" s="90"/>
      <c r="AY99" s="79"/>
      <c r="AZ99" s="79"/>
      <c r="BA99" s="90"/>
      <c r="BD99" s="69"/>
      <c r="BG99" s="69"/>
      <c r="BJ99" s="69"/>
    </row>
    <row r="100" spans="1:62" s="62" customFormat="1" ht="10.7" hidden="1" customHeight="1" x14ac:dyDescent="0.25">
      <c r="A100" s="59"/>
      <c r="B100" s="59"/>
      <c r="C100" s="59"/>
      <c r="D100" s="60" t="s">
        <v>275</v>
      </c>
      <c r="E100" s="59"/>
      <c r="F100" s="59"/>
      <c r="G100" s="132">
        <f>VLOOKUP(G80,$K$92:$L$107,2,FALSE)</f>
        <v>3721</v>
      </c>
      <c r="H100" s="59"/>
      <c r="I100" s="59" t="s">
        <v>20</v>
      </c>
      <c r="J100" s="59" t="s">
        <v>15</v>
      </c>
      <c r="K100" s="150">
        <f>G48</f>
        <v>3918</v>
      </c>
      <c r="L100" s="151">
        <f>H48</f>
        <v>4579</v>
      </c>
      <c r="M100" s="18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V100" s="64"/>
      <c r="AW100" s="79"/>
      <c r="AX100" s="90"/>
      <c r="AY100" s="79"/>
      <c r="AZ100" s="79"/>
      <c r="BA100" s="90"/>
      <c r="BD100" s="69"/>
      <c r="BG100" s="69"/>
      <c r="BJ100" s="69"/>
    </row>
    <row r="101" spans="1:62" s="62" customFormat="1" ht="10.7" hidden="1" customHeight="1" x14ac:dyDescent="0.25">
      <c r="A101" s="59"/>
      <c r="B101" s="59"/>
      <c r="C101" s="59"/>
      <c r="D101" s="60" t="s">
        <v>276</v>
      </c>
      <c r="E101" s="59"/>
      <c r="F101" s="59"/>
      <c r="G101" s="132">
        <f t="shared" ref="G101:G103" si="1044">VLOOKUP(G81,$K$92:$L$107,2,FALSE)</f>
        <v>4048</v>
      </c>
      <c r="H101" s="59"/>
      <c r="I101" s="59" t="s">
        <v>21</v>
      </c>
      <c r="J101" s="59" t="s">
        <v>11</v>
      </c>
      <c r="K101" s="150">
        <f>H48</f>
        <v>4579</v>
      </c>
      <c r="L101" s="151">
        <f>G48</f>
        <v>3918</v>
      </c>
      <c r="M101" s="18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V101" s="64"/>
      <c r="AW101" s="79"/>
      <c r="AX101" s="90"/>
      <c r="AY101" s="79"/>
      <c r="AZ101" s="79"/>
      <c r="BA101" s="90"/>
      <c r="BD101" s="69"/>
      <c r="BG101" s="69"/>
      <c r="BJ101" s="69"/>
    </row>
    <row r="102" spans="1:62" s="62" customFormat="1" ht="10.7" hidden="1" customHeight="1" x14ac:dyDescent="0.25">
      <c r="A102" s="59"/>
      <c r="B102" s="59"/>
      <c r="C102" s="59"/>
      <c r="D102" s="60" t="s">
        <v>277</v>
      </c>
      <c r="E102" s="59"/>
      <c r="F102" s="59"/>
      <c r="G102" s="132">
        <f t="shared" si="1044"/>
        <v>3767</v>
      </c>
      <c r="H102" s="59"/>
      <c r="I102" s="59" t="s">
        <v>23</v>
      </c>
      <c r="J102" s="59" t="s">
        <v>24</v>
      </c>
      <c r="K102" s="150">
        <f>G50</f>
        <v>3767</v>
      </c>
      <c r="L102" s="151">
        <f>H50</f>
        <v>3436</v>
      </c>
      <c r="M102" s="18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V102" s="64"/>
      <c r="AW102" s="79"/>
      <c r="AX102" s="90"/>
      <c r="AY102" s="79"/>
      <c r="AZ102" s="79"/>
      <c r="BA102" s="90"/>
      <c r="BD102" s="69"/>
      <c r="BG102" s="69"/>
      <c r="BJ102" s="69"/>
    </row>
    <row r="103" spans="1:62" s="62" customFormat="1" ht="10.7" hidden="1" customHeight="1" x14ac:dyDescent="0.25">
      <c r="A103" s="59"/>
      <c r="B103" s="59"/>
      <c r="C103" s="59"/>
      <c r="D103" s="60" t="s">
        <v>278</v>
      </c>
      <c r="E103" s="59"/>
      <c r="F103" s="59"/>
      <c r="G103" s="132">
        <f t="shared" si="1044"/>
        <v>4047</v>
      </c>
      <c r="H103" s="59"/>
      <c r="I103" s="59" t="s">
        <v>28</v>
      </c>
      <c r="J103" s="59" t="s">
        <v>11</v>
      </c>
      <c r="K103" s="150">
        <f>H50</f>
        <v>3436</v>
      </c>
      <c r="L103" s="151">
        <f>G50</f>
        <v>3767</v>
      </c>
      <c r="M103" s="18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V103" s="64"/>
      <c r="AW103" s="79"/>
      <c r="AX103" s="90"/>
      <c r="AY103" s="79"/>
      <c r="AZ103" s="79"/>
      <c r="BA103" s="90"/>
      <c r="BD103" s="69"/>
      <c r="BG103" s="69"/>
      <c r="BJ103" s="69"/>
    </row>
    <row r="104" spans="1:62" s="62" customFormat="1" ht="10.7" hidden="1" customHeight="1" x14ac:dyDescent="0.25">
      <c r="A104" s="59"/>
      <c r="B104" s="59"/>
      <c r="C104" s="59"/>
      <c r="D104" s="60" t="s">
        <v>279</v>
      </c>
      <c r="E104" s="59"/>
      <c r="F104" s="59"/>
      <c r="G104" s="132">
        <f>VLOOKUP(G88,$K$92:$L$107,2,FALSE)</f>
        <v>3433</v>
      </c>
      <c r="H104" s="59"/>
      <c r="I104" s="59" t="s">
        <v>26</v>
      </c>
      <c r="J104" s="59" t="s">
        <v>18</v>
      </c>
      <c r="K104" s="150">
        <f>G52</f>
        <v>3909</v>
      </c>
      <c r="L104" s="151">
        <f>H52</f>
        <v>3433</v>
      </c>
      <c r="M104" s="18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V104" s="64"/>
      <c r="AW104" s="79"/>
      <c r="AX104" s="90"/>
      <c r="AY104" s="79"/>
      <c r="AZ104" s="79"/>
      <c r="BA104" s="90"/>
      <c r="BD104" s="69"/>
      <c r="BG104" s="69"/>
      <c r="BJ104" s="69"/>
    </row>
    <row r="105" spans="1:62" s="62" customFormat="1" ht="10.7" hidden="1" customHeight="1" x14ac:dyDescent="0.25">
      <c r="A105" s="59"/>
      <c r="B105" s="59"/>
      <c r="C105" s="59"/>
      <c r="D105" s="60" t="s">
        <v>280</v>
      </c>
      <c r="E105" s="59"/>
      <c r="F105" s="59"/>
      <c r="G105" s="132">
        <f t="shared" ref="G105:G107" si="1045">VLOOKUP(G89,$K$92:$L$107,2,FALSE)</f>
        <v>3828</v>
      </c>
      <c r="H105" s="59"/>
      <c r="I105" s="59" t="s">
        <v>14</v>
      </c>
      <c r="J105" s="59" t="s">
        <v>15</v>
      </c>
      <c r="K105" s="150">
        <f>H52</f>
        <v>3433</v>
      </c>
      <c r="L105" s="151">
        <f>G52</f>
        <v>3909</v>
      </c>
      <c r="M105" s="18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V105" s="64"/>
      <c r="AW105" s="79"/>
      <c r="AX105" s="90"/>
      <c r="AY105" s="79"/>
      <c r="AZ105" s="79"/>
      <c r="BA105" s="90"/>
      <c r="BD105" s="69"/>
      <c r="BG105" s="69"/>
      <c r="BJ105" s="69"/>
    </row>
    <row r="106" spans="1:62" s="62" customFormat="1" ht="10.7" hidden="1" customHeight="1" x14ac:dyDescent="0.25">
      <c r="A106" s="59"/>
      <c r="B106" s="59"/>
      <c r="C106" s="59"/>
      <c r="D106" s="60" t="s">
        <v>281</v>
      </c>
      <c r="E106" s="59"/>
      <c r="F106" s="59"/>
      <c r="G106" s="132">
        <f t="shared" si="1045"/>
        <v>4579</v>
      </c>
      <c r="H106" s="59"/>
      <c r="I106" s="59" t="s">
        <v>30</v>
      </c>
      <c r="J106" s="59" t="s">
        <v>11</v>
      </c>
      <c r="K106" s="150">
        <f>G54</f>
        <v>3721</v>
      </c>
      <c r="L106" s="151">
        <f>H54</f>
        <v>3717</v>
      </c>
      <c r="M106" s="18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V106" s="64"/>
      <c r="AW106" s="79"/>
      <c r="AX106" s="90"/>
      <c r="AY106" s="79"/>
      <c r="AZ106" s="79"/>
      <c r="BA106" s="90"/>
      <c r="BD106" s="69"/>
      <c r="BG106" s="69"/>
      <c r="BJ106" s="69"/>
    </row>
    <row r="107" spans="1:62" s="62" customFormat="1" ht="10.7" hidden="1" customHeight="1" x14ac:dyDescent="0.25">
      <c r="A107" s="59"/>
      <c r="B107" s="59"/>
      <c r="C107" s="59"/>
      <c r="D107" s="60" t="s">
        <v>282</v>
      </c>
      <c r="E107" s="59"/>
      <c r="F107" s="59"/>
      <c r="G107" s="132">
        <f t="shared" si="1045"/>
        <v>3498</v>
      </c>
      <c r="H107" s="59"/>
      <c r="I107" s="59" t="s">
        <v>7</v>
      </c>
      <c r="J107" s="59" t="s">
        <v>8</v>
      </c>
      <c r="K107" s="152">
        <f>H54</f>
        <v>3717</v>
      </c>
      <c r="L107" s="153">
        <f>G54</f>
        <v>3721</v>
      </c>
      <c r="M107" s="190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V107" s="64"/>
      <c r="AW107" s="79"/>
      <c r="AX107" s="90"/>
      <c r="AY107" s="79"/>
      <c r="AZ107" s="79"/>
      <c r="BA107" s="90"/>
      <c r="BD107" s="69"/>
      <c r="BG107" s="69"/>
      <c r="BJ107" s="69"/>
    </row>
    <row r="108" spans="1:62" s="62" customFormat="1" ht="10.7" hidden="1" customHeight="1" x14ac:dyDescent="0.25">
      <c r="A108" s="59"/>
      <c r="B108" s="59"/>
      <c r="C108" s="59"/>
      <c r="D108" s="60"/>
      <c r="E108" s="59"/>
      <c r="F108" s="59"/>
      <c r="G108" s="59"/>
      <c r="H108" s="59"/>
      <c r="I108" s="59"/>
      <c r="J108" s="59"/>
      <c r="K108" s="148">
        <f>G8</f>
        <v>3498</v>
      </c>
      <c r="L108" s="149" t="str">
        <f>H8</f>
        <v>X</v>
      </c>
      <c r="M108" s="191" t="s">
        <v>283</v>
      </c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V108" s="64"/>
      <c r="AW108" s="79"/>
      <c r="AX108" s="90"/>
      <c r="AY108" s="79"/>
      <c r="AZ108" s="79"/>
      <c r="BA108" s="90"/>
      <c r="BD108" s="69"/>
      <c r="BG108" s="69"/>
      <c r="BJ108" s="69"/>
    </row>
    <row r="109" spans="1:62" s="62" customFormat="1" ht="10.7" hidden="1" customHeight="1" x14ac:dyDescent="0.25">
      <c r="A109" s="59"/>
      <c r="B109" s="59"/>
      <c r="C109" s="59"/>
      <c r="D109" s="60"/>
      <c r="E109" s="59"/>
      <c r="F109" s="59"/>
      <c r="G109" s="59"/>
      <c r="H109" s="59"/>
      <c r="I109" s="59"/>
      <c r="J109" s="59"/>
      <c r="K109" s="150" t="str">
        <f>H8</f>
        <v>X</v>
      </c>
      <c r="L109" s="151">
        <f>G8</f>
        <v>3498</v>
      </c>
      <c r="M109" s="18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V109" s="64"/>
      <c r="AW109" s="79"/>
      <c r="AX109" s="90"/>
      <c r="AY109" s="79"/>
      <c r="AZ109" s="79"/>
      <c r="BA109" s="90"/>
      <c r="BD109" s="69"/>
      <c r="BG109" s="69"/>
      <c r="BJ109" s="69"/>
    </row>
    <row r="110" spans="1:62" s="62" customFormat="1" ht="10.7" hidden="1" customHeight="1" x14ac:dyDescent="0.25">
      <c r="A110" s="59"/>
      <c r="B110" s="59"/>
      <c r="C110" s="59"/>
      <c r="D110" s="60"/>
      <c r="E110" s="59"/>
      <c r="F110" s="59"/>
      <c r="G110" s="59"/>
      <c r="H110" s="59"/>
      <c r="I110" s="59"/>
      <c r="J110" s="59"/>
      <c r="K110" s="150">
        <f>G10</f>
        <v>4176</v>
      </c>
      <c r="L110" s="151">
        <f>H10</f>
        <v>3915</v>
      </c>
      <c r="M110" s="18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V110" s="64"/>
      <c r="AW110" s="79"/>
      <c r="AX110" s="90"/>
      <c r="AY110" s="79"/>
      <c r="AZ110" s="79"/>
      <c r="BA110" s="90"/>
      <c r="BD110" s="69"/>
      <c r="BG110" s="69"/>
      <c r="BJ110" s="69"/>
    </row>
    <row r="111" spans="1:62" s="62" customFormat="1" ht="10.7" hidden="1" customHeight="1" x14ac:dyDescent="0.25">
      <c r="A111" s="59"/>
      <c r="B111" s="59"/>
      <c r="C111" s="59"/>
      <c r="D111" s="60"/>
      <c r="E111" s="59"/>
      <c r="F111" s="59"/>
      <c r="G111" s="59"/>
      <c r="H111" s="59"/>
      <c r="I111" s="59"/>
      <c r="J111" s="59"/>
      <c r="K111" s="150">
        <f>H10</f>
        <v>3915</v>
      </c>
      <c r="L111" s="151">
        <f>G10</f>
        <v>4176</v>
      </c>
      <c r="M111" s="18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V111" s="64"/>
      <c r="AW111" s="79"/>
      <c r="AX111" s="90"/>
      <c r="AY111" s="79"/>
      <c r="AZ111" s="79"/>
      <c r="BA111" s="90"/>
      <c r="BD111" s="69"/>
      <c r="BG111" s="69"/>
      <c r="BJ111" s="69"/>
    </row>
    <row r="112" spans="1:62" s="62" customFormat="1" ht="10.7" hidden="1" customHeight="1" x14ac:dyDescent="0.25">
      <c r="A112" s="59"/>
      <c r="B112" s="59"/>
      <c r="C112" s="59"/>
      <c r="D112" s="60"/>
      <c r="E112" s="59"/>
      <c r="F112" s="59"/>
      <c r="G112" s="59"/>
      <c r="H112" s="59"/>
      <c r="I112" s="59"/>
      <c r="J112" s="59"/>
      <c r="K112" s="150">
        <f>G12</f>
        <v>3770</v>
      </c>
      <c r="L112" s="151">
        <f>H12</f>
        <v>4047</v>
      </c>
      <c r="M112" s="18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V112" s="64"/>
      <c r="AW112" s="79"/>
      <c r="AX112" s="90"/>
      <c r="AY112" s="79"/>
      <c r="AZ112" s="79"/>
      <c r="BA112" s="90"/>
      <c r="BD112" s="69"/>
      <c r="BG112" s="69"/>
      <c r="BJ112" s="69"/>
    </row>
    <row r="113" spans="1:62" s="62" customFormat="1" ht="10.7" hidden="1" customHeight="1" x14ac:dyDescent="0.25">
      <c r="A113" s="59"/>
      <c r="B113" s="59"/>
      <c r="C113" s="59"/>
      <c r="D113" s="60"/>
      <c r="E113" s="59"/>
      <c r="F113" s="59"/>
      <c r="G113" s="59"/>
      <c r="H113" s="59"/>
      <c r="I113" s="59"/>
      <c r="J113" s="59"/>
      <c r="K113" s="150">
        <f>H12</f>
        <v>4047</v>
      </c>
      <c r="L113" s="151">
        <f>G12</f>
        <v>3770</v>
      </c>
      <c r="M113" s="18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V113" s="64"/>
      <c r="AW113" s="79"/>
      <c r="AX113" s="90"/>
      <c r="AY113" s="79"/>
      <c r="AZ113" s="79"/>
      <c r="BA113" s="90"/>
      <c r="BD113" s="69"/>
      <c r="BG113" s="69"/>
      <c r="BJ113" s="69"/>
    </row>
    <row r="114" spans="1:62" s="62" customFormat="1" ht="10.7" hidden="1" customHeight="1" x14ac:dyDescent="0.25">
      <c r="A114" s="59"/>
      <c r="B114" s="59"/>
      <c r="C114" s="59"/>
      <c r="D114" s="60"/>
      <c r="E114" s="59"/>
      <c r="F114" s="59"/>
      <c r="G114" s="59"/>
      <c r="H114" s="59"/>
      <c r="I114" s="59"/>
      <c r="J114" s="59"/>
      <c r="K114" s="150" t="str">
        <f>G14</f>
        <v>X</v>
      </c>
      <c r="L114" s="151">
        <f>H14</f>
        <v>3423</v>
      </c>
      <c r="M114" s="18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V114" s="64"/>
      <c r="AW114" s="79"/>
      <c r="AX114" s="90"/>
      <c r="AY114" s="79"/>
      <c r="AZ114" s="79"/>
      <c r="BA114" s="90"/>
      <c r="BD114" s="69"/>
      <c r="BG114" s="69"/>
      <c r="BJ114" s="69"/>
    </row>
    <row r="115" spans="1:62" s="62" customFormat="1" ht="10.7" hidden="1" customHeight="1" x14ac:dyDescent="0.25">
      <c r="A115" s="59"/>
      <c r="B115" s="59"/>
      <c r="C115" s="59"/>
      <c r="D115" s="60"/>
      <c r="E115" s="59"/>
      <c r="F115" s="59"/>
      <c r="G115" s="59"/>
      <c r="H115" s="59"/>
      <c r="I115" s="59"/>
      <c r="J115" s="59"/>
      <c r="K115" s="150">
        <f>H14</f>
        <v>3423</v>
      </c>
      <c r="L115" s="151" t="str">
        <f>G14</f>
        <v>X</v>
      </c>
      <c r="M115" s="18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V115" s="64"/>
      <c r="AW115" s="79"/>
      <c r="AX115" s="90"/>
      <c r="AY115" s="79"/>
      <c r="AZ115" s="79"/>
      <c r="BA115" s="90"/>
      <c r="BD115" s="69"/>
      <c r="BG115" s="69"/>
      <c r="BJ115" s="69"/>
    </row>
    <row r="116" spans="1:62" s="62" customFormat="1" ht="10.7" hidden="1" customHeight="1" x14ac:dyDescent="0.25">
      <c r="A116" s="59"/>
      <c r="B116" s="59"/>
      <c r="C116" s="59"/>
      <c r="D116" s="60"/>
      <c r="E116" s="59"/>
      <c r="F116" s="59"/>
      <c r="G116" s="59"/>
      <c r="H116" s="59"/>
      <c r="I116" s="59"/>
      <c r="J116" s="59"/>
      <c r="K116" s="150">
        <f>G16</f>
        <v>3828</v>
      </c>
      <c r="L116" s="151" t="str">
        <f>H16</f>
        <v>X</v>
      </c>
      <c r="M116" s="18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V116" s="64"/>
      <c r="AW116" s="79"/>
      <c r="AX116" s="90"/>
      <c r="AY116" s="79"/>
      <c r="AZ116" s="79"/>
      <c r="BA116" s="90"/>
      <c r="BD116" s="69"/>
      <c r="BG116" s="69"/>
      <c r="BJ116" s="69"/>
    </row>
    <row r="117" spans="1:62" s="62" customFormat="1" ht="10.7" hidden="1" customHeight="1" x14ac:dyDescent="0.25">
      <c r="A117" s="59"/>
      <c r="B117" s="59"/>
      <c r="C117" s="59"/>
      <c r="D117" s="60"/>
      <c r="E117" s="59"/>
      <c r="F117" s="59"/>
      <c r="G117" s="59"/>
      <c r="H117" s="59"/>
      <c r="I117" s="59"/>
      <c r="J117" s="59"/>
      <c r="K117" s="150" t="str">
        <f>H16</f>
        <v>X</v>
      </c>
      <c r="L117" s="151">
        <f>G16</f>
        <v>3828</v>
      </c>
      <c r="M117" s="18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V117" s="64"/>
      <c r="AW117" s="79"/>
      <c r="AX117" s="90"/>
      <c r="AY117" s="79"/>
      <c r="AZ117" s="79"/>
      <c r="BA117" s="90"/>
      <c r="BD117" s="69"/>
      <c r="BG117" s="69"/>
      <c r="BJ117" s="69"/>
    </row>
    <row r="118" spans="1:62" s="62" customFormat="1" ht="10.7" hidden="1" customHeight="1" x14ac:dyDescent="0.25">
      <c r="A118" s="59"/>
      <c r="B118" s="59"/>
      <c r="C118" s="59"/>
      <c r="D118" s="60"/>
      <c r="E118" s="59"/>
      <c r="F118" s="59"/>
      <c r="G118" s="59"/>
      <c r="H118" s="59"/>
      <c r="I118" s="59"/>
      <c r="J118" s="59"/>
      <c r="K118" s="150">
        <f>G18</f>
        <v>4274</v>
      </c>
      <c r="L118" s="151">
        <f>H18</f>
        <v>4159</v>
      </c>
      <c r="M118" s="18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V118" s="64"/>
      <c r="AW118" s="79"/>
      <c r="AX118" s="90"/>
      <c r="AY118" s="79"/>
      <c r="AZ118" s="79"/>
      <c r="BA118" s="90"/>
      <c r="BD118" s="69"/>
      <c r="BG118" s="69"/>
      <c r="BJ118" s="69"/>
    </row>
    <row r="119" spans="1:62" s="62" customFormat="1" ht="10.7" hidden="1" customHeight="1" x14ac:dyDescent="0.25">
      <c r="A119" s="59"/>
      <c r="B119" s="59"/>
      <c r="C119" s="59"/>
      <c r="D119" s="60"/>
      <c r="E119" s="59"/>
      <c r="F119" s="59"/>
      <c r="G119" s="59"/>
      <c r="H119" s="59"/>
      <c r="I119" s="59"/>
      <c r="J119" s="59"/>
      <c r="K119" s="150">
        <f>H18</f>
        <v>4159</v>
      </c>
      <c r="L119" s="151">
        <f>G18</f>
        <v>4274</v>
      </c>
      <c r="M119" s="18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V119" s="64"/>
      <c r="AW119" s="79"/>
      <c r="AX119" s="90"/>
      <c r="AY119" s="79"/>
      <c r="AZ119" s="79"/>
      <c r="BA119" s="90"/>
      <c r="BD119" s="69"/>
      <c r="BG119" s="69"/>
      <c r="BJ119" s="69"/>
    </row>
    <row r="120" spans="1:62" s="62" customFormat="1" ht="10.7" hidden="1" customHeight="1" x14ac:dyDescent="0.25">
      <c r="A120" s="59"/>
      <c r="B120" s="59"/>
      <c r="C120" s="59"/>
      <c r="D120" s="60"/>
      <c r="E120" s="59"/>
      <c r="F120" s="59"/>
      <c r="G120" s="59"/>
      <c r="H120" s="59"/>
      <c r="I120" s="59"/>
      <c r="J120" s="59"/>
      <c r="K120" s="150">
        <f>G20</f>
        <v>4048</v>
      </c>
      <c r="L120" s="151">
        <f>H20</f>
        <v>3720</v>
      </c>
      <c r="M120" s="18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V120" s="64"/>
      <c r="AW120" s="79"/>
      <c r="AX120" s="90"/>
      <c r="AY120" s="79"/>
      <c r="AZ120" s="79"/>
      <c r="BA120" s="90"/>
      <c r="BD120" s="69"/>
      <c r="BG120" s="69"/>
      <c r="BJ120" s="69"/>
    </row>
    <row r="121" spans="1:62" s="62" customFormat="1" ht="10.7" hidden="1" customHeight="1" x14ac:dyDescent="0.25">
      <c r="A121" s="59"/>
      <c r="B121" s="59"/>
      <c r="C121" s="59"/>
      <c r="D121" s="60"/>
      <c r="E121" s="59"/>
      <c r="F121" s="59"/>
      <c r="G121" s="59"/>
      <c r="H121" s="59"/>
      <c r="I121" s="59"/>
      <c r="J121" s="59"/>
      <c r="K121" s="150">
        <f>H20</f>
        <v>3720</v>
      </c>
      <c r="L121" s="151">
        <f>G20</f>
        <v>4048</v>
      </c>
      <c r="M121" s="18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V121" s="64"/>
      <c r="AW121" s="79"/>
      <c r="AX121" s="90"/>
      <c r="AY121" s="79"/>
      <c r="AZ121" s="79"/>
      <c r="BA121" s="90"/>
      <c r="BD121" s="69"/>
      <c r="BG121" s="69"/>
      <c r="BJ121" s="69"/>
    </row>
    <row r="122" spans="1:62" s="62" customFormat="1" ht="10.7" hidden="1" customHeight="1" x14ac:dyDescent="0.25">
      <c r="A122" s="59"/>
      <c r="B122" s="59"/>
      <c r="C122" s="59"/>
      <c r="D122" s="60"/>
      <c r="E122" s="59"/>
      <c r="F122" s="59"/>
      <c r="G122" s="59"/>
      <c r="H122" s="59"/>
      <c r="I122" s="59"/>
      <c r="J122" s="59"/>
      <c r="K122" s="150" t="str">
        <f>G22</f>
        <v>X</v>
      </c>
      <c r="L122" s="151">
        <f>H22</f>
        <v>3756</v>
      </c>
      <c r="M122" s="18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V122" s="64"/>
      <c r="AW122" s="79"/>
      <c r="AX122" s="90"/>
      <c r="AY122" s="79"/>
      <c r="AZ122" s="79"/>
      <c r="BA122" s="90"/>
      <c r="BD122" s="69"/>
      <c r="BG122" s="69"/>
      <c r="BJ122" s="69"/>
    </row>
    <row r="123" spans="1:62" s="62" customFormat="1" ht="10.7" hidden="1" customHeight="1" x14ac:dyDescent="0.25">
      <c r="A123" s="59"/>
      <c r="B123" s="59"/>
      <c r="C123" s="59"/>
      <c r="D123" s="60"/>
      <c r="E123" s="59"/>
      <c r="F123" s="59"/>
      <c r="G123" s="59"/>
      <c r="H123" s="59"/>
      <c r="I123" s="59"/>
      <c r="J123" s="59"/>
      <c r="K123" s="150">
        <f>H22</f>
        <v>3756</v>
      </c>
      <c r="L123" s="151" t="str">
        <f>G22</f>
        <v>X</v>
      </c>
      <c r="M123" s="18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V123" s="64"/>
      <c r="AW123" s="79"/>
      <c r="AX123" s="90"/>
      <c r="AY123" s="79"/>
      <c r="AZ123" s="79"/>
      <c r="BA123" s="90"/>
      <c r="BD123" s="69"/>
      <c r="BG123" s="69"/>
      <c r="BJ123" s="69"/>
    </row>
    <row r="124" spans="1:62" s="62" customFormat="1" ht="10.7" hidden="1" customHeight="1" x14ac:dyDescent="0.25">
      <c r="A124" s="59"/>
      <c r="B124" s="59"/>
      <c r="C124" s="59"/>
      <c r="D124" s="60" t="s">
        <v>284</v>
      </c>
      <c r="E124" s="59"/>
      <c r="F124" s="59"/>
      <c r="G124" s="132" t="str">
        <f>VLOOKUP(G80,$K$108:$L$139,2,FALSE)</f>
        <v>X</v>
      </c>
      <c r="H124" s="59"/>
      <c r="I124" s="59" t="s">
        <v>305</v>
      </c>
      <c r="J124" s="59" t="s">
        <v>305</v>
      </c>
      <c r="K124" s="150">
        <f>G24</f>
        <v>3918</v>
      </c>
      <c r="L124" s="151" t="str">
        <f>H24</f>
        <v>X</v>
      </c>
      <c r="M124" s="18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V124" s="64"/>
      <c r="AW124" s="79"/>
      <c r="AX124" s="90"/>
      <c r="AY124" s="79"/>
      <c r="AZ124" s="79"/>
      <c r="BA124" s="90"/>
      <c r="BD124" s="69"/>
      <c r="BG124" s="69"/>
      <c r="BJ124" s="69"/>
    </row>
    <row r="125" spans="1:62" s="62" customFormat="1" ht="10.7" hidden="1" customHeight="1" x14ac:dyDescent="0.25">
      <c r="A125" s="59"/>
      <c r="B125" s="59"/>
      <c r="C125" s="59"/>
      <c r="D125" s="60" t="s">
        <v>285</v>
      </c>
      <c r="E125" s="59"/>
      <c r="F125" s="59"/>
      <c r="G125" s="132" t="str">
        <f>VLOOKUP(G81,$K$108:$L$139,2,FALSE)</f>
        <v>X</v>
      </c>
      <c r="H125" s="59"/>
      <c r="I125" s="59" t="s">
        <v>305</v>
      </c>
      <c r="J125" s="59" t="s">
        <v>305</v>
      </c>
      <c r="K125" s="150" t="str">
        <f>H24</f>
        <v>X</v>
      </c>
      <c r="L125" s="151">
        <f>G24</f>
        <v>3918</v>
      </c>
      <c r="M125" s="18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V125" s="64"/>
      <c r="AW125" s="79"/>
      <c r="AX125" s="90"/>
      <c r="AY125" s="79"/>
      <c r="AZ125" s="79"/>
      <c r="BA125" s="90"/>
      <c r="BD125" s="69"/>
      <c r="BG125" s="69"/>
      <c r="BJ125" s="69"/>
    </row>
    <row r="126" spans="1:62" s="62" customFormat="1" ht="10.7" hidden="1" customHeight="1" x14ac:dyDescent="0.25">
      <c r="A126" s="59"/>
      <c r="B126" s="59"/>
      <c r="C126" s="59"/>
      <c r="D126" s="60" t="s">
        <v>286</v>
      </c>
      <c r="E126" s="59"/>
      <c r="F126" s="59"/>
      <c r="G126" s="132" t="str">
        <f>VLOOKUP(G82,$K$108:$L$139,2,FALSE)</f>
        <v>X</v>
      </c>
      <c r="H126" s="59"/>
      <c r="I126" s="59" t="s">
        <v>305</v>
      </c>
      <c r="J126" s="59" t="s">
        <v>305</v>
      </c>
      <c r="K126" s="150">
        <f>G26</f>
        <v>4709</v>
      </c>
      <c r="L126" s="151">
        <f>H26</f>
        <v>4579</v>
      </c>
      <c r="M126" s="18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V126" s="64"/>
      <c r="AW126" s="79"/>
      <c r="AX126" s="90"/>
      <c r="AY126" s="79"/>
      <c r="AZ126" s="79"/>
      <c r="BA126" s="90"/>
      <c r="BD126" s="69"/>
      <c r="BG126" s="69"/>
      <c r="BJ126" s="69"/>
    </row>
    <row r="127" spans="1:62" s="62" customFormat="1" ht="10.7" hidden="1" customHeight="1" x14ac:dyDescent="0.25">
      <c r="A127" s="59"/>
      <c r="B127" s="59"/>
      <c r="C127" s="59"/>
      <c r="D127" s="60" t="s">
        <v>287</v>
      </c>
      <c r="E127" s="59"/>
      <c r="F127" s="59"/>
      <c r="G127" s="132" t="str">
        <f>VLOOKUP(G83,$K$108:$L$139,2,FALSE)</f>
        <v>X</v>
      </c>
      <c r="H127" s="59"/>
      <c r="I127" s="59" t="s">
        <v>305</v>
      </c>
      <c r="J127" s="59" t="s">
        <v>305</v>
      </c>
      <c r="K127" s="150">
        <f>H26</f>
        <v>4579</v>
      </c>
      <c r="L127" s="151">
        <f>G26</f>
        <v>4709</v>
      </c>
      <c r="M127" s="18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V127" s="64"/>
      <c r="AW127" s="79"/>
      <c r="AX127" s="90"/>
      <c r="AY127" s="79"/>
      <c r="AZ127" s="79"/>
      <c r="BA127" s="90"/>
      <c r="BD127" s="69"/>
      <c r="BG127" s="69"/>
      <c r="BJ127" s="69"/>
    </row>
    <row r="128" spans="1:62" s="62" customFormat="1" ht="10.7" hidden="1" customHeight="1" x14ac:dyDescent="0.25">
      <c r="A128" s="59"/>
      <c r="B128" s="59"/>
      <c r="C128" s="59"/>
      <c r="D128" s="60" t="s">
        <v>288</v>
      </c>
      <c r="E128" s="59"/>
      <c r="F128" s="59"/>
      <c r="G128" s="132" t="str">
        <f>VLOOKUP(G88,$K$108:$L$139,2,FALSE)</f>
        <v>X</v>
      </c>
      <c r="H128" s="59"/>
      <c r="I128" s="59" t="s">
        <v>305</v>
      </c>
      <c r="J128" s="59" t="s">
        <v>305</v>
      </c>
      <c r="K128" s="150">
        <f>G28</f>
        <v>3767</v>
      </c>
      <c r="L128" s="151">
        <f>H28</f>
        <v>4273</v>
      </c>
      <c r="M128" s="18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V128" s="64"/>
      <c r="AW128" s="79"/>
      <c r="AX128" s="90"/>
      <c r="AY128" s="79"/>
      <c r="AZ128" s="79"/>
      <c r="BA128" s="90"/>
      <c r="BD128" s="69"/>
      <c r="BG128" s="69"/>
      <c r="BJ128" s="69"/>
    </row>
    <row r="129" spans="1:62" s="62" customFormat="1" ht="10.7" hidden="1" customHeight="1" x14ac:dyDescent="0.25">
      <c r="A129" s="59"/>
      <c r="B129" s="59"/>
      <c r="C129" s="59"/>
      <c r="D129" s="60" t="s">
        <v>289</v>
      </c>
      <c r="E129" s="59"/>
      <c r="F129" s="59"/>
      <c r="G129" s="132">
        <f>VLOOKUP(G89,$K$108:$L$139,2,FALSE)</f>
        <v>4274</v>
      </c>
      <c r="H129" s="59"/>
      <c r="I129" s="59" t="s">
        <v>22</v>
      </c>
      <c r="J129" s="59" t="s">
        <v>15</v>
      </c>
      <c r="K129" s="150">
        <f>H28</f>
        <v>4273</v>
      </c>
      <c r="L129" s="151">
        <f>G28</f>
        <v>3767</v>
      </c>
      <c r="M129" s="18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V129" s="64"/>
      <c r="AW129" s="79"/>
      <c r="AX129" s="90"/>
      <c r="AY129" s="79"/>
      <c r="AZ129" s="79"/>
      <c r="BA129" s="90"/>
      <c r="BD129" s="69"/>
      <c r="BG129" s="69"/>
      <c r="BJ129" s="69"/>
    </row>
    <row r="130" spans="1:62" s="62" customFormat="1" ht="10.7" hidden="1" customHeight="1" x14ac:dyDescent="0.25">
      <c r="A130" s="59"/>
      <c r="B130" s="59"/>
      <c r="C130" s="59"/>
      <c r="D130" s="60" t="s">
        <v>290</v>
      </c>
      <c r="E130" s="59"/>
      <c r="F130" s="59"/>
      <c r="G130" s="132" t="str">
        <f>VLOOKUP(G90,$K$108:$L$139,2,FALSE)</f>
        <v>X</v>
      </c>
      <c r="H130" s="59"/>
      <c r="I130" s="59" t="s">
        <v>305</v>
      </c>
      <c r="J130" s="59" t="s">
        <v>305</v>
      </c>
      <c r="K130" s="150" t="str">
        <f>G30</f>
        <v>X</v>
      </c>
      <c r="L130" s="151">
        <f>H30</f>
        <v>3436</v>
      </c>
      <c r="M130" s="18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V130" s="64"/>
      <c r="AW130" s="79"/>
      <c r="AX130" s="90"/>
      <c r="AY130" s="79"/>
      <c r="AZ130" s="79"/>
      <c r="BA130" s="90"/>
      <c r="BD130" s="69"/>
      <c r="BG130" s="69"/>
      <c r="BJ130" s="69"/>
    </row>
    <row r="131" spans="1:62" s="62" customFormat="1" ht="10.7" hidden="1" customHeight="1" x14ac:dyDescent="0.25">
      <c r="A131" s="59"/>
      <c r="B131" s="59"/>
      <c r="C131" s="59"/>
      <c r="D131" s="60" t="s">
        <v>291</v>
      </c>
      <c r="E131" s="59"/>
      <c r="F131" s="59"/>
      <c r="G131" s="132">
        <f>VLOOKUP(G91,$K$108:$L$139,2,FALSE)</f>
        <v>3915</v>
      </c>
      <c r="H131" s="59"/>
      <c r="I131" s="59" t="s">
        <v>25</v>
      </c>
      <c r="J131" s="59" t="s">
        <v>6</v>
      </c>
      <c r="K131" s="150">
        <f>H30</f>
        <v>3436</v>
      </c>
      <c r="L131" s="151" t="str">
        <f>G30</f>
        <v>X</v>
      </c>
      <c r="M131" s="18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V131" s="64"/>
      <c r="AW131" s="79"/>
      <c r="AX131" s="90"/>
      <c r="AY131" s="79"/>
      <c r="AZ131" s="79"/>
      <c r="BA131" s="90"/>
      <c r="BD131" s="69"/>
      <c r="BG131" s="69"/>
      <c r="BJ131" s="69"/>
    </row>
    <row r="132" spans="1:62" s="62" customFormat="1" ht="10.7" hidden="1" customHeight="1" x14ac:dyDescent="0.25">
      <c r="A132" s="59"/>
      <c r="B132" s="59"/>
      <c r="C132" s="59"/>
      <c r="D132" s="60" t="s">
        <v>292</v>
      </c>
      <c r="E132" s="59"/>
      <c r="F132" s="59"/>
      <c r="G132" s="132">
        <f t="shared" ref="G132:G139" si="1046">VLOOKUP(G100,$K$108:$L$139,2,FALSE)</f>
        <v>4100</v>
      </c>
      <c r="H132" s="59"/>
      <c r="I132" s="59" t="s">
        <v>36</v>
      </c>
      <c r="J132" s="59" t="s">
        <v>11</v>
      </c>
      <c r="K132" s="150">
        <f>G32</f>
        <v>3909</v>
      </c>
      <c r="L132" s="151" t="str">
        <f>H32</f>
        <v>X</v>
      </c>
      <c r="M132" s="18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132"/>
      <c r="AN132" s="132"/>
      <c r="AO132" s="132"/>
      <c r="AP132" s="132"/>
      <c r="AQ132" s="132"/>
      <c r="AR132" s="132"/>
      <c r="AS132" s="132"/>
      <c r="AV132" s="64"/>
      <c r="AW132" s="79"/>
      <c r="AX132" s="90"/>
      <c r="AY132" s="79"/>
      <c r="AZ132" s="79"/>
      <c r="BA132" s="90"/>
      <c r="BD132" s="69"/>
      <c r="BG132" s="69"/>
      <c r="BJ132" s="69"/>
    </row>
    <row r="133" spans="1:62" s="62" customFormat="1" ht="10.7" hidden="1" customHeight="1" x14ac:dyDescent="0.25">
      <c r="A133" s="59"/>
      <c r="B133" s="59"/>
      <c r="C133" s="59"/>
      <c r="D133" s="60" t="s">
        <v>293</v>
      </c>
      <c r="E133" s="59"/>
      <c r="F133" s="59"/>
      <c r="G133" s="132">
        <f t="shared" si="1046"/>
        <v>3720</v>
      </c>
      <c r="H133" s="59"/>
      <c r="I133" s="59" t="s">
        <v>29</v>
      </c>
      <c r="J133" s="59" t="s">
        <v>15</v>
      </c>
      <c r="K133" s="150" t="str">
        <f>H32</f>
        <v>X</v>
      </c>
      <c r="L133" s="151">
        <f>G32</f>
        <v>3909</v>
      </c>
      <c r="M133" s="18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132"/>
      <c r="AN133" s="132"/>
      <c r="AO133" s="132"/>
      <c r="AP133" s="132"/>
      <c r="AQ133" s="132"/>
      <c r="AR133" s="132"/>
      <c r="AS133" s="132"/>
      <c r="AV133" s="64"/>
      <c r="AW133" s="79"/>
      <c r="AX133" s="90"/>
      <c r="AY133" s="79"/>
      <c r="AZ133" s="79"/>
      <c r="BA133" s="90"/>
      <c r="BD133" s="69"/>
      <c r="BG133" s="69"/>
      <c r="BJ133" s="69"/>
    </row>
    <row r="134" spans="1:62" s="62" customFormat="1" ht="10.7" hidden="1" customHeight="1" x14ac:dyDescent="0.25">
      <c r="A134" s="59"/>
      <c r="B134" s="59"/>
      <c r="C134" s="59"/>
      <c r="D134" s="60" t="s">
        <v>294</v>
      </c>
      <c r="E134" s="59"/>
      <c r="F134" s="59"/>
      <c r="G134" s="132">
        <f t="shared" si="1046"/>
        <v>4273</v>
      </c>
      <c r="H134" s="59"/>
      <c r="I134" s="59" t="s">
        <v>32</v>
      </c>
      <c r="J134" s="59" t="s">
        <v>15</v>
      </c>
      <c r="K134" s="150">
        <f>G34</f>
        <v>3433</v>
      </c>
      <c r="L134" s="151">
        <f>H34</f>
        <v>4101</v>
      </c>
      <c r="M134" s="18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V134" s="64"/>
      <c r="AW134" s="79"/>
      <c r="AX134" s="90"/>
      <c r="AY134" s="79"/>
      <c r="AZ134" s="79"/>
      <c r="BA134" s="90"/>
      <c r="BD134" s="69"/>
      <c r="BG134" s="69"/>
      <c r="BJ134" s="69"/>
    </row>
    <row r="135" spans="1:62" s="62" customFormat="1" ht="10.7" hidden="1" customHeight="1" x14ac:dyDescent="0.25">
      <c r="A135" s="59"/>
      <c r="B135" s="59"/>
      <c r="C135" s="59"/>
      <c r="D135" s="60" t="s">
        <v>295</v>
      </c>
      <c r="E135" s="59"/>
      <c r="F135" s="59"/>
      <c r="G135" s="132">
        <f t="shared" si="1046"/>
        <v>3770</v>
      </c>
      <c r="H135" s="59"/>
      <c r="I135" s="59" t="s">
        <v>35</v>
      </c>
      <c r="J135" s="59" t="s">
        <v>24</v>
      </c>
      <c r="K135" s="150">
        <f>H34</f>
        <v>4101</v>
      </c>
      <c r="L135" s="151">
        <f>G34</f>
        <v>3433</v>
      </c>
      <c r="M135" s="18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V135" s="64"/>
      <c r="AW135" s="79"/>
      <c r="AX135" s="90"/>
      <c r="AY135" s="79"/>
      <c r="AZ135" s="79"/>
      <c r="BA135" s="90"/>
      <c r="BD135" s="69"/>
      <c r="BG135" s="69"/>
      <c r="BJ135" s="69"/>
    </row>
    <row r="136" spans="1:62" s="62" customFormat="1" ht="10.7" hidden="1" customHeight="1" x14ac:dyDescent="0.25">
      <c r="A136" s="59"/>
      <c r="B136" s="59"/>
      <c r="C136" s="59"/>
      <c r="D136" s="60" t="s">
        <v>296</v>
      </c>
      <c r="E136" s="59"/>
      <c r="F136" s="59"/>
      <c r="G136" s="132">
        <f t="shared" si="1046"/>
        <v>4101</v>
      </c>
      <c r="H136" s="59"/>
      <c r="I136" s="59" t="s">
        <v>27</v>
      </c>
      <c r="J136" s="59" t="s">
        <v>11</v>
      </c>
      <c r="K136" s="150">
        <f>G36</f>
        <v>3721</v>
      </c>
      <c r="L136" s="151">
        <f>H36</f>
        <v>4100</v>
      </c>
      <c r="M136" s="18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V136" s="64"/>
      <c r="AW136" s="79"/>
      <c r="AX136" s="90"/>
      <c r="AY136" s="79"/>
      <c r="AZ136" s="79"/>
      <c r="BA136" s="90"/>
      <c r="BD136" s="69"/>
      <c r="BG136" s="69"/>
      <c r="BJ136" s="69"/>
    </row>
    <row r="137" spans="1:62" s="62" customFormat="1" ht="10.7" hidden="1" customHeight="1" x14ac:dyDescent="0.25">
      <c r="A137" s="59"/>
      <c r="B137" s="59"/>
      <c r="C137" s="59"/>
      <c r="D137" s="60" t="s">
        <v>297</v>
      </c>
      <c r="E137" s="59"/>
      <c r="F137" s="59"/>
      <c r="G137" s="132" t="str">
        <f t="shared" si="1046"/>
        <v>X</v>
      </c>
      <c r="H137" s="59"/>
      <c r="I137" s="59" t="s">
        <v>305</v>
      </c>
      <c r="J137" s="59" t="s">
        <v>305</v>
      </c>
      <c r="K137" s="150">
        <f>H36</f>
        <v>4100</v>
      </c>
      <c r="L137" s="151">
        <f>G36</f>
        <v>3721</v>
      </c>
      <c r="M137" s="18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V137" s="64"/>
      <c r="AW137" s="79"/>
      <c r="AX137" s="90"/>
      <c r="AY137" s="79"/>
      <c r="AZ137" s="79"/>
      <c r="BA137" s="90"/>
      <c r="BD137" s="69"/>
      <c r="BG137" s="69"/>
      <c r="BJ137" s="69"/>
    </row>
    <row r="138" spans="1:62" s="62" customFormat="1" ht="10.7" hidden="1" customHeight="1" x14ac:dyDescent="0.25">
      <c r="A138" s="59"/>
      <c r="B138" s="59"/>
      <c r="C138" s="59"/>
      <c r="D138" s="60" t="s">
        <v>298</v>
      </c>
      <c r="E138" s="59"/>
      <c r="F138" s="59"/>
      <c r="G138" s="132">
        <f t="shared" si="1046"/>
        <v>4709</v>
      </c>
      <c r="H138" s="59"/>
      <c r="I138" s="59" t="s">
        <v>33</v>
      </c>
      <c r="J138" s="59" t="s">
        <v>34</v>
      </c>
      <c r="K138" s="150" t="str">
        <f>G38</f>
        <v>X</v>
      </c>
      <c r="L138" s="151">
        <f>H38</f>
        <v>3717</v>
      </c>
      <c r="M138" s="18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V138" s="64"/>
      <c r="AW138" s="79"/>
      <c r="AX138" s="90"/>
      <c r="AY138" s="79"/>
      <c r="AZ138" s="79"/>
      <c r="BA138" s="90"/>
      <c r="BD138" s="69"/>
      <c r="BG138" s="69"/>
      <c r="BJ138" s="69"/>
    </row>
    <row r="139" spans="1:62" s="62" customFormat="1" ht="10.7" hidden="1" customHeight="1" x14ac:dyDescent="0.25">
      <c r="A139" s="59"/>
      <c r="B139" s="59"/>
      <c r="C139" s="59"/>
      <c r="D139" s="60" t="s">
        <v>299</v>
      </c>
      <c r="E139" s="59"/>
      <c r="F139" s="59"/>
      <c r="G139" s="132" t="str">
        <f t="shared" si="1046"/>
        <v>X</v>
      </c>
      <c r="H139" s="59"/>
      <c r="I139" s="59" t="s">
        <v>305</v>
      </c>
      <c r="J139" s="59" t="s">
        <v>305</v>
      </c>
      <c r="K139" s="152">
        <f>H38</f>
        <v>3717</v>
      </c>
      <c r="L139" s="153" t="str">
        <f>G38</f>
        <v>X</v>
      </c>
      <c r="M139" s="190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V139" s="64"/>
      <c r="AW139" s="79"/>
      <c r="AX139" s="90"/>
      <c r="AY139" s="79"/>
      <c r="AZ139" s="79"/>
      <c r="BA139" s="90"/>
      <c r="BD139" s="69"/>
      <c r="BG139" s="69"/>
      <c r="BJ139" s="69"/>
    </row>
    <row r="140" spans="1:62" s="62" customFormat="1" ht="10.7" hidden="1" customHeight="1" x14ac:dyDescent="0.25">
      <c r="A140" s="59"/>
      <c r="B140" s="59"/>
      <c r="C140" s="59"/>
      <c r="D140" s="60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V140" s="64"/>
      <c r="AW140" s="79"/>
      <c r="AX140" s="90"/>
      <c r="AY140" s="79"/>
      <c r="AZ140" s="79"/>
      <c r="BA140" s="90"/>
      <c r="BD140" s="69"/>
      <c r="BG140" s="69"/>
      <c r="BJ140" s="69"/>
    </row>
    <row r="141" spans="1:62" s="62" customFormat="1" ht="10.7" hidden="1" customHeight="1" x14ac:dyDescent="0.25">
      <c r="A141" s="59"/>
      <c r="B141" s="59"/>
      <c r="C141" s="59"/>
      <c r="D141" s="60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V141" s="64"/>
      <c r="AW141" s="79"/>
      <c r="AX141" s="90"/>
      <c r="AY141" s="79"/>
      <c r="AZ141" s="79"/>
      <c r="BA141" s="90"/>
      <c r="BD141" s="69"/>
      <c r="BG141" s="69"/>
      <c r="BJ141" s="69"/>
    </row>
    <row r="142" spans="1:62" s="62" customFormat="1" ht="10.7" hidden="1" customHeight="1" x14ac:dyDescent="0.25">
      <c r="A142" s="59"/>
      <c r="B142" s="59"/>
      <c r="C142" s="59"/>
      <c r="D142" s="60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U142" s="63"/>
      <c r="AV142" s="64"/>
      <c r="AW142" s="70"/>
      <c r="AX142" s="71"/>
      <c r="AY142" s="70"/>
      <c r="AZ142" s="70"/>
      <c r="BA142" s="71"/>
      <c r="BB142" s="72"/>
      <c r="BC142" s="72"/>
      <c r="BD142" s="59"/>
      <c r="BE142" s="72"/>
      <c r="BG142" s="69"/>
      <c r="BJ142" s="69"/>
    </row>
    <row r="143" spans="1:62" s="62" customFormat="1" ht="10.7" hidden="1" customHeight="1" x14ac:dyDescent="0.25">
      <c r="A143" s="59"/>
      <c r="B143" s="59"/>
      <c r="C143" s="59"/>
      <c r="D143" s="60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U143" s="63"/>
      <c r="AV143" s="64"/>
      <c r="AW143" s="70"/>
      <c r="AX143" s="71"/>
      <c r="AY143" s="70"/>
      <c r="AZ143" s="70"/>
      <c r="BA143" s="71"/>
      <c r="BB143" s="72"/>
      <c r="BC143" s="72"/>
      <c r="BD143" s="59"/>
      <c r="BE143" s="72"/>
      <c r="BG143" s="69"/>
      <c r="BJ143" s="69"/>
    </row>
    <row r="144" spans="1:62" s="62" customFormat="1" ht="10.7" customHeight="1" x14ac:dyDescent="0.25">
      <c r="A144" s="59"/>
      <c r="B144" s="59"/>
      <c r="C144" s="59"/>
      <c r="D144" s="60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U144" s="63"/>
      <c r="AV144" s="64"/>
      <c r="AW144" s="70"/>
      <c r="AX144" s="71"/>
      <c r="AY144" s="70"/>
      <c r="AZ144" s="70"/>
      <c r="BA144" s="71"/>
      <c r="BB144" s="72"/>
      <c r="BC144" s="72"/>
      <c r="BD144" s="59"/>
      <c r="BE144" s="72"/>
      <c r="BG144" s="69"/>
      <c r="BJ144" s="69"/>
    </row>
    <row r="145" spans="1:62" s="62" customFormat="1" ht="10.7" customHeight="1" x14ac:dyDescent="0.25">
      <c r="A145" s="59"/>
      <c r="B145" s="59"/>
      <c r="C145" s="59"/>
      <c r="D145" s="60"/>
      <c r="E145" s="59"/>
      <c r="F145" s="59"/>
      <c r="G145" s="192" t="s">
        <v>300</v>
      </c>
      <c r="H145" s="192"/>
      <c r="I145" s="192"/>
      <c r="J145" s="192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U145" s="63"/>
      <c r="AV145" s="64"/>
      <c r="AW145" s="70"/>
      <c r="AX145" s="71"/>
      <c r="AY145" s="70"/>
      <c r="AZ145" s="70"/>
      <c r="BA145" s="71"/>
      <c r="BB145" s="72"/>
      <c r="BC145" s="72"/>
      <c r="BD145" s="59"/>
      <c r="BE145" s="72"/>
      <c r="BG145" s="69"/>
      <c r="BJ145" s="69"/>
    </row>
    <row r="146" spans="1:62" s="62" customFormat="1" ht="10.7" customHeight="1" x14ac:dyDescent="0.25">
      <c r="A146" s="59"/>
      <c r="B146" s="59"/>
      <c r="C146" s="59"/>
      <c r="D146" s="60"/>
      <c r="E146" s="59"/>
      <c r="F146" s="59"/>
      <c r="G146" s="154"/>
      <c r="H146" s="154"/>
      <c r="I146" s="154"/>
      <c r="J146" s="154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U146" s="63"/>
      <c r="AV146" s="64"/>
      <c r="AW146" s="70"/>
      <c r="AX146" s="71"/>
      <c r="AY146" s="70"/>
      <c r="AZ146" s="70"/>
      <c r="BA146" s="71"/>
      <c r="BB146" s="72"/>
      <c r="BC146" s="72"/>
      <c r="BD146" s="59"/>
      <c r="BE146" s="72"/>
      <c r="BG146" s="69"/>
      <c r="BJ146" s="69"/>
    </row>
    <row r="147" spans="1:62" s="62" customFormat="1" ht="10.7" customHeight="1" x14ac:dyDescent="0.25">
      <c r="A147" s="59"/>
      <c r="B147" s="59"/>
      <c r="C147" s="59"/>
      <c r="D147" s="60"/>
      <c r="E147" s="59"/>
      <c r="F147" s="59"/>
      <c r="G147" s="155" t="s">
        <v>264</v>
      </c>
      <c r="H147" s="154">
        <f>G80</f>
        <v>3717</v>
      </c>
      <c r="I147" s="156" t="s">
        <v>5</v>
      </c>
      <c r="J147" s="156" t="s">
        <v>6</v>
      </c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U147" s="63"/>
      <c r="AV147" s="64"/>
      <c r="AW147" s="70"/>
      <c r="AX147" s="71"/>
      <c r="AY147" s="70"/>
      <c r="AZ147" s="70"/>
      <c r="BA147" s="71"/>
      <c r="BB147" s="72"/>
      <c r="BC147" s="72"/>
      <c r="BD147" s="59"/>
      <c r="BE147" s="72"/>
      <c r="BG147" s="69"/>
      <c r="BJ147" s="69"/>
    </row>
    <row r="148" spans="1:62" s="62" customFormat="1" ht="10.7" customHeight="1" x14ac:dyDescent="0.25">
      <c r="A148" s="59"/>
      <c r="B148" s="59"/>
      <c r="C148" s="59"/>
      <c r="D148" s="60"/>
      <c r="E148" s="59"/>
      <c r="F148" s="59"/>
      <c r="G148" s="155" t="s">
        <v>266</v>
      </c>
      <c r="H148" s="154">
        <f t="shared" ref="H148:H150" si="1047">G81</f>
        <v>3756</v>
      </c>
      <c r="I148" s="156" t="s">
        <v>9</v>
      </c>
      <c r="J148" s="156" t="s">
        <v>6</v>
      </c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U148" s="63"/>
      <c r="AV148" s="64"/>
      <c r="AW148" s="70"/>
      <c r="AX148" s="71"/>
      <c r="AY148" s="70"/>
      <c r="AZ148" s="70"/>
      <c r="BA148" s="71"/>
      <c r="BB148" s="72"/>
      <c r="BC148" s="72"/>
      <c r="BD148" s="59"/>
      <c r="BE148" s="72"/>
      <c r="BG148" s="69"/>
      <c r="BJ148" s="69"/>
    </row>
    <row r="149" spans="1:62" s="62" customFormat="1" ht="10.7" customHeight="1" x14ac:dyDescent="0.25">
      <c r="A149" s="59"/>
      <c r="B149" s="59"/>
      <c r="C149" s="59"/>
      <c r="D149" s="60"/>
      <c r="E149" s="59"/>
      <c r="F149" s="59"/>
      <c r="G149" s="155" t="s">
        <v>267</v>
      </c>
      <c r="H149" s="154">
        <f t="shared" si="1047"/>
        <v>3436</v>
      </c>
      <c r="I149" s="156" t="s">
        <v>17</v>
      </c>
      <c r="J149" s="156" t="s">
        <v>18</v>
      </c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U149" s="63"/>
      <c r="AV149" s="64"/>
      <c r="AW149" s="70"/>
      <c r="AX149" s="71"/>
      <c r="AY149" s="70"/>
      <c r="AZ149" s="70"/>
      <c r="BA149" s="71"/>
      <c r="BB149" s="72"/>
      <c r="BC149" s="72"/>
      <c r="BD149" s="59"/>
      <c r="BE149" s="72"/>
      <c r="BG149" s="69"/>
      <c r="BJ149" s="69"/>
    </row>
    <row r="150" spans="1:62" s="62" customFormat="1" ht="10.7" customHeight="1" x14ac:dyDescent="0.25">
      <c r="A150" s="59"/>
      <c r="B150" s="59"/>
      <c r="C150" s="59"/>
      <c r="D150" s="60"/>
      <c r="E150" s="59"/>
      <c r="F150" s="59"/>
      <c r="G150" s="157">
        <f>IF(E72=1,4,3)</f>
        <v>3</v>
      </c>
      <c r="H150" s="154">
        <f t="shared" si="1047"/>
        <v>3423</v>
      </c>
      <c r="I150" s="156" t="s">
        <v>12</v>
      </c>
      <c r="J150" s="156" t="s">
        <v>11</v>
      </c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U150" s="63"/>
      <c r="AV150" s="64"/>
      <c r="AW150" s="70"/>
      <c r="AX150" s="71"/>
      <c r="AY150" s="70"/>
      <c r="AZ150" s="70"/>
      <c r="BA150" s="71"/>
      <c r="BB150" s="72"/>
      <c r="BC150" s="72"/>
      <c r="BD150" s="59"/>
      <c r="BE150" s="72"/>
      <c r="BG150" s="69"/>
      <c r="BJ150" s="69"/>
    </row>
    <row r="151" spans="1:62" s="62" customFormat="1" ht="10.7" customHeight="1" x14ac:dyDescent="0.25">
      <c r="A151" s="59"/>
      <c r="B151" s="59"/>
      <c r="C151" s="59"/>
      <c r="D151" s="60"/>
      <c r="E151" s="59"/>
      <c r="F151" s="59"/>
      <c r="G151" s="155" t="s">
        <v>301</v>
      </c>
      <c r="H151" s="154">
        <f>G88</f>
        <v>3909</v>
      </c>
      <c r="I151" s="156" t="s">
        <v>13</v>
      </c>
      <c r="J151" s="156" t="s">
        <v>11</v>
      </c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U151" s="63"/>
      <c r="AV151" s="64"/>
      <c r="AW151" s="70"/>
      <c r="AX151" s="71"/>
      <c r="AY151" s="70"/>
      <c r="AZ151" s="70"/>
      <c r="BA151" s="71"/>
      <c r="BB151" s="72"/>
      <c r="BC151" s="72"/>
      <c r="BD151" s="59"/>
      <c r="BE151" s="72"/>
      <c r="BG151" s="69"/>
      <c r="BJ151" s="69"/>
    </row>
    <row r="152" spans="1:62" s="62" customFormat="1" ht="10.7" customHeight="1" x14ac:dyDescent="0.25">
      <c r="A152" s="59"/>
      <c r="B152" s="59"/>
      <c r="C152" s="59"/>
      <c r="D152" s="60"/>
      <c r="E152" s="59"/>
      <c r="F152" s="59"/>
      <c r="G152" s="155" t="s">
        <v>301</v>
      </c>
      <c r="H152" s="154">
        <f t="shared" ref="H152:H154" si="1048">G89</f>
        <v>4159</v>
      </c>
      <c r="I152" s="156" t="s">
        <v>16</v>
      </c>
      <c r="J152" s="156" t="s">
        <v>11</v>
      </c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U152" s="63"/>
      <c r="AV152" s="64"/>
      <c r="AW152" s="70"/>
      <c r="AX152" s="71"/>
      <c r="AY152" s="70"/>
      <c r="AZ152" s="70"/>
      <c r="BA152" s="71"/>
      <c r="BB152" s="72"/>
      <c r="BC152" s="72"/>
      <c r="BD152" s="59"/>
      <c r="BE152" s="72"/>
      <c r="BG152" s="69"/>
      <c r="BJ152" s="69"/>
    </row>
    <row r="153" spans="1:62" s="62" customFormat="1" ht="10.7" customHeight="1" x14ac:dyDescent="0.25">
      <c r="A153" s="59"/>
      <c r="B153" s="59"/>
      <c r="C153" s="59"/>
      <c r="D153" s="60"/>
      <c r="E153" s="59"/>
      <c r="F153" s="59"/>
      <c r="G153" s="155" t="s">
        <v>301</v>
      </c>
      <c r="H153" s="154">
        <f t="shared" si="1048"/>
        <v>3918</v>
      </c>
      <c r="I153" s="156" t="s">
        <v>10</v>
      </c>
      <c r="J153" s="156" t="s">
        <v>11</v>
      </c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U153" s="63"/>
      <c r="AV153" s="64"/>
      <c r="AW153" s="70"/>
      <c r="AX153" s="71"/>
      <c r="AY153" s="70"/>
      <c r="AZ153" s="70"/>
      <c r="BA153" s="71"/>
      <c r="BB153" s="72"/>
      <c r="BC153" s="72"/>
      <c r="BD153" s="59"/>
      <c r="BE153" s="72"/>
      <c r="BG153" s="69"/>
      <c r="BJ153" s="69"/>
    </row>
    <row r="154" spans="1:62" s="62" customFormat="1" ht="10.7" customHeight="1" x14ac:dyDescent="0.25">
      <c r="A154" s="59"/>
      <c r="B154" s="59"/>
      <c r="C154" s="59"/>
      <c r="D154" s="60"/>
      <c r="E154" s="59"/>
      <c r="F154" s="59"/>
      <c r="G154" s="155" t="s">
        <v>301</v>
      </c>
      <c r="H154" s="154">
        <f t="shared" si="1048"/>
        <v>4176</v>
      </c>
      <c r="I154" s="156" t="s">
        <v>19</v>
      </c>
      <c r="J154" s="156" t="s">
        <v>11</v>
      </c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U154" s="63"/>
      <c r="AV154" s="64"/>
      <c r="AW154" s="70"/>
      <c r="AX154" s="71"/>
      <c r="AY154" s="70"/>
      <c r="AZ154" s="70"/>
      <c r="BA154" s="71"/>
      <c r="BB154" s="72"/>
      <c r="BC154" s="72"/>
      <c r="BD154" s="59"/>
      <c r="BE154" s="72"/>
      <c r="BG154" s="69"/>
      <c r="BJ154" s="69"/>
    </row>
    <row r="155" spans="1:62" s="62" customFormat="1" ht="10.7" customHeight="1" x14ac:dyDescent="0.25">
      <c r="A155" s="59"/>
      <c r="B155" s="59"/>
      <c r="C155" s="59"/>
      <c r="D155" s="60"/>
      <c r="E155" s="59"/>
      <c r="F155" s="59"/>
      <c r="G155" s="158" t="s">
        <v>302</v>
      </c>
      <c r="H155" s="59">
        <f>G100</f>
        <v>3721</v>
      </c>
      <c r="I155" s="159" t="s">
        <v>20</v>
      </c>
      <c r="J155" s="159" t="s">
        <v>15</v>
      </c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U155" s="63"/>
      <c r="AV155" s="64"/>
      <c r="AW155" s="70"/>
      <c r="AX155" s="71"/>
      <c r="AY155" s="70"/>
      <c r="AZ155" s="70"/>
      <c r="BA155" s="71"/>
      <c r="BB155" s="72"/>
      <c r="BC155" s="72"/>
      <c r="BD155" s="59"/>
      <c r="BE155" s="72"/>
      <c r="BG155" s="69"/>
      <c r="BJ155" s="69"/>
    </row>
    <row r="156" spans="1:62" s="62" customFormat="1" ht="10.7" customHeight="1" x14ac:dyDescent="0.25">
      <c r="A156" s="59"/>
      <c r="B156" s="59"/>
      <c r="C156" s="59"/>
      <c r="D156" s="60"/>
      <c r="E156" s="59"/>
      <c r="F156" s="59"/>
      <c r="G156" s="158" t="s">
        <v>302</v>
      </c>
      <c r="H156" s="59">
        <f t="shared" ref="H156:H162" si="1049">G101</f>
        <v>4048</v>
      </c>
      <c r="I156" s="159" t="s">
        <v>21</v>
      </c>
      <c r="J156" s="159" t="s">
        <v>11</v>
      </c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U156" s="63"/>
      <c r="AV156" s="64"/>
      <c r="AW156" s="70"/>
      <c r="AX156" s="71"/>
      <c r="AY156" s="70"/>
      <c r="AZ156" s="70"/>
      <c r="BA156" s="71"/>
      <c r="BB156" s="72"/>
      <c r="BC156" s="72"/>
      <c r="BD156" s="59"/>
      <c r="BE156" s="72"/>
      <c r="BG156" s="69"/>
      <c r="BJ156" s="69"/>
    </row>
    <row r="157" spans="1:62" s="62" customFormat="1" ht="10.7" customHeight="1" x14ac:dyDescent="0.25">
      <c r="A157" s="59"/>
      <c r="B157" s="59"/>
      <c r="C157" s="59"/>
      <c r="D157" s="60"/>
      <c r="E157" s="59"/>
      <c r="F157" s="59"/>
      <c r="G157" s="158" t="s">
        <v>302</v>
      </c>
      <c r="H157" s="59">
        <f t="shared" si="1049"/>
        <v>3767</v>
      </c>
      <c r="I157" s="159" t="s">
        <v>23</v>
      </c>
      <c r="J157" s="159" t="s">
        <v>24</v>
      </c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U157" s="63"/>
      <c r="AV157" s="64"/>
      <c r="AW157" s="70"/>
      <c r="AX157" s="71"/>
      <c r="AY157" s="70"/>
      <c r="AZ157" s="70"/>
      <c r="BA157" s="71"/>
      <c r="BB157" s="72"/>
      <c r="BC157" s="72"/>
      <c r="BD157" s="59"/>
      <c r="BE157" s="72"/>
      <c r="BG157" s="69"/>
      <c r="BJ157" s="69"/>
    </row>
    <row r="158" spans="1:62" s="62" customFormat="1" ht="10.7" customHeight="1" x14ac:dyDescent="0.25">
      <c r="A158" s="59"/>
      <c r="B158" s="59"/>
      <c r="C158" s="59"/>
      <c r="D158" s="60"/>
      <c r="E158" s="59"/>
      <c r="F158" s="59"/>
      <c r="G158" s="158" t="s">
        <v>302</v>
      </c>
      <c r="H158" s="59">
        <f t="shared" si="1049"/>
        <v>4047</v>
      </c>
      <c r="I158" s="159" t="s">
        <v>28</v>
      </c>
      <c r="J158" s="159" t="s">
        <v>11</v>
      </c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U158" s="63"/>
      <c r="AV158" s="64"/>
      <c r="AW158" s="70"/>
      <c r="AX158" s="71"/>
      <c r="AY158" s="70"/>
      <c r="AZ158" s="70"/>
      <c r="BA158" s="71"/>
      <c r="BB158" s="72"/>
      <c r="BC158" s="72"/>
      <c r="BD158" s="59"/>
      <c r="BE158" s="72"/>
      <c r="BG158" s="69"/>
      <c r="BJ158" s="69"/>
    </row>
    <row r="159" spans="1:62" s="62" customFormat="1" ht="10.7" customHeight="1" x14ac:dyDescent="0.25">
      <c r="A159" s="59"/>
      <c r="B159" s="59"/>
      <c r="C159" s="59"/>
      <c r="D159" s="60"/>
      <c r="E159" s="59"/>
      <c r="F159" s="59"/>
      <c r="G159" s="158" t="s">
        <v>302</v>
      </c>
      <c r="H159" s="59">
        <f t="shared" si="1049"/>
        <v>3433</v>
      </c>
      <c r="I159" s="159" t="s">
        <v>26</v>
      </c>
      <c r="J159" s="159" t="s">
        <v>18</v>
      </c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U159" s="63"/>
      <c r="AV159" s="64"/>
      <c r="AW159" s="70"/>
      <c r="AX159" s="71"/>
      <c r="AY159" s="70"/>
      <c r="AZ159" s="70"/>
      <c r="BA159" s="71"/>
      <c r="BB159" s="72"/>
      <c r="BC159" s="72"/>
      <c r="BD159" s="59"/>
      <c r="BE159" s="72"/>
      <c r="BG159" s="69"/>
      <c r="BJ159" s="69"/>
    </row>
    <row r="160" spans="1:62" s="62" customFormat="1" ht="10.7" customHeight="1" x14ac:dyDescent="0.25">
      <c r="A160" s="59"/>
      <c r="B160" s="59"/>
      <c r="C160" s="59"/>
      <c r="D160" s="60"/>
      <c r="E160" s="59"/>
      <c r="F160" s="59"/>
      <c r="G160" s="158" t="s">
        <v>302</v>
      </c>
      <c r="H160" s="59">
        <f t="shared" si="1049"/>
        <v>3828</v>
      </c>
      <c r="I160" s="159" t="s">
        <v>14</v>
      </c>
      <c r="J160" s="159" t="s">
        <v>15</v>
      </c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U160" s="63"/>
      <c r="AV160" s="64"/>
      <c r="AW160" s="70"/>
      <c r="AX160" s="71"/>
      <c r="AY160" s="70"/>
      <c r="AZ160" s="70"/>
      <c r="BA160" s="71"/>
      <c r="BB160" s="72"/>
      <c r="BC160" s="72"/>
      <c r="BD160" s="59"/>
      <c r="BE160" s="72"/>
      <c r="BG160" s="69"/>
      <c r="BJ160" s="69"/>
    </row>
    <row r="161" spans="1:62" s="62" customFormat="1" ht="10.7" customHeight="1" x14ac:dyDescent="0.25">
      <c r="A161" s="59"/>
      <c r="B161" s="59"/>
      <c r="C161" s="59"/>
      <c r="D161" s="60"/>
      <c r="E161" s="59"/>
      <c r="F161" s="59"/>
      <c r="G161" s="158" t="s">
        <v>302</v>
      </c>
      <c r="H161" s="59">
        <f t="shared" si="1049"/>
        <v>4579</v>
      </c>
      <c r="I161" s="159" t="s">
        <v>30</v>
      </c>
      <c r="J161" s="159" t="s">
        <v>11</v>
      </c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U161" s="63"/>
      <c r="AV161" s="64"/>
      <c r="AW161" s="70"/>
      <c r="AX161" s="71"/>
      <c r="AY161" s="70"/>
      <c r="AZ161" s="70"/>
      <c r="BA161" s="71"/>
      <c r="BB161" s="72"/>
      <c r="BC161" s="72"/>
      <c r="BD161" s="59"/>
      <c r="BE161" s="72"/>
      <c r="BG161" s="69"/>
      <c r="BJ161" s="69"/>
    </row>
    <row r="162" spans="1:62" s="62" customFormat="1" ht="10.7" customHeight="1" x14ac:dyDescent="0.25">
      <c r="A162" s="59"/>
      <c r="B162" s="59"/>
      <c r="C162" s="59"/>
      <c r="D162" s="60"/>
      <c r="E162" s="59"/>
      <c r="F162" s="59"/>
      <c r="G162" s="158" t="s">
        <v>302</v>
      </c>
      <c r="H162" s="59">
        <f t="shared" si="1049"/>
        <v>3498</v>
      </c>
      <c r="I162" s="159" t="s">
        <v>7</v>
      </c>
      <c r="J162" s="159" t="s">
        <v>8</v>
      </c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U162" s="63"/>
      <c r="AV162" s="64"/>
      <c r="AW162" s="70"/>
      <c r="AX162" s="71"/>
      <c r="AY162" s="70"/>
      <c r="AZ162" s="70"/>
      <c r="BA162" s="71"/>
      <c r="BB162" s="72"/>
      <c r="BC162" s="72"/>
      <c r="BD162" s="59"/>
      <c r="BE162" s="72"/>
      <c r="BG162" s="69"/>
      <c r="BJ162" s="69"/>
    </row>
    <row r="163" spans="1:62" s="62" customFormat="1" ht="10.7" customHeight="1" x14ac:dyDescent="0.25">
      <c r="A163" s="59"/>
      <c r="B163" s="59"/>
      <c r="C163" s="59"/>
      <c r="D163" s="60"/>
      <c r="E163" s="59"/>
      <c r="F163" s="59"/>
      <c r="G163" s="158" t="s">
        <v>303</v>
      </c>
      <c r="H163" s="59" t="str">
        <f>G124</f>
        <v>X</v>
      </c>
      <c r="I163" s="159" t="s">
        <v>305</v>
      </c>
      <c r="J163" s="159" t="s">
        <v>305</v>
      </c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U163" s="63"/>
      <c r="AV163" s="64"/>
      <c r="AW163" s="70"/>
      <c r="AX163" s="71"/>
      <c r="AY163" s="70"/>
      <c r="AZ163" s="70"/>
      <c r="BA163" s="71"/>
      <c r="BB163" s="72"/>
      <c r="BC163" s="72"/>
      <c r="BD163" s="59"/>
      <c r="BE163" s="72"/>
      <c r="BG163" s="69"/>
      <c r="BJ163" s="69"/>
    </row>
    <row r="164" spans="1:62" s="62" customFormat="1" ht="10.7" customHeight="1" x14ac:dyDescent="0.25">
      <c r="A164" s="59"/>
      <c r="B164" s="59"/>
      <c r="C164" s="59"/>
      <c r="D164" s="60"/>
      <c r="E164" s="59"/>
      <c r="F164" s="59"/>
      <c r="G164" s="158" t="s">
        <v>303</v>
      </c>
      <c r="H164" s="59" t="str">
        <f t="shared" ref="H164:H178" si="1050">G125</f>
        <v>X</v>
      </c>
      <c r="I164" s="159" t="s">
        <v>305</v>
      </c>
      <c r="J164" s="159" t="s">
        <v>305</v>
      </c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U164" s="63"/>
      <c r="AV164" s="64"/>
      <c r="AW164" s="70"/>
      <c r="AX164" s="71"/>
      <c r="AY164" s="70"/>
      <c r="AZ164" s="70"/>
      <c r="BA164" s="71"/>
      <c r="BB164" s="72"/>
      <c r="BC164" s="72"/>
      <c r="BD164" s="59"/>
      <c r="BE164" s="72"/>
      <c r="BG164" s="69"/>
      <c r="BJ164" s="69"/>
    </row>
    <row r="165" spans="1:62" s="62" customFormat="1" ht="10.7" customHeight="1" x14ac:dyDescent="0.25">
      <c r="A165" s="59"/>
      <c r="B165" s="59"/>
      <c r="C165" s="59"/>
      <c r="D165" s="60"/>
      <c r="E165" s="59"/>
      <c r="F165" s="59"/>
      <c r="G165" s="158" t="s">
        <v>303</v>
      </c>
      <c r="H165" s="59" t="str">
        <f t="shared" si="1050"/>
        <v>X</v>
      </c>
      <c r="I165" s="159" t="s">
        <v>305</v>
      </c>
      <c r="J165" s="159" t="s">
        <v>305</v>
      </c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U165" s="63"/>
      <c r="AV165" s="64"/>
      <c r="AW165" s="70"/>
      <c r="AX165" s="71"/>
      <c r="AY165" s="70"/>
      <c r="AZ165" s="70"/>
      <c r="BA165" s="71"/>
      <c r="BB165" s="72"/>
      <c r="BC165" s="72"/>
      <c r="BD165" s="59"/>
      <c r="BE165" s="72"/>
      <c r="BG165" s="69"/>
      <c r="BJ165" s="69"/>
    </row>
    <row r="166" spans="1:62" s="62" customFormat="1" ht="10.7" customHeight="1" x14ac:dyDescent="0.25">
      <c r="A166" s="59"/>
      <c r="B166" s="59"/>
      <c r="C166" s="59"/>
      <c r="D166" s="60"/>
      <c r="E166" s="59"/>
      <c r="F166" s="59"/>
      <c r="G166" s="158" t="s">
        <v>303</v>
      </c>
      <c r="H166" s="59" t="str">
        <f t="shared" si="1050"/>
        <v>X</v>
      </c>
      <c r="I166" s="159" t="s">
        <v>305</v>
      </c>
      <c r="J166" s="159" t="s">
        <v>305</v>
      </c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U166" s="63"/>
      <c r="AV166" s="64"/>
      <c r="AW166" s="70"/>
      <c r="AX166" s="71"/>
      <c r="AY166" s="70"/>
      <c r="AZ166" s="70"/>
      <c r="BA166" s="71"/>
      <c r="BB166" s="72"/>
      <c r="BC166" s="72"/>
      <c r="BD166" s="59"/>
      <c r="BE166" s="72"/>
      <c r="BG166" s="69"/>
      <c r="BJ166" s="69"/>
    </row>
    <row r="167" spans="1:62" s="62" customFormat="1" ht="10.7" customHeight="1" x14ac:dyDescent="0.25">
      <c r="A167" s="59"/>
      <c r="B167" s="59"/>
      <c r="C167" s="59"/>
      <c r="D167" s="60"/>
      <c r="E167" s="59"/>
      <c r="F167" s="59"/>
      <c r="G167" s="158" t="s">
        <v>303</v>
      </c>
      <c r="H167" s="59" t="str">
        <f t="shared" si="1050"/>
        <v>X</v>
      </c>
      <c r="I167" s="159" t="s">
        <v>305</v>
      </c>
      <c r="J167" s="159" t="s">
        <v>305</v>
      </c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U167" s="63"/>
      <c r="AV167" s="64"/>
      <c r="AW167" s="70"/>
      <c r="AX167" s="71"/>
      <c r="AY167" s="70"/>
      <c r="AZ167" s="70"/>
      <c r="BA167" s="71"/>
      <c r="BB167" s="72"/>
      <c r="BC167" s="72"/>
      <c r="BD167" s="59"/>
      <c r="BE167" s="72"/>
      <c r="BG167" s="69"/>
      <c r="BJ167" s="69"/>
    </row>
    <row r="168" spans="1:62" s="62" customFormat="1" ht="10.7" customHeight="1" x14ac:dyDescent="0.25">
      <c r="A168" s="59"/>
      <c r="B168" s="59"/>
      <c r="C168" s="59"/>
      <c r="D168" s="60"/>
      <c r="E168" s="59"/>
      <c r="F168" s="59"/>
      <c r="G168" s="158" t="s">
        <v>303</v>
      </c>
      <c r="H168" s="59">
        <f t="shared" si="1050"/>
        <v>4274</v>
      </c>
      <c r="I168" s="159" t="s">
        <v>22</v>
      </c>
      <c r="J168" s="159" t="s">
        <v>15</v>
      </c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U168" s="63"/>
      <c r="AV168" s="64"/>
      <c r="AW168" s="70"/>
      <c r="AX168" s="71"/>
      <c r="AY168" s="70"/>
      <c r="AZ168" s="70"/>
      <c r="BA168" s="71"/>
      <c r="BB168" s="72"/>
      <c r="BC168" s="72"/>
      <c r="BD168" s="59"/>
      <c r="BE168" s="72"/>
      <c r="BG168" s="69"/>
      <c r="BJ168" s="69"/>
    </row>
    <row r="169" spans="1:62" s="62" customFormat="1" ht="10.7" customHeight="1" x14ac:dyDescent="0.25">
      <c r="A169" s="59"/>
      <c r="B169" s="59"/>
      <c r="C169" s="59"/>
      <c r="D169" s="60"/>
      <c r="E169" s="59"/>
      <c r="F169" s="59"/>
      <c r="G169" s="158" t="s">
        <v>303</v>
      </c>
      <c r="H169" s="59" t="str">
        <f t="shared" si="1050"/>
        <v>X</v>
      </c>
      <c r="I169" s="159" t="s">
        <v>305</v>
      </c>
      <c r="J169" s="159" t="s">
        <v>305</v>
      </c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U169" s="63"/>
      <c r="AV169" s="64"/>
      <c r="AW169" s="70"/>
      <c r="AX169" s="71"/>
      <c r="AY169" s="70"/>
      <c r="AZ169" s="70"/>
      <c r="BA169" s="71"/>
      <c r="BB169" s="72"/>
      <c r="BC169" s="72"/>
      <c r="BD169" s="59"/>
      <c r="BE169" s="72"/>
      <c r="BG169" s="69"/>
      <c r="BJ169" s="69"/>
    </row>
    <row r="170" spans="1:62" s="62" customFormat="1" ht="10.7" customHeight="1" x14ac:dyDescent="0.25">
      <c r="A170" s="59"/>
      <c r="B170" s="59"/>
      <c r="C170" s="59"/>
      <c r="D170" s="60"/>
      <c r="E170" s="59"/>
      <c r="F170" s="59"/>
      <c r="G170" s="158" t="s">
        <v>303</v>
      </c>
      <c r="H170" s="59">
        <f t="shared" si="1050"/>
        <v>3915</v>
      </c>
      <c r="I170" s="159" t="s">
        <v>25</v>
      </c>
      <c r="J170" s="159" t="s">
        <v>6</v>
      </c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U170" s="63"/>
      <c r="AV170" s="64"/>
      <c r="AW170" s="70"/>
      <c r="AX170" s="71"/>
      <c r="AY170" s="70"/>
      <c r="AZ170" s="70"/>
      <c r="BA170" s="71"/>
      <c r="BB170" s="72"/>
      <c r="BC170" s="72"/>
      <c r="BD170" s="59"/>
      <c r="BE170" s="72"/>
      <c r="BG170" s="69"/>
      <c r="BJ170" s="69"/>
    </row>
    <row r="171" spans="1:62" s="62" customFormat="1" ht="10.7" customHeight="1" x14ac:dyDescent="0.25">
      <c r="A171" s="59"/>
      <c r="B171" s="59"/>
      <c r="C171" s="59"/>
      <c r="D171" s="60"/>
      <c r="E171" s="59"/>
      <c r="F171" s="59"/>
      <c r="G171" s="158" t="s">
        <v>303</v>
      </c>
      <c r="H171" s="59">
        <f t="shared" si="1050"/>
        <v>4100</v>
      </c>
      <c r="I171" s="159" t="s">
        <v>36</v>
      </c>
      <c r="J171" s="159" t="s">
        <v>11</v>
      </c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U171" s="63"/>
      <c r="AV171" s="64"/>
      <c r="AW171" s="70"/>
      <c r="AX171" s="71"/>
      <c r="AY171" s="70"/>
      <c r="AZ171" s="70"/>
      <c r="BA171" s="71"/>
      <c r="BB171" s="72"/>
      <c r="BC171" s="72"/>
      <c r="BD171" s="59"/>
      <c r="BE171" s="72"/>
      <c r="BG171" s="69"/>
      <c r="BJ171" s="69"/>
    </row>
    <row r="172" spans="1:62" s="62" customFormat="1" ht="10.7" customHeight="1" x14ac:dyDescent="0.25">
      <c r="A172" s="59"/>
      <c r="B172" s="59"/>
      <c r="C172" s="59"/>
      <c r="D172" s="60"/>
      <c r="E172" s="59"/>
      <c r="F172" s="59"/>
      <c r="G172" s="158" t="s">
        <v>303</v>
      </c>
      <c r="H172" s="59">
        <f t="shared" si="1050"/>
        <v>3720</v>
      </c>
      <c r="I172" s="159" t="s">
        <v>29</v>
      </c>
      <c r="J172" s="159" t="s">
        <v>15</v>
      </c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U172" s="63"/>
      <c r="AV172" s="64"/>
      <c r="AW172" s="70"/>
      <c r="AX172" s="71"/>
      <c r="AY172" s="70"/>
      <c r="AZ172" s="70"/>
      <c r="BA172" s="71"/>
      <c r="BB172" s="72"/>
      <c r="BC172" s="72"/>
      <c r="BD172" s="59"/>
      <c r="BE172" s="72"/>
      <c r="BG172" s="69"/>
      <c r="BJ172" s="69"/>
    </row>
    <row r="173" spans="1:62" s="62" customFormat="1" ht="10.7" customHeight="1" x14ac:dyDescent="0.25">
      <c r="A173" s="59"/>
      <c r="B173" s="59"/>
      <c r="C173" s="59"/>
      <c r="D173" s="60"/>
      <c r="E173" s="59"/>
      <c r="F173" s="59"/>
      <c r="G173" s="158" t="s">
        <v>303</v>
      </c>
      <c r="H173" s="59">
        <f t="shared" si="1050"/>
        <v>4273</v>
      </c>
      <c r="I173" s="159" t="s">
        <v>32</v>
      </c>
      <c r="J173" s="159" t="s">
        <v>15</v>
      </c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U173" s="63"/>
      <c r="AV173" s="64"/>
      <c r="AW173" s="70"/>
      <c r="AX173" s="71"/>
      <c r="AY173" s="70"/>
      <c r="AZ173" s="70"/>
      <c r="BA173" s="71"/>
      <c r="BB173" s="72"/>
      <c r="BC173" s="72"/>
      <c r="BD173" s="59"/>
      <c r="BE173" s="72"/>
      <c r="BG173" s="69"/>
      <c r="BJ173" s="69"/>
    </row>
    <row r="174" spans="1:62" s="62" customFormat="1" ht="10.7" customHeight="1" x14ac:dyDescent="0.25">
      <c r="A174" s="59"/>
      <c r="B174" s="59"/>
      <c r="C174" s="59"/>
      <c r="D174" s="60"/>
      <c r="E174" s="59"/>
      <c r="F174" s="59"/>
      <c r="G174" s="158" t="s">
        <v>303</v>
      </c>
      <c r="H174" s="59">
        <f t="shared" si="1050"/>
        <v>3770</v>
      </c>
      <c r="I174" s="159" t="s">
        <v>35</v>
      </c>
      <c r="J174" s="159" t="s">
        <v>24</v>
      </c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U174" s="63"/>
      <c r="AV174" s="64"/>
      <c r="AW174" s="70"/>
      <c r="AX174" s="71"/>
      <c r="AY174" s="70"/>
      <c r="AZ174" s="70"/>
      <c r="BA174" s="71"/>
      <c r="BB174" s="72"/>
      <c r="BC174" s="72"/>
      <c r="BD174" s="59"/>
      <c r="BE174" s="72"/>
      <c r="BG174" s="69"/>
      <c r="BJ174" s="69"/>
    </row>
    <row r="175" spans="1:62" s="62" customFormat="1" ht="10.7" customHeight="1" x14ac:dyDescent="0.25">
      <c r="A175" s="59"/>
      <c r="B175" s="59"/>
      <c r="C175" s="59"/>
      <c r="D175" s="60"/>
      <c r="E175" s="59"/>
      <c r="F175" s="59"/>
      <c r="G175" s="158" t="s">
        <v>303</v>
      </c>
      <c r="H175" s="59">
        <f t="shared" si="1050"/>
        <v>4101</v>
      </c>
      <c r="I175" s="159" t="s">
        <v>27</v>
      </c>
      <c r="J175" s="159" t="s">
        <v>11</v>
      </c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U175" s="63"/>
      <c r="AV175" s="64"/>
      <c r="AW175" s="70"/>
      <c r="AX175" s="71"/>
      <c r="AY175" s="70"/>
      <c r="AZ175" s="70"/>
      <c r="BA175" s="71"/>
      <c r="BB175" s="72"/>
      <c r="BC175" s="72"/>
      <c r="BD175" s="59"/>
      <c r="BE175" s="72"/>
      <c r="BG175" s="69"/>
      <c r="BJ175" s="69"/>
    </row>
    <row r="176" spans="1:62" s="62" customFormat="1" ht="10.7" customHeight="1" x14ac:dyDescent="0.25">
      <c r="A176" s="59"/>
      <c r="B176" s="59"/>
      <c r="C176" s="59"/>
      <c r="D176" s="60"/>
      <c r="E176" s="59"/>
      <c r="F176" s="59"/>
      <c r="G176" s="158" t="s">
        <v>303</v>
      </c>
      <c r="H176" s="59" t="str">
        <f t="shared" si="1050"/>
        <v>X</v>
      </c>
      <c r="I176" s="159" t="s">
        <v>305</v>
      </c>
      <c r="J176" s="159" t="s">
        <v>305</v>
      </c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U176" s="63"/>
      <c r="AV176" s="64"/>
      <c r="AW176" s="70"/>
      <c r="AX176" s="71"/>
      <c r="AY176" s="70"/>
      <c r="AZ176" s="70"/>
      <c r="BA176" s="71"/>
      <c r="BB176" s="72"/>
      <c r="BC176" s="72"/>
      <c r="BD176" s="59"/>
      <c r="BE176" s="72"/>
      <c r="BG176" s="69"/>
      <c r="BJ176" s="69"/>
    </row>
    <row r="177" spans="1:62" s="62" customFormat="1" ht="10.7" customHeight="1" x14ac:dyDescent="0.25">
      <c r="A177" s="59"/>
      <c r="B177" s="59"/>
      <c r="C177" s="59"/>
      <c r="D177" s="60"/>
      <c r="E177" s="59"/>
      <c r="F177" s="59"/>
      <c r="G177" s="158" t="s">
        <v>303</v>
      </c>
      <c r="H177" s="59">
        <f t="shared" si="1050"/>
        <v>4709</v>
      </c>
      <c r="I177" s="159" t="s">
        <v>33</v>
      </c>
      <c r="J177" s="159" t="s">
        <v>34</v>
      </c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U177" s="63"/>
      <c r="AV177" s="64"/>
      <c r="AW177" s="70"/>
      <c r="AX177" s="71"/>
      <c r="AY177" s="70"/>
      <c r="AZ177" s="70"/>
      <c r="BA177" s="71"/>
      <c r="BB177" s="72"/>
      <c r="BC177" s="72"/>
      <c r="BD177" s="59"/>
      <c r="BE177" s="72"/>
      <c r="BG177" s="69"/>
      <c r="BJ177" s="69"/>
    </row>
    <row r="178" spans="1:62" s="62" customFormat="1" ht="10.7" customHeight="1" x14ac:dyDescent="0.25">
      <c r="A178" s="59"/>
      <c r="B178" s="59"/>
      <c r="C178" s="59"/>
      <c r="D178" s="60"/>
      <c r="E178" s="59"/>
      <c r="F178" s="59"/>
      <c r="G178" s="158" t="s">
        <v>303</v>
      </c>
      <c r="H178" s="59" t="str">
        <f t="shared" si="1050"/>
        <v>X</v>
      </c>
      <c r="I178" s="159" t="s">
        <v>305</v>
      </c>
      <c r="J178" s="159" t="s">
        <v>305</v>
      </c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U178" s="63"/>
      <c r="AV178" s="64"/>
      <c r="AW178" s="70"/>
      <c r="AX178" s="71"/>
      <c r="AY178" s="70"/>
      <c r="AZ178" s="70"/>
      <c r="BA178" s="71"/>
      <c r="BB178" s="72"/>
      <c r="BC178" s="72"/>
      <c r="BD178" s="59"/>
      <c r="BE178" s="72"/>
      <c r="BG178" s="69"/>
      <c r="BJ178" s="69"/>
    </row>
  </sheetData>
  <mergeCells count="925">
    <mergeCell ref="AA6:AB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C8:AC9"/>
    <mergeCell ref="BF8:BJ8"/>
    <mergeCell ref="A10:A11"/>
    <mergeCell ref="B10:B11"/>
    <mergeCell ref="C10:C11"/>
    <mergeCell ref="D10:D11"/>
    <mergeCell ref="E10:E11"/>
    <mergeCell ref="F10:F11"/>
    <mergeCell ref="G10:G11"/>
    <mergeCell ref="V8:V9"/>
    <mergeCell ref="W8:W9"/>
    <mergeCell ref="X8:X9"/>
    <mergeCell ref="Y8:Y9"/>
    <mergeCell ref="Z8:Z9"/>
    <mergeCell ref="AA8:AA9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R10:R11"/>
    <mergeCell ref="S10:S11"/>
    <mergeCell ref="H10:H11"/>
    <mergeCell ref="I10:I11"/>
    <mergeCell ref="J10:J11"/>
    <mergeCell ref="K10:K11"/>
    <mergeCell ref="L10:L11"/>
    <mergeCell ref="M10:M11"/>
    <mergeCell ref="AB8:AB9"/>
    <mergeCell ref="M8:M9"/>
    <mergeCell ref="N8:N9"/>
    <mergeCell ref="O8:O9"/>
    <mergeCell ref="I12:I13"/>
    <mergeCell ref="J12:J13"/>
    <mergeCell ref="K12:K13"/>
    <mergeCell ref="L12:L13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G12:G13"/>
    <mergeCell ref="H12:H13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S16:S17"/>
    <mergeCell ref="T16:T17"/>
    <mergeCell ref="U16:U17"/>
    <mergeCell ref="V16:V17"/>
    <mergeCell ref="W16:W17"/>
    <mergeCell ref="X16:X17"/>
    <mergeCell ref="M16:M17"/>
    <mergeCell ref="N16:N17"/>
    <mergeCell ref="O16:O17"/>
    <mergeCell ref="P16:P17"/>
    <mergeCell ref="Q16:Q17"/>
    <mergeCell ref="R16:R17"/>
    <mergeCell ref="G16:G17"/>
    <mergeCell ref="H16:H17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X18:X19"/>
    <mergeCell ref="Y18:Y19"/>
    <mergeCell ref="Z18:Z19"/>
    <mergeCell ref="AA18:AA19"/>
    <mergeCell ref="AB18:AB19"/>
    <mergeCell ref="AC18:AC19"/>
    <mergeCell ref="R18:R19"/>
    <mergeCell ref="S18:S19"/>
    <mergeCell ref="T18:T19"/>
    <mergeCell ref="U18:U19"/>
    <mergeCell ref="V18:V19"/>
    <mergeCell ref="W18:W19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Y20:Y21"/>
    <mergeCell ref="Z20:Z21"/>
    <mergeCell ref="AA20:AA21"/>
    <mergeCell ref="AB20:AB21"/>
    <mergeCell ref="AC20:AC21"/>
    <mergeCell ref="A22:A23"/>
    <mergeCell ref="B22:B23"/>
    <mergeCell ref="C22:C23"/>
    <mergeCell ref="D22:D23"/>
    <mergeCell ref="E22:E23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G20:G21"/>
    <mergeCell ref="H20:H21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V22:V23"/>
    <mergeCell ref="W22:W23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Y24:Y25"/>
    <mergeCell ref="Z24:Z25"/>
    <mergeCell ref="AA24:AA25"/>
    <mergeCell ref="AB24:AB25"/>
    <mergeCell ref="AC24:AC25"/>
    <mergeCell ref="A26:A27"/>
    <mergeCell ref="B26:B27"/>
    <mergeCell ref="C26:C27"/>
    <mergeCell ref="D26:D27"/>
    <mergeCell ref="E26:E27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G24:G25"/>
    <mergeCell ref="H24:H25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X26:X27"/>
    <mergeCell ref="Y26:Y27"/>
    <mergeCell ref="Z26:Z27"/>
    <mergeCell ref="AA26:AA27"/>
    <mergeCell ref="AB26:AB27"/>
    <mergeCell ref="AC26:AC27"/>
    <mergeCell ref="R26:R27"/>
    <mergeCell ref="S26:S27"/>
    <mergeCell ref="T26:T27"/>
    <mergeCell ref="U26:U27"/>
    <mergeCell ref="V26:V27"/>
    <mergeCell ref="W26:W27"/>
    <mergeCell ref="I28:I29"/>
    <mergeCell ref="J28:J29"/>
    <mergeCell ref="K28:K29"/>
    <mergeCell ref="L28:L29"/>
    <mergeCell ref="A28:A29"/>
    <mergeCell ref="B28:B29"/>
    <mergeCell ref="C28:C29"/>
    <mergeCell ref="D28:D29"/>
    <mergeCell ref="E28:E29"/>
    <mergeCell ref="F28:F29"/>
    <mergeCell ref="Y28:Y29"/>
    <mergeCell ref="Z28:Z29"/>
    <mergeCell ref="AA28:AA29"/>
    <mergeCell ref="AB28:AB29"/>
    <mergeCell ref="AC28:AC29"/>
    <mergeCell ref="A30:A31"/>
    <mergeCell ref="B30:B31"/>
    <mergeCell ref="C30:C31"/>
    <mergeCell ref="D30:D31"/>
    <mergeCell ref="E30:E31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V30:V31"/>
    <mergeCell ref="W30:W31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Y32:Y33"/>
    <mergeCell ref="Z32:Z33"/>
    <mergeCell ref="AA32:AA33"/>
    <mergeCell ref="AB32:AB33"/>
    <mergeCell ref="AC32:AC33"/>
    <mergeCell ref="A34:A35"/>
    <mergeCell ref="B34:B35"/>
    <mergeCell ref="C34:C35"/>
    <mergeCell ref="D34:D35"/>
    <mergeCell ref="E34:E35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I36:I37"/>
    <mergeCell ref="J36:J37"/>
    <mergeCell ref="K36:K37"/>
    <mergeCell ref="L36:L37"/>
    <mergeCell ref="A36:A37"/>
    <mergeCell ref="B36:B37"/>
    <mergeCell ref="C36:C37"/>
    <mergeCell ref="D36:D37"/>
    <mergeCell ref="E36:E37"/>
    <mergeCell ref="F36:F37"/>
    <mergeCell ref="Y36:Y37"/>
    <mergeCell ref="Z36:Z37"/>
    <mergeCell ref="AA36:AA37"/>
    <mergeCell ref="AB36:AB37"/>
    <mergeCell ref="AC36:AC37"/>
    <mergeCell ref="A38:A39"/>
    <mergeCell ref="B38:B39"/>
    <mergeCell ref="C38:C39"/>
    <mergeCell ref="D38:D39"/>
    <mergeCell ref="E38:E39"/>
    <mergeCell ref="S36:S37"/>
    <mergeCell ref="T36:T37"/>
    <mergeCell ref="U36:U37"/>
    <mergeCell ref="V36:V37"/>
    <mergeCell ref="W36:W37"/>
    <mergeCell ref="X36:X37"/>
    <mergeCell ref="M36:M37"/>
    <mergeCell ref="N36:N37"/>
    <mergeCell ref="O36:O37"/>
    <mergeCell ref="P36:P37"/>
    <mergeCell ref="Q36:Q37"/>
    <mergeCell ref="R36:R37"/>
    <mergeCell ref="G36:G37"/>
    <mergeCell ref="H36:H37"/>
    <mergeCell ref="AA38:AA39"/>
    <mergeCell ref="AB38:AB39"/>
    <mergeCell ref="AC38:AC39"/>
    <mergeCell ref="R38:R39"/>
    <mergeCell ref="S38:S39"/>
    <mergeCell ref="T38:T39"/>
    <mergeCell ref="U38:U39"/>
    <mergeCell ref="V38:V39"/>
    <mergeCell ref="W38:W39"/>
    <mergeCell ref="A40:A41"/>
    <mergeCell ref="B40:B41"/>
    <mergeCell ref="C40:C41"/>
    <mergeCell ref="D40:D41"/>
    <mergeCell ref="E40:E41"/>
    <mergeCell ref="F40:F41"/>
    <mergeCell ref="X38:X39"/>
    <mergeCell ref="Y38:Y39"/>
    <mergeCell ref="Z38:Z39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Z40:Z41"/>
    <mergeCell ref="AA40:AA41"/>
    <mergeCell ref="AB40:AB41"/>
    <mergeCell ref="A42:A43"/>
    <mergeCell ref="B42:B43"/>
    <mergeCell ref="C42:C43"/>
    <mergeCell ref="D42:D43"/>
    <mergeCell ref="E42:E43"/>
    <mergeCell ref="F42:F43"/>
    <mergeCell ref="S40:S41"/>
    <mergeCell ref="T40:T41"/>
    <mergeCell ref="U40:U41"/>
    <mergeCell ref="V40:V41"/>
    <mergeCell ref="W40:W41"/>
    <mergeCell ref="X40:X41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Q42:Q43"/>
    <mergeCell ref="R42:R43"/>
    <mergeCell ref="G42:G43"/>
    <mergeCell ref="H42:H43"/>
    <mergeCell ref="I42:I43"/>
    <mergeCell ref="J42:J43"/>
    <mergeCell ref="K42:K43"/>
    <mergeCell ref="L42:L43"/>
    <mergeCell ref="Y40:Y41"/>
    <mergeCell ref="J40:J41"/>
    <mergeCell ref="K40:K41"/>
    <mergeCell ref="L40:L41"/>
    <mergeCell ref="I44:I45"/>
    <mergeCell ref="J44:J45"/>
    <mergeCell ref="K44:K45"/>
    <mergeCell ref="L44:L45"/>
    <mergeCell ref="Y42:Y43"/>
    <mergeCell ref="Z42:Z43"/>
    <mergeCell ref="AA42:AA43"/>
    <mergeCell ref="AB42:AB43"/>
    <mergeCell ref="A44:A45"/>
    <mergeCell ref="B44:B45"/>
    <mergeCell ref="C44:C45"/>
    <mergeCell ref="D44:D45"/>
    <mergeCell ref="E44:E45"/>
    <mergeCell ref="F44:F45"/>
    <mergeCell ref="S42:S43"/>
    <mergeCell ref="T42:T43"/>
    <mergeCell ref="U42:U43"/>
    <mergeCell ref="V42:V43"/>
    <mergeCell ref="W42:W43"/>
    <mergeCell ref="X42:X43"/>
    <mergeCell ref="M42:M43"/>
    <mergeCell ref="N42:N43"/>
    <mergeCell ref="O42:O43"/>
    <mergeCell ref="P42:P43"/>
    <mergeCell ref="Y44:Y45"/>
    <mergeCell ref="Z44:Z45"/>
    <mergeCell ref="AA44:AA45"/>
    <mergeCell ref="AB44:AB45"/>
    <mergeCell ref="A46:A47"/>
    <mergeCell ref="B46:B47"/>
    <mergeCell ref="C46:C47"/>
    <mergeCell ref="D46:D47"/>
    <mergeCell ref="E46:E47"/>
    <mergeCell ref="F46:F47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G44:G45"/>
    <mergeCell ref="H44:H45"/>
    <mergeCell ref="Z46:Z47"/>
    <mergeCell ref="AA46:AA47"/>
    <mergeCell ref="AB46:AB47"/>
    <mergeCell ref="A48:A49"/>
    <mergeCell ref="B48:B49"/>
    <mergeCell ref="C48:C49"/>
    <mergeCell ref="D48:D49"/>
    <mergeCell ref="E48:E49"/>
    <mergeCell ref="F48:F49"/>
    <mergeCell ref="S46:S47"/>
    <mergeCell ref="T46:T47"/>
    <mergeCell ref="U46:U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Q48:Q49"/>
    <mergeCell ref="R48:R49"/>
    <mergeCell ref="G48:G49"/>
    <mergeCell ref="H48:H49"/>
    <mergeCell ref="I48:I49"/>
    <mergeCell ref="J48:J49"/>
    <mergeCell ref="K48:K49"/>
    <mergeCell ref="L48:L49"/>
    <mergeCell ref="Y46:Y47"/>
    <mergeCell ref="J46:J47"/>
    <mergeCell ref="K46:K47"/>
    <mergeCell ref="L46:L47"/>
    <mergeCell ref="I50:I51"/>
    <mergeCell ref="J50:J51"/>
    <mergeCell ref="K50:K51"/>
    <mergeCell ref="L50:L51"/>
    <mergeCell ref="Y48:Y49"/>
    <mergeCell ref="Z48:Z49"/>
    <mergeCell ref="AA48:AA49"/>
    <mergeCell ref="AB48:AB49"/>
    <mergeCell ref="A50:A51"/>
    <mergeCell ref="B50:B51"/>
    <mergeCell ref="C50:C51"/>
    <mergeCell ref="D50:D51"/>
    <mergeCell ref="E50:E51"/>
    <mergeCell ref="F50:F51"/>
    <mergeCell ref="S48:S49"/>
    <mergeCell ref="T48:T49"/>
    <mergeCell ref="U48:U49"/>
    <mergeCell ref="V48:V49"/>
    <mergeCell ref="W48:W49"/>
    <mergeCell ref="X48:X49"/>
    <mergeCell ref="M48:M49"/>
    <mergeCell ref="N48:N49"/>
    <mergeCell ref="O48:O49"/>
    <mergeCell ref="P48:P49"/>
    <mergeCell ref="Y50:Y51"/>
    <mergeCell ref="Z50:Z51"/>
    <mergeCell ref="AA50:AA51"/>
    <mergeCell ref="AB50:AB51"/>
    <mergeCell ref="A52:A53"/>
    <mergeCell ref="B52:B53"/>
    <mergeCell ref="C52:C53"/>
    <mergeCell ref="D52:D53"/>
    <mergeCell ref="E52:E53"/>
    <mergeCell ref="F52:F53"/>
    <mergeCell ref="S50:S51"/>
    <mergeCell ref="T50:T51"/>
    <mergeCell ref="U50:U51"/>
    <mergeCell ref="V50:V51"/>
    <mergeCell ref="W50:W51"/>
    <mergeCell ref="X50:X51"/>
    <mergeCell ref="M50:M51"/>
    <mergeCell ref="N50:N51"/>
    <mergeCell ref="O50:O51"/>
    <mergeCell ref="P50:P51"/>
    <mergeCell ref="Q50:Q51"/>
    <mergeCell ref="R50:R51"/>
    <mergeCell ref="G50:G51"/>
    <mergeCell ref="H50:H51"/>
    <mergeCell ref="Z52:Z53"/>
    <mergeCell ref="AA52:AA53"/>
    <mergeCell ref="AB52:AB53"/>
    <mergeCell ref="A54:A55"/>
    <mergeCell ref="B54:B55"/>
    <mergeCell ref="C54:C55"/>
    <mergeCell ref="D54:D55"/>
    <mergeCell ref="E54:E55"/>
    <mergeCell ref="F54:F55"/>
    <mergeCell ref="S52:S53"/>
    <mergeCell ref="T52:T53"/>
    <mergeCell ref="U52:U53"/>
    <mergeCell ref="V52:V53"/>
    <mergeCell ref="W52:W53"/>
    <mergeCell ref="X52:X53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Q54:Q55"/>
    <mergeCell ref="R54:R55"/>
    <mergeCell ref="G54:G55"/>
    <mergeCell ref="H54:H55"/>
    <mergeCell ref="I54:I55"/>
    <mergeCell ref="J54:J55"/>
    <mergeCell ref="K54:K55"/>
    <mergeCell ref="L54:L55"/>
    <mergeCell ref="Y52:Y53"/>
    <mergeCell ref="J52:J53"/>
    <mergeCell ref="K52:K53"/>
    <mergeCell ref="L52:L53"/>
    <mergeCell ref="I56:I57"/>
    <mergeCell ref="J56:J57"/>
    <mergeCell ref="K56:K57"/>
    <mergeCell ref="L56:L57"/>
    <mergeCell ref="Y54:Y55"/>
    <mergeCell ref="Z54:Z55"/>
    <mergeCell ref="AA54:AA55"/>
    <mergeCell ref="AB54:AB55"/>
    <mergeCell ref="A56:A57"/>
    <mergeCell ref="B56:B57"/>
    <mergeCell ref="C56:C57"/>
    <mergeCell ref="D56:D57"/>
    <mergeCell ref="E56:E57"/>
    <mergeCell ref="F56:F57"/>
    <mergeCell ref="S54:S55"/>
    <mergeCell ref="T54:T55"/>
    <mergeCell ref="U54:U55"/>
    <mergeCell ref="V54:V55"/>
    <mergeCell ref="W54:W55"/>
    <mergeCell ref="X54:X55"/>
    <mergeCell ref="M54:M55"/>
    <mergeCell ref="N54:N55"/>
    <mergeCell ref="O54:O55"/>
    <mergeCell ref="P54:P55"/>
    <mergeCell ref="Y56:Y57"/>
    <mergeCell ref="Z56:Z57"/>
    <mergeCell ref="AA56:AA57"/>
    <mergeCell ref="AB56:AB57"/>
    <mergeCell ref="A58:A59"/>
    <mergeCell ref="B58:B59"/>
    <mergeCell ref="C58:C59"/>
    <mergeCell ref="D58:D59"/>
    <mergeCell ref="E58:E59"/>
    <mergeCell ref="F58:F59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G56:G57"/>
    <mergeCell ref="H56:H57"/>
    <mergeCell ref="Z58:Z59"/>
    <mergeCell ref="AA58:AA59"/>
    <mergeCell ref="AB58:AB59"/>
    <mergeCell ref="A60:A61"/>
    <mergeCell ref="B60:B61"/>
    <mergeCell ref="C60:C61"/>
    <mergeCell ref="D60:D61"/>
    <mergeCell ref="E60:E61"/>
    <mergeCell ref="F60:F61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Q60:Q61"/>
    <mergeCell ref="R60:R61"/>
    <mergeCell ref="G60:G61"/>
    <mergeCell ref="H60:H61"/>
    <mergeCell ref="I60:I61"/>
    <mergeCell ref="J60:J61"/>
    <mergeCell ref="K60:K61"/>
    <mergeCell ref="L60:L61"/>
    <mergeCell ref="Y58:Y59"/>
    <mergeCell ref="J58:J59"/>
    <mergeCell ref="K58:K59"/>
    <mergeCell ref="L58:L59"/>
    <mergeCell ref="I62:I63"/>
    <mergeCell ref="J62:J63"/>
    <mergeCell ref="K62:K63"/>
    <mergeCell ref="L62:L63"/>
    <mergeCell ref="Y60:Y61"/>
    <mergeCell ref="Z60:Z61"/>
    <mergeCell ref="AA60:AA61"/>
    <mergeCell ref="AB60:AB61"/>
    <mergeCell ref="A62:A63"/>
    <mergeCell ref="B62:B63"/>
    <mergeCell ref="C62:C63"/>
    <mergeCell ref="D62:D63"/>
    <mergeCell ref="E62:E63"/>
    <mergeCell ref="F62:F63"/>
    <mergeCell ref="S60:S61"/>
    <mergeCell ref="T60:T61"/>
    <mergeCell ref="U60:U61"/>
    <mergeCell ref="V60:V61"/>
    <mergeCell ref="W60:W61"/>
    <mergeCell ref="X60:X61"/>
    <mergeCell ref="M60:M61"/>
    <mergeCell ref="N60:N61"/>
    <mergeCell ref="O60:O61"/>
    <mergeCell ref="P60:P61"/>
    <mergeCell ref="Y62:Y63"/>
    <mergeCell ref="Z62:Z63"/>
    <mergeCell ref="AA62:AA63"/>
    <mergeCell ref="AB62:AB63"/>
    <mergeCell ref="A64:A65"/>
    <mergeCell ref="B64:B65"/>
    <mergeCell ref="C64:C65"/>
    <mergeCell ref="D64:D65"/>
    <mergeCell ref="E64:E65"/>
    <mergeCell ref="F64:F65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G62:G63"/>
    <mergeCell ref="H62:H63"/>
    <mergeCell ref="Z64:Z65"/>
    <mergeCell ref="AA64:AA65"/>
    <mergeCell ref="AB64:AB65"/>
    <mergeCell ref="A66:A67"/>
    <mergeCell ref="B66:B67"/>
    <mergeCell ref="C66:C67"/>
    <mergeCell ref="D66:D67"/>
    <mergeCell ref="E66:E67"/>
    <mergeCell ref="F66:F67"/>
    <mergeCell ref="S64:S65"/>
    <mergeCell ref="T64:T65"/>
    <mergeCell ref="U64:U65"/>
    <mergeCell ref="V64:V65"/>
    <mergeCell ref="W64:W65"/>
    <mergeCell ref="X64:X65"/>
    <mergeCell ref="M64:M65"/>
    <mergeCell ref="N64:N65"/>
    <mergeCell ref="O64:O65"/>
    <mergeCell ref="P64:P65"/>
    <mergeCell ref="Q64:Q65"/>
    <mergeCell ref="R64:R65"/>
    <mergeCell ref="G64:G65"/>
    <mergeCell ref="H64:H65"/>
    <mergeCell ref="I64:I65"/>
    <mergeCell ref="Q66:Q67"/>
    <mergeCell ref="R66:R67"/>
    <mergeCell ref="G66:G67"/>
    <mergeCell ref="H66:H67"/>
    <mergeCell ref="I66:I67"/>
    <mergeCell ref="J66:J67"/>
    <mergeCell ref="K66:K67"/>
    <mergeCell ref="L66:L67"/>
    <mergeCell ref="Y64:Y65"/>
    <mergeCell ref="J64:J65"/>
    <mergeCell ref="K64:K65"/>
    <mergeCell ref="L64:L65"/>
    <mergeCell ref="I68:I69"/>
    <mergeCell ref="J68:J69"/>
    <mergeCell ref="K68:K69"/>
    <mergeCell ref="L68:L69"/>
    <mergeCell ref="Y66:Y67"/>
    <mergeCell ref="Z66:Z67"/>
    <mergeCell ref="AA66:AA67"/>
    <mergeCell ref="AB66:AB67"/>
    <mergeCell ref="A68:A69"/>
    <mergeCell ref="B68:B69"/>
    <mergeCell ref="C68:C69"/>
    <mergeCell ref="D68:D69"/>
    <mergeCell ref="E68:E69"/>
    <mergeCell ref="F68:F69"/>
    <mergeCell ref="S66:S67"/>
    <mergeCell ref="T66:T67"/>
    <mergeCell ref="U66:U67"/>
    <mergeCell ref="V66:V67"/>
    <mergeCell ref="W66:W67"/>
    <mergeCell ref="X66:X67"/>
    <mergeCell ref="M66:M67"/>
    <mergeCell ref="N66:N67"/>
    <mergeCell ref="O66:O67"/>
    <mergeCell ref="P66:P67"/>
    <mergeCell ref="Y68:Y69"/>
    <mergeCell ref="Z68:Z69"/>
    <mergeCell ref="AA68:AA69"/>
    <mergeCell ref="AB68:AB69"/>
    <mergeCell ref="A70:A71"/>
    <mergeCell ref="B70:B71"/>
    <mergeCell ref="C70:C71"/>
    <mergeCell ref="D70:D71"/>
    <mergeCell ref="E70:E71"/>
    <mergeCell ref="F70:F71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G68:G69"/>
    <mergeCell ref="H68:H69"/>
    <mergeCell ref="P70:P71"/>
    <mergeCell ref="Q70:Q71"/>
    <mergeCell ref="R70:R71"/>
    <mergeCell ref="G70:G71"/>
    <mergeCell ref="H70:H71"/>
    <mergeCell ref="I70:I71"/>
    <mergeCell ref="J70:J71"/>
    <mergeCell ref="K70:K71"/>
    <mergeCell ref="L70:L71"/>
    <mergeCell ref="M80:M83"/>
    <mergeCell ref="M84:M91"/>
    <mergeCell ref="M92:M107"/>
    <mergeCell ref="M108:M139"/>
    <mergeCell ref="G145:J145"/>
    <mergeCell ref="Y70:Y71"/>
    <mergeCell ref="Z70:Z71"/>
    <mergeCell ref="B72:D75"/>
    <mergeCell ref="E72:E75"/>
    <mergeCell ref="G72:G73"/>
    <mergeCell ref="I72:I73"/>
    <mergeCell ref="J72:J73"/>
    <mergeCell ref="G74:G75"/>
    <mergeCell ref="I74:I75"/>
    <mergeCell ref="J74:J75"/>
    <mergeCell ref="S70:S71"/>
    <mergeCell ref="T70:T71"/>
    <mergeCell ref="U70:U71"/>
    <mergeCell ref="V70:V71"/>
    <mergeCell ref="W70:W71"/>
    <mergeCell ref="X70:X71"/>
    <mergeCell ref="M70:M71"/>
    <mergeCell ref="N70:N71"/>
    <mergeCell ref="O70:O71"/>
  </mergeCells>
  <pageMargins left="0.70866141732283472" right="0.70866141732283472" top="0.74803149606299213" bottom="0.74803149606299213" header="0.31496062992125984" footer="0.31496062992125984"/>
  <pageSetup scale="2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Ranking Final</vt:lpstr>
      <vt:lpstr>Grupo 1</vt:lpstr>
      <vt:lpstr>Grupo 2</vt:lpstr>
      <vt:lpstr>Grupo 3</vt:lpstr>
      <vt:lpstr>Grupo 4</vt:lpstr>
      <vt:lpstr>Grupo 5</vt:lpstr>
      <vt:lpstr>Grupo 6</vt:lpstr>
      <vt:lpstr>Grupo 7</vt:lpstr>
      <vt:lpstr>Grupo 8</vt:lpstr>
      <vt:lpstr>Grupo 9</vt:lpstr>
      <vt:lpstr>Grupo 10</vt:lpstr>
      <vt:lpstr>Grupo 11</vt:lpstr>
      <vt:lpstr>Grupo 12</vt:lpstr>
      <vt:lpstr>LLAVE 32 </vt:lpstr>
      <vt:lpstr>'Grupo 1'!Print_Area</vt:lpstr>
      <vt:lpstr>'Grupo 10'!Print_Area</vt:lpstr>
      <vt:lpstr>'Grupo 11'!Print_Area</vt:lpstr>
      <vt:lpstr>'Grupo 12'!Print_Area</vt:lpstr>
      <vt:lpstr>'Grupo 2'!Print_Area</vt:lpstr>
      <vt:lpstr>'Grupo 3'!Print_Area</vt:lpstr>
      <vt:lpstr>'Grupo 4'!Print_Area</vt:lpstr>
      <vt:lpstr>'Grupo 5'!Print_Area</vt:lpstr>
      <vt:lpstr>'Grupo 6'!Print_Area</vt:lpstr>
      <vt:lpstr>'Grupo 7'!Print_Area</vt:lpstr>
      <vt:lpstr>'Grupo 8'!Print_Area</vt:lpstr>
      <vt:lpstr>'Grupo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Esteban Maroto Coto</cp:lastModifiedBy>
  <dcterms:created xsi:type="dcterms:W3CDTF">2026-09-23T05:40:00Z</dcterms:created>
  <dcterms:modified xsi:type="dcterms:W3CDTF">2026-10-19T03:00:26Z</dcterms:modified>
</cp:coreProperties>
</file>