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cot\Downloads\"/>
    </mc:Choice>
  </mc:AlternateContent>
  <xr:revisionPtr revIDLastSave="0" documentId="13_ncr:1_{8CECAA4E-9E7A-4E95-82B1-489B8B4EEBF0}" xr6:coauthVersionLast="47" xr6:coauthVersionMax="47" xr10:uidLastSave="{00000000-0000-0000-0000-000000000000}"/>
  <bookViews>
    <workbookView xWindow="28680" yWindow="-120" windowWidth="29040" windowHeight="15720" xr2:uid="{024CE8A3-CC55-4E77-A0D1-BDD24E30D10A}"/>
  </bookViews>
  <sheets>
    <sheet name="Ranking Final" sheetId="2" r:id="rId1"/>
    <sheet name="Grupo 1" sheetId="3" r:id="rId2"/>
    <sheet name="Grupo 2" sheetId="4" r:id="rId3"/>
    <sheet name="Grupo 3" sheetId="5" r:id="rId4"/>
    <sheet name="Grupo 4" sheetId="6" r:id="rId5"/>
    <sheet name="Grupo 5" sheetId="7" r:id="rId6"/>
    <sheet name="Grupo 6" sheetId="8" r:id="rId7"/>
    <sheet name="LLAVE 16" sheetId="9" r:id="rId8"/>
  </sheets>
  <definedNames>
    <definedName name="a">#REF!</definedName>
    <definedName name="acdb">#REF!</definedName>
    <definedName name="ACDB1">#REF!</definedName>
    <definedName name="acdf">#REF!</definedName>
    <definedName name="acdh">#REF!</definedName>
    <definedName name="acdo">#REF!</definedName>
    <definedName name="aceq">#REF!</definedName>
    <definedName name="acif">#REF!</definedName>
    <definedName name="acin">#REF!</definedName>
    <definedName name="ACIN1">#REF!</definedName>
    <definedName name="acti">#REF!</definedName>
    <definedName name="avc">#REF!</definedName>
    <definedName name="datos">#REF!</definedName>
    <definedName name="dorsal">#REF!</definedName>
    <definedName name="EQ">#REF!</definedName>
    <definedName name="IN">#REF!</definedName>
    <definedName name="IND">#REF!</definedName>
    <definedName name="IPC_Member">#REF!</definedName>
    <definedName name="JBS">#REF!</definedName>
    <definedName name="JGS">#REF!</definedName>
    <definedName name="JUG">#REF!</definedName>
    <definedName name="PC">#REF!</definedName>
    <definedName name="PCS">#REF!</definedName>
    <definedName name="PLAYERS">#REF!</definedName>
    <definedName name="_xlnm.Print_Area" localSheetId="1">'Grupo 1'!$A$1:$J$35</definedName>
    <definedName name="_xlnm.Print_Area" localSheetId="2">'Grupo 2'!$A$1:$J$35</definedName>
    <definedName name="_xlnm.Print_Area" localSheetId="3">'Grupo 3'!$A$1:$J$35</definedName>
    <definedName name="_xlnm.Print_Area" localSheetId="4">'Grupo 4'!$A$1:$J$35</definedName>
    <definedName name="_xlnm.Print_Area" localSheetId="5">'Grupo 5'!$A$1:$J$35</definedName>
    <definedName name="_xlnm.Print_Area" localSheetId="6">'Grupo 6'!$A$1:$J$35</definedName>
    <definedName name="_xlnm.Print_Area" localSheetId="7">'LLAVE 16'!$AU$1:$BJ$44</definedName>
    <definedName name="RK">#REF!</definedName>
    <definedName name="RKJB">#REF!</definedName>
    <definedName name="RKJG">#REF!</definedName>
    <definedName name="SI">#REF!</definedName>
    <definedName name="ssss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87" i="9" l="1"/>
  <c r="K72" i="9"/>
  <c r="L70" i="9"/>
  <c r="K69" i="9"/>
  <c r="BH47" i="9"/>
  <c r="G43" i="9"/>
  <c r="AS42" i="9"/>
  <c r="AR42" i="9"/>
  <c r="AQ42" i="9"/>
  <c r="AP42" i="9"/>
  <c r="AO42" i="9"/>
  <c r="AN42" i="9"/>
  <c r="AM42" i="9"/>
  <c r="AE42" i="9" s="1"/>
  <c r="AL42" i="9"/>
  <c r="AK42" i="9"/>
  <c r="AJ42" i="9"/>
  <c r="AB41" i="9" s="1"/>
  <c r="AI42" i="9"/>
  <c r="AH42" i="9"/>
  <c r="AG42" i="9"/>
  <c r="AF42" i="9"/>
  <c r="AS41" i="9"/>
  <c r="AR41" i="9"/>
  <c r="AQ41" i="9"/>
  <c r="AP41" i="9"/>
  <c r="AO41" i="9"/>
  <c r="AN41" i="9"/>
  <c r="AM41" i="9"/>
  <c r="AE41" i="9" s="1"/>
  <c r="AL41" i="9"/>
  <c r="AK41" i="9"/>
  <c r="AJ41" i="9"/>
  <c r="AI41" i="9"/>
  <c r="AH41" i="9"/>
  <c r="AG41" i="9"/>
  <c r="AA41" i="9" s="1"/>
  <c r="AF41" i="9"/>
  <c r="F41" i="9"/>
  <c r="AS40" i="9"/>
  <c r="AR40" i="9"/>
  <c r="AQ40" i="9"/>
  <c r="AP40" i="9"/>
  <c r="AO40" i="9"/>
  <c r="AN40" i="9"/>
  <c r="AM40" i="9"/>
  <c r="AL40" i="9"/>
  <c r="AK40" i="9"/>
  <c r="AJ40" i="9"/>
  <c r="AI40" i="9"/>
  <c r="AH40" i="9"/>
  <c r="AG40" i="9"/>
  <c r="AF40" i="9"/>
  <c r="AD40" i="9"/>
  <c r="AS39" i="9"/>
  <c r="AR39" i="9"/>
  <c r="AQ39" i="9"/>
  <c r="AP39" i="9"/>
  <c r="AO39" i="9"/>
  <c r="AN39" i="9"/>
  <c r="AM39" i="9"/>
  <c r="AE39" i="9" s="1"/>
  <c r="AL39" i="9"/>
  <c r="AK39" i="9"/>
  <c r="AJ39" i="9"/>
  <c r="AI39" i="9"/>
  <c r="AH39" i="9"/>
  <c r="AG39" i="9"/>
  <c r="AF39" i="9"/>
  <c r="AB39" i="9"/>
  <c r="AA39" i="9"/>
  <c r="F39" i="9"/>
  <c r="BF47" i="9" s="1"/>
  <c r="AZ38" i="9"/>
  <c r="AS38" i="9"/>
  <c r="AR38" i="9"/>
  <c r="AQ38" i="9"/>
  <c r="AP38" i="9"/>
  <c r="AO38" i="9"/>
  <c r="AN38" i="9"/>
  <c r="AM38" i="9"/>
  <c r="AL38" i="9"/>
  <c r="AK38" i="9"/>
  <c r="AJ38" i="9"/>
  <c r="AI38" i="9"/>
  <c r="AH38" i="9"/>
  <c r="AG38" i="9"/>
  <c r="AB37" i="9" s="1"/>
  <c r="AF38" i="9"/>
  <c r="AS37" i="9"/>
  <c r="AR37" i="9"/>
  <c r="AQ37" i="9"/>
  <c r="AP37" i="9"/>
  <c r="AO37" i="9"/>
  <c r="AN37" i="9"/>
  <c r="AM37" i="9"/>
  <c r="AE37" i="9" s="1"/>
  <c r="AL37" i="9"/>
  <c r="AK37" i="9"/>
  <c r="AJ37" i="9"/>
  <c r="AI37" i="9"/>
  <c r="AH37" i="9"/>
  <c r="AG37" i="9"/>
  <c r="AF37" i="9"/>
  <c r="AA37" i="9" s="1"/>
  <c r="F37" i="9"/>
  <c r="BC34" i="9" s="1"/>
  <c r="AS36" i="9"/>
  <c r="AR36" i="9"/>
  <c r="AQ36" i="9"/>
  <c r="AP36" i="9"/>
  <c r="AO36" i="9"/>
  <c r="AN36" i="9"/>
  <c r="AE36" i="9" s="1"/>
  <c r="AM36" i="9"/>
  <c r="AL36" i="9"/>
  <c r="AK36" i="9"/>
  <c r="AJ36" i="9"/>
  <c r="AI36" i="9"/>
  <c r="AH36" i="9"/>
  <c r="AG36" i="9"/>
  <c r="AF36" i="9"/>
  <c r="AB35" i="9" s="1"/>
  <c r="AS35" i="9"/>
  <c r="AR35" i="9"/>
  <c r="AQ35" i="9"/>
  <c r="AP35" i="9"/>
  <c r="AO35" i="9"/>
  <c r="AN35" i="9"/>
  <c r="AM35" i="9"/>
  <c r="AL35" i="9"/>
  <c r="AK35" i="9"/>
  <c r="AJ35" i="9"/>
  <c r="AI35" i="9"/>
  <c r="AH35" i="9"/>
  <c r="AG35" i="9"/>
  <c r="AF35" i="9"/>
  <c r="AA35" i="9" s="1"/>
  <c r="F35" i="9"/>
  <c r="AS34" i="9"/>
  <c r="AR34" i="9"/>
  <c r="AQ34" i="9"/>
  <c r="AP34" i="9"/>
  <c r="AO34" i="9"/>
  <c r="AN34" i="9"/>
  <c r="AM34" i="9"/>
  <c r="AE34" i="9" s="1"/>
  <c r="AL34" i="9"/>
  <c r="AK34" i="9"/>
  <c r="AJ34" i="9"/>
  <c r="AI34" i="9"/>
  <c r="AH34" i="9"/>
  <c r="AG34" i="9"/>
  <c r="AF34" i="9"/>
  <c r="AB33" i="9" s="1"/>
  <c r="AS33" i="9"/>
  <c r="AR33" i="9"/>
  <c r="AQ33" i="9"/>
  <c r="AP33" i="9"/>
  <c r="AO33" i="9"/>
  <c r="AN33" i="9"/>
  <c r="AM33" i="9"/>
  <c r="AE33" i="9" s="1"/>
  <c r="AL33" i="9"/>
  <c r="AK33" i="9"/>
  <c r="AJ33" i="9"/>
  <c r="AI33" i="9"/>
  <c r="AH33" i="9"/>
  <c r="AG33" i="9"/>
  <c r="AA33" i="9" s="1"/>
  <c r="AF33" i="9"/>
  <c r="F33" i="9"/>
  <c r="AS32" i="9"/>
  <c r="AR32" i="9"/>
  <c r="AQ32" i="9"/>
  <c r="AP32" i="9"/>
  <c r="AE32" i="9" s="1"/>
  <c r="AO32" i="9"/>
  <c r="AN32" i="9"/>
  <c r="AM32" i="9"/>
  <c r="AL32" i="9"/>
  <c r="AK32" i="9"/>
  <c r="AJ32" i="9"/>
  <c r="AI32" i="9"/>
  <c r="AH32" i="9"/>
  <c r="AG32" i="9"/>
  <c r="AB31" i="9" s="1"/>
  <c r="AF32" i="9"/>
  <c r="AS31" i="9"/>
  <c r="AR31" i="9"/>
  <c r="AQ31" i="9"/>
  <c r="AP31" i="9"/>
  <c r="AO31" i="9"/>
  <c r="AN31" i="9"/>
  <c r="AM31" i="9"/>
  <c r="AE31" i="9" s="1"/>
  <c r="AL31" i="9"/>
  <c r="AA31" i="9" s="1"/>
  <c r="AK31" i="9"/>
  <c r="AJ31" i="9"/>
  <c r="AI31" i="9"/>
  <c r="AH31" i="9"/>
  <c r="AG31" i="9"/>
  <c r="AF31" i="9"/>
  <c r="F31" i="9"/>
  <c r="AZ30" i="9"/>
  <c r="AS30" i="9"/>
  <c r="AR30" i="9"/>
  <c r="AQ30" i="9"/>
  <c r="AP30" i="9"/>
  <c r="AO30" i="9"/>
  <c r="AN30" i="9"/>
  <c r="AM30" i="9"/>
  <c r="AL30" i="9"/>
  <c r="AK30" i="9"/>
  <c r="AJ30" i="9"/>
  <c r="AI30" i="9"/>
  <c r="AH30" i="9"/>
  <c r="AG30" i="9"/>
  <c r="AF30" i="9"/>
  <c r="AB29" i="9" s="1"/>
  <c r="AS29" i="9"/>
  <c r="AR29" i="9"/>
  <c r="AQ29" i="9"/>
  <c r="AP29" i="9"/>
  <c r="AO29" i="9"/>
  <c r="AN29" i="9"/>
  <c r="AM29" i="9"/>
  <c r="AL29" i="9"/>
  <c r="AK29" i="9"/>
  <c r="AJ29" i="9"/>
  <c r="AI29" i="9"/>
  <c r="AH29" i="9"/>
  <c r="AG29" i="9"/>
  <c r="AF29" i="9"/>
  <c r="AA29" i="9" s="1"/>
  <c r="F29" i="9"/>
  <c r="AS28" i="9"/>
  <c r="AR28" i="9"/>
  <c r="AQ28" i="9"/>
  <c r="AP28" i="9"/>
  <c r="AO28" i="9"/>
  <c r="AN28" i="9"/>
  <c r="AE28" i="9" s="1"/>
  <c r="AM28" i="9"/>
  <c r="AL28" i="9"/>
  <c r="AK28" i="9"/>
  <c r="AJ28" i="9"/>
  <c r="AI28" i="9"/>
  <c r="AH28" i="9"/>
  <c r="AG28" i="9"/>
  <c r="AF28" i="9"/>
  <c r="BO27" i="9"/>
  <c r="BN27" i="9"/>
  <c r="BM27" i="9"/>
  <c r="AS27" i="9"/>
  <c r="AR27" i="9"/>
  <c r="AQ27" i="9"/>
  <c r="AP27" i="9"/>
  <c r="AO27" i="9"/>
  <c r="AN27" i="9"/>
  <c r="AE27" i="9" s="1"/>
  <c r="AM27" i="9"/>
  <c r="AL27" i="9"/>
  <c r="AK27" i="9"/>
  <c r="AJ27" i="9"/>
  <c r="AI27" i="9"/>
  <c r="AH27" i="9"/>
  <c r="AG27" i="9"/>
  <c r="AF27" i="9"/>
  <c r="AA27" i="9" s="1"/>
  <c r="AB27" i="9"/>
  <c r="F27" i="9"/>
  <c r="BO26" i="9"/>
  <c r="BN26" i="9"/>
  <c r="BM26" i="9"/>
  <c r="BF26" i="9"/>
  <c r="AS26" i="9"/>
  <c r="AR26" i="9"/>
  <c r="AQ26" i="9"/>
  <c r="AP26" i="9"/>
  <c r="AO26" i="9"/>
  <c r="AN26" i="9"/>
  <c r="AM26" i="9"/>
  <c r="AL26" i="9"/>
  <c r="AK26" i="9"/>
  <c r="AJ26" i="9"/>
  <c r="AI26" i="9"/>
  <c r="AH26" i="9"/>
  <c r="AG26" i="9"/>
  <c r="AB25" i="9" s="1"/>
  <c r="AF26" i="9"/>
  <c r="BO25" i="9"/>
  <c r="BN25" i="9"/>
  <c r="BM25" i="9"/>
  <c r="AS25" i="9"/>
  <c r="AR25" i="9"/>
  <c r="AQ25" i="9"/>
  <c r="AP25" i="9"/>
  <c r="AO25" i="9"/>
  <c r="AN25" i="9"/>
  <c r="AM25" i="9"/>
  <c r="AE25" i="9" s="1"/>
  <c r="AL25" i="9"/>
  <c r="AK25" i="9"/>
  <c r="AJ25" i="9"/>
  <c r="AI25" i="9"/>
  <c r="AH25" i="9"/>
  <c r="AG25" i="9"/>
  <c r="AA25" i="9" s="1"/>
  <c r="AF25" i="9"/>
  <c r="F25" i="9"/>
  <c r="AW40" i="9" s="1"/>
  <c r="BO24" i="9"/>
  <c r="BN24" i="9"/>
  <c r="BM24" i="9"/>
  <c r="AS24" i="9"/>
  <c r="AR24" i="9"/>
  <c r="AQ24" i="9"/>
  <c r="AP24" i="9"/>
  <c r="AO24" i="9"/>
  <c r="AN24" i="9"/>
  <c r="AM24" i="9"/>
  <c r="AE24" i="9" s="1"/>
  <c r="AL24" i="9"/>
  <c r="AB23" i="9" s="1"/>
  <c r="AK24" i="9"/>
  <c r="AJ24" i="9"/>
  <c r="AI24" i="9"/>
  <c r="AH24" i="9"/>
  <c r="AG24" i="9"/>
  <c r="AF24" i="9"/>
  <c r="BO23" i="9"/>
  <c r="BN23" i="9"/>
  <c r="BM23" i="9"/>
  <c r="AS23" i="9"/>
  <c r="AR23" i="9"/>
  <c r="AQ23" i="9"/>
  <c r="AP23" i="9"/>
  <c r="AO23" i="9"/>
  <c r="AN23" i="9"/>
  <c r="AE23" i="9" s="1"/>
  <c r="AM23" i="9"/>
  <c r="AL23" i="9"/>
  <c r="AK23" i="9"/>
  <c r="AJ23" i="9"/>
  <c r="AI23" i="9"/>
  <c r="AH23" i="9"/>
  <c r="AG23" i="9"/>
  <c r="AF23" i="9"/>
  <c r="AA23" i="9" s="1"/>
  <c r="F23" i="9"/>
  <c r="AW36" i="9" s="1"/>
  <c r="BO22" i="9"/>
  <c r="BN22" i="9"/>
  <c r="BM22" i="9"/>
  <c r="AZ22" i="9"/>
  <c r="AS22" i="9"/>
  <c r="AR22" i="9"/>
  <c r="AQ22" i="9"/>
  <c r="AP22" i="9"/>
  <c r="AO22" i="9"/>
  <c r="AN22" i="9"/>
  <c r="AM22" i="9"/>
  <c r="AL22" i="9"/>
  <c r="AK22" i="9"/>
  <c r="AJ22" i="9"/>
  <c r="AI22" i="9"/>
  <c r="AH22" i="9"/>
  <c r="AG22" i="9"/>
  <c r="AB21" i="9" s="1"/>
  <c r="AF22" i="9"/>
  <c r="BO21" i="9"/>
  <c r="BN21" i="9"/>
  <c r="BM21" i="9"/>
  <c r="AS21" i="9"/>
  <c r="AR21" i="9"/>
  <c r="AQ21" i="9"/>
  <c r="AP21" i="9"/>
  <c r="AO21" i="9"/>
  <c r="AN21" i="9"/>
  <c r="AM21" i="9"/>
  <c r="AE21" i="9" s="1"/>
  <c r="AL21" i="9"/>
  <c r="AK21" i="9"/>
  <c r="AJ21" i="9"/>
  <c r="AI21" i="9"/>
  <c r="AH21" i="9"/>
  <c r="AA21" i="9" s="1"/>
  <c r="AG21" i="9"/>
  <c r="AF21" i="9"/>
  <c r="F21" i="9"/>
  <c r="AW32" i="9" s="1"/>
  <c r="BO20" i="9"/>
  <c r="BN20" i="9"/>
  <c r="BM20" i="9"/>
  <c r="AS20" i="9"/>
  <c r="AR20" i="9"/>
  <c r="AQ20" i="9"/>
  <c r="AP20" i="9"/>
  <c r="AO20" i="9"/>
  <c r="AN20" i="9"/>
  <c r="AM20" i="9"/>
  <c r="AE20" i="9" s="1"/>
  <c r="AL20" i="9"/>
  <c r="AK20" i="9"/>
  <c r="AJ20" i="9"/>
  <c r="AI20" i="9"/>
  <c r="AH20" i="9"/>
  <c r="AG20" i="9"/>
  <c r="AF20" i="9"/>
  <c r="AB19" i="9" s="1"/>
  <c r="BY19" i="9"/>
  <c r="BO19" i="9"/>
  <c r="BN19" i="9"/>
  <c r="BM19" i="9"/>
  <c r="AS19" i="9"/>
  <c r="AR19" i="9"/>
  <c r="AQ19" i="9"/>
  <c r="AP19" i="9"/>
  <c r="AO19" i="9"/>
  <c r="AN19" i="9"/>
  <c r="AE19" i="9" s="1"/>
  <c r="AM19" i="9"/>
  <c r="AL19" i="9"/>
  <c r="AK19" i="9"/>
  <c r="AJ19" i="9"/>
  <c r="AI19" i="9"/>
  <c r="AH19" i="9"/>
  <c r="AG19" i="9"/>
  <c r="AF19" i="9"/>
  <c r="AA19" i="9" s="1"/>
  <c r="L71" i="9"/>
  <c r="F19" i="9"/>
  <c r="AW28" i="9" s="1"/>
  <c r="BO18" i="9"/>
  <c r="BN18" i="9"/>
  <c r="BM18" i="9"/>
  <c r="BC18" i="9"/>
  <c r="AS18" i="9"/>
  <c r="AR18" i="9"/>
  <c r="AQ18" i="9"/>
  <c r="AP18" i="9"/>
  <c r="AO18" i="9"/>
  <c r="AN18" i="9"/>
  <c r="AM18" i="9"/>
  <c r="AL18" i="9"/>
  <c r="AK18" i="9"/>
  <c r="AJ18" i="9"/>
  <c r="AI18" i="9"/>
  <c r="AB17" i="9" s="1"/>
  <c r="AH18" i="9"/>
  <c r="AG18" i="9"/>
  <c r="AF18" i="9"/>
  <c r="AE18" i="9"/>
  <c r="BO17" i="9"/>
  <c r="BN17" i="9"/>
  <c r="BM17" i="9"/>
  <c r="BL17" i="9"/>
  <c r="BL18" i="9" s="1"/>
  <c r="BL19" i="9" s="1"/>
  <c r="BL20" i="9" s="1"/>
  <c r="BL21" i="9" s="1"/>
  <c r="BL22" i="9" s="1"/>
  <c r="BL23" i="9" s="1"/>
  <c r="BL24" i="9" s="1"/>
  <c r="BL25" i="9" s="1"/>
  <c r="BL26" i="9" s="1"/>
  <c r="BL27" i="9" s="1"/>
  <c r="AS17" i="9"/>
  <c r="AR17" i="9"/>
  <c r="AQ17" i="9"/>
  <c r="AP17" i="9"/>
  <c r="AO17" i="9"/>
  <c r="AN17" i="9"/>
  <c r="AE17" i="9" s="1"/>
  <c r="AM17" i="9"/>
  <c r="AL17" i="9"/>
  <c r="AK17" i="9"/>
  <c r="AJ17" i="9"/>
  <c r="AI17" i="9"/>
  <c r="AH17" i="9"/>
  <c r="AG17" i="9"/>
  <c r="AF17" i="9"/>
  <c r="AA17" i="9" s="1"/>
  <c r="F17" i="9"/>
  <c r="AW24" i="9" s="1"/>
  <c r="BZ16" i="9"/>
  <c r="BO16" i="9"/>
  <c r="BN16" i="9"/>
  <c r="BM16" i="9"/>
  <c r="AS16" i="9"/>
  <c r="AR16" i="9"/>
  <c r="AQ16" i="9"/>
  <c r="AP16" i="9"/>
  <c r="AO16" i="9"/>
  <c r="AN16" i="9"/>
  <c r="AM16" i="9"/>
  <c r="AL16" i="9"/>
  <c r="AK16" i="9"/>
  <c r="AJ16" i="9"/>
  <c r="AI16" i="9"/>
  <c r="AH16" i="9"/>
  <c r="AG16" i="9"/>
  <c r="AF16" i="9"/>
  <c r="AB15" i="9" s="1"/>
  <c r="AE16" i="9"/>
  <c r="BY15" i="9"/>
  <c r="BO15" i="9"/>
  <c r="BN15" i="9"/>
  <c r="BM15" i="9"/>
  <c r="AU15" i="9"/>
  <c r="AU17" i="9" s="1"/>
  <c r="AU19" i="9" s="1"/>
  <c r="AU21" i="9" s="1"/>
  <c r="AU23" i="9" s="1"/>
  <c r="AU25" i="9" s="1"/>
  <c r="AU27" i="9" s="1"/>
  <c r="AU29" i="9" s="1"/>
  <c r="AU31" i="9" s="1"/>
  <c r="AU33" i="9" s="1"/>
  <c r="AU35" i="9" s="1"/>
  <c r="AU37" i="9" s="1"/>
  <c r="AU39" i="9" s="1"/>
  <c r="AU41" i="9" s="1"/>
  <c r="AS15" i="9"/>
  <c r="AR15" i="9"/>
  <c r="AQ15" i="9"/>
  <c r="AE15" i="9" s="1"/>
  <c r="AP15" i="9"/>
  <c r="AO15" i="9"/>
  <c r="AN15" i="9"/>
  <c r="AM15" i="9"/>
  <c r="AL15" i="9"/>
  <c r="AK15" i="9"/>
  <c r="AJ15" i="9"/>
  <c r="AI15" i="9"/>
  <c r="AH15" i="9"/>
  <c r="AG15" i="9"/>
  <c r="AF15" i="9"/>
  <c r="F15" i="9"/>
  <c r="AW20" i="9" s="1"/>
  <c r="BO14" i="9"/>
  <c r="BN14" i="9"/>
  <c r="BM14" i="9"/>
  <c r="AZ14" i="9"/>
  <c r="AS14" i="9"/>
  <c r="AR14" i="9"/>
  <c r="AQ14" i="9"/>
  <c r="AP14" i="9"/>
  <c r="AO14" i="9"/>
  <c r="AN14" i="9"/>
  <c r="AM14" i="9"/>
  <c r="AL14" i="9"/>
  <c r="AK14" i="9"/>
  <c r="AJ14" i="9"/>
  <c r="AI14" i="9"/>
  <c r="AH14" i="9"/>
  <c r="AG14" i="9"/>
  <c r="AB13" i="9" s="1"/>
  <c r="AD13" i="9" s="1"/>
  <c r="AF14" i="9"/>
  <c r="BO13" i="9"/>
  <c r="BN13" i="9"/>
  <c r="BM13" i="9"/>
  <c r="BL13" i="9"/>
  <c r="BL14" i="9" s="1"/>
  <c r="BL15" i="9" s="1"/>
  <c r="BL16" i="9" s="1"/>
  <c r="AU13" i="9"/>
  <c r="AS13" i="9"/>
  <c r="AR13" i="9"/>
  <c r="AQ13" i="9"/>
  <c r="AP13" i="9"/>
  <c r="AO13" i="9"/>
  <c r="AN13" i="9"/>
  <c r="AM13" i="9"/>
  <c r="AL13" i="9"/>
  <c r="AK13" i="9"/>
  <c r="AJ13" i="9"/>
  <c r="AI13" i="9"/>
  <c r="AH13" i="9"/>
  <c r="AG13" i="9"/>
  <c r="AF13" i="9"/>
  <c r="AA13" i="9" s="1"/>
  <c r="F13" i="9"/>
  <c r="AW16" i="9" s="1"/>
  <c r="BO12" i="9"/>
  <c r="BN12" i="9"/>
  <c r="BM12" i="9"/>
  <c r="AW12" i="9"/>
  <c r="AS12" i="9"/>
  <c r="AR12" i="9"/>
  <c r="AQ12" i="9"/>
  <c r="AE12" i="9" s="1"/>
  <c r="AP12" i="9"/>
  <c r="AO12" i="9"/>
  <c r="AN12" i="9"/>
  <c r="AM12" i="9"/>
  <c r="AL12" i="9"/>
  <c r="AK12" i="9"/>
  <c r="AJ12" i="9"/>
  <c r="AI12" i="9"/>
  <c r="AH12" i="9"/>
  <c r="AG12" i="9"/>
  <c r="AB11" i="9" s="1"/>
  <c r="AF12" i="9"/>
  <c r="AS11" i="9"/>
  <c r="AR11" i="9"/>
  <c r="AQ11" i="9"/>
  <c r="AP11" i="9"/>
  <c r="AO11" i="9"/>
  <c r="AN11" i="9"/>
  <c r="AM11" i="9"/>
  <c r="AE11" i="9" s="1"/>
  <c r="AL11" i="9"/>
  <c r="AK11" i="9"/>
  <c r="AJ11" i="9"/>
  <c r="AI11" i="9"/>
  <c r="AA11" i="9" s="1"/>
  <c r="AH11" i="9"/>
  <c r="AG11" i="9"/>
  <c r="AF11" i="9"/>
  <c r="F11" i="9"/>
  <c r="J14" i="8"/>
  <c r="A14" i="8"/>
  <c r="J13" i="8"/>
  <c r="A13" i="8"/>
  <c r="J12" i="8"/>
  <c r="A12" i="8"/>
  <c r="J7" i="8"/>
  <c r="J14" i="7"/>
  <c r="A14" i="7"/>
  <c r="J13" i="7"/>
  <c r="A13" i="7"/>
  <c r="J12" i="7"/>
  <c r="A12" i="7"/>
  <c r="J7" i="7"/>
  <c r="D22" i="6"/>
  <c r="D21" i="6"/>
  <c r="J14" i="6"/>
  <c r="A14" i="6"/>
  <c r="J13" i="6"/>
  <c r="A13" i="6"/>
  <c r="J12" i="6"/>
  <c r="A12" i="6"/>
  <c r="J7" i="6"/>
  <c r="J14" i="5"/>
  <c r="A14" i="5"/>
  <c r="J13" i="5"/>
  <c r="A13" i="5"/>
  <c r="J12" i="5"/>
  <c r="A12" i="5"/>
  <c r="J7" i="5"/>
  <c r="J14" i="4"/>
  <c r="A14" i="4"/>
  <c r="J13" i="4"/>
  <c r="A13" i="4"/>
  <c r="J12" i="4"/>
  <c r="A12" i="4"/>
  <c r="J7" i="4"/>
  <c r="J14" i="3"/>
  <c r="A14" i="3"/>
  <c r="J13" i="3"/>
  <c r="A13" i="3"/>
  <c r="J12" i="3"/>
  <c r="A12" i="3"/>
  <c r="J7" i="3"/>
  <c r="AD11" i="9" l="1"/>
  <c r="AC11" i="9" s="1"/>
  <c r="AZ11" i="9" s="1"/>
  <c r="AD12" i="9"/>
  <c r="AC19" i="9"/>
  <c r="AZ27" i="9" s="1"/>
  <c r="AD32" i="9"/>
  <c r="AD27" i="9"/>
  <c r="AD28" i="9" s="1"/>
  <c r="AC27" i="9"/>
  <c r="BC13" i="9" s="1"/>
  <c r="AA15" i="9"/>
  <c r="AD18" i="9"/>
  <c r="AD17" i="9"/>
  <c r="AC17" i="9" s="1"/>
  <c r="AZ25" i="9" s="1"/>
  <c r="AD35" i="9"/>
  <c r="AC35" i="9" s="1"/>
  <c r="BF17" i="9" s="1"/>
  <c r="AV39" i="9"/>
  <c r="L78" i="9"/>
  <c r="K77" i="9"/>
  <c r="AE30" i="9"/>
  <c r="AD30" i="9" s="1"/>
  <c r="AD39" i="9"/>
  <c r="AC39" i="9"/>
  <c r="BI48" i="9" s="1"/>
  <c r="AE40" i="9"/>
  <c r="AD41" i="9"/>
  <c r="AC41" i="9"/>
  <c r="BI25" i="9" s="1"/>
  <c r="AD42" i="9"/>
  <c r="AD21" i="9"/>
  <c r="AC21" i="9" s="1"/>
  <c r="AZ33" i="9" s="1"/>
  <c r="AD25" i="9"/>
  <c r="AD26" i="9" s="1"/>
  <c r="AC25" i="9"/>
  <c r="AZ41" i="9" s="1"/>
  <c r="AV13" i="9"/>
  <c r="K64" i="9"/>
  <c r="BZ12" i="9"/>
  <c r="L63" i="9"/>
  <c r="AE14" i="9"/>
  <c r="AC13" i="9" s="1"/>
  <c r="AZ17" i="9" s="1"/>
  <c r="AD33" i="9"/>
  <c r="AC33" i="9" s="1"/>
  <c r="BC39" i="9" s="1"/>
  <c r="AD37" i="9"/>
  <c r="AD38" i="9" s="1"/>
  <c r="AE38" i="9"/>
  <c r="AD19" i="9"/>
  <c r="AD20" i="9" s="1"/>
  <c r="AD14" i="9"/>
  <c r="D23" i="5"/>
  <c r="D19" i="5"/>
  <c r="AE22" i="9"/>
  <c r="AE26" i="9"/>
  <c r="AD29" i="9"/>
  <c r="AD31" i="9"/>
  <c r="AC31" i="9" s="1"/>
  <c r="BC29" i="9" s="1"/>
  <c r="D20" i="7"/>
  <c r="D18" i="7"/>
  <c r="AE13" i="9"/>
  <c r="AD22" i="9"/>
  <c r="AD23" i="9"/>
  <c r="AD24" i="9" s="1"/>
  <c r="AC23" i="9"/>
  <c r="AZ35" i="9" s="1"/>
  <c r="AE29" i="9"/>
  <c r="AE35" i="9"/>
  <c r="AV23" i="9"/>
  <c r="AV29" i="9"/>
  <c r="D20" i="5" l="1"/>
  <c r="D18" i="5"/>
  <c r="D20" i="6"/>
  <c r="D18" i="6"/>
  <c r="AD15" i="9"/>
  <c r="AC15" i="9"/>
  <c r="AZ19" i="9" s="1"/>
  <c r="AD16" i="9"/>
  <c r="D18" i="8"/>
  <c r="D20" i="8"/>
  <c r="D22" i="5"/>
  <c r="D21" i="5"/>
  <c r="D22" i="7"/>
  <c r="D21" i="7"/>
  <c r="D21" i="3"/>
  <c r="D22" i="3"/>
  <c r="D23" i="3"/>
  <c r="D19" i="3"/>
  <c r="AD36" i="9"/>
  <c r="AC37" i="9"/>
  <c r="BF35" i="9" s="1"/>
  <c r="D23" i="6"/>
  <c r="D19" i="6"/>
  <c r="D22" i="4"/>
  <c r="D21" i="4"/>
  <c r="D18" i="4"/>
  <c r="D20" i="4"/>
  <c r="D19" i="4"/>
  <c r="D23" i="4"/>
  <c r="AD34" i="9"/>
  <c r="AC29" i="9"/>
  <c r="BC23" i="9" s="1"/>
  <c r="D20" i="3"/>
  <c r="D18" i="3"/>
  <c r="D22" i="8"/>
  <c r="D21" i="8"/>
  <c r="D23" i="8"/>
  <c r="D19" i="8"/>
  <c r="D19" i="7"/>
  <c r="D23" i="7"/>
  <c r="AV11" i="9" l="1"/>
  <c r="L64" i="9"/>
  <c r="BY12" i="9"/>
  <c r="K63" i="9"/>
  <c r="G27" i="9"/>
  <c r="K78" i="9"/>
  <c r="L77" i="9"/>
  <c r="BZ19" i="9"/>
  <c r="AV41" i="9"/>
  <c r="H33" i="9"/>
  <c r="K76" i="9" l="1"/>
  <c r="AV37" i="9"/>
  <c r="L75" i="9"/>
  <c r="BZ18" i="9"/>
  <c r="K68" i="9"/>
  <c r="AV21" i="9"/>
  <c r="L67" i="9"/>
  <c r="BZ14" i="9"/>
  <c r="G29" i="9"/>
  <c r="K55" i="9"/>
  <c r="BY20" i="9"/>
  <c r="AY12" i="9"/>
  <c r="L56" i="9"/>
  <c r="K75" i="9"/>
  <c r="AV35" i="9"/>
  <c r="BY18" i="9"/>
  <c r="L76" i="9"/>
  <c r="G33" i="9"/>
  <c r="L66" i="9"/>
  <c r="K65" i="9"/>
  <c r="BY13" i="9"/>
  <c r="AV15" i="9"/>
  <c r="BZ17" i="9"/>
  <c r="L73" i="9"/>
  <c r="AV33" i="9"/>
  <c r="K74" i="9"/>
  <c r="K70" i="9"/>
  <c r="L69" i="9"/>
  <c r="AV25" i="9"/>
  <c r="BZ15" i="9"/>
  <c r="H29" i="9"/>
  <c r="K71" i="9"/>
  <c r="AV27" i="9"/>
  <c r="BY16" i="9"/>
  <c r="L72" i="9"/>
  <c r="G31" i="9"/>
  <c r="L61" i="9"/>
  <c r="AY40" i="9"/>
  <c r="BZ23" i="9"/>
  <c r="K62" i="9"/>
  <c r="H37" i="9"/>
  <c r="BY17" i="9"/>
  <c r="K73" i="9"/>
  <c r="L74" i="9"/>
  <c r="AV31" i="9"/>
  <c r="H31" i="9"/>
  <c r="AV17" i="9"/>
  <c r="K66" i="9"/>
  <c r="L65" i="9"/>
  <c r="BZ13" i="9"/>
  <c r="H27" i="9"/>
  <c r="K67" i="9"/>
  <c r="BY14" i="9"/>
  <c r="AV19" i="9"/>
  <c r="L68" i="9"/>
  <c r="K61" i="9" l="1"/>
  <c r="BY23" i="9"/>
  <c r="L62" i="9"/>
  <c r="AY36" i="9"/>
  <c r="BZ20" i="9"/>
  <c r="AY16" i="9"/>
  <c r="K56" i="9"/>
  <c r="L55" i="9"/>
  <c r="G35" i="9"/>
  <c r="AY20" i="9"/>
  <c r="BY21" i="9"/>
  <c r="L58" i="9"/>
  <c r="K57" i="9"/>
  <c r="K54" i="9"/>
  <c r="L53" i="9"/>
  <c r="BB38" i="9"/>
  <c r="BZ25" i="9"/>
  <c r="H41" i="9"/>
  <c r="BZ21" i="9"/>
  <c r="K58" i="9"/>
  <c r="L57" i="9"/>
  <c r="AY24" i="9"/>
  <c r="H35" i="9"/>
  <c r="L59" i="9"/>
  <c r="AY32" i="9"/>
  <c r="K60" i="9"/>
  <c r="BZ22" i="9"/>
  <c r="K59" i="9"/>
  <c r="L60" i="9"/>
  <c r="BY22" i="9"/>
  <c r="AY28" i="9"/>
  <c r="G37" i="9"/>
  <c r="BE34" i="9" l="1"/>
  <c r="BZ27" i="9"/>
  <c r="G45" i="9"/>
  <c r="BY24" i="9"/>
  <c r="K51" i="9"/>
  <c r="BB14" i="9"/>
  <c r="L52" i="9"/>
  <c r="G39" i="9"/>
  <c r="K52" i="9"/>
  <c r="BZ24" i="9"/>
  <c r="L51" i="9"/>
  <c r="BB22" i="9"/>
  <c r="G41" i="9"/>
  <c r="L54" i="9"/>
  <c r="BB30" i="9"/>
  <c r="K53" i="9"/>
  <c r="BY25" i="9"/>
  <c r="H39" i="9"/>
  <c r="BH26" i="9" l="1"/>
  <c r="G51" i="9"/>
  <c r="BY26" i="9"/>
  <c r="BE46" i="9"/>
  <c r="BE48" i="9"/>
  <c r="BZ26" i="9"/>
  <c r="BY27" i="9"/>
  <c r="BE18" i="9"/>
  <c r="H84" i="9" l="1"/>
  <c r="G52" i="9"/>
  <c r="G71" i="9"/>
  <c r="G59" i="9"/>
  <c r="G53" i="9"/>
  <c r="H92" i="9" l="1"/>
  <c r="H88" i="9"/>
  <c r="G75" i="9"/>
  <c r="G54" i="9"/>
  <c r="H86" i="9"/>
  <c r="G73" i="9"/>
  <c r="G61" i="9"/>
  <c r="H85" i="9"/>
  <c r="G72" i="9"/>
  <c r="G60" i="9"/>
  <c r="G74" i="9" l="1"/>
  <c r="G62" i="9"/>
  <c r="H87" i="9"/>
  <c r="H96" i="9"/>
  <c r="G76" i="9"/>
  <c r="H89" i="9"/>
  <c r="H93" i="9"/>
  <c r="H94" i="9"/>
  <c r="H90" i="9"/>
  <c r="G77" i="9"/>
  <c r="H97" i="9" l="1"/>
  <c r="H98" i="9"/>
  <c r="H91" i="9"/>
  <c r="G78" i="9"/>
  <c r="H95" i="9"/>
  <c r="H99" i="9" l="1"/>
</calcChain>
</file>

<file path=xl/sharedStrings.xml><?xml version="1.0" encoding="utf-8"?>
<sst xmlns="http://schemas.openxmlformats.org/spreadsheetml/2006/main" count="704" uniqueCount="201">
  <si>
    <t>Ranking</t>
  </si>
  <si>
    <t>CARNE</t>
  </si>
  <si>
    <t>NOMBRE</t>
  </si>
  <si>
    <t>CLUB</t>
  </si>
  <si>
    <t>PUNTOS</t>
  </si>
  <si>
    <t>DANIELA MICÓ CHAVES</t>
  </si>
  <si>
    <t>ESPARZA</t>
  </si>
  <si>
    <t>AINHOA MARIA ZELEDON HERRERA</t>
  </si>
  <si>
    <t>SILOÉ MUÑOZ CÓRDOBA</t>
  </si>
  <si>
    <t>DILANY PORRAS MADRIGAL</t>
  </si>
  <si>
    <t>AMANDA PEREZ CABEZAS</t>
  </si>
  <si>
    <t>CORREDORES</t>
  </si>
  <si>
    <t>DANIELA HIDALGO CHACÓN</t>
  </si>
  <si>
    <t>GUARCO</t>
  </si>
  <si>
    <t>BELÉN MAZARIEGOS SANTOS</t>
  </si>
  <si>
    <t>SANTA ANA</t>
  </si>
  <si>
    <t>AINHOA SOFÍA QUIRÓS VARGAS</t>
  </si>
  <si>
    <t>ALY DENISSE MATARRITA LOPEZ</t>
  </si>
  <si>
    <t>CCDR SANTA CRUZ</t>
  </si>
  <si>
    <t>MANUELA RUIZ PLAZA</t>
  </si>
  <si>
    <t>EMILY CAMILLE LOPEZ ALVARADO</t>
  </si>
  <si>
    <t>ALAJUELA</t>
  </si>
  <si>
    <t>IRIANA MANJARRES MORA</t>
  </si>
  <si>
    <t>CCDR SAN JOSÉ</t>
  </si>
  <si>
    <t>KRYSTEL NATASHA BARQUERO RIBEIRO</t>
  </si>
  <si>
    <t>ABIGAIL MARÍA MICÓ CHAVES</t>
  </si>
  <si>
    <t>GÉNESIS AMIRA GUZMÁN HERNÁNDEZ</t>
  </si>
  <si>
    <t>EMILIA ARTAVIA MORALES</t>
  </si>
  <si>
    <t>MONTES DE OCA</t>
  </si>
  <si>
    <t>MAYLEN GRACIELA CALCERÓN FERNÁNDEZ</t>
  </si>
  <si>
    <t>POCOCÍ</t>
  </si>
  <si>
    <t>ABBY JIMENA ESTRADA GONZALEZ</t>
  </si>
  <si>
    <t>CURRIDABAT</t>
  </si>
  <si>
    <t>MARIANA SOFÍA CHAVES MUÑOZ</t>
  </si>
  <si>
    <t>FIORELLA MORALES VEGA</t>
  </si>
  <si>
    <t>HANNA MADRIGAL OVIEDO</t>
  </si>
  <si>
    <t>ASERRÍ</t>
  </si>
  <si>
    <t>KEYSI SUAZO REYES</t>
  </si>
  <si>
    <t>SANTO DOMINGO</t>
  </si>
  <si>
    <t>MIA CRISTINA CALDERÓN HERNANDEZ</t>
  </si>
  <si>
    <t>ALINA SOFÍA ÁVILA MONTERO</t>
  </si>
  <si>
    <t>OREAMUNOT3 AMETROTEME</t>
  </si>
  <si>
    <t>ARIANA BERMUDEZ SALABLANCA</t>
  </si>
  <si>
    <t>SOPHIA SÁNCHEZ ARAYA</t>
  </si>
  <si>
    <t>BRENDA HERRERA RIVAS</t>
  </si>
  <si>
    <t>LÍA SOFÍA SOLÍS VÁSQUEZ</t>
  </si>
  <si>
    <t>ABIGAIL QUIROS BALTODANO</t>
  </si>
  <si>
    <t>ARIANA SANCHEZ DELGADO</t>
  </si>
  <si>
    <t>ESCAZÚ</t>
  </si>
  <si>
    <t>FIORELLA RETANA AGUILAR</t>
  </si>
  <si>
    <t>CLARISSA MORA JIMÉNEZ</t>
  </si>
  <si>
    <t>EMMA MELISSA ANGULO CRUZ</t>
  </si>
  <si>
    <t>FIORELLA PEREIRA OBANDO</t>
  </si>
  <si>
    <t>BRIANNA MORA MORA</t>
  </si>
  <si>
    <t>NOHELIA MARÍA OROZCO REYES</t>
  </si>
  <si>
    <t>DARIANA VINDAS MONGE</t>
  </si>
  <si>
    <t>SOFIA SANCHEZ ARAYA</t>
  </si>
  <si>
    <t>ANGELA VILLEGAS CASTRO</t>
  </si>
  <si>
    <t>LIBERIA</t>
  </si>
  <si>
    <t>Jesmely Antonella Navarrete Rivera</t>
  </si>
  <si>
    <t>Maria Naomi Calderón González</t>
  </si>
  <si>
    <t>Barbara Chaves González</t>
  </si>
  <si>
    <t>Emily Mackenzie Cruz Gaitán</t>
  </si>
  <si>
    <t>KIMBERLY GARCIA JIMENEZ</t>
  </si>
  <si>
    <t>Sury Quesada Sanchez</t>
  </si>
  <si>
    <t>ALAJUELITA</t>
  </si>
  <si>
    <t>Luciana Chaves Quiros</t>
  </si>
  <si>
    <t>DESAMPARADOS</t>
  </si>
  <si>
    <t>Amanda León Barrantes</t>
  </si>
  <si>
    <t>Isabella Marrocchi Falcón</t>
  </si>
  <si>
    <t>Abigail Alpizar Paniagua</t>
  </si>
  <si>
    <t>Chloe Raillon Alvarez</t>
  </si>
  <si>
    <t>A</t>
  </si>
  <si>
    <t>Michelle Campos Cruz</t>
  </si>
  <si>
    <t>Sofía Hernández Aguero</t>
  </si>
  <si>
    <t>VALERIA MOYA CUBERO</t>
  </si>
  <si>
    <t>Abril Dijeres Chavarría</t>
  </si>
  <si>
    <t>Valery Salazar Vega</t>
  </si>
  <si>
    <t>SAMARA RODRIGUEZ AREVALO</t>
  </si>
  <si>
    <t>SOFÍA PIÑAR SÁNCHEZ</t>
  </si>
  <si>
    <t>Nazareth Castro Calderón</t>
  </si>
  <si>
    <t>AMANDA CUBERO MOYA</t>
  </si>
  <si>
    <t>EMMA DIAZ SEQUEIRA</t>
  </si>
  <si>
    <t>ANTONELLA QUIRÓS ÁVILA</t>
  </si>
  <si>
    <t>DAYANA ÁLVAREZ SOLÍS</t>
  </si>
  <si>
    <t>EMMA CASTILLO SOLIS</t>
  </si>
  <si>
    <t>LIANA SOLER ALBINO</t>
  </si>
  <si>
    <t>LUCIANA MARTINEZ PICADO</t>
  </si>
  <si>
    <t>JULIANA PAOLA QUESADA JIMÉNEZ</t>
  </si>
  <si>
    <t>SAN CARLOS</t>
  </si>
  <si>
    <t>Sophie Wen Tang</t>
  </si>
  <si>
    <t>Luna Isabella Ferández Portuguez</t>
  </si>
  <si>
    <t>MARÍA RANGEL PINEDA</t>
  </si>
  <si>
    <t>VICTORIA GABRIELA ESPINOZA CHAVES</t>
  </si>
  <si>
    <t>AMANDA MOYA CUBERO</t>
  </si>
  <si>
    <t>OREAMNUNO AMETROTEME</t>
  </si>
  <si>
    <t>SARA CISNEROS VARGAS</t>
  </si>
  <si>
    <t>EMMA OCONITRILLO ESQUIVEL</t>
  </si>
  <si>
    <t>OREAMUNO</t>
  </si>
  <si>
    <t>AINHOA AGUILAR SOTO</t>
  </si>
  <si>
    <t>En Caso de ocupar 3 de 5, mostrar columnas H - I         En caso de 2 de 2, ocultarlas.</t>
  </si>
  <si>
    <t>Fecha:</t>
  </si>
  <si>
    <t>Categoría</t>
  </si>
  <si>
    <t>Grupo nº</t>
  </si>
  <si>
    <t>Mesa nº</t>
  </si>
  <si>
    <t>Orden</t>
  </si>
  <si>
    <t>Carné</t>
  </si>
  <si>
    <t>Jugadores</t>
  </si>
  <si>
    <t>Lugar</t>
  </si>
  <si>
    <t>Puntos</t>
  </si>
  <si>
    <t xml:space="preserve">Partida </t>
  </si>
  <si>
    <t>JUGADOR</t>
  </si>
  <si>
    <t>1º set</t>
  </si>
  <si>
    <t>2º set</t>
  </si>
  <si>
    <t>3º set</t>
  </si>
  <si>
    <t>4º set</t>
  </si>
  <si>
    <t>5º set</t>
  </si>
  <si>
    <t xml:space="preserve">Ganador </t>
  </si>
  <si>
    <t>Clasificados (# de carne)</t>
  </si>
  <si>
    <t>Revisión de Camisas y Raquetas</t>
  </si>
  <si>
    <t>Carnet</t>
  </si>
  <si>
    <t>Nombre</t>
  </si>
  <si>
    <t>Revisión de nombres y resultados</t>
  </si>
  <si>
    <t>Árbitro</t>
  </si>
  <si>
    <t>Marque si hay informe</t>
  </si>
  <si>
    <t>Match</t>
  </si>
  <si>
    <t>Round</t>
  </si>
  <si>
    <t>Day</t>
  </si>
  <si>
    <t>Time</t>
  </si>
  <si>
    <t>T</t>
  </si>
  <si>
    <t>A</t>
    <phoneticPr fontId="0" type="noConversion"/>
  </si>
  <si>
    <t>B</t>
    <phoneticPr fontId="0" type="noConversion"/>
  </si>
  <si>
    <t>pla 1</t>
    <phoneticPr fontId="0" type="noConversion"/>
  </si>
  <si>
    <t>Ass</t>
  </si>
  <si>
    <t>pla 2</t>
    <phoneticPr fontId="0" type="noConversion"/>
  </si>
  <si>
    <t>Ass</t>
    <phoneticPr fontId="0" type="noConversion"/>
  </si>
  <si>
    <t>G A</t>
  </si>
  <si>
    <t>G X</t>
  </si>
  <si>
    <t>Score</t>
  </si>
  <si>
    <t>Games</t>
  </si>
  <si>
    <t>4 Julio</t>
  </si>
  <si>
    <t>LLAVE FINAL  SUB 11 FEMENINO</t>
  </si>
  <si>
    <t>MATCH_ID</t>
  </si>
  <si>
    <t>DAT</t>
  </si>
  <si>
    <t>TIME</t>
  </si>
  <si>
    <t>TABLE</t>
  </si>
  <si>
    <t>EVT</t>
  </si>
  <si>
    <t>GRP</t>
  </si>
  <si>
    <t>SEQ</t>
  </si>
  <si>
    <t>P1ID_1</t>
  </si>
  <si>
    <t>P1ID_2</t>
  </si>
  <si>
    <t>P2ID_1</t>
  </si>
  <si>
    <t>P2ID_2</t>
  </si>
  <si>
    <t>WINNER ID</t>
  </si>
  <si>
    <t>P1</t>
  </si>
  <si>
    <t>P2</t>
  </si>
  <si>
    <t>EVENT</t>
  </si>
  <si>
    <t>ROUND</t>
  </si>
  <si>
    <t>SUB 11 FEMENINO</t>
  </si>
  <si>
    <t>Ronda de 16 - 1</t>
    <phoneticPr fontId="0" type="noConversion"/>
  </si>
  <si>
    <t>Ronda de 16 - 2</t>
  </si>
  <si>
    <t>Ronda de 16 - 3</t>
  </si>
  <si>
    <t>Ronda de 16 - 4</t>
  </si>
  <si>
    <t>Ronda de 16 - 5</t>
  </si>
  <si>
    <t>Ronda de 16 - 6</t>
  </si>
  <si>
    <t>Ronda de 16 - 7</t>
  </si>
  <si>
    <t>Ronda de 16 - 8</t>
  </si>
  <si>
    <t>Cuartos</t>
    <phoneticPr fontId="0" type="noConversion"/>
  </si>
  <si>
    <t>Cuartos</t>
    <phoneticPr fontId="12" type="noConversion"/>
  </si>
  <si>
    <t>CAMPEON:</t>
    <phoneticPr fontId="12" type="noConversion"/>
  </si>
  <si>
    <t>Semifinal</t>
    <phoneticPr fontId="12" type="noConversion"/>
  </si>
  <si>
    <t>3 y 4 puesto</t>
    <phoneticPr fontId="0" type="noConversion"/>
  </si>
  <si>
    <t>FINAL</t>
    <phoneticPr fontId="0" type="noConversion"/>
  </si>
  <si>
    <t>-</t>
  </si>
  <si>
    <t>SI SE JUEGA TERCER PUESTO MARQUE 1, SI NO DEJE EN BLANCO</t>
    <phoneticPr fontId="0" type="noConversion"/>
  </si>
  <si>
    <t>TERCERO:</t>
    <phoneticPr fontId="0" type="noConversion"/>
  </si>
  <si>
    <t>1</t>
    <phoneticPr fontId="0" type="noConversion"/>
  </si>
  <si>
    <t>SEMI</t>
    <phoneticPr fontId="0" type="noConversion"/>
  </si>
  <si>
    <t>2</t>
    <phoneticPr fontId="0" type="noConversion"/>
  </si>
  <si>
    <t>3</t>
    <phoneticPr fontId="0" type="noConversion"/>
  </si>
  <si>
    <t>4</t>
    <phoneticPr fontId="0" type="noConversion"/>
  </si>
  <si>
    <t>CUARTOS</t>
    <phoneticPr fontId="0" type="noConversion"/>
  </si>
  <si>
    <t>5</t>
    <phoneticPr fontId="0" type="noConversion"/>
  </si>
  <si>
    <t>6</t>
    <phoneticPr fontId="0" type="noConversion"/>
  </si>
  <si>
    <t>7</t>
    <phoneticPr fontId="0" type="noConversion"/>
  </si>
  <si>
    <t>8</t>
    <phoneticPr fontId="0" type="noConversion"/>
  </si>
  <si>
    <t>OCTAVOS</t>
    <phoneticPr fontId="0" type="noConversion"/>
  </si>
  <si>
    <t>9</t>
    <phoneticPr fontId="0" type="noConversion"/>
  </si>
  <si>
    <t>10</t>
    <phoneticPr fontId="0" type="noConversion"/>
  </si>
  <si>
    <t>11</t>
  </si>
  <si>
    <t>12</t>
  </si>
  <si>
    <t>13</t>
  </si>
  <si>
    <t>14</t>
  </si>
  <si>
    <t>15</t>
  </si>
  <si>
    <t>16</t>
  </si>
  <si>
    <t xml:space="preserve">POSICIONES FINALES PRIMERA </t>
  </si>
  <si>
    <t>5 A 8</t>
    <phoneticPr fontId="0" type="noConversion"/>
  </si>
  <si>
    <t>9 A 16</t>
    <phoneticPr fontId="0" type="noConversion"/>
  </si>
  <si>
    <t>x</t>
  </si>
  <si>
    <t>X</t>
  </si>
  <si>
    <t>BYE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</si>
</sst>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\ h:mm"/>
    <numFmt numFmtId="165" formatCode="[$-409]d\-mmm\-yy;@"/>
  </numFmts>
  <fonts count="38" x14ac:knownFonts="1">
    <font>
      <sz val="11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  <font>
      <b/>
      <sz val="13.5"/>
      <name val="MS Sans Serif"/>
      <family val="2"/>
    </font>
    <font>
      <b/>
      <sz val="10"/>
      <name val="MS Sans Serif"/>
      <family val="2"/>
    </font>
    <font>
      <sz val="11"/>
      <color indexed="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b/>
      <sz val="13.5"/>
      <name val="Arial"/>
      <family val="2"/>
    </font>
    <font>
      <b/>
      <sz val="11"/>
      <color indexed="8"/>
      <name val="Aptos Narrow"/>
      <family val="2"/>
      <scheme val="minor"/>
    </font>
    <font>
      <b/>
      <sz val="12"/>
      <name val="MS Sans Serif"/>
      <family val="2"/>
    </font>
    <font>
      <b/>
      <sz val="18"/>
      <color indexed="8"/>
      <name val="Aptos Narrow"/>
      <family val="2"/>
      <scheme val="minor"/>
    </font>
    <font>
      <sz val="14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1"/>
      <color indexed="8"/>
      <name val="Arial"/>
      <family val="2"/>
    </font>
    <font>
      <sz val="12"/>
      <name val="MS Sans Serif"/>
      <family val="2"/>
    </font>
    <font>
      <sz val="10"/>
      <name val="MS Sans Serif"/>
      <family val="2"/>
    </font>
    <font>
      <b/>
      <u/>
      <sz val="11"/>
      <color indexed="8"/>
      <name val="Aptos Narrow"/>
      <family val="2"/>
      <scheme val="minor"/>
    </font>
    <font>
      <sz val="10"/>
      <name val="Arial"/>
      <family val="2"/>
    </font>
    <font>
      <sz val="8"/>
      <name val="Franklin Gothic Medium Cond"/>
      <family val="2"/>
    </font>
    <font>
      <sz val="8"/>
      <color indexed="9"/>
      <name val="Franklin Gothic Medium Cond"/>
      <family val="2"/>
    </font>
    <font>
      <sz val="9"/>
      <name val="Franklin Gothic Medium Cond"/>
      <family val="2"/>
    </font>
    <font>
      <sz val="8"/>
      <color indexed="12"/>
      <name val="Franklin Gothic Medium Cond"/>
      <family val="2"/>
    </font>
    <font>
      <sz val="8"/>
      <name val="Arial"/>
      <family val="2"/>
    </font>
    <font>
      <sz val="10"/>
      <name val="Franklin Gothic Medium Cond"/>
      <family val="2"/>
    </font>
    <font>
      <sz val="6"/>
      <name val="Franklin Gothic Medium Cond"/>
      <family val="2"/>
    </font>
    <font>
      <sz val="7"/>
      <name val="Arial"/>
      <family val="2"/>
    </font>
    <font>
      <sz val="8"/>
      <color indexed="10"/>
      <name val="Arial"/>
      <family val="2"/>
    </font>
    <font>
      <sz val="8"/>
      <color indexed="10"/>
      <name val="Franklin Gothic Medium Cond"/>
      <family val="2"/>
    </font>
    <font>
      <b/>
      <sz val="8"/>
      <name val="Arial"/>
      <family val="2"/>
    </font>
    <font>
      <b/>
      <sz val="10"/>
      <name val="Franklin Gothic Medium Cond"/>
      <family val="2"/>
    </font>
    <font>
      <sz val="8"/>
      <color indexed="207"/>
      <name val="Franklin Gothic Medium Cond"/>
      <family val="2"/>
    </font>
    <font>
      <sz val="9"/>
      <color indexed="10"/>
      <name val="Franklin Gothic Medium Cond"/>
      <family val="2"/>
    </font>
    <font>
      <b/>
      <sz val="9"/>
      <name val="Franklin Gothic Medium Cond"/>
      <family val="2"/>
    </font>
    <font>
      <b/>
      <sz val="8"/>
      <color indexed="10"/>
      <name val="Franklin Gothic Medium Cond"/>
      <family val="2"/>
    </font>
    <font>
      <b/>
      <sz val="8"/>
      <color indexed="48"/>
      <name val="Franklin Gothic Medium Cond"/>
      <family val="2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0"/>
        <bgColor indexed="64"/>
      </patternFill>
    </fill>
  </fills>
  <borders count="40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20" fillId="0" borderId="0"/>
    <xf numFmtId="0" fontId="20" fillId="0" borderId="0"/>
  </cellStyleXfs>
  <cellXfs count="277">
    <xf numFmtId="0" fontId="0" fillId="0" borderId="0" xfId="0"/>
    <xf numFmtId="0" fontId="1" fillId="0" borderId="0" xfId="1"/>
    <xf numFmtId="0" fontId="1" fillId="0" borderId="0" xfId="1" applyAlignment="1">
      <alignment horizontal="center" vertical="center"/>
    </xf>
    <xf numFmtId="0" fontId="2" fillId="0" borderId="0" xfId="1" applyFont="1"/>
    <xf numFmtId="0" fontId="2" fillId="0" borderId="0" xfId="1" applyFont="1" applyAlignment="1">
      <alignment horizontal="center" vertical="center"/>
    </xf>
    <xf numFmtId="14" fontId="3" fillId="0" borderId="0" xfId="1" applyNumberFormat="1" applyFont="1"/>
    <xf numFmtId="0" fontId="4" fillId="0" borderId="0" xfId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10" fillId="0" borderId="0" xfId="1" applyFont="1" applyAlignment="1">
      <alignment horizontal="center"/>
    </xf>
    <xf numFmtId="0" fontId="10" fillId="0" borderId="0" xfId="1" applyFont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2" fillId="0" borderId="0" xfId="1" applyFont="1" applyAlignment="1">
      <alignment horizontal="center"/>
    </xf>
    <xf numFmtId="0" fontId="13" fillId="0" borderId="2" xfId="1" applyFont="1" applyBorder="1" applyAlignment="1">
      <alignment horizontal="center" vertical="center"/>
    </xf>
    <xf numFmtId="0" fontId="14" fillId="0" borderId="3" xfId="1" applyFont="1" applyBorder="1" applyAlignment="1">
      <alignment vertical="center"/>
    </xf>
    <xf numFmtId="0" fontId="14" fillId="0" borderId="1" xfId="1" applyFont="1" applyBorder="1" applyAlignment="1">
      <alignment vertical="center"/>
    </xf>
    <xf numFmtId="0" fontId="14" fillId="0" borderId="3" xfId="1" applyFont="1" applyBorder="1" applyAlignment="1">
      <alignment horizontal="center" vertical="center"/>
    </xf>
    <xf numFmtId="0" fontId="14" fillId="0" borderId="4" xfId="1" applyFont="1" applyBorder="1" applyAlignment="1">
      <alignment horizontal="center" vertical="center"/>
    </xf>
    <xf numFmtId="0" fontId="15" fillId="0" borderId="0" xfId="1" applyFont="1" applyAlignment="1">
      <alignment vertical="center"/>
    </xf>
    <xf numFmtId="0" fontId="13" fillId="0" borderId="5" xfId="1" applyFont="1" applyBorder="1" applyAlignment="1">
      <alignment horizontal="center" vertical="center"/>
    </xf>
    <xf numFmtId="0" fontId="14" fillId="0" borderId="6" xfId="1" applyFont="1" applyBorder="1" applyAlignment="1">
      <alignment vertical="center"/>
    </xf>
    <xf numFmtId="0" fontId="14" fillId="0" borderId="7" xfId="1" applyFont="1" applyBorder="1" applyAlignment="1">
      <alignment vertical="center"/>
    </xf>
    <xf numFmtId="0" fontId="14" fillId="0" borderId="6" xfId="1" applyFont="1" applyBorder="1" applyAlignment="1">
      <alignment horizontal="center" vertical="center"/>
    </xf>
    <xf numFmtId="0" fontId="14" fillId="0" borderId="8" xfId="1" applyFont="1" applyBorder="1" applyAlignment="1">
      <alignment horizontal="center" vertical="center"/>
    </xf>
    <xf numFmtId="0" fontId="13" fillId="0" borderId="9" xfId="1" applyFont="1" applyBorder="1" applyAlignment="1">
      <alignment horizontal="center" vertical="center"/>
    </xf>
    <xf numFmtId="0" fontId="14" fillId="0" borderId="10" xfId="1" applyFont="1" applyBorder="1" applyAlignment="1">
      <alignment vertical="center"/>
    </xf>
    <xf numFmtId="0" fontId="14" fillId="0" borderId="11" xfId="1" applyFont="1" applyBorder="1" applyAlignment="1">
      <alignment vertical="center"/>
    </xf>
    <xf numFmtId="0" fontId="14" fillId="0" borderId="10" xfId="1" applyFont="1" applyBorder="1" applyAlignment="1">
      <alignment horizontal="center" vertical="center"/>
    </xf>
    <xf numFmtId="0" fontId="14" fillId="0" borderId="12" xfId="1" applyFont="1" applyBorder="1" applyAlignment="1">
      <alignment horizontal="center" vertical="center"/>
    </xf>
    <xf numFmtId="0" fontId="16" fillId="0" borderId="0" xfId="1" applyFont="1" applyAlignment="1">
      <alignment horizontal="center" vertical="center"/>
    </xf>
    <xf numFmtId="0" fontId="13" fillId="0" borderId="6" xfId="1" applyFont="1" applyBorder="1" applyAlignment="1">
      <alignment horizontal="center" vertical="center"/>
    </xf>
    <xf numFmtId="0" fontId="13" fillId="0" borderId="7" xfId="1" applyFont="1" applyBorder="1" applyAlignment="1">
      <alignment horizontal="center" vertical="center"/>
    </xf>
    <xf numFmtId="0" fontId="13" fillId="0" borderId="13" xfId="1" applyFont="1" applyBorder="1" applyAlignment="1">
      <alignment horizontal="center" vertical="center"/>
    </xf>
    <xf numFmtId="0" fontId="13" fillId="0" borderId="14" xfId="1" applyFont="1" applyBorder="1" applyAlignment="1">
      <alignment horizontal="center" vertical="center"/>
    </xf>
    <xf numFmtId="0" fontId="13" fillId="0" borderId="15" xfId="1" applyFont="1" applyBorder="1" applyAlignment="1">
      <alignment horizontal="center" vertical="center"/>
    </xf>
    <xf numFmtId="0" fontId="9" fillId="0" borderId="0" xfId="1" applyFont="1"/>
    <xf numFmtId="0" fontId="10" fillId="0" borderId="16" xfId="1" applyFont="1" applyBorder="1" applyAlignment="1">
      <alignment horizontal="center" vertical="center"/>
    </xf>
    <xf numFmtId="0" fontId="14" fillId="0" borderId="16" xfId="1" applyFont="1" applyBorder="1"/>
    <xf numFmtId="0" fontId="10" fillId="0" borderId="3" xfId="1" applyFont="1" applyBorder="1" applyAlignment="1">
      <alignment horizontal="center" vertical="center"/>
    </xf>
    <xf numFmtId="0" fontId="10" fillId="0" borderId="17" xfId="1" applyFont="1" applyBorder="1" applyAlignment="1">
      <alignment horizontal="center" vertical="center"/>
    </xf>
    <xf numFmtId="0" fontId="10" fillId="0" borderId="18" xfId="1" applyFont="1" applyBorder="1" applyAlignment="1">
      <alignment horizontal="center" vertical="center"/>
    </xf>
    <xf numFmtId="0" fontId="10" fillId="0" borderId="10" xfId="1" applyFont="1" applyBorder="1" applyAlignment="1">
      <alignment horizontal="center" vertical="center"/>
    </xf>
    <xf numFmtId="0" fontId="10" fillId="0" borderId="5" xfId="1" applyFont="1" applyBorder="1" applyAlignment="1">
      <alignment horizontal="center" vertical="center"/>
    </xf>
    <xf numFmtId="0" fontId="14" fillId="0" borderId="6" xfId="1" applyFont="1" applyBorder="1"/>
    <xf numFmtId="0" fontId="10" fillId="0" borderId="7" xfId="1" applyFont="1" applyBorder="1" applyAlignment="1">
      <alignment horizontal="center" vertical="center"/>
    </xf>
    <xf numFmtId="0" fontId="10" fillId="0" borderId="6" xfId="1" applyFont="1" applyBorder="1" applyAlignment="1">
      <alignment horizontal="center" vertical="center"/>
    </xf>
    <xf numFmtId="0" fontId="10" fillId="0" borderId="11" xfId="1" applyFont="1" applyBorder="1" applyAlignment="1">
      <alignment horizontal="center" vertical="center"/>
    </xf>
    <xf numFmtId="0" fontId="14" fillId="0" borderId="10" xfId="1" applyFont="1" applyBorder="1"/>
    <xf numFmtId="0" fontId="10" fillId="0" borderId="19" xfId="1" applyFont="1" applyBorder="1" applyAlignment="1">
      <alignment horizontal="center" vertical="center"/>
    </xf>
    <xf numFmtId="0" fontId="10" fillId="0" borderId="20" xfId="1" applyFont="1" applyBorder="1" applyAlignment="1">
      <alignment horizontal="center" vertical="center"/>
    </xf>
    <xf numFmtId="0" fontId="17" fillId="0" borderId="0" xfId="1" applyFont="1" applyAlignment="1">
      <alignment horizontal="center" vertical="center"/>
    </xf>
    <xf numFmtId="0" fontId="17" fillId="0" borderId="0" xfId="1" applyFont="1"/>
    <xf numFmtId="0" fontId="9" fillId="0" borderId="6" xfId="1" applyFont="1" applyBorder="1" applyAlignment="1">
      <alignment horizontal="center" vertical="center"/>
    </xf>
    <xf numFmtId="0" fontId="1" fillId="2" borderId="6" xfId="1" applyFill="1" applyBorder="1" applyAlignment="1">
      <alignment horizontal="center" vertical="center"/>
    </xf>
    <xf numFmtId="0" fontId="18" fillId="0" borderId="6" xfId="1" applyFont="1" applyBorder="1" applyAlignment="1">
      <alignment horizontal="center" vertical="center"/>
    </xf>
    <xf numFmtId="0" fontId="9" fillId="0" borderId="10" xfId="2" applyFont="1" applyBorder="1" applyAlignment="1">
      <alignment horizontal="center" vertical="center"/>
    </xf>
    <xf numFmtId="0" fontId="1" fillId="0" borderId="10" xfId="2" applyBorder="1" applyAlignment="1">
      <alignment vertical="center"/>
    </xf>
    <xf numFmtId="0" fontId="21" fillId="0" borderId="0" xfId="3" applyFont="1" applyAlignment="1">
      <alignment horizontal="center" vertical="center"/>
    </xf>
    <xf numFmtId="49" fontId="21" fillId="0" borderId="0" xfId="3" applyNumberFormat="1" applyFont="1" applyAlignment="1">
      <alignment horizontal="center" vertical="center"/>
    </xf>
    <xf numFmtId="0" fontId="22" fillId="0" borderId="0" xfId="3" applyFont="1" applyAlignment="1">
      <alignment horizontal="center" vertical="center"/>
    </xf>
    <xf numFmtId="0" fontId="23" fillId="0" borderId="0" xfId="3" applyFont="1" applyAlignment="1">
      <alignment vertical="center"/>
    </xf>
    <xf numFmtId="0" fontId="24" fillId="0" borderId="0" xfId="3" applyFont="1" applyAlignment="1">
      <alignment vertical="center"/>
    </xf>
    <xf numFmtId="0" fontId="25" fillId="0" borderId="0" xfId="3" applyFont="1" applyAlignment="1">
      <alignment vertical="center"/>
    </xf>
    <xf numFmtId="0" fontId="12" fillId="0" borderId="0" xfId="3" applyFont="1" applyAlignment="1">
      <alignment vertical="center"/>
    </xf>
    <xf numFmtId="0" fontId="12" fillId="0" borderId="0" xfId="3" applyFont="1" applyAlignment="1">
      <alignment horizontal="center" vertical="center"/>
    </xf>
    <xf numFmtId="0" fontId="15" fillId="0" borderId="0" xfId="3" applyFont="1" applyAlignment="1">
      <alignment vertical="center"/>
    </xf>
    <xf numFmtId="0" fontId="25" fillId="0" borderId="0" xfId="3" applyFont="1" applyAlignment="1">
      <alignment horizontal="center" vertical="center"/>
    </xf>
    <xf numFmtId="0" fontId="24" fillId="0" borderId="0" xfId="3" applyFont="1" applyAlignment="1">
      <alignment horizontal="center" vertical="center"/>
    </xf>
    <xf numFmtId="0" fontId="25" fillId="4" borderId="28" xfId="3" applyFont="1" applyFill="1" applyBorder="1" applyAlignment="1">
      <alignment vertical="center"/>
    </xf>
    <xf numFmtId="0" fontId="25" fillId="4" borderId="28" xfId="3" applyFont="1" applyFill="1" applyBorder="1" applyAlignment="1">
      <alignment vertical="center" shrinkToFit="1"/>
    </xf>
    <xf numFmtId="0" fontId="28" fillId="4" borderId="29" xfId="3" applyFont="1" applyFill="1" applyBorder="1" applyAlignment="1">
      <alignment horizontal="center" vertical="center"/>
    </xf>
    <xf numFmtId="0" fontId="25" fillId="5" borderId="0" xfId="3" applyFont="1" applyFill="1" applyAlignment="1">
      <alignment horizontal="center" vertical="center"/>
    </xf>
    <xf numFmtId="0" fontId="25" fillId="6" borderId="0" xfId="4" applyFont="1" applyFill="1" applyAlignment="1">
      <alignment horizontal="center" vertical="center"/>
    </xf>
    <xf numFmtId="0" fontId="25" fillId="0" borderId="0" xfId="4" applyFont="1" applyAlignment="1">
      <alignment vertical="center"/>
    </xf>
    <xf numFmtId="0" fontId="25" fillId="5" borderId="30" xfId="4" applyFont="1" applyFill="1" applyBorder="1" applyAlignment="1">
      <alignment horizontal="center" vertical="center"/>
    </xf>
    <xf numFmtId="0" fontId="25" fillId="7" borderId="30" xfId="4" applyFont="1" applyFill="1" applyBorder="1" applyAlignment="1">
      <alignment horizontal="center" vertical="center"/>
    </xf>
    <xf numFmtId="0" fontId="25" fillId="8" borderId="0" xfId="4" applyFont="1" applyFill="1" applyAlignment="1">
      <alignment vertical="center"/>
    </xf>
    <xf numFmtId="0" fontId="25" fillId="7" borderId="0" xfId="4" applyFont="1" applyFill="1" applyAlignment="1">
      <alignment vertical="center"/>
    </xf>
    <xf numFmtId="0" fontId="25" fillId="7" borderId="0" xfId="3" applyFont="1" applyFill="1" applyAlignment="1">
      <alignment horizontal="center" vertical="center"/>
    </xf>
    <xf numFmtId="0" fontId="29" fillId="0" borderId="0" xfId="3" applyFont="1" applyAlignment="1">
      <alignment horizontal="center" vertical="center"/>
    </xf>
    <xf numFmtId="0" fontId="28" fillId="0" borderId="34" xfId="3" applyFont="1" applyBorder="1" applyAlignment="1">
      <alignment horizontal="center" vertical="center"/>
    </xf>
    <xf numFmtId="0" fontId="25" fillId="4" borderId="28" xfId="3" applyFont="1" applyFill="1" applyBorder="1" applyAlignment="1">
      <alignment horizontal="center" vertical="center"/>
    </xf>
    <xf numFmtId="0" fontId="25" fillId="9" borderId="0" xfId="4" applyFont="1" applyFill="1" applyAlignment="1">
      <alignment horizontal="center" vertical="center"/>
    </xf>
    <xf numFmtId="165" fontId="25" fillId="9" borderId="0" xfId="4" applyNumberFormat="1" applyFont="1" applyFill="1" applyAlignment="1">
      <alignment horizontal="center" vertical="center"/>
    </xf>
    <xf numFmtId="1" fontId="25" fillId="9" borderId="0" xfId="4" applyNumberFormat="1" applyFont="1" applyFill="1" applyAlignment="1">
      <alignment horizontal="center" vertical="center"/>
    </xf>
    <xf numFmtId="20" fontId="25" fillId="9" borderId="0" xfId="4" applyNumberFormat="1" applyFont="1" applyFill="1" applyAlignment="1">
      <alignment horizontal="center" vertical="center"/>
    </xf>
    <xf numFmtId="0" fontId="23" fillId="9" borderId="0" xfId="3" applyFont="1" applyFill="1" applyAlignment="1">
      <alignment horizontal="center" vertical="center"/>
    </xf>
    <xf numFmtId="0" fontId="25" fillId="0" borderId="0" xfId="4" applyFont="1" applyAlignment="1">
      <alignment horizontal="center" vertical="center"/>
    </xf>
    <xf numFmtId="1" fontId="25" fillId="5" borderId="30" xfId="4" applyNumberFormat="1" applyFont="1" applyFill="1" applyBorder="1" applyAlignment="1">
      <alignment horizontal="center" vertical="center"/>
    </xf>
    <xf numFmtId="1" fontId="25" fillId="7" borderId="30" xfId="4" applyNumberFormat="1" applyFont="1" applyFill="1" applyBorder="1" applyAlignment="1">
      <alignment horizontal="center" vertical="center"/>
    </xf>
    <xf numFmtId="0" fontId="25" fillId="4" borderId="32" xfId="3" applyFont="1" applyFill="1" applyBorder="1" applyAlignment="1">
      <alignment vertical="center"/>
    </xf>
    <xf numFmtId="0" fontId="28" fillId="4" borderId="33" xfId="3" applyFont="1" applyFill="1" applyBorder="1" applyAlignment="1">
      <alignment horizontal="center" vertical="center"/>
    </xf>
    <xf numFmtId="0" fontId="25" fillId="0" borderId="34" xfId="3" applyFont="1" applyBorder="1" applyAlignment="1">
      <alignment horizontal="center" vertical="center"/>
    </xf>
    <xf numFmtId="0" fontId="25" fillId="5" borderId="0" xfId="3" applyFont="1" applyFill="1" applyAlignment="1">
      <alignment vertical="center"/>
    </xf>
    <xf numFmtId="0" fontId="28" fillId="0" borderId="0" xfId="3" applyFont="1" applyAlignment="1">
      <alignment horizontal="center" vertical="center"/>
    </xf>
    <xf numFmtId="0" fontId="29" fillId="0" borderId="34" xfId="3" applyFont="1" applyBorder="1" applyAlignment="1">
      <alignment horizontal="center" vertical="center"/>
    </xf>
    <xf numFmtId="0" fontId="25" fillId="0" borderId="35" xfId="3" applyFont="1" applyBorder="1" applyAlignment="1">
      <alignment horizontal="center" vertical="center"/>
    </xf>
    <xf numFmtId="0" fontId="25" fillId="4" borderId="32" xfId="3" applyFont="1" applyFill="1" applyBorder="1" applyAlignment="1">
      <alignment horizontal="center" vertical="center"/>
    </xf>
    <xf numFmtId="0" fontId="28" fillId="4" borderId="29" xfId="3" applyFont="1" applyFill="1" applyBorder="1" applyAlignment="1">
      <alignment horizontal="right" vertical="center"/>
    </xf>
    <xf numFmtId="0" fontId="15" fillId="0" borderId="34" xfId="3" applyFont="1" applyBorder="1" applyAlignment="1">
      <alignment vertical="center"/>
    </xf>
    <xf numFmtId="0" fontId="25" fillId="10" borderId="0" xfId="4" applyFont="1" applyFill="1" applyAlignment="1">
      <alignment horizontal="center" vertical="center"/>
    </xf>
    <xf numFmtId="165" fontId="25" fillId="10" borderId="0" xfId="4" applyNumberFormat="1" applyFont="1" applyFill="1" applyAlignment="1">
      <alignment horizontal="center" vertical="center"/>
    </xf>
    <xf numFmtId="1" fontId="25" fillId="10" borderId="0" xfId="4" applyNumberFormat="1" applyFont="1" applyFill="1" applyAlignment="1">
      <alignment horizontal="center" vertical="center"/>
    </xf>
    <xf numFmtId="20" fontId="25" fillId="10" borderId="0" xfId="4" applyNumberFormat="1" applyFont="1" applyFill="1" applyAlignment="1">
      <alignment horizontal="center" vertical="center"/>
    </xf>
    <xf numFmtId="0" fontId="23" fillId="10" borderId="0" xfId="3" applyFont="1" applyFill="1" applyAlignment="1">
      <alignment horizontal="center" vertical="center"/>
    </xf>
    <xf numFmtId="0" fontId="15" fillId="0" borderId="0" xfId="3" applyFont="1" applyAlignment="1">
      <alignment horizontal="center" vertical="center"/>
    </xf>
    <xf numFmtId="0" fontId="25" fillId="11" borderId="0" xfId="4" applyFont="1" applyFill="1" applyAlignment="1">
      <alignment horizontal="center" vertical="center"/>
    </xf>
    <xf numFmtId="165" fontId="25" fillId="11" borderId="0" xfId="4" applyNumberFormat="1" applyFont="1" applyFill="1" applyAlignment="1">
      <alignment horizontal="center" vertical="center"/>
    </xf>
    <xf numFmtId="1" fontId="25" fillId="11" borderId="0" xfId="4" applyNumberFormat="1" applyFont="1" applyFill="1" applyAlignment="1">
      <alignment horizontal="center" vertical="center"/>
    </xf>
    <xf numFmtId="20" fontId="25" fillId="11" borderId="0" xfId="4" applyNumberFormat="1" applyFont="1" applyFill="1" applyAlignment="1">
      <alignment horizontal="center" vertical="center"/>
    </xf>
    <xf numFmtId="0" fontId="23" fillId="11" borderId="0" xfId="3" applyFont="1" applyFill="1" applyAlignment="1">
      <alignment horizontal="center" vertical="center"/>
    </xf>
    <xf numFmtId="0" fontId="25" fillId="0" borderId="34" xfId="3" applyFont="1" applyBorder="1" applyAlignment="1">
      <alignment vertical="center"/>
    </xf>
    <xf numFmtId="0" fontId="28" fillId="4" borderId="28" xfId="3" applyFont="1" applyFill="1" applyBorder="1" applyAlignment="1">
      <alignment horizontal="right" vertical="center"/>
    </xf>
    <xf numFmtId="0" fontId="25" fillId="8" borderId="0" xfId="4" applyFont="1" applyFill="1" applyAlignment="1">
      <alignment horizontal="center" vertical="center"/>
    </xf>
    <xf numFmtId="165" fontId="25" fillId="8" borderId="0" xfId="4" applyNumberFormat="1" applyFont="1" applyFill="1" applyAlignment="1">
      <alignment horizontal="center" vertical="center"/>
    </xf>
    <xf numFmtId="1" fontId="25" fillId="8" borderId="0" xfId="4" applyNumberFormat="1" applyFont="1" applyFill="1" applyAlignment="1">
      <alignment horizontal="center" vertical="center"/>
    </xf>
    <xf numFmtId="20" fontId="25" fillId="8" borderId="0" xfId="4" applyNumberFormat="1" applyFont="1" applyFill="1" applyAlignment="1">
      <alignment horizontal="center" vertical="center"/>
    </xf>
    <xf numFmtId="0" fontId="23" fillId="8" borderId="0" xfId="3" applyFont="1" applyFill="1" applyAlignment="1">
      <alignment horizontal="center" vertical="center"/>
    </xf>
    <xf numFmtId="0" fontId="28" fillId="4" borderId="33" xfId="3" applyFont="1" applyFill="1" applyBorder="1" applyAlignment="1">
      <alignment horizontal="right" vertical="center"/>
    </xf>
    <xf numFmtId="0" fontId="30" fillId="0" borderId="0" xfId="3" applyFont="1" applyAlignment="1">
      <alignment horizontal="center" vertical="center"/>
    </xf>
    <xf numFmtId="0" fontId="25" fillId="0" borderId="35" xfId="3" applyFont="1" applyBorder="1" applyAlignment="1">
      <alignment vertical="center"/>
    </xf>
    <xf numFmtId="0" fontId="28" fillId="0" borderId="34" xfId="3" applyFont="1" applyBorder="1" applyAlignment="1">
      <alignment horizontal="right" vertical="center"/>
    </xf>
    <xf numFmtId="0" fontId="25" fillId="4" borderId="18" xfId="3" applyFont="1" applyFill="1" applyBorder="1" applyAlignment="1">
      <alignment vertical="center"/>
    </xf>
    <xf numFmtId="0" fontId="25" fillId="4" borderId="36" xfId="3" applyFont="1" applyFill="1" applyBorder="1" applyAlignment="1">
      <alignment vertical="center"/>
    </xf>
    <xf numFmtId="0" fontId="28" fillId="4" borderId="17" xfId="3" applyFont="1" applyFill="1" applyBorder="1" applyAlignment="1">
      <alignment horizontal="right" vertical="center"/>
    </xf>
    <xf numFmtId="0" fontId="25" fillId="4" borderId="32" xfId="3" applyFont="1" applyFill="1" applyBorder="1" applyAlignment="1">
      <alignment vertical="center" shrinkToFit="1"/>
    </xf>
    <xf numFmtId="0" fontId="21" fillId="0" borderId="27" xfId="3" applyFont="1" applyBorder="1" applyAlignment="1">
      <alignment horizontal="center" vertical="center"/>
    </xf>
    <xf numFmtId="0" fontId="21" fillId="0" borderId="29" xfId="3" applyFont="1" applyBorder="1" applyAlignment="1">
      <alignment horizontal="center" vertical="center"/>
    </xf>
    <xf numFmtId="0" fontId="21" fillId="0" borderId="35" xfId="3" applyFont="1" applyBorder="1" applyAlignment="1">
      <alignment horizontal="center" vertical="center"/>
    </xf>
    <xf numFmtId="0" fontId="21" fillId="0" borderId="34" xfId="3" applyFont="1" applyBorder="1" applyAlignment="1">
      <alignment horizontal="center" vertical="center"/>
    </xf>
    <xf numFmtId="0" fontId="21" fillId="0" borderId="31" xfId="3" applyFont="1" applyBorder="1" applyAlignment="1">
      <alignment horizontal="center" vertical="center"/>
    </xf>
    <xf numFmtId="0" fontId="21" fillId="0" borderId="33" xfId="3" applyFont="1" applyBorder="1" applyAlignment="1">
      <alignment horizontal="center" vertical="center"/>
    </xf>
    <xf numFmtId="0" fontId="34" fillId="0" borderId="0" xfId="3" applyFont="1" applyAlignment="1">
      <alignment vertical="center"/>
    </xf>
    <xf numFmtId="49" fontId="36" fillId="0" borderId="0" xfId="3" applyNumberFormat="1" applyFont="1" applyAlignment="1">
      <alignment horizontal="center" vertical="center"/>
    </xf>
    <xf numFmtId="0" fontId="37" fillId="0" borderId="0" xfId="3" applyFont="1" applyAlignment="1">
      <alignment horizontal="center" vertical="center"/>
    </xf>
    <xf numFmtId="0" fontId="36" fillId="0" borderId="0" xfId="3" applyFont="1" applyAlignment="1">
      <alignment horizontal="center" vertical="center"/>
    </xf>
    <xf numFmtId="0" fontId="33" fillId="0" borderId="37" xfId="3" applyFont="1" applyBorder="1" applyAlignment="1">
      <alignment horizontal="center" vertical="center" textRotation="90"/>
    </xf>
    <xf numFmtId="0" fontId="33" fillId="0" borderId="38" xfId="3" applyFont="1" applyBorder="1" applyAlignment="1">
      <alignment horizontal="center" vertical="center" textRotation="90"/>
    </xf>
    <xf numFmtId="0" fontId="33" fillId="0" borderId="39" xfId="3" applyFont="1" applyBorder="1" applyAlignment="1">
      <alignment horizontal="center" vertical="center" textRotation="90"/>
    </xf>
    <xf numFmtId="0" fontId="21" fillId="0" borderId="37" xfId="3" applyFont="1" applyBorder="1" applyAlignment="1">
      <alignment horizontal="center" vertical="center" textRotation="90"/>
    </xf>
    <xf numFmtId="0" fontId="21" fillId="0" borderId="38" xfId="3" applyFont="1" applyBorder="1" applyAlignment="1">
      <alignment horizontal="center" vertical="center" textRotation="90"/>
    </xf>
    <xf numFmtId="0" fontId="21" fillId="0" borderId="39" xfId="3" applyFont="1" applyBorder="1" applyAlignment="1">
      <alignment horizontal="center" vertical="center" textRotation="90"/>
    </xf>
    <xf numFmtId="0" fontId="35" fillId="0" borderId="0" xfId="3" applyFont="1" applyAlignment="1">
      <alignment horizontal="center" vertical="center"/>
    </xf>
    <xf numFmtId="0" fontId="21" fillId="15" borderId="28" xfId="3" applyFont="1" applyFill="1" applyBorder="1" applyAlignment="1">
      <alignment horizontal="center" vertical="center"/>
    </xf>
    <xf numFmtId="0" fontId="21" fillId="15" borderId="32" xfId="3" applyFont="1" applyFill="1" applyBorder="1" applyAlignment="1">
      <alignment horizontal="center" vertical="center"/>
    </xf>
    <xf numFmtId="0" fontId="21" fillId="15" borderId="29" xfId="3" applyFont="1" applyFill="1" applyBorder="1" applyAlignment="1">
      <alignment horizontal="center" vertical="center"/>
    </xf>
    <xf numFmtId="0" fontId="21" fillId="15" borderId="33" xfId="3" applyFont="1" applyFill="1" applyBorder="1" applyAlignment="1">
      <alignment horizontal="center" vertical="center"/>
    </xf>
    <xf numFmtId="0" fontId="31" fillId="8" borderId="27" xfId="3" applyFont="1" applyFill="1" applyBorder="1" applyAlignment="1">
      <alignment horizontal="center" vertical="center" wrapText="1" shrinkToFit="1"/>
    </xf>
    <xf numFmtId="0" fontId="31" fillId="8" borderId="28" xfId="3" applyFont="1" applyFill="1" applyBorder="1" applyAlignment="1">
      <alignment horizontal="center" vertical="center" wrapText="1" shrinkToFit="1"/>
    </xf>
    <xf numFmtId="0" fontId="31" fillId="8" borderId="35" xfId="3" applyFont="1" applyFill="1" applyBorder="1" applyAlignment="1">
      <alignment horizontal="center" vertical="center" wrapText="1" shrinkToFit="1"/>
    </xf>
    <xf numFmtId="0" fontId="31" fillId="8" borderId="0" xfId="3" applyFont="1" applyFill="1" applyAlignment="1">
      <alignment horizontal="center" vertical="center" wrapText="1" shrinkToFit="1"/>
    </xf>
    <xf numFmtId="0" fontId="31" fillId="8" borderId="31" xfId="3" applyFont="1" applyFill="1" applyBorder="1" applyAlignment="1">
      <alignment horizontal="center" vertical="center" wrapText="1" shrinkToFit="1"/>
    </xf>
    <xf numFmtId="0" fontId="31" fillId="8" borderId="32" xfId="3" applyFont="1" applyFill="1" applyBorder="1" applyAlignment="1">
      <alignment horizontal="center" vertical="center" wrapText="1" shrinkToFit="1"/>
    </xf>
    <xf numFmtId="0" fontId="32" fillId="3" borderId="3" xfId="3" applyFont="1" applyFill="1" applyBorder="1" applyAlignment="1">
      <alignment horizontal="center" vertical="center"/>
    </xf>
    <xf numFmtId="0" fontId="32" fillId="3" borderId="16" xfId="3" applyFont="1" applyFill="1" applyBorder="1" applyAlignment="1">
      <alignment horizontal="center" vertical="center"/>
    </xf>
    <xf numFmtId="0" fontId="32" fillId="3" borderId="10" xfId="3" applyFont="1" applyFill="1" applyBorder="1" applyAlignment="1">
      <alignment horizontal="center" vertical="center"/>
    </xf>
    <xf numFmtId="0" fontId="21" fillId="15" borderId="27" xfId="3" applyFont="1" applyFill="1" applyBorder="1" applyAlignment="1">
      <alignment horizontal="center" vertical="center"/>
    </xf>
    <xf numFmtId="0" fontId="21" fillId="15" borderId="31" xfId="3" applyFont="1" applyFill="1" applyBorder="1" applyAlignment="1">
      <alignment horizontal="center" vertical="center"/>
    </xf>
    <xf numFmtId="0" fontId="21" fillId="14" borderId="28" xfId="3" applyFont="1" applyFill="1" applyBorder="1" applyAlignment="1">
      <alignment horizontal="center" vertical="center"/>
    </xf>
    <xf numFmtId="0" fontId="21" fillId="14" borderId="32" xfId="3" applyFont="1" applyFill="1" applyBorder="1" applyAlignment="1">
      <alignment horizontal="center" vertical="center"/>
    </xf>
    <xf numFmtId="0" fontId="21" fillId="14" borderId="29" xfId="3" applyFont="1" applyFill="1" applyBorder="1" applyAlignment="1">
      <alignment horizontal="center" vertical="center"/>
    </xf>
    <xf numFmtId="0" fontId="21" fillId="14" borderId="33" xfId="3" applyFont="1" applyFill="1" applyBorder="1" applyAlignment="1">
      <alignment horizontal="center" vertical="center"/>
    </xf>
    <xf numFmtId="0" fontId="30" fillId="0" borderId="0" xfId="3" applyFont="1" applyAlignment="1">
      <alignment horizontal="center" vertical="center"/>
    </xf>
    <xf numFmtId="0" fontId="26" fillId="0" borderId="0" xfId="3" applyFont="1" applyAlignment="1">
      <alignment horizontal="center" vertical="center"/>
    </xf>
    <xf numFmtId="17" fontId="21" fillId="15" borderId="27" xfId="3" quotePrefix="1" applyNumberFormat="1" applyFont="1" applyFill="1" applyBorder="1" applyAlignment="1">
      <alignment horizontal="center" vertical="center"/>
    </xf>
    <xf numFmtId="17" fontId="21" fillId="15" borderId="31" xfId="3" quotePrefix="1" applyNumberFormat="1" applyFont="1" applyFill="1" applyBorder="1" applyAlignment="1">
      <alignment horizontal="center" vertical="center"/>
    </xf>
    <xf numFmtId="49" fontId="21" fillId="15" borderId="28" xfId="3" applyNumberFormat="1" applyFont="1" applyFill="1" applyBorder="1" applyAlignment="1">
      <alignment horizontal="center" vertical="center"/>
    </xf>
    <xf numFmtId="49" fontId="21" fillId="15" borderId="32" xfId="3" applyNumberFormat="1" applyFont="1" applyFill="1" applyBorder="1" applyAlignment="1">
      <alignment horizontal="center" vertical="center"/>
    </xf>
    <xf numFmtId="164" fontId="27" fillId="15" borderId="28" xfId="3" applyNumberFormat="1" applyFont="1" applyFill="1" applyBorder="1" applyAlignment="1">
      <alignment horizontal="center" vertical="center"/>
    </xf>
    <xf numFmtId="164" fontId="27" fillId="15" borderId="32" xfId="3" applyNumberFormat="1" applyFont="1" applyFill="1" applyBorder="1" applyAlignment="1">
      <alignment horizontal="center" vertical="center"/>
    </xf>
    <xf numFmtId="0" fontId="21" fillId="14" borderId="27" xfId="3" applyFont="1" applyFill="1" applyBorder="1" applyAlignment="1">
      <alignment horizontal="center" vertical="center"/>
    </xf>
    <xf numFmtId="0" fontId="21" fillId="14" borderId="31" xfId="3" applyFont="1" applyFill="1" applyBorder="1" applyAlignment="1">
      <alignment horizontal="center" vertical="center"/>
    </xf>
    <xf numFmtId="0" fontId="21" fillId="9" borderId="28" xfId="3" applyFont="1" applyFill="1" applyBorder="1" applyAlignment="1">
      <alignment horizontal="center" vertical="center"/>
    </xf>
    <xf numFmtId="0" fontId="21" fillId="9" borderId="32" xfId="3" applyFont="1" applyFill="1" applyBorder="1" applyAlignment="1">
      <alignment horizontal="center" vertical="center"/>
    </xf>
    <xf numFmtId="0" fontId="21" fillId="9" borderId="29" xfId="3" applyFont="1" applyFill="1" applyBorder="1" applyAlignment="1">
      <alignment horizontal="center" vertical="center"/>
    </xf>
    <xf numFmtId="0" fontId="21" fillId="9" borderId="33" xfId="3" applyFont="1" applyFill="1" applyBorder="1" applyAlignment="1">
      <alignment horizontal="center" vertical="center"/>
    </xf>
    <xf numFmtId="0" fontId="21" fillId="0" borderId="0" xfId="3" applyFont="1" applyAlignment="1">
      <alignment horizontal="center" vertical="center"/>
    </xf>
    <xf numFmtId="17" fontId="21" fillId="14" borderId="27" xfId="3" applyNumberFormat="1" applyFont="1" applyFill="1" applyBorder="1" applyAlignment="1">
      <alignment horizontal="center" vertical="center"/>
    </xf>
    <xf numFmtId="17" fontId="21" fillId="14" borderId="31" xfId="3" quotePrefix="1" applyNumberFormat="1" applyFont="1" applyFill="1" applyBorder="1" applyAlignment="1">
      <alignment horizontal="center" vertical="center"/>
    </xf>
    <xf numFmtId="49" fontId="21" fillId="14" borderId="28" xfId="3" applyNumberFormat="1" applyFont="1" applyFill="1" applyBorder="1" applyAlignment="1">
      <alignment horizontal="center" vertical="center"/>
    </xf>
    <xf numFmtId="49" fontId="21" fillId="14" borderId="32" xfId="3" applyNumberFormat="1" applyFont="1" applyFill="1" applyBorder="1" applyAlignment="1">
      <alignment horizontal="center" vertical="center"/>
    </xf>
    <xf numFmtId="164" fontId="27" fillId="14" borderId="28" xfId="3" applyNumberFormat="1" applyFont="1" applyFill="1" applyBorder="1" applyAlignment="1">
      <alignment horizontal="center" vertical="center"/>
    </xf>
    <xf numFmtId="164" fontId="27" fillId="14" borderId="32" xfId="3" applyNumberFormat="1" applyFont="1" applyFill="1" applyBorder="1" applyAlignment="1">
      <alignment horizontal="center" vertical="center"/>
    </xf>
    <xf numFmtId="0" fontId="21" fillId="9" borderId="27" xfId="3" applyFont="1" applyFill="1" applyBorder="1" applyAlignment="1">
      <alignment horizontal="center" vertical="center"/>
    </xf>
    <xf numFmtId="0" fontId="21" fillId="9" borderId="31" xfId="3" applyFont="1" applyFill="1" applyBorder="1" applyAlignment="1">
      <alignment horizontal="center" vertical="center"/>
    </xf>
    <xf numFmtId="0" fontId="21" fillId="13" borderId="28" xfId="3" applyFont="1" applyFill="1" applyBorder="1" applyAlignment="1">
      <alignment horizontal="center" vertical="center"/>
    </xf>
    <xf numFmtId="0" fontId="21" fillId="13" borderId="32" xfId="3" applyFont="1" applyFill="1" applyBorder="1" applyAlignment="1">
      <alignment horizontal="center" vertical="center"/>
    </xf>
    <xf numFmtId="0" fontId="21" fillId="13" borderId="29" xfId="3" applyFont="1" applyFill="1" applyBorder="1" applyAlignment="1">
      <alignment horizontal="center" vertical="center"/>
    </xf>
    <xf numFmtId="0" fontId="21" fillId="13" borderId="33" xfId="3" applyFont="1" applyFill="1" applyBorder="1" applyAlignment="1">
      <alignment horizontal="center" vertical="center"/>
    </xf>
    <xf numFmtId="17" fontId="21" fillId="9" borderId="27" xfId="3" applyNumberFormat="1" applyFont="1" applyFill="1" applyBorder="1" applyAlignment="1">
      <alignment horizontal="center" vertical="center"/>
    </xf>
    <xf numFmtId="17" fontId="21" fillId="9" borderId="31" xfId="3" quotePrefix="1" applyNumberFormat="1" applyFont="1" applyFill="1" applyBorder="1" applyAlignment="1">
      <alignment horizontal="center" vertical="center"/>
    </xf>
    <xf numFmtId="49" fontId="21" fillId="9" borderId="28" xfId="3" applyNumberFormat="1" applyFont="1" applyFill="1" applyBorder="1" applyAlignment="1">
      <alignment horizontal="center" vertical="center"/>
    </xf>
    <xf numFmtId="49" fontId="21" fillId="9" borderId="32" xfId="3" applyNumberFormat="1" applyFont="1" applyFill="1" applyBorder="1" applyAlignment="1">
      <alignment horizontal="center" vertical="center"/>
    </xf>
    <xf numFmtId="164" fontId="27" fillId="9" borderId="28" xfId="3" applyNumberFormat="1" applyFont="1" applyFill="1" applyBorder="1" applyAlignment="1">
      <alignment horizontal="center" vertical="center"/>
    </xf>
    <xf numFmtId="164" fontId="27" fillId="9" borderId="32" xfId="3" applyNumberFormat="1" applyFont="1" applyFill="1" applyBorder="1" applyAlignment="1">
      <alignment horizontal="center" vertical="center"/>
    </xf>
    <xf numFmtId="0" fontId="21" fillId="13" borderId="27" xfId="3" applyFont="1" applyFill="1" applyBorder="1" applyAlignment="1">
      <alignment horizontal="center" vertical="center"/>
    </xf>
    <xf numFmtId="0" fontId="21" fillId="13" borderId="31" xfId="3" applyFont="1" applyFill="1" applyBorder="1" applyAlignment="1">
      <alignment horizontal="center" vertical="center"/>
    </xf>
    <xf numFmtId="0" fontId="21" fillId="4" borderId="28" xfId="3" applyFont="1" applyFill="1" applyBorder="1" applyAlignment="1">
      <alignment horizontal="center" vertical="center"/>
    </xf>
    <xf numFmtId="0" fontId="21" fillId="4" borderId="32" xfId="3" applyFont="1" applyFill="1" applyBorder="1" applyAlignment="1">
      <alignment horizontal="center" vertical="center"/>
    </xf>
    <xf numFmtId="0" fontId="21" fillId="4" borderId="29" xfId="3" applyFont="1" applyFill="1" applyBorder="1" applyAlignment="1">
      <alignment horizontal="center" vertical="center"/>
    </xf>
    <xf numFmtId="0" fontId="21" fillId="4" borderId="33" xfId="3" applyFont="1" applyFill="1" applyBorder="1" applyAlignment="1">
      <alignment horizontal="center" vertical="center"/>
    </xf>
    <xf numFmtId="17" fontId="21" fillId="13" borderId="27" xfId="3" applyNumberFormat="1" applyFont="1" applyFill="1" applyBorder="1" applyAlignment="1">
      <alignment horizontal="center" vertical="center"/>
    </xf>
    <xf numFmtId="17" fontId="21" fillId="13" borderId="31" xfId="3" quotePrefix="1" applyNumberFormat="1" applyFont="1" applyFill="1" applyBorder="1" applyAlignment="1">
      <alignment horizontal="center" vertical="center"/>
    </xf>
    <xf numFmtId="49" fontId="21" fillId="13" borderId="28" xfId="3" applyNumberFormat="1" applyFont="1" applyFill="1" applyBorder="1" applyAlignment="1">
      <alignment horizontal="center" vertical="center"/>
    </xf>
    <xf numFmtId="49" fontId="21" fillId="13" borderId="32" xfId="3" applyNumberFormat="1" applyFont="1" applyFill="1" applyBorder="1" applyAlignment="1">
      <alignment horizontal="center" vertical="center"/>
    </xf>
    <xf numFmtId="164" fontId="27" fillId="13" borderId="28" xfId="3" applyNumberFormat="1" applyFont="1" applyFill="1" applyBorder="1" applyAlignment="1">
      <alignment horizontal="center" vertical="center"/>
    </xf>
    <xf numFmtId="164" fontId="27" fillId="13" borderId="32" xfId="3" applyNumberFormat="1" applyFont="1" applyFill="1" applyBorder="1" applyAlignment="1">
      <alignment horizontal="center" vertical="center"/>
    </xf>
    <xf numFmtId="0" fontId="21" fillId="4" borderId="27" xfId="3" applyFont="1" applyFill="1" applyBorder="1" applyAlignment="1">
      <alignment horizontal="center" vertical="center"/>
    </xf>
    <xf numFmtId="0" fontId="21" fillId="4" borderId="31" xfId="3" applyFont="1" applyFill="1" applyBorder="1" applyAlignment="1">
      <alignment horizontal="center" vertical="center"/>
    </xf>
    <xf numFmtId="0" fontId="21" fillId="12" borderId="28" xfId="3" applyFont="1" applyFill="1" applyBorder="1" applyAlignment="1">
      <alignment horizontal="center" vertical="center"/>
    </xf>
    <xf numFmtId="0" fontId="21" fillId="12" borderId="32" xfId="3" applyFont="1" applyFill="1" applyBorder="1" applyAlignment="1">
      <alignment horizontal="center" vertical="center"/>
    </xf>
    <xf numFmtId="0" fontId="21" fillId="12" borderId="29" xfId="3" applyFont="1" applyFill="1" applyBorder="1" applyAlignment="1">
      <alignment horizontal="center" vertical="center"/>
    </xf>
    <xf numFmtId="0" fontId="21" fillId="12" borderId="33" xfId="3" applyFont="1" applyFill="1" applyBorder="1" applyAlignment="1">
      <alignment horizontal="center" vertical="center"/>
    </xf>
    <xf numFmtId="17" fontId="21" fillId="4" borderId="27" xfId="3" applyNumberFormat="1" applyFont="1" applyFill="1" applyBorder="1" applyAlignment="1">
      <alignment horizontal="center" vertical="center"/>
    </xf>
    <xf numFmtId="17" fontId="21" fillId="4" borderId="31" xfId="3" quotePrefix="1" applyNumberFormat="1" applyFont="1" applyFill="1" applyBorder="1" applyAlignment="1">
      <alignment horizontal="center" vertical="center"/>
    </xf>
    <xf numFmtId="49" fontId="21" fillId="4" borderId="28" xfId="3" applyNumberFormat="1" applyFont="1" applyFill="1" applyBorder="1" applyAlignment="1">
      <alignment horizontal="center" vertical="center"/>
    </xf>
    <xf numFmtId="49" fontId="21" fillId="4" borderId="32" xfId="3" applyNumberFormat="1" applyFont="1" applyFill="1" applyBorder="1" applyAlignment="1">
      <alignment horizontal="center" vertical="center"/>
    </xf>
    <xf numFmtId="164" fontId="27" fillId="4" borderId="28" xfId="3" applyNumberFormat="1" applyFont="1" applyFill="1" applyBorder="1" applyAlignment="1">
      <alignment horizontal="center" vertical="center"/>
    </xf>
    <xf numFmtId="164" fontId="27" fillId="4" borderId="32" xfId="3" applyNumberFormat="1" applyFont="1" applyFill="1" applyBorder="1" applyAlignment="1">
      <alignment horizontal="center" vertical="center"/>
    </xf>
    <xf numFmtId="0" fontId="21" fillId="12" borderId="27" xfId="3" applyFont="1" applyFill="1" applyBorder="1" applyAlignment="1">
      <alignment horizontal="center" vertical="center"/>
    </xf>
    <xf numFmtId="0" fontId="21" fillId="12" borderId="31" xfId="3" applyFont="1" applyFill="1" applyBorder="1" applyAlignment="1">
      <alignment horizontal="center" vertical="center"/>
    </xf>
    <xf numFmtId="17" fontId="21" fillId="12" borderId="27" xfId="3" applyNumberFormat="1" applyFont="1" applyFill="1" applyBorder="1" applyAlignment="1">
      <alignment horizontal="center" vertical="center"/>
    </xf>
    <xf numFmtId="17" fontId="21" fillId="12" borderId="31" xfId="3" quotePrefix="1" applyNumberFormat="1" applyFont="1" applyFill="1" applyBorder="1" applyAlignment="1">
      <alignment horizontal="center" vertical="center"/>
    </xf>
    <xf numFmtId="49" fontId="21" fillId="12" borderId="28" xfId="3" applyNumberFormat="1" applyFont="1" applyFill="1" applyBorder="1" applyAlignment="1">
      <alignment horizontal="center" vertical="center"/>
    </xf>
    <xf numFmtId="49" fontId="21" fillId="12" borderId="32" xfId="3" applyNumberFormat="1" applyFont="1" applyFill="1" applyBorder="1" applyAlignment="1">
      <alignment horizontal="center" vertical="center"/>
    </xf>
    <xf numFmtId="164" fontId="27" fillId="12" borderId="28" xfId="3" applyNumberFormat="1" applyFont="1" applyFill="1" applyBorder="1" applyAlignment="1">
      <alignment horizontal="center" vertical="center"/>
    </xf>
    <xf numFmtId="164" fontId="27" fillId="12" borderId="32" xfId="3" applyNumberFormat="1" applyFont="1" applyFill="1" applyBorder="1" applyAlignment="1">
      <alignment horizontal="center" vertical="center"/>
    </xf>
    <xf numFmtId="0" fontId="21" fillId="5" borderId="28" xfId="3" applyFont="1" applyFill="1" applyBorder="1" applyAlignment="1">
      <alignment horizontal="center" vertical="center"/>
    </xf>
    <xf numFmtId="0" fontId="21" fillId="5" borderId="32" xfId="3" applyFont="1" applyFill="1" applyBorder="1" applyAlignment="1">
      <alignment horizontal="center" vertical="center"/>
    </xf>
    <xf numFmtId="0" fontId="21" fillId="5" borderId="29" xfId="3" applyFont="1" applyFill="1" applyBorder="1" applyAlignment="1">
      <alignment horizontal="center" vertical="center"/>
    </xf>
    <xf numFmtId="0" fontId="21" fillId="5" borderId="33" xfId="3" applyFont="1" applyFill="1" applyBorder="1" applyAlignment="1">
      <alignment horizontal="center" vertical="center"/>
    </xf>
    <xf numFmtId="0" fontId="21" fillId="5" borderId="27" xfId="3" applyFont="1" applyFill="1" applyBorder="1" applyAlignment="1">
      <alignment horizontal="center" vertical="center"/>
    </xf>
    <xf numFmtId="0" fontId="21" fillId="5" borderId="31" xfId="3" applyFont="1" applyFill="1" applyBorder="1" applyAlignment="1">
      <alignment horizontal="center" vertical="center"/>
    </xf>
    <xf numFmtId="164" fontId="27" fillId="5" borderId="28" xfId="3" applyNumberFormat="1" applyFont="1" applyFill="1" applyBorder="1" applyAlignment="1">
      <alignment horizontal="center" vertical="center"/>
    </xf>
    <xf numFmtId="164" fontId="27" fillId="5" borderId="32" xfId="3" applyNumberFormat="1" applyFont="1" applyFill="1" applyBorder="1" applyAlignment="1">
      <alignment horizontal="center" vertical="center"/>
    </xf>
    <xf numFmtId="0" fontId="21" fillId="3" borderId="28" xfId="3" applyFont="1" applyFill="1" applyBorder="1" applyAlignment="1">
      <alignment horizontal="center" vertical="center"/>
    </xf>
    <xf numFmtId="0" fontId="21" fillId="3" borderId="32" xfId="3" applyFont="1" applyFill="1" applyBorder="1" applyAlignment="1">
      <alignment horizontal="center" vertical="center"/>
    </xf>
    <xf numFmtId="0" fontId="21" fillId="3" borderId="29" xfId="3" applyFont="1" applyFill="1" applyBorder="1" applyAlignment="1">
      <alignment horizontal="center" vertical="center"/>
    </xf>
    <xf numFmtId="0" fontId="21" fillId="3" borderId="33" xfId="3" applyFont="1" applyFill="1" applyBorder="1" applyAlignment="1">
      <alignment horizontal="center" vertical="center"/>
    </xf>
    <xf numFmtId="17" fontId="21" fillId="5" borderId="27" xfId="3" quotePrefix="1" applyNumberFormat="1" applyFont="1" applyFill="1" applyBorder="1" applyAlignment="1">
      <alignment horizontal="center" vertical="center"/>
    </xf>
    <xf numFmtId="17" fontId="21" fillId="5" borderId="31" xfId="3" quotePrefix="1" applyNumberFormat="1" applyFont="1" applyFill="1" applyBorder="1" applyAlignment="1">
      <alignment horizontal="center" vertical="center"/>
    </xf>
    <xf numFmtId="49" fontId="21" fillId="5" borderId="28" xfId="3" applyNumberFormat="1" applyFont="1" applyFill="1" applyBorder="1" applyAlignment="1">
      <alignment horizontal="center" vertical="center"/>
    </xf>
    <xf numFmtId="49" fontId="21" fillId="5" borderId="32" xfId="3" applyNumberFormat="1" applyFont="1" applyFill="1" applyBorder="1" applyAlignment="1">
      <alignment horizontal="center" vertical="center"/>
    </xf>
    <xf numFmtId="0" fontId="21" fillId="3" borderId="27" xfId="3" applyFont="1" applyFill="1" applyBorder="1" applyAlignment="1">
      <alignment horizontal="center" vertical="center"/>
    </xf>
    <xf numFmtId="0" fontId="21" fillId="3" borderId="31" xfId="3" applyFont="1" applyFill="1" applyBorder="1" applyAlignment="1">
      <alignment horizontal="center" vertical="center"/>
    </xf>
    <xf numFmtId="17" fontId="21" fillId="3" borderId="27" xfId="3" quotePrefix="1" applyNumberFormat="1" applyFont="1" applyFill="1" applyBorder="1" applyAlignment="1">
      <alignment horizontal="center" vertical="center"/>
    </xf>
    <xf numFmtId="17" fontId="21" fillId="3" borderId="31" xfId="3" quotePrefix="1" applyNumberFormat="1" applyFont="1" applyFill="1" applyBorder="1" applyAlignment="1">
      <alignment horizontal="center" vertical="center"/>
    </xf>
    <xf numFmtId="49" fontId="21" fillId="3" borderId="28" xfId="3" applyNumberFormat="1" applyFont="1" applyFill="1" applyBorder="1" applyAlignment="1">
      <alignment horizontal="center" vertical="center"/>
    </xf>
    <xf numFmtId="49" fontId="21" fillId="3" borderId="32" xfId="3" applyNumberFormat="1" applyFont="1" applyFill="1" applyBorder="1" applyAlignment="1">
      <alignment horizontal="center" vertical="center"/>
    </xf>
    <xf numFmtId="164" fontId="27" fillId="3" borderId="28" xfId="3" applyNumberFormat="1" applyFont="1" applyFill="1" applyBorder="1" applyAlignment="1">
      <alignment horizontal="center" vertical="center"/>
    </xf>
    <xf numFmtId="164" fontId="27" fillId="3" borderId="32" xfId="3" applyNumberFormat="1" applyFont="1" applyFill="1" applyBorder="1" applyAlignment="1">
      <alignment horizontal="center" vertical="center"/>
    </xf>
    <xf numFmtId="0" fontId="7" fillId="0" borderId="5" xfId="3" applyFont="1" applyBorder="1" applyAlignment="1">
      <alignment horizontal="center" vertical="center"/>
    </xf>
    <xf numFmtId="0" fontId="7" fillId="0" borderId="7" xfId="3" applyFont="1" applyBorder="1" applyAlignment="1">
      <alignment horizontal="center" vertical="center"/>
    </xf>
    <xf numFmtId="0" fontId="7" fillId="0" borderId="8" xfId="3" applyFont="1" applyBorder="1" applyAlignment="1">
      <alignment horizontal="center" vertical="center"/>
    </xf>
    <xf numFmtId="0" fontId="22" fillId="0" borderId="0" xfId="3" applyFont="1" applyAlignment="1">
      <alignment horizontal="center" vertical="center"/>
    </xf>
    <xf numFmtId="0" fontId="9" fillId="0" borderId="21" xfId="2" applyFont="1" applyBorder="1" applyAlignment="1">
      <alignment horizontal="center" vertical="center"/>
    </xf>
    <xf numFmtId="0" fontId="9" fillId="0" borderId="23" xfId="2" applyFont="1" applyBorder="1" applyAlignment="1">
      <alignment horizontal="center" vertical="center"/>
    </xf>
    <xf numFmtId="0" fontId="9" fillId="0" borderId="22" xfId="2" applyFont="1" applyBorder="1" applyAlignment="1">
      <alignment horizontal="center" vertical="center"/>
    </xf>
    <xf numFmtId="0" fontId="1" fillId="0" borderId="9" xfId="2" applyBorder="1" applyAlignment="1">
      <alignment horizontal="center" vertical="center"/>
    </xf>
    <xf numFmtId="0" fontId="1" fillId="0" borderId="11" xfId="2" applyBorder="1" applyAlignment="1">
      <alignment horizontal="center" vertical="center"/>
    </xf>
    <xf numFmtId="0" fontId="1" fillId="0" borderId="12" xfId="2" applyBorder="1" applyAlignment="1">
      <alignment horizontal="center" vertical="center"/>
    </xf>
    <xf numFmtId="0" fontId="19" fillId="0" borderId="24" xfId="2" applyFont="1" applyBorder="1" applyAlignment="1">
      <alignment horizontal="center" vertical="center"/>
    </xf>
    <xf numFmtId="0" fontId="19" fillId="0" borderId="25" xfId="2" applyFont="1" applyBorder="1" applyAlignment="1">
      <alignment horizontal="center" vertical="center"/>
    </xf>
    <xf numFmtId="0" fontId="19" fillId="0" borderId="26" xfId="2" applyFont="1" applyBorder="1" applyAlignment="1">
      <alignment horizontal="center" vertical="center"/>
    </xf>
    <xf numFmtId="0" fontId="10" fillId="0" borderId="3" xfId="1" applyFont="1" applyBorder="1" applyAlignment="1">
      <alignment horizontal="center" vertical="center"/>
    </xf>
    <xf numFmtId="0" fontId="10" fillId="0" borderId="10" xfId="1" applyFont="1" applyBorder="1" applyAlignment="1">
      <alignment horizontal="center" vertical="center"/>
    </xf>
    <xf numFmtId="0" fontId="17" fillId="0" borderId="1" xfId="1" applyFont="1" applyBorder="1" applyAlignment="1">
      <alignment horizontal="center" vertical="center"/>
    </xf>
    <xf numFmtId="0" fontId="17" fillId="0" borderId="0" xfId="1" applyFont="1" applyAlignment="1">
      <alignment horizontal="center" vertical="center"/>
    </xf>
    <xf numFmtId="0" fontId="1" fillId="0" borderId="0" xfId="1" applyAlignment="1">
      <alignment horizontal="center" vertical="center"/>
    </xf>
    <xf numFmtId="0" fontId="10" fillId="0" borderId="21" xfId="1" applyFont="1" applyBorder="1" applyAlignment="1">
      <alignment horizontal="center"/>
    </xf>
    <xf numFmtId="0" fontId="10" fillId="0" borderId="22" xfId="1" applyFont="1" applyBorder="1" applyAlignment="1">
      <alignment horizontal="center"/>
    </xf>
    <xf numFmtId="0" fontId="1" fillId="0" borderId="1" xfId="1" applyBorder="1" applyAlignment="1">
      <alignment horizontal="center" vertical="center" wrapText="1"/>
    </xf>
    <xf numFmtId="0" fontId="1" fillId="0" borderId="0" xfId="1" applyAlignment="1">
      <alignment horizontal="center" vertical="center" wrapText="1"/>
    </xf>
    <xf numFmtId="0" fontId="9" fillId="0" borderId="0" xfId="1" applyFont="1" applyAlignment="1">
      <alignment horizontal="center" vertical="center"/>
    </xf>
    <xf numFmtId="0" fontId="10" fillId="0" borderId="16" xfId="1" applyFont="1" applyBorder="1" applyAlignment="1">
      <alignment horizontal="center" vertical="center"/>
    </xf>
  </cellXfs>
  <cellStyles count="5">
    <cellStyle name="Normal" xfId="0" builtinId="0"/>
    <cellStyle name="Normal 2" xfId="1" xr:uid="{0771DDF5-DF52-4BC9-AC23-4EECD306A7CE}"/>
    <cellStyle name="Normal 2 2" xfId="4" xr:uid="{EDD8A714-514F-4333-B2D5-1129AF9F0DBE}"/>
    <cellStyle name="Normal 4" xfId="2" xr:uid="{499C2470-1C88-42DF-AAAF-2DDF050B5BBE}"/>
    <cellStyle name="Normal_SYOC 2006" xfId="3" xr:uid="{BC39FCC5-2E57-4F01-A096-FDBEB40175C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24848</xdr:colOff>
      <xdr:row>1</xdr:row>
      <xdr:rowOff>157369</xdr:rowOff>
    </xdr:from>
    <xdr:to>
      <xdr:col>9</xdr:col>
      <xdr:colOff>384218</xdr:colOff>
      <xdr:row>6</xdr:row>
      <xdr:rowOff>5076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89D10639-5E05-4DA4-9E58-699DB5AA38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48" y="347869"/>
          <a:ext cx="6636345" cy="95260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24848</xdr:colOff>
      <xdr:row>1</xdr:row>
      <xdr:rowOff>157369</xdr:rowOff>
    </xdr:from>
    <xdr:to>
      <xdr:col>9</xdr:col>
      <xdr:colOff>544902</xdr:colOff>
      <xdr:row>6</xdr:row>
      <xdr:rowOff>5076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933A7A18-2DF5-4519-964B-69973B2934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48" y="347869"/>
          <a:ext cx="6644629" cy="95260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24848</xdr:colOff>
      <xdr:row>1</xdr:row>
      <xdr:rowOff>157369</xdr:rowOff>
    </xdr:from>
    <xdr:to>
      <xdr:col>6</xdr:col>
      <xdr:colOff>152306</xdr:colOff>
      <xdr:row>6</xdr:row>
      <xdr:rowOff>5076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C382D9B2-810B-4794-9E32-24856BFC38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48" y="347869"/>
          <a:ext cx="6642558" cy="95260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24848</xdr:colOff>
      <xdr:row>1</xdr:row>
      <xdr:rowOff>157369</xdr:rowOff>
    </xdr:from>
    <xdr:to>
      <xdr:col>9</xdr:col>
      <xdr:colOff>627727</xdr:colOff>
      <xdr:row>6</xdr:row>
      <xdr:rowOff>5076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A7314CC2-5C16-47DB-B1FB-B370D9F63A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48" y="347869"/>
          <a:ext cx="6641729" cy="95260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24848</xdr:colOff>
      <xdr:row>1</xdr:row>
      <xdr:rowOff>157369</xdr:rowOff>
    </xdr:from>
    <xdr:to>
      <xdr:col>9</xdr:col>
      <xdr:colOff>226850</xdr:colOff>
      <xdr:row>6</xdr:row>
      <xdr:rowOff>5076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A027B31C-75F2-428C-B0DD-D8D3AF1F9C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48" y="347869"/>
          <a:ext cx="6650427" cy="95260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24848</xdr:colOff>
      <xdr:row>1</xdr:row>
      <xdr:rowOff>157369</xdr:rowOff>
    </xdr:from>
    <xdr:to>
      <xdr:col>9</xdr:col>
      <xdr:colOff>19784</xdr:colOff>
      <xdr:row>6</xdr:row>
      <xdr:rowOff>5076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378F363E-4A8A-4109-AFB8-6C732B5FC7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48" y="347869"/>
          <a:ext cx="6643386" cy="95260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47</xdr:col>
      <xdr:colOff>32658</xdr:colOff>
      <xdr:row>1</xdr:row>
      <xdr:rowOff>0</xdr:rowOff>
    </xdr:from>
    <xdr:to>
      <xdr:col>61</xdr:col>
      <xdr:colOff>55516</xdr:colOff>
      <xdr:row>8</xdr:row>
      <xdr:rowOff>27606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875BB12D-9412-4D7A-AB56-9BE745DA75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8458" y="133350"/>
          <a:ext cx="13453108" cy="9610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FC21C-3924-4826-A1F6-95786B508613}">
  <sheetPr codeName="Sheet8"/>
  <dimension ref="A1:E79"/>
  <sheetViews>
    <sheetView tabSelected="1" workbookViewId="0">
      <selection activeCell="W12" sqref="W12"/>
    </sheetView>
  </sheetViews>
  <sheetFormatPr defaultColWidth="9.140625" defaultRowHeight="15" x14ac:dyDescent="0.25"/>
  <cols>
    <col min="1" max="1" width="8" bestFit="1" customWidth="1"/>
    <col min="2" max="2" width="7" bestFit="1" customWidth="1"/>
    <col min="3" max="3" width="34.5703125" bestFit="1" customWidth="1"/>
    <col min="4" max="4" width="27" bestFit="1" customWidth="1"/>
    <col min="5" max="5" width="8.28515625" bestFit="1" customWidth="1"/>
    <col min="7" max="7" width="16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>
        <v>4521</v>
      </c>
      <c r="C2" t="s">
        <v>5</v>
      </c>
      <c r="D2" t="s">
        <v>6</v>
      </c>
      <c r="E2">
        <v>713</v>
      </c>
    </row>
    <row r="3" spans="1:5" x14ac:dyDescent="0.25">
      <c r="A3">
        <v>2</v>
      </c>
      <c r="B3">
        <v>4695</v>
      </c>
      <c r="C3" t="s">
        <v>7</v>
      </c>
      <c r="D3" t="s">
        <v>6</v>
      </c>
      <c r="E3">
        <v>693</v>
      </c>
    </row>
    <row r="4" spans="1:5" x14ac:dyDescent="0.25">
      <c r="A4">
        <v>3</v>
      </c>
      <c r="B4">
        <v>4276</v>
      </c>
      <c r="C4" t="s">
        <v>8</v>
      </c>
      <c r="D4" t="s">
        <v>6</v>
      </c>
      <c r="E4">
        <v>655</v>
      </c>
    </row>
    <row r="5" spans="1:5" x14ac:dyDescent="0.25">
      <c r="A5">
        <v>4</v>
      </c>
      <c r="B5">
        <v>4349</v>
      </c>
      <c r="C5" t="s">
        <v>9</v>
      </c>
      <c r="D5" t="s">
        <v>6</v>
      </c>
      <c r="E5">
        <v>639</v>
      </c>
    </row>
    <row r="6" spans="1:5" x14ac:dyDescent="0.25">
      <c r="A6">
        <v>5</v>
      </c>
      <c r="B6">
        <v>4348</v>
      </c>
      <c r="C6" t="s">
        <v>10</v>
      </c>
      <c r="D6" t="s">
        <v>11</v>
      </c>
      <c r="E6">
        <v>599</v>
      </c>
    </row>
    <row r="7" spans="1:5" x14ac:dyDescent="0.25">
      <c r="A7">
        <v>6</v>
      </c>
      <c r="B7">
        <v>4456</v>
      </c>
      <c r="C7" t="s">
        <v>16</v>
      </c>
      <c r="D7" t="s">
        <v>6</v>
      </c>
      <c r="E7">
        <v>558</v>
      </c>
    </row>
    <row r="8" spans="1:5" x14ac:dyDescent="0.25">
      <c r="A8">
        <v>7</v>
      </c>
      <c r="B8">
        <v>4654</v>
      </c>
      <c r="C8" t="s">
        <v>12</v>
      </c>
      <c r="D8" t="s">
        <v>13</v>
      </c>
      <c r="E8">
        <v>549</v>
      </c>
    </row>
    <row r="9" spans="1:5" x14ac:dyDescent="0.25">
      <c r="A9">
        <v>7</v>
      </c>
      <c r="B9">
        <v>4239</v>
      </c>
      <c r="C9" t="s">
        <v>14</v>
      </c>
      <c r="D9" t="s">
        <v>15</v>
      </c>
      <c r="E9">
        <v>549</v>
      </c>
    </row>
    <row r="10" spans="1:5" x14ac:dyDescent="0.25">
      <c r="A10">
        <v>9</v>
      </c>
      <c r="B10">
        <v>4384</v>
      </c>
      <c r="C10" t="s">
        <v>17</v>
      </c>
      <c r="D10" t="s">
        <v>18</v>
      </c>
      <c r="E10">
        <v>536</v>
      </c>
    </row>
    <row r="11" spans="1:5" x14ac:dyDescent="0.25">
      <c r="A11">
        <v>10</v>
      </c>
      <c r="B11">
        <v>4396</v>
      </c>
      <c r="C11" t="s">
        <v>19</v>
      </c>
      <c r="D11" t="s">
        <v>15</v>
      </c>
      <c r="E11">
        <v>505</v>
      </c>
    </row>
    <row r="12" spans="1:5" x14ac:dyDescent="0.25">
      <c r="A12">
        <v>11</v>
      </c>
      <c r="B12">
        <v>4722</v>
      </c>
      <c r="C12" t="s">
        <v>20</v>
      </c>
      <c r="D12" t="s">
        <v>21</v>
      </c>
      <c r="E12">
        <v>495</v>
      </c>
    </row>
    <row r="13" spans="1:5" x14ac:dyDescent="0.25">
      <c r="A13">
        <v>12</v>
      </c>
      <c r="B13">
        <v>4251</v>
      </c>
      <c r="C13" t="s">
        <v>22</v>
      </c>
      <c r="D13" t="s">
        <v>23</v>
      </c>
      <c r="E13">
        <v>483</v>
      </c>
    </row>
    <row r="14" spans="1:5" x14ac:dyDescent="0.25">
      <c r="A14">
        <v>13</v>
      </c>
      <c r="B14">
        <v>4439</v>
      </c>
      <c r="C14" t="s">
        <v>24</v>
      </c>
      <c r="D14" t="s">
        <v>11</v>
      </c>
      <c r="E14">
        <v>482</v>
      </c>
    </row>
    <row r="15" spans="1:5" x14ac:dyDescent="0.25">
      <c r="A15">
        <v>14</v>
      </c>
      <c r="B15">
        <v>4519</v>
      </c>
      <c r="C15" t="s">
        <v>25</v>
      </c>
      <c r="D15" t="s">
        <v>6</v>
      </c>
      <c r="E15">
        <v>479</v>
      </c>
    </row>
    <row r="16" spans="1:5" x14ac:dyDescent="0.25">
      <c r="A16">
        <v>15</v>
      </c>
      <c r="B16">
        <v>4438</v>
      </c>
      <c r="C16" t="s">
        <v>26</v>
      </c>
      <c r="D16" t="s">
        <v>11</v>
      </c>
      <c r="E16">
        <v>475</v>
      </c>
    </row>
    <row r="17" spans="1:5" x14ac:dyDescent="0.25">
      <c r="A17">
        <v>16</v>
      </c>
      <c r="B17">
        <v>4609</v>
      </c>
      <c r="C17" t="s">
        <v>27</v>
      </c>
      <c r="D17" t="s">
        <v>28</v>
      </c>
      <c r="E17">
        <v>470</v>
      </c>
    </row>
    <row r="18" spans="1:5" x14ac:dyDescent="0.25">
      <c r="A18">
        <v>17</v>
      </c>
      <c r="B18">
        <v>4531</v>
      </c>
      <c r="C18" t="s">
        <v>29</v>
      </c>
      <c r="D18" t="s">
        <v>30</v>
      </c>
      <c r="E18">
        <v>463</v>
      </c>
    </row>
    <row r="19" spans="1:5" x14ac:dyDescent="0.25">
      <c r="A19">
        <v>18</v>
      </c>
      <c r="B19">
        <v>4350</v>
      </c>
      <c r="C19" t="s">
        <v>31</v>
      </c>
      <c r="D19" t="s">
        <v>32</v>
      </c>
      <c r="E19">
        <v>454</v>
      </c>
    </row>
    <row r="20" spans="1:5" x14ac:dyDescent="0.25">
      <c r="A20">
        <v>19</v>
      </c>
      <c r="B20">
        <v>4697</v>
      </c>
      <c r="C20" t="s">
        <v>33</v>
      </c>
      <c r="D20" t="s">
        <v>6</v>
      </c>
      <c r="E20">
        <v>449</v>
      </c>
    </row>
    <row r="21" spans="1:5" x14ac:dyDescent="0.25">
      <c r="A21">
        <v>20</v>
      </c>
      <c r="B21">
        <v>4866</v>
      </c>
      <c r="C21" t="s">
        <v>34</v>
      </c>
      <c r="D21" t="s">
        <v>13</v>
      </c>
      <c r="E21">
        <v>447</v>
      </c>
    </row>
    <row r="22" spans="1:5" x14ac:dyDescent="0.25">
      <c r="A22">
        <v>20</v>
      </c>
      <c r="B22">
        <v>4877</v>
      </c>
      <c r="C22" t="s">
        <v>35</v>
      </c>
      <c r="D22" t="s">
        <v>36</v>
      </c>
      <c r="E22">
        <v>447</v>
      </c>
    </row>
    <row r="23" spans="1:5" x14ac:dyDescent="0.25">
      <c r="A23">
        <v>22</v>
      </c>
      <c r="B23">
        <v>4724</v>
      </c>
      <c r="C23" t="s">
        <v>37</v>
      </c>
      <c r="D23" t="s">
        <v>38</v>
      </c>
      <c r="E23">
        <v>446</v>
      </c>
    </row>
    <row r="24" spans="1:5" x14ac:dyDescent="0.25">
      <c r="A24">
        <v>23</v>
      </c>
      <c r="B24">
        <v>4786</v>
      </c>
      <c r="C24" t="s">
        <v>39</v>
      </c>
      <c r="D24" t="s">
        <v>32</v>
      </c>
      <c r="E24">
        <v>442</v>
      </c>
    </row>
    <row r="25" spans="1:5" x14ac:dyDescent="0.25">
      <c r="A25">
        <v>23</v>
      </c>
      <c r="B25">
        <v>4818</v>
      </c>
      <c r="C25" t="s">
        <v>40</v>
      </c>
      <c r="D25" t="s">
        <v>41</v>
      </c>
      <c r="E25">
        <v>442</v>
      </c>
    </row>
    <row r="26" spans="1:5" x14ac:dyDescent="0.25">
      <c r="A26">
        <v>25</v>
      </c>
      <c r="B26">
        <v>4190</v>
      </c>
      <c r="C26" t="s">
        <v>42</v>
      </c>
      <c r="D26" t="s">
        <v>38</v>
      </c>
      <c r="E26">
        <v>440</v>
      </c>
    </row>
    <row r="27" spans="1:5" x14ac:dyDescent="0.25">
      <c r="A27">
        <v>26</v>
      </c>
      <c r="B27">
        <v>4732</v>
      </c>
      <c r="C27" t="s">
        <v>43</v>
      </c>
      <c r="D27" t="s">
        <v>41</v>
      </c>
      <c r="E27">
        <v>431</v>
      </c>
    </row>
    <row r="28" spans="1:5" x14ac:dyDescent="0.25">
      <c r="A28">
        <v>27</v>
      </c>
      <c r="B28">
        <v>4100</v>
      </c>
      <c r="C28" t="s">
        <v>44</v>
      </c>
      <c r="D28" t="s">
        <v>6</v>
      </c>
      <c r="E28">
        <v>420</v>
      </c>
    </row>
    <row r="29" spans="1:5" x14ac:dyDescent="0.25">
      <c r="A29">
        <v>27</v>
      </c>
      <c r="B29">
        <v>4176</v>
      </c>
      <c r="C29" t="s">
        <v>45</v>
      </c>
      <c r="D29" t="s">
        <v>6</v>
      </c>
      <c r="E29">
        <v>420</v>
      </c>
    </row>
    <row r="30" spans="1:5" x14ac:dyDescent="0.25">
      <c r="A30">
        <v>27</v>
      </c>
      <c r="B30">
        <v>4101</v>
      </c>
      <c r="C30" t="s">
        <v>46</v>
      </c>
      <c r="D30" t="s">
        <v>6</v>
      </c>
      <c r="E30">
        <v>420</v>
      </c>
    </row>
    <row r="31" spans="1:5" x14ac:dyDescent="0.25">
      <c r="A31">
        <v>27</v>
      </c>
      <c r="B31">
        <v>4104</v>
      </c>
      <c r="C31" t="s">
        <v>47</v>
      </c>
      <c r="D31" t="s">
        <v>48</v>
      </c>
      <c r="E31">
        <v>420</v>
      </c>
    </row>
    <row r="32" spans="1:5" x14ac:dyDescent="0.25">
      <c r="A32">
        <v>27</v>
      </c>
      <c r="B32">
        <v>4212</v>
      </c>
      <c r="C32" t="s">
        <v>49</v>
      </c>
      <c r="D32" t="s">
        <v>32</v>
      </c>
      <c r="E32">
        <v>420</v>
      </c>
    </row>
    <row r="33" spans="1:5" x14ac:dyDescent="0.25">
      <c r="A33">
        <v>27</v>
      </c>
      <c r="B33">
        <v>4275</v>
      </c>
      <c r="C33" t="s">
        <v>50</v>
      </c>
      <c r="D33" t="s">
        <v>6</v>
      </c>
      <c r="E33">
        <v>420</v>
      </c>
    </row>
    <row r="34" spans="1:5" x14ac:dyDescent="0.25">
      <c r="A34">
        <v>27</v>
      </c>
      <c r="B34">
        <v>4278</v>
      </c>
      <c r="C34" t="s">
        <v>51</v>
      </c>
      <c r="D34" t="s">
        <v>36</v>
      </c>
      <c r="E34">
        <v>420</v>
      </c>
    </row>
    <row r="35" spans="1:5" x14ac:dyDescent="0.25">
      <c r="A35">
        <v>27</v>
      </c>
      <c r="B35">
        <v>4164</v>
      </c>
      <c r="C35" t="s">
        <v>52</v>
      </c>
      <c r="D35" t="s">
        <v>32</v>
      </c>
      <c r="E35">
        <v>420</v>
      </c>
    </row>
    <row r="36" spans="1:5" x14ac:dyDescent="0.25">
      <c r="A36">
        <v>27</v>
      </c>
      <c r="B36">
        <v>4515</v>
      </c>
      <c r="C36" t="s">
        <v>53</v>
      </c>
      <c r="D36" t="s">
        <v>21</v>
      </c>
      <c r="E36">
        <v>420</v>
      </c>
    </row>
    <row r="37" spans="1:5" x14ac:dyDescent="0.25">
      <c r="A37">
        <v>27</v>
      </c>
      <c r="B37">
        <v>4457</v>
      </c>
      <c r="C37" t="s">
        <v>54</v>
      </c>
      <c r="D37" t="s">
        <v>6</v>
      </c>
      <c r="E37">
        <v>420</v>
      </c>
    </row>
    <row r="38" spans="1:5" x14ac:dyDescent="0.25">
      <c r="A38">
        <v>27</v>
      </c>
      <c r="B38">
        <v>4589</v>
      </c>
      <c r="C38" t="s">
        <v>55</v>
      </c>
      <c r="D38" t="s">
        <v>36</v>
      </c>
      <c r="E38">
        <v>420</v>
      </c>
    </row>
    <row r="39" spans="1:5" x14ac:dyDescent="0.25">
      <c r="A39">
        <v>27</v>
      </c>
      <c r="B39">
        <v>4440</v>
      </c>
      <c r="C39" t="s">
        <v>56</v>
      </c>
      <c r="D39" t="s">
        <v>41</v>
      </c>
      <c r="E39">
        <v>420</v>
      </c>
    </row>
    <row r="40" spans="1:5" x14ac:dyDescent="0.25">
      <c r="A40">
        <v>27</v>
      </c>
      <c r="B40">
        <v>4323</v>
      </c>
      <c r="C40" t="s">
        <v>57</v>
      </c>
      <c r="D40" t="s">
        <v>58</v>
      </c>
      <c r="E40">
        <v>420</v>
      </c>
    </row>
    <row r="41" spans="1:5" x14ac:dyDescent="0.25">
      <c r="A41">
        <v>27</v>
      </c>
      <c r="B41">
        <v>4042</v>
      </c>
      <c r="C41" t="s">
        <v>59</v>
      </c>
      <c r="D41" t="s">
        <v>21</v>
      </c>
      <c r="E41">
        <v>420</v>
      </c>
    </row>
    <row r="42" spans="1:5" x14ac:dyDescent="0.25">
      <c r="A42">
        <v>27</v>
      </c>
      <c r="B42">
        <v>4174</v>
      </c>
      <c r="C42" t="s">
        <v>60</v>
      </c>
      <c r="D42" t="s">
        <v>6</v>
      </c>
      <c r="E42">
        <v>420</v>
      </c>
    </row>
    <row r="43" spans="1:5" x14ac:dyDescent="0.25">
      <c r="A43">
        <v>27</v>
      </c>
      <c r="B43">
        <v>4173</v>
      </c>
      <c r="C43" t="s">
        <v>61</v>
      </c>
      <c r="D43" t="s">
        <v>6</v>
      </c>
      <c r="E43">
        <v>420</v>
      </c>
    </row>
    <row r="44" spans="1:5" x14ac:dyDescent="0.25">
      <c r="A44">
        <v>27</v>
      </c>
      <c r="B44">
        <v>4165</v>
      </c>
      <c r="C44" t="s">
        <v>62</v>
      </c>
      <c r="D44" t="s">
        <v>18</v>
      </c>
      <c r="E44">
        <v>420</v>
      </c>
    </row>
    <row r="45" spans="1:5" x14ac:dyDescent="0.25">
      <c r="A45">
        <v>27</v>
      </c>
      <c r="B45">
        <v>4105</v>
      </c>
      <c r="C45" t="s">
        <v>63</v>
      </c>
      <c r="D45" t="s">
        <v>38</v>
      </c>
      <c r="E45">
        <v>420</v>
      </c>
    </row>
    <row r="46" spans="1:5" x14ac:dyDescent="0.25">
      <c r="A46">
        <v>27</v>
      </c>
      <c r="B46">
        <v>3906</v>
      </c>
      <c r="C46" t="s">
        <v>64</v>
      </c>
      <c r="D46" t="s">
        <v>65</v>
      </c>
      <c r="E46">
        <v>420</v>
      </c>
    </row>
    <row r="47" spans="1:5" x14ac:dyDescent="0.25">
      <c r="A47">
        <v>27</v>
      </c>
      <c r="B47">
        <v>3908</v>
      </c>
      <c r="C47" t="s">
        <v>66</v>
      </c>
      <c r="D47" t="s">
        <v>67</v>
      </c>
      <c r="E47">
        <v>420</v>
      </c>
    </row>
    <row r="48" spans="1:5" x14ac:dyDescent="0.25">
      <c r="A48">
        <v>27</v>
      </c>
      <c r="B48">
        <v>4009</v>
      </c>
      <c r="C48" t="s">
        <v>68</v>
      </c>
      <c r="D48" t="s">
        <v>48</v>
      </c>
      <c r="E48">
        <v>420</v>
      </c>
    </row>
    <row r="49" spans="1:5" x14ac:dyDescent="0.25">
      <c r="A49">
        <v>27</v>
      </c>
      <c r="B49">
        <v>4277</v>
      </c>
      <c r="C49" t="s">
        <v>69</v>
      </c>
      <c r="D49" t="s">
        <v>6</v>
      </c>
      <c r="E49">
        <v>420</v>
      </c>
    </row>
    <row r="50" spans="1:5" x14ac:dyDescent="0.25">
      <c r="A50">
        <v>27</v>
      </c>
      <c r="B50">
        <v>4043</v>
      </c>
      <c r="C50" t="s">
        <v>70</v>
      </c>
      <c r="D50" t="s">
        <v>21</v>
      </c>
      <c r="E50">
        <v>420</v>
      </c>
    </row>
    <row r="51" spans="1:5" x14ac:dyDescent="0.25">
      <c r="A51">
        <v>27</v>
      </c>
      <c r="B51">
        <v>4445</v>
      </c>
      <c r="C51" t="s">
        <v>71</v>
      </c>
      <c r="D51" t="s">
        <v>72</v>
      </c>
      <c r="E51">
        <v>420</v>
      </c>
    </row>
    <row r="52" spans="1:5" x14ac:dyDescent="0.25">
      <c r="A52">
        <v>27</v>
      </c>
      <c r="B52">
        <v>4098</v>
      </c>
      <c r="C52" t="s">
        <v>73</v>
      </c>
      <c r="D52" t="s">
        <v>21</v>
      </c>
      <c r="E52">
        <v>420</v>
      </c>
    </row>
    <row r="53" spans="1:5" x14ac:dyDescent="0.25">
      <c r="A53">
        <v>27</v>
      </c>
      <c r="B53">
        <v>4010</v>
      </c>
      <c r="C53" t="s">
        <v>74</v>
      </c>
      <c r="D53" t="s">
        <v>38</v>
      </c>
      <c r="E53">
        <v>420</v>
      </c>
    </row>
    <row r="54" spans="1:5" x14ac:dyDescent="0.25">
      <c r="A54">
        <v>27</v>
      </c>
      <c r="B54">
        <v>4735</v>
      </c>
      <c r="C54" t="s">
        <v>75</v>
      </c>
      <c r="D54" t="s">
        <v>41</v>
      </c>
      <c r="E54">
        <v>420</v>
      </c>
    </row>
    <row r="55" spans="1:5" x14ac:dyDescent="0.25">
      <c r="A55">
        <v>27</v>
      </c>
      <c r="B55">
        <v>4461</v>
      </c>
      <c r="C55" t="s">
        <v>76</v>
      </c>
      <c r="D55" t="s">
        <v>6</v>
      </c>
      <c r="E55">
        <v>420</v>
      </c>
    </row>
    <row r="56" spans="1:5" x14ac:dyDescent="0.25">
      <c r="A56">
        <v>27</v>
      </c>
      <c r="B56">
        <v>4472</v>
      </c>
      <c r="C56" t="s">
        <v>77</v>
      </c>
      <c r="D56" t="s">
        <v>21</v>
      </c>
      <c r="E56">
        <v>420</v>
      </c>
    </row>
    <row r="57" spans="1:5" x14ac:dyDescent="0.25">
      <c r="A57">
        <v>27</v>
      </c>
      <c r="B57">
        <v>4516</v>
      </c>
      <c r="C57" t="s">
        <v>78</v>
      </c>
      <c r="D57" t="s">
        <v>21</v>
      </c>
      <c r="E57">
        <v>420</v>
      </c>
    </row>
    <row r="58" spans="1:5" x14ac:dyDescent="0.25">
      <c r="A58">
        <v>27</v>
      </c>
      <c r="B58">
        <v>4302</v>
      </c>
      <c r="C58" t="s">
        <v>79</v>
      </c>
      <c r="D58" t="s">
        <v>58</v>
      </c>
      <c r="E58">
        <v>420</v>
      </c>
    </row>
    <row r="59" spans="1:5" x14ac:dyDescent="0.25">
      <c r="A59">
        <v>27</v>
      </c>
      <c r="B59">
        <v>4376</v>
      </c>
      <c r="C59" t="s">
        <v>80</v>
      </c>
      <c r="D59" t="s">
        <v>48</v>
      </c>
      <c r="E59">
        <v>420</v>
      </c>
    </row>
    <row r="60" spans="1:5" x14ac:dyDescent="0.25">
      <c r="A60">
        <v>27</v>
      </c>
      <c r="B60">
        <v>4733</v>
      </c>
      <c r="C60" t="s">
        <v>81</v>
      </c>
      <c r="D60" t="s">
        <v>41</v>
      </c>
      <c r="E60">
        <v>420</v>
      </c>
    </row>
    <row r="61" spans="1:5" x14ac:dyDescent="0.25">
      <c r="A61">
        <v>27</v>
      </c>
      <c r="B61">
        <v>4696</v>
      </c>
      <c r="C61" t="s">
        <v>82</v>
      </c>
      <c r="D61" t="s">
        <v>6</v>
      </c>
      <c r="E61">
        <v>420</v>
      </c>
    </row>
    <row r="62" spans="1:5" x14ac:dyDescent="0.25">
      <c r="A62">
        <v>27</v>
      </c>
      <c r="B62">
        <v>4604</v>
      </c>
      <c r="C62" t="s">
        <v>83</v>
      </c>
      <c r="D62" t="s">
        <v>48</v>
      </c>
      <c r="E62">
        <v>420</v>
      </c>
    </row>
    <row r="63" spans="1:5" x14ac:dyDescent="0.25">
      <c r="A63">
        <v>27</v>
      </c>
      <c r="B63">
        <v>4603</v>
      </c>
      <c r="C63" t="s">
        <v>84</v>
      </c>
      <c r="D63" t="s">
        <v>48</v>
      </c>
      <c r="E63">
        <v>420</v>
      </c>
    </row>
    <row r="64" spans="1:5" x14ac:dyDescent="0.25">
      <c r="A64">
        <v>27</v>
      </c>
      <c r="B64">
        <v>4602</v>
      </c>
      <c r="C64" t="s">
        <v>85</v>
      </c>
      <c r="D64" t="s">
        <v>48</v>
      </c>
      <c r="E64">
        <v>420</v>
      </c>
    </row>
    <row r="65" spans="1:5" x14ac:dyDescent="0.25">
      <c r="A65">
        <v>27</v>
      </c>
      <c r="B65">
        <v>4737</v>
      </c>
      <c r="C65" t="s">
        <v>86</v>
      </c>
      <c r="D65" t="s">
        <v>15</v>
      </c>
      <c r="E65">
        <v>420</v>
      </c>
    </row>
    <row r="66" spans="1:5" x14ac:dyDescent="0.25">
      <c r="A66">
        <v>27</v>
      </c>
      <c r="B66">
        <v>4533</v>
      </c>
      <c r="C66" t="s">
        <v>87</v>
      </c>
      <c r="D66" t="s">
        <v>11</v>
      </c>
      <c r="E66">
        <v>420</v>
      </c>
    </row>
    <row r="67" spans="1:5" x14ac:dyDescent="0.25">
      <c r="A67">
        <v>27</v>
      </c>
      <c r="B67">
        <v>4544</v>
      </c>
      <c r="C67" t="s">
        <v>88</v>
      </c>
      <c r="D67" t="s">
        <v>89</v>
      </c>
      <c r="E67">
        <v>420</v>
      </c>
    </row>
    <row r="68" spans="1:5" x14ac:dyDescent="0.25">
      <c r="A68">
        <v>27</v>
      </c>
      <c r="B68">
        <v>4385</v>
      </c>
      <c r="C68" t="s">
        <v>90</v>
      </c>
      <c r="D68" t="s">
        <v>18</v>
      </c>
      <c r="E68">
        <v>420</v>
      </c>
    </row>
    <row r="69" spans="1:5" x14ac:dyDescent="0.25">
      <c r="A69">
        <v>27</v>
      </c>
      <c r="B69">
        <v>4171</v>
      </c>
      <c r="C69" t="s">
        <v>91</v>
      </c>
      <c r="D69" t="s">
        <v>67</v>
      </c>
      <c r="E69">
        <v>420</v>
      </c>
    </row>
    <row r="70" spans="1:5" x14ac:dyDescent="0.25">
      <c r="A70">
        <v>27</v>
      </c>
      <c r="B70">
        <v>4600</v>
      </c>
      <c r="C70" t="s">
        <v>92</v>
      </c>
      <c r="D70" t="s">
        <v>15</v>
      </c>
      <c r="E70">
        <v>420</v>
      </c>
    </row>
    <row r="71" spans="1:5" x14ac:dyDescent="0.25">
      <c r="A71">
        <v>27</v>
      </c>
      <c r="B71">
        <v>4694</v>
      </c>
      <c r="C71" t="s">
        <v>93</v>
      </c>
      <c r="D71" t="s">
        <v>6</v>
      </c>
      <c r="E71">
        <v>420</v>
      </c>
    </row>
    <row r="72" spans="1:5" x14ac:dyDescent="0.25">
      <c r="A72">
        <v>27</v>
      </c>
      <c r="B72">
        <v>4734</v>
      </c>
      <c r="C72" t="s">
        <v>94</v>
      </c>
      <c r="D72" t="s">
        <v>95</v>
      </c>
      <c r="E72">
        <v>420</v>
      </c>
    </row>
    <row r="73" spans="1:5" x14ac:dyDescent="0.25">
      <c r="A73">
        <v>27</v>
      </c>
      <c r="B73">
        <v>4698</v>
      </c>
      <c r="C73" t="s">
        <v>96</v>
      </c>
      <c r="D73" t="s">
        <v>6</v>
      </c>
      <c r="E73">
        <v>420</v>
      </c>
    </row>
    <row r="74" spans="1:5" x14ac:dyDescent="0.25">
      <c r="A74">
        <v>27</v>
      </c>
      <c r="B74">
        <v>4725</v>
      </c>
      <c r="C74" t="s">
        <v>97</v>
      </c>
      <c r="D74" t="s">
        <v>48</v>
      </c>
      <c r="E74">
        <v>420</v>
      </c>
    </row>
    <row r="75" spans="1:5" x14ac:dyDescent="0.25">
      <c r="A75">
        <v>27</v>
      </c>
      <c r="B75">
        <v>4731</v>
      </c>
      <c r="C75" t="s">
        <v>43</v>
      </c>
      <c r="D75" t="s">
        <v>98</v>
      </c>
      <c r="E75">
        <v>420</v>
      </c>
    </row>
    <row r="76" spans="1:5" x14ac:dyDescent="0.25">
      <c r="A76">
        <v>27</v>
      </c>
      <c r="B76">
        <v>4729</v>
      </c>
      <c r="C76" t="s">
        <v>43</v>
      </c>
      <c r="D76" t="s">
        <v>98</v>
      </c>
      <c r="E76">
        <v>420</v>
      </c>
    </row>
    <row r="77" spans="1:5" x14ac:dyDescent="0.25">
      <c r="A77">
        <v>27</v>
      </c>
      <c r="B77">
        <v>4730</v>
      </c>
      <c r="C77" t="s">
        <v>43</v>
      </c>
      <c r="D77" t="s">
        <v>98</v>
      </c>
      <c r="E77">
        <v>420</v>
      </c>
    </row>
    <row r="78" spans="1:5" x14ac:dyDescent="0.25">
      <c r="A78">
        <v>27</v>
      </c>
      <c r="B78">
        <v>4728</v>
      </c>
      <c r="C78" t="s">
        <v>43</v>
      </c>
      <c r="D78" t="s">
        <v>98</v>
      </c>
      <c r="E78">
        <v>420</v>
      </c>
    </row>
    <row r="79" spans="1:5" x14ac:dyDescent="0.25">
      <c r="A79">
        <v>27</v>
      </c>
      <c r="B79">
        <v>4798</v>
      </c>
      <c r="C79" t="s">
        <v>99</v>
      </c>
      <c r="D79" t="s">
        <v>30</v>
      </c>
      <c r="E79">
        <v>420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DBFF6-A43A-43A2-994E-543D694EDD87}">
  <sheetPr>
    <pageSetUpPr fitToPage="1"/>
  </sheetPr>
  <dimension ref="A4:Q35"/>
  <sheetViews>
    <sheetView zoomScale="115" zoomScaleNormal="115" workbookViewId="0">
      <selection activeCell="D9" sqref="D9"/>
    </sheetView>
  </sheetViews>
  <sheetFormatPr defaultColWidth="9.140625" defaultRowHeight="15" x14ac:dyDescent="0.25"/>
  <cols>
    <col min="1" max="1" width="4.42578125" style="1" bestFit="1" customWidth="1"/>
    <col min="2" max="2" width="11.42578125" style="1" bestFit="1" customWidth="1"/>
    <col min="3" max="3" width="7.85546875" style="2" bestFit="1" customWidth="1"/>
    <col min="4" max="4" width="35.85546875" style="1" bestFit="1" customWidth="1"/>
    <col min="5" max="5" width="13.140625" style="1" bestFit="1" customWidth="1"/>
    <col min="6" max="6" width="11" style="1" bestFit="1" customWidth="1"/>
    <col min="7" max="7" width="10.28515625" style="1" customWidth="1"/>
    <col min="8" max="8" width="0.140625" style="1" customWidth="1"/>
    <col min="9" max="9" width="10.7109375" style="1" hidden="1" customWidth="1"/>
    <col min="10" max="10" width="11.7109375" style="1" customWidth="1"/>
    <col min="11" max="11" width="11.42578125" style="1" customWidth="1"/>
    <col min="12" max="16384" width="9.140625" style="1"/>
  </cols>
  <sheetData>
    <row r="4" spans="1:17" ht="15" customHeight="1" thickBot="1" x14ac:dyDescent="0.4">
      <c r="D4" s="3"/>
    </row>
    <row r="5" spans="1:17" ht="15.75" customHeight="1" x14ac:dyDescent="0.35">
      <c r="D5" s="3"/>
      <c r="L5" s="273" t="s">
        <v>100</v>
      </c>
      <c r="M5" s="273"/>
    </row>
    <row r="6" spans="1:17" ht="26.25" customHeight="1" x14ac:dyDescent="0.25">
      <c r="L6" s="274"/>
      <c r="M6" s="274"/>
    </row>
    <row r="7" spans="1:17" ht="26.25" customHeight="1" x14ac:dyDescent="0.35">
      <c r="C7" s="4"/>
      <c r="D7" s="3"/>
      <c r="G7" s="3" t="s">
        <v>101</v>
      </c>
      <c r="H7" s="3"/>
      <c r="I7" s="3"/>
      <c r="J7" s="5">
        <f ca="1">TODAY()</f>
        <v>46313</v>
      </c>
      <c r="L7" s="274"/>
      <c r="M7" s="274"/>
    </row>
    <row r="8" spans="1:17" ht="26.25" customHeight="1" x14ac:dyDescent="0.35">
      <c r="C8" s="4"/>
      <c r="D8" s="3"/>
      <c r="L8" s="274"/>
      <c r="M8" s="274"/>
    </row>
    <row r="9" spans="1:17" s="6" customFormat="1" ht="21" customHeight="1" x14ac:dyDescent="0.25">
      <c r="B9" s="7" t="s">
        <v>102</v>
      </c>
      <c r="C9" s="8"/>
      <c r="D9" s="9" t="s">
        <v>158</v>
      </c>
      <c r="E9" s="7" t="s">
        <v>103</v>
      </c>
      <c r="F9" s="9">
        <v>1</v>
      </c>
      <c r="G9" s="7" t="s">
        <v>104</v>
      </c>
      <c r="H9" s="7"/>
      <c r="I9" s="7"/>
      <c r="J9" s="10"/>
      <c r="O9" s="275"/>
      <c r="P9" s="275"/>
      <c r="Q9" s="275"/>
    </row>
    <row r="10" spans="1:17" ht="21" customHeight="1" x14ac:dyDescent="0.25">
      <c r="O10" s="275"/>
      <c r="P10" s="275"/>
      <c r="Q10" s="275"/>
    </row>
    <row r="11" spans="1:17" ht="21" customHeight="1" thickBot="1" x14ac:dyDescent="0.3">
      <c r="B11" s="11" t="s">
        <v>105</v>
      </c>
      <c r="C11" s="12" t="s">
        <v>106</v>
      </c>
      <c r="D11" s="11" t="s">
        <v>107</v>
      </c>
      <c r="E11" s="11" t="s">
        <v>108</v>
      </c>
      <c r="F11" s="11" t="s">
        <v>0</v>
      </c>
      <c r="G11" s="11" t="s">
        <v>109</v>
      </c>
      <c r="H11" s="11"/>
      <c r="I11" s="11"/>
      <c r="J11" s="13"/>
    </row>
    <row r="12" spans="1:17" ht="21" customHeight="1" thickBot="1" x14ac:dyDescent="0.3">
      <c r="A12" s="1">
        <f>F9+0.1</f>
        <v>1.1000000000000001</v>
      </c>
      <c r="B12" s="14">
        <v>1</v>
      </c>
      <c r="C12" s="15">
        <v>4521</v>
      </c>
      <c r="D12" s="16" t="s">
        <v>5</v>
      </c>
      <c r="E12" s="17" t="s">
        <v>6</v>
      </c>
      <c r="F12" s="18">
        <v>698</v>
      </c>
      <c r="G12" s="19">
        <v>1</v>
      </c>
      <c r="H12" s="20"/>
      <c r="I12" s="20"/>
      <c r="J12" s="1" t="str">
        <f>IF(ISBLANK(J11)," ",(E18+F18+G18+E20+F20+G20+H18+I18+H20+I20)/(E19+F19+G19+E21+F21+G21+H19+I19+H21+I21))</f>
        <v xml:space="preserve"> </v>
      </c>
    </row>
    <row r="13" spans="1:17" ht="21" customHeight="1" thickBot="1" x14ac:dyDescent="0.3">
      <c r="A13" s="1">
        <f>F9+0.2</f>
        <v>1.2</v>
      </c>
      <c r="B13" s="14">
        <v>2</v>
      </c>
      <c r="C13" s="21">
        <v>4396</v>
      </c>
      <c r="D13" s="22" t="s">
        <v>19</v>
      </c>
      <c r="E13" s="23" t="s">
        <v>15</v>
      </c>
      <c r="F13" s="24">
        <v>513</v>
      </c>
      <c r="G13" s="25">
        <v>10</v>
      </c>
      <c r="H13" s="20"/>
      <c r="I13" s="20"/>
      <c r="J13" s="1" t="str">
        <f>IF(ISBLANK(J11)," ",(E21+F21+G21+E22+F22+G22+H21+I21+H22+I22)/(E20+F20+G20+E23+F23+G23+H20+I20+H23+I23))</f>
        <v xml:space="preserve"> </v>
      </c>
    </row>
    <row r="14" spans="1:17" ht="21" customHeight="1" thickBot="1" x14ac:dyDescent="0.3">
      <c r="A14" s="1">
        <f>+F9+0.3</f>
        <v>1.3</v>
      </c>
      <c r="B14" s="14">
        <v>3</v>
      </c>
      <c r="C14" s="26">
        <v>4439</v>
      </c>
      <c r="D14" s="27" t="s">
        <v>24</v>
      </c>
      <c r="E14" s="28" t="s">
        <v>11</v>
      </c>
      <c r="F14" s="29">
        <v>463</v>
      </c>
      <c r="G14" s="30">
        <v>17</v>
      </c>
      <c r="H14" s="20"/>
      <c r="I14" s="20"/>
      <c r="J14" s="1" t="str">
        <f>IF(ISBLANK(J11)," ",(E19+F19+G19+E23+F23+G23+H19+I19+H23+I23)/(E18+F18+G18+E22+F22+G22+H18+I18+H22+I22))</f>
        <v xml:space="preserve"> </v>
      </c>
    </row>
    <row r="15" spans="1:17" ht="21" customHeight="1" x14ac:dyDescent="0.25"/>
    <row r="16" spans="1:17" ht="21" customHeight="1" thickBot="1" x14ac:dyDescent="0.3"/>
    <row r="17" spans="2:10" s="31" customFormat="1" ht="21" customHeight="1" thickBot="1" x14ac:dyDescent="0.3">
      <c r="B17" s="32" t="s">
        <v>110</v>
      </c>
      <c r="C17" s="33"/>
      <c r="D17" s="32" t="s">
        <v>111</v>
      </c>
      <c r="E17" s="33" t="s">
        <v>112</v>
      </c>
      <c r="F17" s="32" t="s">
        <v>113</v>
      </c>
      <c r="G17" s="34" t="s">
        <v>114</v>
      </c>
      <c r="H17" s="35" t="s">
        <v>115</v>
      </c>
      <c r="I17" s="36" t="s">
        <v>116</v>
      </c>
      <c r="J17" s="32" t="s">
        <v>117</v>
      </c>
    </row>
    <row r="18" spans="2:10" s="37" customFormat="1" ht="21" customHeight="1" thickBot="1" x14ac:dyDescent="0.3">
      <c r="B18" s="276">
        <v>1</v>
      </c>
      <c r="C18" s="12">
        <v>1</v>
      </c>
      <c r="D18" s="39" t="str">
        <f>D12</f>
        <v>DANIELA MICÓ CHAVES</v>
      </c>
      <c r="E18" s="12">
        <v>7</v>
      </c>
      <c r="F18" s="38">
        <v>11</v>
      </c>
      <c r="G18" s="40">
        <v>11</v>
      </c>
      <c r="H18" s="41"/>
      <c r="I18" s="42"/>
      <c r="J18" s="266">
        <v>1</v>
      </c>
    </row>
    <row r="19" spans="2:10" s="37" customFormat="1" ht="21" customHeight="1" thickBot="1" x14ac:dyDescent="0.3">
      <c r="B19" s="267"/>
      <c r="C19" s="44">
        <v>3</v>
      </c>
      <c r="D19" s="45" t="str">
        <f>D14</f>
        <v>KRYSTEL NATASHA BARQUERO RIBEIRO</v>
      </c>
      <c r="E19" s="46">
        <v>11</v>
      </c>
      <c r="F19" s="47">
        <v>7</v>
      </c>
      <c r="G19" s="47">
        <v>3</v>
      </c>
      <c r="H19" s="41"/>
      <c r="I19" s="42"/>
      <c r="J19" s="267"/>
    </row>
    <row r="20" spans="2:10" s="37" customFormat="1" ht="21" customHeight="1" thickBot="1" x14ac:dyDescent="0.3">
      <c r="B20" s="266">
        <v>2</v>
      </c>
      <c r="C20" s="12">
        <v>1</v>
      </c>
      <c r="D20" s="39" t="str">
        <f>D12</f>
        <v>DANIELA MICÓ CHAVES</v>
      </c>
      <c r="E20" s="12">
        <v>11</v>
      </c>
      <c r="F20" s="38">
        <v>11</v>
      </c>
      <c r="G20" s="38"/>
      <c r="H20" s="41"/>
      <c r="I20" s="42"/>
      <c r="J20" s="266">
        <v>1</v>
      </c>
    </row>
    <row r="21" spans="2:10" s="37" customFormat="1" ht="21" customHeight="1" thickBot="1" x14ac:dyDescent="0.3">
      <c r="B21" s="267"/>
      <c r="C21" s="44">
        <v>2</v>
      </c>
      <c r="D21" s="45" t="str">
        <f>D13</f>
        <v>MANUELA RUIZ PLAZA</v>
      </c>
      <c r="E21" s="46">
        <v>9</v>
      </c>
      <c r="F21" s="47">
        <v>7</v>
      </c>
      <c r="G21" s="47"/>
      <c r="H21" s="41"/>
      <c r="I21" s="42"/>
      <c r="J21" s="267"/>
    </row>
    <row r="22" spans="2:10" s="37" customFormat="1" ht="21" customHeight="1" thickBot="1" x14ac:dyDescent="0.3">
      <c r="B22" s="266">
        <v>3</v>
      </c>
      <c r="C22" s="44">
        <v>2</v>
      </c>
      <c r="D22" s="45" t="str">
        <f>D13</f>
        <v>MANUELA RUIZ PLAZA</v>
      </c>
      <c r="E22" s="46">
        <v>11</v>
      </c>
      <c r="F22" s="47">
        <v>9</v>
      </c>
      <c r="G22" s="47">
        <v>4</v>
      </c>
      <c r="H22" s="41"/>
      <c r="I22" s="42"/>
      <c r="J22" s="266">
        <v>3</v>
      </c>
    </row>
    <row r="23" spans="2:10" s="37" customFormat="1" ht="21" customHeight="1" thickBot="1" x14ac:dyDescent="0.3">
      <c r="B23" s="267"/>
      <c r="C23" s="48">
        <v>3</v>
      </c>
      <c r="D23" s="49" t="str">
        <f>D14</f>
        <v>KRYSTEL NATASHA BARQUERO RIBEIRO</v>
      </c>
      <c r="E23" s="48">
        <v>8</v>
      </c>
      <c r="F23" s="43">
        <v>11</v>
      </c>
      <c r="G23" s="43">
        <v>11</v>
      </c>
      <c r="H23" s="50"/>
      <c r="I23" s="51"/>
      <c r="J23" s="267"/>
    </row>
    <row r="24" spans="2:10" ht="6" customHeight="1" x14ac:dyDescent="0.25">
      <c r="B24" s="268"/>
      <c r="C24" s="52"/>
      <c r="D24" s="53"/>
      <c r="E24" s="53"/>
      <c r="F24" s="53"/>
      <c r="G24" s="53"/>
      <c r="H24" s="53"/>
      <c r="I24" s="53"/>
      <c r="J24" s="53"/>
    </row>
    <row r="25" spans="2:10" ht="6" customHeight="1" x14ac:dyDescent="0.25">
      <c r="B25" s="269"/>
      <c r="E25" s="53"/>
      <c r="F25" s="53"/>
      <c r="G25" s="53"/>
      <c r="H25" s="53"/>
      <c r="I25" s="53"/>
      <c r="J25" s="53"/>
    </row>
    <row r="26" spans="2:10" s="2" customFormat="1" ht="6" customHeight="1" x14ac:dyDescent="0.25">
      <c r="B26" s="269"/>
      <c r="E26" s="52"/>
      <c r="F26" s="52"/>
      <c r="G26" s="52"/>
      <c r="H26" s="52"/>
      <c r="I26" s="52"/>
      <c r="J26" s="52"/>
    </row>
    <row r="27" spans="2:10" ht="6" customHeight="1" x14ac:dyDescent="0.25">
      <c r="B27" s="269"/>
      <c r="E27" s="53"/>
      <c r="F27" s="53"/>
    </row>
    <row r="28" spans="2:10" ht="6" customHeight="1" x14ac:dyDescent="0.25">
      <c r="B28" s="270"/>
      <c r="E28" s="53"/>
      <c r="F28" s="53"/>
    </row>
    <row r="29" spans="2:10" ht="6" customHeight="1" x14ac:dyDescent="0.25">
      <c r="B29" s="270"/>
    </row>
    <row r="30" spans="2:10" ht="6" customHeight="1" x14ac:dyDescent="0.25"/>
    <row r="31" spans="2:10" ht="6" customHeight="1" thickBot="1" x14ac:dyDescent="0.3"/>
    <row r="32" spans="2:10" s="37" customFormat="1" ht="18" customHeight="1" thickBot="1" x14ac:dyDescent="0.3">
      <c r="C32" s="271" t="s">
        <v>118</v>
      </c>
      <c r="D32" s="272"/>
      <c r="F32" s="257" t="s">
        <v>119</v>
      </c>
      <c r="G32" s="258"/>
      <c r="H32" s="258"/>
      <c r="I32" s="258"/>
      <c r="J32" s="259"/>
    </row>
    <row r="33" spans="3:10" s="37" customFormat="1" ht="18" customHeight="1" thickBot="1" x14ac:dyDescent="0.3">
      <c r="C33" s="54" t="s">
        <v>120</v>
      </c>
      <c r="D33" s="54" t="s">
        <v>121</v>
      </c>
      <c r="F33" s="257" t="s">
        <v>122</v>
      </c>
      <c r="G33" s="258"/>
      <c r="H33" s="258"/>
      <c r="I33" s="258"/>
      <c r="J33" s="259"/>
    </row>
    <row r="34" spans="3:10" ht="25.5" customHeight="1" thickBot="1" x14ac:dyDescent="0.3">
      <c r="C34" s="55">
        <v>4521</v>
      </c>
      <c r="D34" s="56" t="s">
        <v>5</v>
      </c>
      <c r="F34" s="57" t="s">
        <v>123</v>
      </c>
      <c r="G34" s="260"/>
      <c r="H34" s="261"/>
      <c r="I34" s="261"/>
      <c r="J34" s="262"/>
    </row>
    <row r="35" spans="3:10" ht="25.5" customHeight="1" thickBot="1" x14ac:dyDescent="0.3">
      <c r="C35" s="55">
        <v>4439</v>
      </c>
      <c r="D35" s="56" t="s">
        <v>24</v>
      </c>
      <c r="F35" s="263" t="s">
        <v>124</v>
      </c>
      <c r="G35" s="264"/>
      <c r="H35" s="264"/>
      <c r="I35" s="265"/>
      <c r="J35" s="58"/>
    </row>
  </sheetData>
  <mergeCells count="16">
    <mergeCell ref="L5:M8"/>
    <mergeCell ref="O9:Q10"/>
    <mergeCell ref="B18:B19"/>
    <mergeCell ref="J18:J19"/>
    <mergeCell ref="B20:B21"/>
    <mergeCell ref="J20:J21"/>
    <mergeCell ref="F33:J33"/>
    <mergeCell ref="G34:J34"/>
    <mergeCell ref="F35:I35"/>
    <mergeCell ref="B22:B23"/>
    <mergeCell ref="J22:J23"/>
    <mergeCell ref="B24:B25"/>
    <mergeCell ref="B26:B27"/>
    <mergeCell ref="B28:B29"/>
    <mergeCell ref="C32:D32"/>
    <mergeCell ref="F32:J32"/>
  </mergeCells>
  <pageMargins left="0.7" right="0.7" top="0.75" bottom="0.75" header="0.3" footer="0.3"/>
  <pageSetup scale="86" orientation="portrait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93C39-A9EA-4C93-8C9B-3336A4543E26}">
  <sheetPr>
    <pageSetUpPr fitToPage="1"/>
  </sheetPr>
  <dimension ref="A4:M35"/>
  <sheetViews>
    <sheetView topLeftCell="A14" zoomScale="115" zoomScaleNormal="115" workbookViewId="0">
      <selection activeCell="L90" sqref="L90"/>
    </sheetView>
  </sheetViews>
  <sheetFormatPr defaultColWidth="9.140625" defaultRowHeight="15" x14ac:dyDescent="0.25"/>
  <cols>
    <col min="1" max="1" width="4.42578125" style="1" bestFit="1" customWidth="1"/>
    <col min="2" max="2" width="11.42578125" style="1" bestFit="1" customWidth="1"/>
    <col min="3" max="3" width="7.85546875" style="2" bestFit="1" customWidth="1"/>
    <col min="4" max="4" width="33" style="1" bestFit="1" customWidth="1"/>
    <col min="5" max="5" width="14.28515625" style="1" bestFit="1" customWidth="1"/>
    <col min="6" max="6" width="10.42578125" style="1" bestFit="1" customWidth="1"/>
    <col min="7" max="7" width="10.28515625" style="1" bestFit="1" customWidth="1"/>
    <col min="8" max="8" width="0.140625" style="1" customWidth="1"/>
    <col min="9" max="9" width="10.7109375" style="1" hidden="1" customWidth="1"/>
    <col min="10" max="10" width="11.7109375" style="1" customWidth="1"/>
    <col min="11" max="11" width="11.42578125" style="1" customWidth="1"/>
    <col min="12" max="16384" width="9.140625" style="1"/>
  </cols>
  <sheetData>
    <row r="4" spans="1:13" ht="15" customHeight="1" thickBot="1" x14ac:dyDescent="0.4">
      <c r="D4" s="3"/>
    </row>
    <row r="5" spans="1:13" ht="15.75" customHeight="1" x14ac:dyDescent="0.35">
      <c r="D5" s="3"/>
      <c r="L5" s="273" t="s">
        <v>100</v>
      </c>
      <c r="M5" s="273"/>
    </row>
    <row r="6" spans="1:13" ht="26.25" customHeight="1" x14ac:dyDescent="0.25">
      <c r="L6" s="274"/>
      <c r="M6" s="274"/>
    </row>
    <row r="7" spans="1:13" ht="26.25" customHeight="1" x14ac:dyDescent="0.35">
      <c r="C7" s="4"/>
      <c r="D7" s="3"/>
      <c r="G7" s="3" t="s">
        <v>101</v>
      </c>
      <c r="H7" s="3"/>
      <c r="I7" s="3"/>
      <c r="J7" s="5">
        <f ca="1">TODAY()</f>
        <v>46313</v>
      </c>
      <c r="L7" s="274"/>
      <c r="M7" s="274"/>
    </row>
    <row r="8" spans="1:13" ht="26.25" customHeight="1" x14ac:dyDescent="0.35">
      <c r="C8" s="4"/>
      <c r="D8" s="3"/>
      <c r="L8" s="274"/>
      <c r="M8" s="274"/>
    </row>
    <row r="9" spans="1:13" s="6" customFormat="1" ht="21" customHeight="1" x14ac:dyDescent="0.25">
      <c r="B9" s="7" t="s">
        <v>102</v>
      </c>
      <c r="C9" s="8"/>
      <c r="D9" s="9" t="s">
        <v>158</v>
      </c>
      <c r="E9" s="7" t="s">
        <v>103</v>
      </c>
      <c r="F9" s="9">
        <v>2</v>
      </c>
      <c r="G9" s="7" t="s">
        <v>104</v>
      </c>
      <c r="H9" s="7"/>
      <c r="I9" s="7"/>
      <c r="J9" s="10"/>
    </row>
    <row r="10" spans="1:13" ht="21" customHeight="1" x14ac:dyDescent="0.25"/>
    <row r="11" spans="1:13" ht="21" customHeight="1" thickBot="1" x14ac:dyDescent="0.3">
      <c r="B11" s="11" t="s">
        <v>105</v>
      </c>
      <c r="C11" s="12" t="s">
        <v>106</v>
      </c>
      <c r="D11" s="11" t="s">
        <v>107</v>
      </c>
      <c r="E11" s="11" t="s">
        <v>108</v>
      </c>
      <c r="F11" s="11" t="s">
        <v>0</v>
      </c>
      <c r="G11" s="11" t="s">
        <v>109</v>
      </c>
      <c r="H11" s="11"/>
      <c r="I11" s="11"/>
      <c r="J11" s="13"/>
    </row>
    <row r="12" spans="1:13" ht="21" customHeight="1" thickBot="1" x14ac:dyDescent="0.3">
      <c r="A12" s="1">
        <f>F9+0.1</f>
        <v>2.1</v>
      </c>
      <c r="B12" s="14">
        <v>1</v>
      </c>
      <c r="C12" s="15">
        <v>4695</v>
      </c>
      <c r="D12" s="16" t="s">
        <v>7</v>
      </c>
      <c r="E12" s="17" t="s">
        <v>6</v>
      </c>
      <c r="F12" s="18">
        <v>635</v>
      </c>
      <c r="G12" s="19">
        <v>2</v>
      </c>
      <c r="H12" s="20"/>
      <c r="I12" s="20"/>
      <c r="J12" s="1" t="str">
        <f>IF(ISBLANK(J11)," ",(E18+F18+G18+E20+F20+G20+H18+I18+H20+I20)/(E19+F19+G19+E21+F21+G21+H19+I19+H21+I21))</f>
        <v xml:space="preserve"> </v>
      </c>
    </row>
    <row r="13" spans="1:13" ht="21" customHeight="1" thickBot="1" x14ac:dyDescent="0.3">
      <c r="A13" s="1">
        <f>F9+0.2</f>
        <v>2.2000000000000002</v>
      </c>
      <c r="B13" s="14">
        <v>2</v>
      </c>
      <c r="C13" s="21">
        <v>4251</v>
      </c>
      <c r="D13" s="22" t="s">
        <v>22</v>
      </c>
      <c r="E13" s="23" t="s">
        <v>23</v>
      </c>
      <c r="F13" s="24">
        <v>482</v>
      </c>
      <c r="G13" s="25">
        <v>14</v>
      </c>
      <c r="H13" s="20"/>
      <c r="I13" s="20"/>
      <c r="J13" s="1" t="str">
        <f>IF(ISBLANK(J11)," ",(E21+F21+G21+E22+F22+G22+H21+I21+H22+I22)/(E20+F20+G20+E23+F23+G23+H20+I20+H23+I23))</f>
        <v xml:space="preserve"> </v>
      </c>
    </row>
    <row r="14" spans="1:13" ht="21" customHeight="1" thickBot="1" x14ac:dyDescent="0.3">
      <c r="A14" s="1">
        <f>+F9+0.3</f>
        <v>2.2999999999999998</v>
      </c>
      <c r="B14" s="14">
        <v>3</v>
      </c>
      <c r="C14" s="26">
        <v>4350</v>
      </c>
      <c r="D14" s="27" t="s">
        <v>31</v>
      </c>
      <c r="E14" s="28" t="s">
        <v>32</v>
      </c>
      <c r="F14" s="29">
        <v>462</v>
      </c>
      <c r="G14" s="30">
        <v>18</v>
      </c>
      <c r="H14" s="20"/>
      <c r="I14" s="20"/>
      <c r="J14" s="1" t="str">
        <f>IF(ISBLANK(J11)," ",(E19+F19+G19+E23+F23+G23+H19+I19+H23+I23)/(E18+F18+G18+E22+F22+G22+H18+I18+H22+I22))</f>
        <v xml:space="preserve"> </v>
      </c>
    </row>
    <row r="15" spans="1:13" ht="21" customHeight="1" x14ac:dyDescent="0.25"/>
    <row r="16" spans="1:13" ht="21" customHeight="1" thickBot="1" x14ac:dyDescent="0.3"/>
    <row r="17" spans="2:10" s="31" customFormat="1" ht="21" customHeight="1" thickBot="1" x14ac:dyDescent="0.3">
      <c r="B17" s="32" t="s">
        <v>110</v>
      </c>
      <c r="C17" s="33"/>
      <c r="D17" s="32" t="s">
        <v>111</v>
      </c>
      <c r="E17" s="33" t="s">
        <v>112</v>
      </c>
      <c r="F17" s="32" t="s">
        <v>113</v>
      </c>
      <c r="G17" s="34" t="s">
        <v>114</v>
      </c>
      <c r="H17" s="35" t="s">
        <v>115</v>
      </c>
      <c r="I17" s="36" t="s">
        <v>116</v>
      </c>
      <c r="J17" s="32" t="s">
        <v>117</v>
      </c>
    </row>
    <row r="18" spans="2:10" s="37" customFormat="1" ht="21" customHeight="1" thickBot="1" x14ac:dyDescent="0.3">
      <c r="B18" s="276">
        <v>1</v>
      </c>
      <c r="C18" s="12">
        <v>1</v>
      </c>
      <c r="D18" s="39" t="str">
        <f>D12</f>
        <v>AINHOA MARIA ZELEDON HERRERA</v>
      </c>
      <c r="E18" s="12">
        <v>11</v>
      </c>
      <c r="F18" s="38">
        <v>11</v>
      </c>
      <c r="G18" s="40"/>
      <c r="H18" s="41"/>
      <c r="I18" s="42"/>
      <c r="J18" s="266">
        <v>1</v>
      </c>
    </row>
    <row r="19" spans="2:10" s="37" customFormat="1" ht="21" customHeight="1" thickBot="1" x14ac:dyDescent="0.3">
      <c r="B19" s="267"/>
      <c r="C19" s="44">
        <v>3</v>
      </c>
      <c r="D19" s="45" t="str">
        <f>D14</f>
        <v>ABBY JIMENA ESTRADA GONZALEZ</v>
      </c>
      <c r="E19" s="46">
        <v>1</v>
      </c>
      <c r="F19" s="47">
        <v>1</v>
      </c>
      <c r="G19" s="47"/>
      <c r="H19" s="41"/>
      <c r="I19" s="42"/>
      <c r="J19" s="267"/>
    </row>
    <row r="20" spans="2:10" s="37" customFormat="1" ht="21" customHeight="1" thickBot="1" x14ac:dyDescent="0.3">
      <c r="B20" s="266">
        <v>2</v>
      </c>
      <c r="C20" s="12">
        <v>1</v>
      </c>
      <c r="D20" s="39" t="str">
        <f>D12</f>
        <v>AINHOA MARIA ZELEDON HERRERA</v>
      </c>
      <c r="E20" s="12">
        <v>11</v>
      </c>
      <c r="F20" s="38">
        <v>11</v>
      </c>
      <c r="G20" s="38"/>
      <c r="H20" s="41"/>
      <c r="I20" s="42"/>
      <c r="J20" s="266">
        <v>1</v>
      </c>
    </row>
    <row r="21" spans="2:10" s="37" customFormat="1" ht="21" customHeight="1" thickBot="1" x14ac:dyDescent="0.3">
      <c r="B21" s="267"/>
      <c r="C21" s="44">
        <v>2</v>
      </c>
      <c r="D21" s="45" t="str">
        <f>D13</f>
        <v>IRIANA MANJARRES MORA</v>
      </c>
      <c r="E21" s="46">
        <v>4</v>
      </c>
      <c r="F21" s="47">
        <v>4</v>
      </c>
      <c r="G21" s="47"/>
      <c r="H21" s="41"/>
      <c r="I21" s="42"/>
      <c r="J21" s="267"/>
    </row>
    <row r="22" spans="2:10" s="37" customFormat="1" ht="21" customHeight="1" thickBot="1" x14ac:dyDescent="0.3">
      <c r="B22" s="266">
        <v>3</v>
      </c>
      <c r="C22" s="44">
        <v>2</v>
      </c>
      <c r="D22" s="45" t="str">
        <f>D13</f>
        <v>IRIANA MANJARRES MORA</v>
      </c>
      <c r="E22" s="46">
        <v>11</v>
      </c>
      <c r="F22" s="47">
        <v>11</v>
      </c>
      <c r="G22" s="47"/>
      <c r="H22" s="41"/>
      <c r="I22" s="42"/>
      <c r="J22" s="266">
        <v>2</v>
      </c>
    </row>
    <row r="23" spans="2:10" s="37" customFormat="1" ht="21" customHeight="1" thickBot="1" x14ac:dyDescent="0.3">
      <c r="B23" s="267"/>
      <c r="C23" s="48">
        <v>3</v>
      </c>
      <c r="D23" s="49" t="str">
        <f>D14</f>
        <v>ABBY JIMENA ESTRADA GONZALEZ</v>
      </c>
      <c r="E23" s="48">
        <v>5</v>
      </c>
      <c r="F23" s="43">
        <v>5</v>
      </c>
      <c r="G23" s="43"/>
      <c r="H23" s="50"/>
      <c r="I23" s="51"/>
      <c r="J23" s="267"/>
    </row>
    <row r="24" spans="2:10" ht="6" customHeight="1" x14ac:dyDescent="0.25">
      <c r="B24" s="268"/>
      <c r="C24" s="52"/>
      <c r="D24" s="53"/>
      <c r="E24" s="53"/>
      <c r="F24" s="53"/>
      <c r="G24" s="53"/>
      <c r="H24" s="53"/>
      <c r="I24" s="53"/>
      <c r="J24" s="53"/>
    </row>
    <row r="25" spans="2:10" ht="6" customHeight="1" x14ac:dyDescent="0.25">
      <c r="B25" s="269"/>
      <c r="E25" s="53"/>
      <c r="F25" s="53"/>
      <c r="G25" s="53"/>
      <c r="H25" s="53"/>
      <c r="I25" s="53"/>
      <c r="J25" s="53"/>
    </row>
    <row r="26" spans="2:10" s="2" customFormat="1" ht="6" customHeight="1" x14ac:dyDescent="0.25">
      <c r="B26" s="269"/>
      <c r="E26" s="52"/>
      <c r="F26" s="52"/>
      <c r="G26" s="52"/>
      <c r="H26" s="52"/>
      <c r="I26" s="52"/>
      <c r="J26" s="52"/>
    </row>
    <row r="27" spans="2:10" ht="6" customHeight="1" x14ac:dyDescent="0.25">
      <c r="B27" s="269"/>
      <c r="E27" s="53"/>
      <c r="F27" s="53"/>
    </row>
    <row r="28" spans="2:10" ht="6" customHeight="1" x14ac:dyDescent="0.25">
      <c r="B28" s="270"/>
      <c r="E28" s="53"/>
      <c r="F28" s="53"/>
    </row>
    <row r="29" spans="2:10" ht="6" customHeight="1" x14ac:dyDescent="0.25">
      <c r="B29" s="270"/>
    </row>
    <row r="30" spans="2:10" ht="6" customHeight="1" x14ac:dyDescent="0.25"/>
    <row r="31" spans="2:10" ht="6" customHeight="1" thickBot="1" x14ac:dyDescent="0.3"/>
    <row r="32" spans="2:10" s="37" customFormat="1" ht="18" customHeight="1" thickBot="1" x14ac:dyDescent="0.3">
      <c r="C32" s="271" t="s">
        <v>118</v>
      </c>
      <c r="D32" s="272"/>
      <c r="F32" s="257" t="s">
        <v>119</v>
      </c>
      <c r="G32" s="258"/>
      <c r="H32" s="258"/>
      <c r="I32" s="258"/>
      <c r="J32" s="259"/>
    </row>
    <row r="33" spans="3:10" s="37" customFormat="1" ht="18" customHeight="1" thickBot="1" x14ac:dyDescent="0.3">
      <c r="C33" s="54" t="s">
        <v>120</v>
      </c>
      <c r="D33" s="54" t="s">
        <v>121</v>
      </c>
      <c r="F33" s="257" t="s">
        <v>122</v>
      </c>
      <c r="G33" s="258"/>
      <c r="H33" s="258"/>
      <c r="I33" s="258"/>
      <c r="J33" s="259"/>
    </row>
    <row r="34" spans="3:10" ht="25.5" customHeight="1" thickBot="1" x14ac:dyDescent="0.3">
      <c r="C34" s="55">
        <v>4695</v>
      </c>
      <c r="D34" s="56" t="s">
        <v>7</v>
      </c>
      <c r="F34" s="57" t="s">
        <v>123</v>
      </c>
      <c r="G34" s="260"/>
      <c r="H34" s="261"/>
      <c r="I34" s="261"/>
      <c r="J34" s="262"/>
    </row>
    <row r="35" spans="3:10" ht="25.5" customHeight="1" thickBot="1" x14ac:dyDescent="0.3">
      <c r="C35" s="55">
        <v>4251</v>
      </c>
      <c r="D35" s="56" t="s">
        <v>22</v>
      </c>
      <c r="F35" s="263" t="s">
        <v>124</v>
      </c>
      <c r="G35" s="264"/>
      <c r="H35" s="264"/>
      <c r="I35" s="265"/>
      <c r="J35" s="58"/>
    </row>
  </sheetData>
  <mergeCells count="15">
    <mergeCell ref="B22:B23"/>
    <mergeCell ref="J22:J23"/>
    <mergeCell ref="L5:M8"/>
    <mergeCell ref="B18:B19"/>
    <mergeCell ref="J18:J19"/>
    <mergeCell ref="B20:B21"/>
    <mergeCell ref="J20:J21"/>
    <mergeCell ref="G34:J34"/>
    <mergeCell ref="F35:I35"/>
    <mergeCell ref="B24:B25"/>
    <mergeCell ref="B26:B27"/>
    <mergeCell ref="B28:B29"/>
    <mergeCell ref="C32:D32"/>
    <mergeCell ref="F32:J32"/>
    <mergeCell ref="F33:J33"/>
  </mergeCells>
  <pageMargins left="0.7" right="0.7" top="0.75" bottom="0.75" header="0.3" footer="0.3"/>
  <pageSetup scale="87" orientation="portrait" horizontalDpi="360" verticalDpi="36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F92A7-67FF-4226-9D3F-0C887DB12A6D}">
  <sheetPr>
    <pageSetUpPr fitToPage="1"/>
  </sheetPr>
  <dimension ref="A4:M35"/>
  <sheetViews>
    <sheetView topLeftCell="A18" zoomScale="115" zoomScaleNormal="115" workbookViewId="0">
      <selection activeCell="L90" sqref="L90"/>
    </sheetView>
  </sheetViews>
  <sheetFormatPr defaultColWidth="9.140625" defaultRowHeight="15" x14ac:dyDescent="0.25"/>
  <cols>
    <col min="1" max="1" width="4.42578125" style="1" bestFit="1" customWidth="1"/>
    <col min="2" max="2" width="11.42578125" style="1" bestFit="1" customWidth="1"/>
    <col min="3" max="3" width="7.85546875" style="2" bestFit="1" customWidth="1"/>
    <col min="4" max="4" width="37.28515625" style="1" bestFit="1" customWidth="1"/>
    <col min="5" max="5" width="26.28515625" style="1" bestFit="1" customWidth="1"/>
    <col min="6" max="6" width="10.42578125" style="1" bestFit="1" customWidth="1"/>
    <col min="7" max="7" width="10.28515625" style="1" bestFit="1" customWidth="1"/>
    <col min="8" max="8" width="0.140625" style="1" customWidth="1"/>
    <col min="9" max="9" width="10.7109375" style="1" hidden="1" customWidth="1"/>
    <col min="10" max="10" width="11.7109375" style="1" customWidth="1"/>
    <col min="11" max="11" width="11.42578125" style="1" customWidth="1"/>
    <col min="12" max="16384" width="9.140625" style="1"/>
  </cols>
  <sheetData>
    <row r="4" spans="1:13" ht="15" customHeight="1" thickBot="1" x14ac:dyDescent="0.4">
      <c r="D4" s="3"/>
    </row>
    <row r="5" spans="1:13" ht="15.75" customHeight="1" x14ac:dyDescent="0.35">
      <c r="D5" s="3"/>
      <c r="L5" s="273" t="s">
        <v>100</v>
      </c>
      <c r="M5" s="273"/>
    </row>
    <row r="6" spans="1:13" ht="26.25" customHeight="1" x14ac:dyDescent="0.25">
      <c r="L6" s="274"/>
      <c r="M6" s="274"/>
    </row>
    <row r="7" spans="1:13" ht="26.25" customHeight="1" x14ac:dyDescent="0.35">
      <c r="C7" s="4"/>
      <c r="D7" s="3"/>
      <c r="G7" s="3" t="s">
        <v>101</v>
      </c>
      <c r="H7" s="3"/>
      <c r="I7" s="3"/>
      <c r="J7" s="5">
        <f ca="1">TODAY()</f>
        <v>46313</v>
      </c>
      <c r="L7" s="274"/>
      <c r="M7" s="274"/>
    </row>
    <row r="8" spans="1:13" ht="26.25" customHeight="1" x14ac:dyDescent="0.35">
      <c r="C8" s="4"/>
      <c r="D8" s="3"/>
      <c r="L8" s="274"/>
      <c r="M8" s="274"/>
    </row>
    <row r="9" spans="1:13" s="6" customFormat="1" ht="21" customHeight="1" x14ac:dyDescent="0.25">
      <c r="B9" s="7" t="s">
        <v>102</v>
      </c>
      <c r="C9" s="8"/>
      <c r="D9" s="9" t="s">
        <v>158</v>
      </c>
      <c r="E9" s="7" t="s">
        <v>103</v>
      </c>
      <c r="F9" s="9">
        <v>3</v>
      </c>
      <c r="G9" s="7" t="s">
        <v>104</v>
      </c>
      <c r="H9" s="7"/>
      <c r="I9" s="7"/>
      <c r="J9" s="10"/>
    </row>
    <row r="10" spans="1:13" ht="21" customHeight="1" x14ac:dyDescent="0.25"/>
    <row r="11" spans="1:13" ht="21" customHeight="1" thickBot="1" x14ac:dyDescent="0.3">
      <c r="B11" s="11" t="s">
        <v>105</v>
      </c>
      <c r="C11" s="12" t="s">
        <v>106</v>
      </c>
      <c r="D11" s="11" t="s">
        <v>107</v>
      </c>
      <c r="E11" s="11" t="s">
        <v>108</v>
      </c>
      <c r="F11" s="11" t="s">
        <v>0</v>
      </c>
      <c r="G11" s="11" t="s">
        <v>109</v>
      </c>
      <c r="H11" s="11"/>
      <c r="I11" s="11"/>
      <c r="J11" s="13"/>
    </row>
    <row r="12" spans="1:13" ht="21" customHeight="1" thickBot="1" x14ac:dyDescent="0.3">
      <c r="A12" s="1">
        <f>F9+0.1</f>
        <v>3.1</v>
      </c>
      <c r="B12" s="14">
        <v>1</v>
      </c>
      <c r="C12" s="15">
        <v>4276</v>
      </c>
      <c r="D12" s="16" t="s">
        <v>8</v>
      </c>
      <c r="E12" s="17" t="s">
        <v>6</v>
      </c>
      <c r="F12" s="18">
        <v>615</v>
      </c>
      <c r="G12" s="19">
        <v>3</v>
      </c>
      <c r="H12" s="20"/>
      <c r="I12" s="20"/>
      <c r="J12" s="1" t="str">
        <f>IF(ISBLANK(J11)," ",(E18+F18+G18+E20+F20+G20+H18+I18+H20+I20)/(E19+F19+G19+E21+F21+G21+H19+I19+H21+I21))</f>
        <v xml:space="preserve"> </v>
      </c>
    </row>
    <row r="13" spans="1:13" ht="21" customHeight="1" thickBot="1" x14ac:dyDescent="0.3">
      <c r="A13" s="1">
        <f>F9+0.2</f>
        <v>3.2</v>
      </c>
      <c r="B13" s="14">
        <v>2</v>
      </c>
      <c r="C13" s="21">
        <v>4438</v>
      </c>
      <c r="D13" s="22" t="s">
        <v>26</v>
      </c>
      <c r="E13" s="23" t="s">
        <v>11</v>
      </c>
      <c r="F13" s="24">
        <v>483</v>
      </c>
      <c r="G13" s="25">
        <v>13</v>
      </c>
      <c r="H13" s="20"/>
      <c r="I13" s="20"/>
      <c r="J13" s="1" t="str">
        <f>IF(ISBLANK(J11)," ",(E21+F21+G21+E22+F22+G22+H21+I21+H22+I22)/(E20+F20+G20+E23+F23+G23+H20+I20+H23+I23))</f>
        <v xml:space="preserve"> </v>
      </c>
    </row>
    <row r="14" spans="1:13" ht="21" customHeight="1" thickBot="1" x14ac:dyDescent="0.3">
      <c r="A14" s="1">
        <f>+F9+0.3</f>
        <v>3.3</v>
      </c>
      <c r="B14" s="14">
        <v>3</v>
      </c>
      <c r="C14" s="26">
        <v>4531</v>
      </c>
      <c r="D14" s="27" t="s">
        <v>29</v>
      </c>
      <c r="E14" s="28" t="s">
        <v>30</v>
      </c>
      <c r="F14" s="29">
        <v>460</v>
      </c>
      <c r="G14" s="30">
        <v>21</v>
      </c>
      <c r="H14" s="20"/>
      <c r="I14" s="20"/>
      <c r="J14" s="1" t="str">
        <f>IF(ISBLANK(J11)," ",(E19+F19+G19+E23+F23+G23+H19+I19+H23+I23)/(E18+F18+G18+E22+F22+G22+H18+I18+H22+I22))</f>
        <v xml:space="preserve"> </v>
      </c>
    </row>
    <row r="15" spans="1:13" ht="21" customHeight="1" x14ac:dyDescent="0.25"/>
    <row r="16" spans="1:13" ht="21" customHeight="1" thickBot="1" x14ac:dyDescent="0.3"/>
    <row r="17" spans="2:10" s="31" customFormat="1" ht="21" customHeight="1" thickBot="1" x14ac:dyDescent="0.3">
      <c r="B17" s="32" t="s">
        <v>110</v>
      </c>
      <c r="C17" s="33"/>
      <c r="D17" s="32" t="s">
        <v>111</v>
      </c>
      <c r="E17" s="33" t="s">
        <v>112</v>
      </c>
      <c r="F17" s="32" t="s">
        <v>113</v>
      </c>
      <c r="G17" s="34" t="s">
        <v>114</v>
      </c>
      <c r="H17" s="35" t="s">
        <v>115</v>
      </c>
      <c r="I17" s="36" t="s">
        <v>116</v>
      </c>
      <c r="J17" s="32" t="s">
        <v>117</v>
      </c>
    </row>
    <row r="18" spans="2:10" s="37" customFormat="1" ht="21" customHeight="1" thickBot="1" x14ac:dyDescent="0.3">
      <c r="B18" s="276">
        <v>1</v>
      </c>
      <c r="C18" s="12">
        <v>1</v>
      </c>
      <c r="D18" s="39" t="str">
        <f>D12</f>
        <v>SILOÉ MUÑOZ CÓRDOBA</v>
      </c>
      <c r="E18" s="12">
        <v>11</v>
      </c>
      <c r="F18" s="38">
        <v>11</v>
      </c>
      <c r="G18" s="40"/>
      <c r="H18" s="41"/>
      <c r="I18" s="42"/>
      <c r="J18" s="266">
        <v>1</v>
      </c>
    </row>
    <row r="19" spans="2:10" s="37" customFormat="1" ht="21" customHeight="1" thickBot="1" x14ac:dyDescent="0.3">
      <c r="B19" s="267"/>
      <c r="C19" s="44">
        <v>3</v>
      </c>
      <c r="D19" s="45" t="str">
        <f>D14</f>
        <v>MAYLEN GRACIELA CALCERÓN FERNÁNDEZ</v>
      </c>
      <c r="E19" s="46">
        <v>6</v>
      </c>
      <c r="F19" s="47">
        <v>5</v>
      </c>
      <c r="G19" s="47"/>
      <c r="H19" s="41"/>
      <c r="I19" s="42"/>
      <c r="J19" s="267"/>
    </row>
    <row r="20" spans="2:10" s="37" customFormat="1" ht="21" customHeight="1" thickBot="1" x14ac:dyDescent="0.3">
      <c r="B20" s="266">
        <v>2</v>
      </c>
      <c r="C20" s="12">
        <v>1</v>
      </c>
      <c r="D20" s="39" t="str">
        <f>D12</f>
        <v>SILOÉ MUÑOZ CÓRDOBA</v>
      </c>
      <c r="E20" s="12">
        <v>11</v>
      </c>
      <c r="F20" s="38">
        <v>11</v>
      </c>
      <c r="G20" s="38"/>
      <c r="H20" s="41"/>
      <c r="I20" s="42"/>
      <c r="J20" s="266">
        <v>1</v>
      </c>
    </row>
    <row r="21" spans="2:10" s="37" customFormat="1" ht="21" customHeight="1" thickBot="1" x14ac:dyDescent="0.3">
      <c r="B21" s="267"/>
      <c r="C21" s="44">
        <v>2</v>
      </c>
      <c r="D21" s="45" t="str">
        <f>D13</f>
        <v>GÉNESIS AMIRA GUZMÁN HERNÁNDEZ</v>
      </c>
      <c r="E21" s="46">
        <v>5</v>
      </c>
      <c r="F21" s="47">
        <v>7</v>
      </c>
      <c r="G21" s="47"/>
      <c r="H21" s="41"/>
      <c r="I21" s="42"/>
      <c r="J21" s="267"/>
    </row>
    <row r="22" spans="2:10" s="37" customFormat="1" ht="21" customHeight="1" thickBot="1" x14ac:dyDescent="0.3">
      <c r="B22" s="266">
        <v>3</v>
      </c>
      <c r="C22" s="44">
        <v>2</v>
      </c>
      <c r="D22" s="45" t="str">
        <f>D13</f>
        <v>GÉNESIS AMIRA GUZMÁN HERNÁNDEZ</v>
      </c>
      <c r="E22" s="46">
        <v>14</v>
      </c>
      <c r="F22" s="47">
        <v>8</v>
      </c>
      <c r="G22" s="47"/>
      <c r="H22" s="41"/>
      <c r="I22" s="42"/>
      <c r="J22" s="266">
        <v>3</v>
      </c>
    </row>
    <row r="23" spans="2:10" s="37" customFormat="1" ht="21" customHeight="1" thickBot="1" x14ac:dyDescent="0.3">
      <c r="B23" s="267"/>
      <c r="C23" s="48">
        <v>3</v>
      </c>
      <c r="D23" s="49" t="str">
        <f>D14</f>
        <v>MAYLEN GRACIELA CALCERÓN FERNÁNDEZ</v>
      </c>
      <c r="E23" s="48">
        <v>16</v>
      </c>
      <c r="F23" s="43">
        <v>11</v>
      </c>
      <c r="G23" s="43"/>
      <c r="H23" s="50"/>
      <c r="I23" s="51"/>
      <c r="J23" s="267"/>
    </row>
    <row r="24" spans="2:10" ht="6" customHeight="1" x14ac:dyDescent="0.25">
      <c r="B24" s="268"/>
      <c r="C24" s="52"/>
      <c r="D24" s="53"/>
      <c r="E24" s="53"/>
      <c r="F24" s="53"/>
      <c r="G24" s="53"/>
      <c r="H24" s="53"/>
      <c r="I24" s="53"/>
      <c r="J24" s="53"/>
    </row>
    <row r="25" spans="2:10" ht="6" customHeight="1" x14ac:dyDescent="0.25">
      <c r="B25" s="269"/>
      <c r="E25" s="53"/>
      <c r="F25" s="53"/>
      <c r="G25" s="53"/>
      <c r="H25" s="53"/>
      <c r="I25" s="53"/>
      <c r="J25" s="53"/>
    </row>
    <row r="26" spans="2:10" s="2" customFormat="1" ht="6" customHeight="1" x14ac:dyDescent="0.25">
      <c r="B26" s="269"/>
      <c r="E26" s="52"/>
      <c r="F26" s="52"/>
      <c r="G26" s="52"/>
      <c r="H26" s="52"/>
      <c r="I26" s="52"/>
      <c r="J26" s="52"/>
    </row>
    <row r="27" spans="2:10" ht="6" customHeight="1" x14ac:dyDescent="0.25">
      <c r="B27" s="269"/>
      <c r="E27" s="53"/>
      <c r="F27" s="53"/>
    </row>
    <row r="28" spans="2:10" ht="6" customHeight="1" x14ac:dyDescent="0.25">
      <c r="B28" s="270"/>
      <c r="E28" s="53"/>
      <c r="F28" s="53"/>
    </row>
    <row r="29" spans="2:10" ht="6" customHeight="1" x14ac:dyDescent="0.25">
      <c r="B29" s="270"/>
    </row>
    <row r="30" spans="2:10" ht="6" customHeight="1" x14ac:dyDescent="0.25"/>
    <row r="31" spans="2:10" ht="6" customHeight="1" thickBot="1" x14ac:dyDescent="0.3"/>
    <row r="32" spans="2:10" s="37" customFormat="1" ht="18" customHeight="1" thickBot="1" x14ac:dyDescent="0.3">
      <c r="C32" s="271" t="s">
        <v>118</v>
      </c>
      <c r="D32" s="272"/>
      <c r="F32" s="257" t="s">
        <v>119</v>
      </c>
      <c r="G32" s="258"/>
      <c r="H32" s="258"/>
      <c r="I32" s="258"/>
      <c r="J32" s="259"/>
    </row>
    <row r="33" spans="3:10" s="37" customFormat="1" ht="18" customHeight="1" thickBot="1" x14ac:dyDescent="0.3">
      <c r="C33" s="54" t="s">
        <v>120</v>
      </c>
      <c r="D33" s="54" t="s">
        <v>121</v>
      </c>
      <c r="F33" s="257" t="s">
        <v>122</v>
      </c>
      <c r="G33" s="258"/>
      <c r="H33" s="258"/>
      <c r="I33" s="258"/>
      <c r="J33" s="259"/>
    </row>
    <row r="34" spans="3:10" ht="25.5" customHeight="1" thickBot="1" x14ac:dyDescent="0.3">
      <c r="C34" s="55">
        <v>4276</v>
      </c>
      <c r="D34" s="56" t="s">
        <v>8</v>
      </c>
      <c r="F34" s="57" t="s">
        <v>123</v>
      </c>
      <c r="G34" s="260"/>
      <c r="H34" s="261"/>
      <c r="I34" s="261"/>
      <c r="J34" s="262"/>
    </row>
    <row r="35" spans="3:10" ht="25.5" customHeight="1" thickBot="1" x14ac:dyDescent="0.3">
      <c r="C35" s="55">
        <v>4531</v>
      </c>
      <c r="D35" s="56" t="s">
        <v>29</v>
      </c>
      <c r="F35" s="263" t="s">
        <v>124</v>
      </c>
      <c r="G35" s="264"/>
      <c r="H35" s="264"/>
      <c r="I35" s="265"/>
      <c r="J35" s="58"/>
    </row>
  </sheetData>
  <mergeCells count="15">
    <mergeCell ref="B22:B23"/>
    <mergeCell ref="J22:J23"/>
    <mergeCell ref="L5:M8"/>
    <mergeCell ref="B18:B19"/>
    <mergeCell ref="J18:J19"/>
    <mergeCell ref="B20:B21"/>
    <mergeCell ref="J20:J21"/>
    <mergeCell ref="G34:J34"/>
    <mergeCell ref="F35:I35"/>
    <mergeCell ref="B24:B25"/>
    <mergeCell ref="B26:B27"/>
    <mergeCell ref="B28:B29"/>
    <mergeCell ref="C32:D32"/>
    <mergeCell ref="F32:J32"/>
    <mergeCell ref="F33:J33"/>
  </mergeCells>
  <pageMargins left="0.7" right="0.7" top="0.75" bottom="0.75" header="0.3" footer="0.3"/>
  <pageSetup scale="76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81F8A-F11E-43B6-AF37-35DC81A556DD}">
  <sheetPr>
    <pageSetUpPr fitToPage="1"/>
  </sheetPr>
  <dimension ref="A4:M35"/>
  <sheetViews>
    <sheetView topLeftCell="A20" zoomScale="115" zoomScaleNormal="115" workbookViewId="0">
      <selection activeCell="L90" sqref="L90"/>
    </sheetView>
  </sheetViews>
  <sheetFormatPr defaultColWidth="9.140625" defaultRowHeight="15" x14ac:dyDescent="0.25"/>
  <cols>
    <col min="1" max="1" width="4.42578125" style="1" bestFit="1" customWidth="1"/>
    <col min="2" max="2" width="11.42578125" style="1" bestFit="1" customWidth="1"/>
    <col min="3" max="3" width="7.85546875" style="2" bestFit="1" customWidth="1"/>
    <col min="4" max="4" width="34" style="1" bestFit="1" customWidth="1"/>
    <col min="5" max="5" width="12" style="1" bestFit="1" customWidth="1"/>
    <col min="6" max="6" width="10.42578125" style="1" bestFit="1" customWidth="1"/>
    <col min="7" max="7" width="10.28515625" style="1" bestFit="1" customWidth="1"/>
    <col min="8" max="8" width="0.140625" style="1" customWidth="1"/>
    <col min="9" max="9" width="10.7109375" style="1" hidden="1" customWidth="1"/>
    <col min="10" max="10" width="11.7109375" style="1" customWidth="1"/>
    <col min="11" max="11" width="11.42578125" style="1" customWidth="1"/>
    <col min="12" max="16384" width="9.140625" style="1"/>
  </cols>
  <sheetData>
    <row r="4" spans="1:13" ht="15" customHeight="1" thickBot="1" x14ac:dyDescent="0.4">
      <c r="D4" s="3"/>
    </row>
    <row r="5" spans="1:13" ht="15.75" customHeight="1" x14ac:dyDescent="0.35">
      <c r="D5" s="3"/>
      <c r="L5" s="273" t="s">
        <v>100</v>
      </c>
      <c r="M5" s="273"/>
    </row>
    <row r="6" spans="1:13" ht="26.25" customHeight="1" x14ac:dyDescent="0.25">
      <c r="L6" s="274"/>
      <c r="M6" s="274"/>
    </row>
    <row r="7" spans="1:13" ht="26.25" customHeight="1" x14ac:dyDescent="0.35">
      <c r="C7" s="4"/>
      <c r="D7" s="3"/>
      <c r="G7" s="3" t="s">
        <v>101</v>
      </c>
      <c r="H7" s="3"/>
      <c r="I7" s="3"/>
      <c r="J7" s="5">
        <f ca="1">TODAY()</f>
        <v>46313</v>
      </c>
      <c r="L7" s="274"/>
      <c r="M7" s="274"/>
    </row>
    <row r="8" spans="1:13" ht="26.25" customHeight="1" x14ac:dyDescent="0.35">
      <c r="C8" s="4"/>
      <c r="D8" s="3"/>
      <c r="L8" s="274"/>
      <c r="M8" s="274"/>
    </row>
    <row r="9" spans="1:13" s="6" customFormat="1" ht="21" customHeight="1" x14ac:dyDescent="0.25">
      <c r="B9" s="7" t="s">
        <v>102</v>
      </c>
      <c r="C9" s="8"/>
      <c r="D9" s="9" t="s">
        <v>158</v>
      </c>
      <c r="E9" s="7" t="s">
        <v>103</v>
      </c>
      <c r="F9" s="9">
        <v>4</v>
      </c>
      <c r="G9" s="7" t="s">
        <v>104</v>
      </c>
      <c r="H9" s="7"/>
      <c r="I9" s="7"/>
      <c r="J9" s="10"/>
    </row>
    <row r="10" spans="1:13" ht="21" customHeight="1" x14ac:dyDescent="0.25"/>
    <row r="11" spans="1:13" ht="21" customHeight="1" thickBot="1" x14ac:dyDescent="0.3">
      <c r="B11" s="11" t="s">
        <v>105</v>
      </c>
      <c r="C11" s="12" t="s">
        <v>106</v>
      </c>
      <c r="D11" s="11" t="s">
        <v>107</v>
      </c>
      <c r="E11" s="11" t="s">
        <v>108</v>
      </c>
      <c r="F11" s="11" t="s">
        <v>0</v>
      </c>
      <c r="G11" s="11" t="s">
        <v>109</v>
      </c>
      <c r="H11" s="11"/>
      <c r="I11" s="11"/>
      <c r="J11" s="13"/>
    </row>
    <row r="12" spans="1:13" ht="21" customHeight="1" thickBot="1" x14ac:dyDescent="0.3">
      <c r="A12" s="1">
        <f>F9+0.1</f>
        <v>4.0999999999999996</v>
      </c>
      <c r="B12" s="14">
        <v>1</v>
      </c>
      <c r="C12" s="15">
        <v>4349</v>
      </c>
      <c r="D12" s="16" t="s">
        <v>9</v>
      </c>
      <c r="E12" s="17" t="s">
        <v>6</v>
      </c>
      <c r="F12" s="18">
        <v>612</v>
      </c>
      <c r="G12" s="19">
        <v>4</v>
      </c>
      <c r="H12" s="20"/>
      <c r="I12" s="20"/>
      <c r="J12" s="1" t="str">
        <f>IF(ISBLANK(J11)," ",(E18+F18+G18+E20+F20+G20+H18+I18+H20+I20)/(E19+F19+G19+E21+F21+G21+H19+I19+H21+I21))</f>
        <v xml:space="preserve"> </v>
      </c>
    </row>
    <row r="13" spans="1:13" ht="21" customHeight="1" thickBot="1" x14ac:dyDescent="0.3">
      <c r="A13" s="1">
        <f>F9+0.2</f>
        <v>4.2</v>
      </c>
      <c r="B13" s="14">
        <v>2</v>
      </c>
      <c r="C13" s="21">
        <v>4722</v>
      </c>
      <c r="D13" s="22" t="s">
        <v>20</v>
      </c>
      <c r="E13" s="23" t="s">
        <v>21</v>
      </c>
      <c r="F13" s="24">
        <v>495</v>
      </c>
      <c r="G13" s="25">
        <v>11</v>
      </c>
      <c r="H13" s="20"/>
      <c r="I13" s="20"/>
      <c r="J13" s="1" t="str">
        <f>IF(ISBLANK(J11)," ",(E21+F21+G21+E22+F22+G22+H21+I21+H22+I22)/(E20+F20+G20+E23+F23+G23+H20+I20+H23+I23))</f>
        <v xml:space="preserve"> </v>
      </c>
    </row>
    <row r="14" spans="1:13" ht="21" customHeight="1" thickBot="1" x14ac:dyDescent="0.3">
      <c r="A14" s="1">
        <f>+F9+0.3</f>
        <v>4.3</v>
      </c>
      <c r="B14" s="14">
        <v>3</v>
      </c>
      <c r="C14" s="26">
        <v>4866</v>
      </c>
      <c r="D14" s="27" t="s">
        <v>34</v>
      </c>
      <c r="E14" s="28" t="s">
        <v>13</v>
      </c>
      <c r="F14" s="29">
        <v>455</v>
      </c>
      <c r="G14" s="30">
        <v>25</v>
      </c>
      <c r="H14" s="20"/>
      <c r="I14" s="20"/>
      <c r="J14" s="1" t="str">
        <f>IF(ISBLANK(J11)," ",(E19+F19+G19+E23+F23+G23+H19+I19+H23+I23)/(E18+F18+G18+E22+F22+G22+H18+I18+H22+I22))</f>
        <v xml:space="preserve"> </v>
      </c>
    </row>
    <row r="15" spans="1:13" ht="21" customHeight="1" x14ac:dyDescent="0.25"/>
    <row r="16" spans="1:13" ht="21" customHeight="1" thickBot="1" x14ac:dyDescent="0.3"/>
    <row r="17" spans="2:10" s="31" customFormat="1" ht="21" customHeight="1" thickBot="1" x14ac:dyDescent="0.3">
      <c r="B17" s="32" t="s">
        <v>110</v>
      </c>
      <c r="C17" s="33"/>
      <c r="D17" s="32" t="s">
        <v>111</v>
      </c>
      <c r="E17" s="33" t="s">
        <v>112</v>
      </c>
      <c r="F17" s="32" t="s">
        <v>113</v>
      </c>
      <c r="G17" s="34" t="s">
        <v>114</v>
      </c>
      <c r="H17" s="35" t="s">
        <v>115</v>
      </c>
      <c r="I17" s="36" t="s">
        <v>116</v>
      </c>
      <c r="J17" s="32" t="s">
        <v>117</v>
      </c>
    </row>
    <row r="18" spans="2:10" s="37" customFormat="1" ht="21" customHeight="1" thickBot="1" x14ac:dyDescent="0.3">
      <c r="B18" s="276">
        <v>1</v>
      </c>
      <c r="C18" s="12">
        <v>1</v>
      </c>
      <c r="D18" s="39" t="str">
        <f>D12</f>
        <v>DILANY PORRAS MADRIGAL</v>
      </c>
      <c r="E18" s="12">
        <v>11</v>
      </c>
      <c r="F18" s="38">
        <v>11</v>
      </c>
      <c r="G18" s="40"/>
      <c r="H18" s="41"/>
      <c r="I18" s="42"/>
      <c r="J18" s="266">
        <v>1</v>
      </c>
    </row>
    <row r="19" spans="2:10" s="37" customFormat="1" ht="21" customHeight="1" thickBot="1" x14ac:dyDescent="0.3">
      <c r="B19" s="267"/>
      <c r="C19" s="44">
        <v>3</v>
      </c>
      <c r="D19" s="45" t="str">
        <f>D14</f>
        <v>FIORELLA MORALES VEGA</v>
      </c>
      <c r="E19" s="46">
        <v>4</v>
      </c>
      <c r="F19" s="47">
        <v>5</v>
      </c>
      <c r="G19" s="47"/>
      <c r="H19" s="41"/>
      <c r="I19" s="42"/>
      <c r="J19" s="267"/>
    </row>
    <row r="20" spans="2:10" s="37" customFormat="1" ht="21" customHeight="1" thickBot="1" x14ac:dyDescent="0.3">
      <c r="B20" s="266">
        <v>2</v>
      </c>
      <c r="C20" s="12">
        <v>1</v>
      </c>
      <c r="D20" s="39" t="str">
        <f>D12</f>
        <v>DILANY PORRAS MADRIGAL</v>
      </c>
      <c r="E20" s="12">
        <v>11</v>
      </c>
      <c r="F20" s="38">
        <v>11</v>
      </c>
      <c r="G20" s="38"/>
      <c r="H20" s="41"/>
      <c r="I20" s="42"/>
      <c r="J20" s="266">
        <v>1</v>
      </c>
    </row>
    <row r="21" spans="2:10" s="37" customFormat="1" ht="21" customHeight="1" thickBot="1" x14ac:dyDescent="0.3">
      <c r="B21" s="267"/>
      <c r="C21" s="44">
        <v>2</v>
      </c>
      <c r="D21" s="45" t="str">
        <f>D13</f>
        <v>EMILY CAMILLE LOPEZ ALVARADO</v>
      </c>
      <c r="E21" s="46">
        <v>4</v>
      </c>
      <c r="F21" s="47">
        <v>8</v>
      </c>
      <c r="G21" s="47"/>
      <c r="H21" s="41"/>
      <c r="I21" s="42"/>
      <c r="J21" s="267"/>
    </row>
    <row r="22" spans="2:10" s="37" customFormat="1" ht="21" customHeight="1" thickBot="1" x14ac:dyDescent="0.3">
      <c r="B22" s="266">
        <v>3</v>
      </c>
      <c r="C22" s="44">
        <v>2</v>
      </c>
      <c r="D22" s="45" t="str">
        <f>D13</f>
        <v>EMILY CAMILLE LOPEZ ALVARADO</v>
      </c>
      <c r="E22" s="46">
        <v>12</v>
      </c>
      <c r="F22" s="47">
        <v>5</v>
      </c>
      <c r="G22" s="47">
        <v>11</v>
      </c>
      <c r="H22" s="41"/>
      <c r="I22" s="42"/>
      <c r="J22" s="266">
        <v>2</v>
      </c>
    </row>
    <row r="23" spans="2:10" s="37" customFormat="1" ht="21" customHeight="1" thickBot="1" x14ac:dyDescent="0.3">
      <c r="B23" s="267"/>
      <c r="C23" s="48">
        <v>3</v>
      </c>
      <c r="D23" s="49" t="str">
        <f>D14</f>
        <v>FIORELLA MORALES VEGA</v>
      </c>
      <c r="E23" s="48">
        <v>110</v>
      </c>
      <c r="F23" s="43">
        <v>11</v>
      </c>
      <c r="G23" s="43">
        <v>7</v>
      </c>
      <c r="H23" s="50"/>
      <c r="I23" s="51"/>
      <c r="J23" s="267"/>
    </row>
    <row r="24" spans="2:10" ht="6" customHeight="1" x14ac:dyDescent="0.25">
      <c r="B24" s="268"/>
      <c r="C24" s="52"/>
      <c r="D24" s="53"/>
      <c r="E24" s="53"/>
      <c r="F24" s="53"/>
      <c r="G24" s="53"/>
      <c r="H24" s="53"/>
      <c r="I24" s="53"/>
      <c r="J24" s="53"/>
    </row>
    <row r="25" spans="2:10" ht="6" customHeight="1" x14ac:dyDescent="0.25">
      <c r="B25" s="269"/>
      <c r="E25" s="53"/>
      <c r="F25" s="53"/>
      <c r="G25" s="53"/>
      <c r="H25" s="53"/>
      <c r="I25" s="53"/>
      <c r="J25" s="53"/>
    </row>
    <row r="26" spans="2:10" s="2" customFormat="1" ht="6" customHeight="1" x14ac:dyDescent="0.25">
      <c r="B26" s="269"/>
      <c r="E26" s="52"/>
      <c r="F26" s="52"/>
      <c r="G26" s="52"/>
      <c r="H26" s="52"/>
      <c r="I26" s="52"/>
      <c r="J26" s="52"/>
    </row>
    <row r="27" spans="2:10" ht="6" customHeight="1" x14ac:dyDescent="0.25">
      <c r="B27" s="269"/>
      <c r="E27" s="53"/>
      <c r="F27" s="53"/>
    </row>
    <row r="28" spans="2:10" ht="6" customHeight="1" x14ac:dyDescent="0.25">
      <c r="B28" s="270"/>
      <c r="E28" s="53"/>
      <c r="F28" s="53"/>
    </row>
    <row r="29" spans="2:10" ht="6" customHeight="1" x14ac:dyDescent="0.25">
      <c r="B29" s="270"/>
    </row>
    <row r="30" spans="2:10" ht="6" customHeight="1" x14ac:dyDescent="0.25"/>
    <row r="31" spans="2:10" ht="6" customHeight="1" thickBot="1" x14ac:dyDescent="0.3"/>
    <row r="32" spans="2:10" s="37" customFormat="1" ht="18" customHeight="1" thickBot="1" x14ac:dyDescent="0.3">
      <c r="C32" s="271" t="s">
        <v>118</v>
      </c>
      <c r="D32" s="272"/>
      <c r="F32" s="257" t="s">
        <v>119</v>
      </c>
      <c r="G32" s="258"/>
      <c r="H32" s="258"/>
      <c r="I32" s="258"/>
      <c r="J32" s="259"/>
    </row>
    <row r="33" spans="3:10" s="37" customFormat="1" ht="18" customHeight="1" thickBot="1" x14ac:dyDescent="0.3">
      <c r="C33" s="54" t="s">
        <v>120</v>
      </c>
      <c r="D33" s="54" t="s">
        <v>121</v>
      </c>
      <c r="F33" s="257" t="s">
        <v>122</v>
      </c>
      <c r="G33" s="258"/>
      <c r="H33" s="258"/>
      <c r="I33" s="258"/>
      <c r="J33" s="259"/>
    </row>
    <row r="34" spans="3:10" ht="25.5" customHeight="1" thickBot="1" x14ac:dyDescent="0.3">
      <c r="C34" s="55">
        <v>4349</v>
      </c>
      <c r="D34" s="56" t="s">
        <v>9</v>
      </c>
      <c r="F34" s="57" t="s">
        <v>123</v>
      </c>
      <c r="G34" s="260"/>
      <c r="H34" s="261"/>
      <c r="I34" s="261"/>
      <c r="J34" s="262"/>
    </row>
    <row r="35" spans="3:10" ht="25.5" customHeight="1" thickBot="1" x14ac:dyDescent="0.3">
      <c r="C35" s="55">
        <v>4722</v>
      </c>
      <c r="D35" s="56" t="s">
        <v>20</v>
      </c>
      <c r="F35" s="263" t="s">
        <v>124</v>
      </c>
      <c r="G35" s="264"/>
      <c r="H35" s="264"/>
      <c r="I35" s="265"/>
      <c r="J35" s="58"/>
    </row>
  </sheetData>
  <mergeCells count="15">
    <mergeCell ref="B22:B23"/>
    <mergeCell ref="J22:J23"/>
    <mergeCell ref="L5:M8"/>
    <mergeCell ref="B18:B19"/>
    <mergeCell ref="J18:J19"/>
    <mergeCell ref="B20:B21"/>
    <mergeCell ref="J20:J21"/>
    <mergeCell ref="G34:J34"/>
    <mergeCell ref="F35:I35"/>
    <mergeCell ref="B24:B25"/>
    <mergeCell ref="B26:B27"/>
    <mergeCell ref="B28:B29"/>
    <mergeCell ref="C32:D32"/>
    <mergeCell ref="F32:J32"/>
    <mergeCell ref="F33:J33"/>
  </mergeCells>
  <pageMargins left="0.7" right="0.7" top="0.75" bottom="0.75" header="0.3" footer="0.3"/>
  <pageSetup scale="89" orientation="portrait" horizontalDpi="360" verticalDpi="36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88068-EF9E-4CAE-90FC-18CD74CEEDF5}">
  <sheetPr>
    <pageSetUpPr fitToPage="1"/>
  </sheetPr>
  <dimension ref="A4:M35"/>
  <sheetViews>
    <sheetView topLeftCell="A18" zoomScale="115" zoomScaleNormal="115" workbookViewId="0">
      <selection activeCell="L90" sqref="L90"/>
    </sheetView>
  </sheetViews>
  <sheetFormatPr defaultColWidth="9.140625" defaultRowHeight="15" x14ac:dyDescent="0.25"/>
  <cols>
    <col min="1" max="1" width="4.42578125" style="1" bestFit="1" customWidth="1"/>
    <col min="2" max="2" width="11.42578125" style="1" bestFit="1" customWidth="1"/>
    <col min="3" max="3" width="7.85546875" style="2" bestFit="1" customWidth="1"/>
    <col min="4" max="4" width="37.85546875" style="1" bestFit="1" customWidth="1"/>
    <col min="5" max="5" width="13.140625" style="1" bestFit="1" customWidth="1"/>
    <col min="6" max="6" width="11" style="1" bestFit="1" customWidth="1"/>
    <col min="7" max="7" width="10.85546875" style="1" bestFit="1" customWidth="1"/>
    <col min="8" max="8" width="0.140625" style="1" customWidth="1"/>
    <col min="9" max="9" width="10.7109375" style="1" hidden="1" customWidth="1"/>
    <col min="10" max="10" width="11.7109375" style="1" customWidth="1"/>
    <col min="11" max="11" width="11.42578125" style="1" customWidth="1"/>
    <col min="12" max="16384" width="9.140625" style="1"/>
  </cols>
  <sheetData>
    <row r="4" spans="1:13" ht="15" customHeight="1" thickBot="1" x14ac:dyDescent="0.4">
      <c r="D4" s="3"/>
    </row>
    <row r="5" spans="1:13" ht="15.75" customHeight="1" x14ac:dyDescent="0.35">
      <c r="D5" s="3"/>
      <c r="L5" s="273" t="s">
        <v>100</v>
      </c>
      <c r="M5" s="273"/>
    </row>
    <row r="6" spans="1:13" ht="26.25" customHeight="1" x14ac:dyDescent="0.25">
      <c r="L6" s="274"/>
      <c r="M6" s="274"/>
    </row>
    <row r="7" spans="1:13" ht="26.25" customHeight="1" x14ac:dyDescent="0.35">
      <c r="C7" s="4"/>
      <c r="D7" s="3"/>
      <c r="G7" s="3" t="s">
        <v>101</v>
      </c>
      <c r="H7" s="3"/>
      <c r="I7" s="3"/>
      <c r="J7" s="5">
        <f ca="1">TODAY()</f>
        <v>46313</v>
      </c>
      <c r="L7" s="274"/>
      <c r="M7" s="274"/>
    </row>
    <row r="8" spans="1:13" ht="26.25" customHeight="1" x14ac:dyDescent="0.35">
      <c r="C8" s="4"/>
      <c r="D8" s="3"/>
      <c r="L8" s="274"/>
      <c r="M8" s="274"/>
    </row>
    <row r="9" spans="1:13" s="6" customFormat="1" ht="21" customHeight="1" x14ac:dyDescent="0.25">
      <c r="B9" s="7" t="s">
        <v>102</v>
      </c>
      <c r="C9" s="8"/>
      <c r="D9" s="9" t="s">
        <v>158</v>
      </c>
      <c r="E9" s="7" t="s">
        <v>103</v>
      </c>
      <c r="F9" s="9">
        <v>5</v>
      </c>
      <c r="G9" s="7" t="s">
        <v>104</v>
      </c>
      <c r="H9" s="7"/>
      <c r="I9" s="7"/>
      <c r="J9" s="10"/>
    </row>
    <row r="10" spans="1:13" ht="21" customHeight="1" x14ac:dyDescent="0.25"/>
    <row r="11" spans="1:13" ht="21" customHeight="1" thickBot="1" x14ac:dyDescent="0.3">
      <c r="B11" s="11" t="s">
        <v>105</v>
      </c>
      <c r="C11" s="12" t="s">
        <v>106</v>
      </c>
      <c r="D11" s="11" t="s">
        <v>107</v>
      </c>
      <c r="E11" s="11" t="s">
        <v>108</v>
      </c>
      <c r="F11" s="11" t="s">
        <v>0</v>
      </c>
      <c r="G11" s="11" t="s">
        <v>109</v>
      </c>
      <c r="H11" s="11"/>
      <c r="I11" s="11"/>
      <c r="J11" s="13"/>
    </row>
    <row r="12" spans="1:13" ht="21" customHeight="1" thickBot="1" x14ac:dyDescent="0.3">
      <c r="A12" s="1">
        <f>F9+0.1</f>
        <v>5.0999999999999996</v>
      </c>
      <c r="B12" s="14">
        <v>1</v>
      </c>
      <c r="C12" s="15">
        <v>4348</v>
      </c>
      <c r="D12" s="16" t="s">
        <v>10</v>
      </c>
      <c r="E12" s="17" t="s">
        <v>11</v>
      </c>
      <c r="F12" s="18">
        <v>562</v>
      </c>
      <c r="G12" s="19">
        <v>5</v>
      </c>
      <c r="H12" s="20"/>
      <c r="I12" s="20"/>
      <c r="J12" s="1" t="str">
        <f>IF(ISBLANK(J11)," ",(E18+F18+G18+E20+F20+G20+H18+I18+H20+I20)/(E19+F19+G19+E21+F21+G21+H19+I19+H21+I21))</f>
        <v xml:space="preserve"> </v>
      </c>
    </row>
    <row r="13" spans="1:13" ht="21" customHeight="1" thickBot="1" x14ac:dyDescent="0.3">
      <c r="A13" s="1">
        <f>F9+0.2</f>
        <v>5.2</v>
      </c>
      <c r="B13" s="14">
        <v>2</v>
      </c>
      <c r="C13" s="21">
        <v>4519</v>
      </c>
      <c r="D13" s="22" t="s">
        <v>25</v>
      </c>
      <c r="E13" s="23" t="s">
        <v>6</v>
      </c>
      <c r="F13" s="24">
        <v>480</v>
      </c>
      <c r="G13" s="25">
        <v>15</v>
      </c>
      <c r="H13" s="20"/>
      <c r="I13" s="20"/>
      <c r="J13" s="1" t="str">
        <f>IF(ISBLANK(J11)," ",(E21+F21+G21+E22+F22+G22+H21+I21+H22+I22)/(E20+F20+G20+E23+F23+G23+H20+I20+H23+I23))</f>
        <v xml:space="preserve"> </v>
      </c>
    </row>
    <row r="14" spans="1:13" ht="21" customHeight="1" thickBot="1" x14ac:dyDescent="0.3">
      <c r="A14" s="1">
        <f>+F9+0.3</f>
        <v>5.3</v>
      </c>
      <c r="B14" s="14">
        <v>3</v>
      </c>
      <c r="C14" s="26">
        <v>4877</v>
      </c>
      <c r="D14" s="27" t="s">
        <v>35</v>
      </c>
      <c r="E14" s="28" t="s">
        <v>36</v>
      </c>
      <c r="F14" s="29">
        <v>455</v>
      </c>
      <c r="G14" s="30">
        <v>24</v>
      </c>
      <c r="H14" s="20"/>
      <c r="I14" s="20"/>
      <c r="J14" s="1" t="str">
        <f>IF(ISBLANK(J11)," ",(E19+F19+G19+E23+F23+G23+H19+I19+H23+I23)/(E18+F18+G18+E22+F22+G22+H18+I18+H22+I22))</f>
        <v xml:space="preserve"> </v>
      </c>
    </row>
    <row r="15" spans="1:13" ht="21" customHeight="1" x14ac:dyDescent="0.25"/>
    <row r="16" spans="1:13" ht="21" customHeight="1" thickBot="1" x14ac:dyDescent="0.3"/>
    <row r="17" spans="2:10" s="31" customFormat="1" ht="21" customHeight="1" thickBot="1" x14ac:dyDescent="0.3">
      <c r="B17" s="32" t="s">
        <v>110</v>
      </c>
      <c r="C17" s="33"/>
      <c r="D17" s="32" t="s">
        <v>111</v>
      </c>
      <c r="E17" s="33" t="s">
        <v>112</v>
      </c>
      <c r="F17" s="32" t="s">
        <v>113</v>
      </c>
      <c r="G17" s="34" t="s">
        <v>114</v>
      </c>
      <c r="H17" s="35" t="s">
        <v>115</v>
      </c>
      <c r="I17" s="36" t="s">
        <v>116</v>
      </c>
      <c r="J17" s="32" t="s">
        <v>117</v>
      </c>
    </row>
    <row r="18" spans="2:10" s="37" customFormat="1" ht="21" customHeight="1" thickBot="1" x14ac:dyDescent="0.3">
      <c r="B18" s="276">
        <v>1</v>
      </c>
      <c r="C18" s="12">
        <v>1</v>
      </c>
      <c r="D18" s="39" t="str">
        <f>D12</f>
        <v>AMANDA PEREZ CABEZAS</v>
      </c>
      <c r="E18" s="12">
        <v>11</v>
      </c>
      <c r="F18" s="38">
        <v>11</v>
      </c>
      <c r="G18" s="40"/>
      <c r="H18" s="41"/>
      <c r="I18" s="42"/>
      <c r="J18" s="266">
        <v>1</v>
      </c>
    </row>
    <row r="19" spans="2:10" s="37" customFormat="1" ht="21" customHeight="1" thickBot="1" x14ac:dyDescent="0.3">
      <c r="B19" s="267"/>
      <c r="C19" s="44">
        <v>3</v>
      </c>
      <c r="D19" s="45" t="str">
        <f>D14</f>
        <v>HANNA MADRIGAL OVIEDO</v>
      </c>
      <c r="E19" s="46">
        <v>2</v>
      </c>
      <c r="F19" s="47">
        <v>0</v>
      </c>
      <c r="G19" s="47"/>
      <c r="H19" s="41"/>
      <c r="I19" s="42"/>
      <c r="J19" s="267"/>
    </row>
    <row r="20" spans="2:10" s="37" customFormat="1" ht="21" customHeight="1" thickBot="1" x14ac:dyDescent="0.3">
      <c r="B20" s="266">
        <v>2</v>
      </c>
      <c r="C20" s="12">
        <v>1</v>
      </c>
      <c r="D20" s="39" t="str">
        <f>D12</f>
        <v>AMANDA PEREZ CABEZAS</v>
      </c>
      <c r="E20" s="12">
        <v>11</v>
      </c>
      <c r="F20" s="38">
        <v>11</v>
      </c>
      <c r="G20" s="38"/>
      <c r="H20" s="41"/>
      <c r="I20" s="42"/>
      <c r="J20" s="266">
        <v>1</v>
      </c>
    </row>
    <row r="21" spans="2:10" s="37" customFormat="1" ht="21" customHeight="1" thickBot="1" x14ac:dyDescent="0.3">
      <c r="B21" s="267"/>
      <c r="C21" s="44">
        <v>2</v>
      </c>
      <c r="D21" s="45" t="str">
        <f>D13</f>
        <v>ABIGAIL MARÍA MICÓ CHAVES</v>
      </c>
      <c r="E21" s="46">
        <v>9</v>
      </c>
      <c r="F21" s="47">
        <v>3</v>
      </c>
      <c r="G21" s="47"/>
      <c r="H21" s="41"/>
      <c r="I21" s="42"/>
      <c r="J21" s="267"/>
    </row>
    <row r="22" spans="2:10" s="37" customFormat="1" ht="21" customHeight="1" thickBot="1" x14ac:dyDescent="0.3">
      <c r="B22" s="266">
        <v>3</v>
      </c>
      <c r="C22" s="44">
        <v>2</v>
      </c>
      <c r="D22" s="45" t="str">
        <f>D13</f>
        <v>ABIGAIL MARÍA MICÓ CHAVES</v>
      </c>
      <c r="E22" s="46">
        <v>11</v>
      </c>
      <c r="F22" s="47">
        <v>11</v>
      </c>
      <c r="G22" s="47"/>
      <c r="H22" s="41"/>
      <c r="I22" s="42"/>
      <c r="J22" s="266">
        <v>2</v>
      </c>
    </row>
    <row r="23" spans="2:10" s="37" customFormat="1" ht="21" customHeight="1" thickBot="1" x14ac:dyDescent="0.3">
      <c r="B23" s="267"/>
      <c r="C23" s="48">
        <v>3</v>
      </c>
      <c r="D23" s="49" t="str">
        <f>D14</f>
        <v>HANNA MADRIGAL OVIEDO</v>
      </c>
      <c r="E23" s="48">
        <v>8</v>
      </c>
      <c r="F23" s="43">
        <v>6</v>
      </c>
      <c r="G23" s="43"/>
      <c r="H23" s="50"/>
      <c r="I23" s="51"/>
      <c r="J23" s="267"/>
    </row>
    <row r="24" spans="2:10" ht="6" customHeight="1" x14ac:dyDescent="0.25">
      <c r="B24" s="268"/>
      <c r="C24" s="52"/>
      <c r="D24" s="53"/>
      <c r="E24" s="53"/>
      <c r="F24" s="53"/>
      <c r="G24" s="53"/>
      <c r="H24" s="53"/>
      <c r="I24" s="53"/>
      <c r="J24" s="53"/>
    </row>
    <row r="25" spans="2:10" ht="6" customHeight="1" x14ac:dyDescent="0.25">
      <c r="B25" s="269"/>
      <c r="E25" s="53"/>
      <c r="F25" s="53"/>
      <c r="G25" s="53"/>
      <c r="H25" s="53"/>
      <c r="I25" s="53"/>
      <c r="J25" s="53"/>
    </row>
    <row r="26" spans="2:10" s="2" customFormat="1" ht="6" customHeight="1" x14ac:dyDescent="0.25">
      <c r="B26" s="269"/>
      <c r="E26" s="52"/>
      <c r="F26" s="52"/>
      <c r="G26" s="52"/>
      <c r="H26" s="52"/>
      <c r="I26" s="52"/>
      <c r="J26" s="52"/>
    </row>
    <row r="27" spans="2:10" ht="6" customHeight="1" x14ac:dyDescent="0.25">
      <c r="B27" s="269"/>
      <c r="E27" s="53"/>
      <c r="F27" s="53"/>
    </row>
    <row r="28" spans="2:10" ht="6" customHeight="1" x14ac:dyDescent="0.25">
      <c r="B28" s="270"/>
      <c r="E28" s="53"/>
      <c r="F28" s="53"/>
    </row>
    <row r="29" spans="2:10" ht="6" customHeight="1" x14ac:dyDescent="0.25">
      <c r="B29" s="270"/>
    </row>
    <row r="30" spans="2:10" ht="6" customHeight="1" x14ac:dyDescent="0.25"/>
    <row r="31" spans="2:10" ht="6" customHeight="1" thickBot="1" x14ac:dyDescent="0.3"/>
    <row r="32" spans="2:10" s="37" customFormat="1" ht="18" customHeight="1" thickBot="1" x14ac:dyDescent="0.3">
      <c r="C32" s="271" t="s">
        <v>118</v>
      </c>
      <c r="D32" s="272"/>
      <c r="F32" s="257" t="s">
        <v>119</v>
      </c>
      <c r="G32" s="258"/>
      <c r="H32" s="258"/>
      <c r="I32" s="258"/>
      <c r="J32" s="259"/>
    </row>
    <row r="33" spans="3:10" s="37" customFormat="1" ht="18" customHeight="1" thickBot="1" x14ac:dyDescent="0.3">
      <c r="C33" s="54" t="s">
        <v>120</v>
      </c>
      <c r="D33" s="54" t="s">
        <v>121</v>
      </c>
      <c r="F33" s="257" t="s">
        <v>122</v>
      </c>
      <c r="G33" s="258"/>
      <c r="H33" s="258"/>
      <c r="I33" s="258"/>
      <c r="J33" s="259"/>
    </row>
    <row r="34" spans="3:10" ht="25.5" customHeight="1" thickBot="1" x14ac:dyDescent="0.3">
      <c r="C34" s="55">
        <v>4348</v>
      </c>
      <c r="D34" s="56" t="s">
        <v>10</v>
      </c>
      <c r="F34" s="57" t="s">
        <v>123</v>
      </c>
      <c r="G34" s="260"/>
      <c r="H34" s="261"/>
      <c r="I34" s="261"/>
      <c r="J34" s="262"/>
    </row>
    <row r="35" spans="3:10" ht="25.5" customHeight="1" thickBot="1" x14ac:dyDescent="0.3">
      <c r="C35" s="55">
        <v>4519</v>
      </c>
      <c r="D35" s="56" t="s">
        <v>25</v>
      </c>
      <c r="F35" s="263" t="s">
        <v>124</v>
      </c>
      <c r="G35" s="264"/>
      <c r="H35" s="264"/>
      <c r="I35" s="265"/>
      <c r="J35" s="58"/>
    </row>
  </sheetData>
  <mergeCells count="15">
    <mergeCell ref="B22:B23"/>
    <mergeCell ref="J22:J23"/>
    <mergeCell ref="L5:M8"/>
    <mergeCell ref="B18:B19"/>
    <mergeCell ref="J18:J19"/>
    <mergeCell ref="B20:B21"/>
    <mergeCell ref="J20:J21"/>
    <mergeCell ref="G34:J34"/>
    <mergeCell ref="F35:I35"/>
    <mergeCell ref="B24:B25"/>
    <mergeCell ref="B26:B27"/>
    <mergeCell ref="B28:B29"/>
    <mergeCell ref="C32:D32"/>
    <mergeCell ref="F32:J32"/>
    <mergeCell ref="F33:J33"/>
  </mergeCells>
  <pageMargins left="0.7" right="0.7" top="0.75" bottom="0.75" header="0.3" footer="0.3"/>
  <pageSetup scale="84" orientation="portrait" horizontalDpi="360" verticalDpi="36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4D245-7DA8-412B-92A4-3C80927C9D90}">
  <sheetPr>
    <pageSetUpPr fitToPage="1"/>
  </sheetPr>
  <dimension ref="A4:M35"/>
  <sheetViews>
    <sheetView topLeftCell="A16" zoomScale="115" zoomScaleNormal="115" workbookViewId="0">
      <selection activeCell="L90" sqref="L90"/>
    </sheetView>
  </sheetViews>
  <sheetFormatPr defaultColWidth="9.140625" defaultRowHeight="15" x14ac:dyDescent="0.25"/>
  <cols>
    <col min="1" max="1" width="4.42578125" style="1" bestFit="1" customWidth="1"/>
    <col min="2" max="2" width="11.42578125" style="1" bestFit="1" customWidth="1"/>
    <col min="3" max="3" width="7.85546875" style="2" bestFit="1" customWidth="1"/>
    <col min="4" max="4" width="27.7109375" style="1" bestFit="1" customWidth="1"/>
    <col min="5" max="5" width="26.28515625" style="1" bestFit="1" customWidth="1"/>
    <col min="6" max="6" width="11" style="1" bestFit="1" customWidth="1"/>
    <col min="7" max="7" width="10.85546875" style="1" bestFit="1" customWidth="1"/>
    <col min="8" max="8" width="0.140625" style="1" customWidth="1"/>
    <col min="9" max="9" width="10.7109375" style="1" hidden="1" customWidth="1"/>
    <col min="10" max="10" width="11.7109375" style="1" customWidth="1"/>
    <col min="11" max="11" width="11.42578125" style="1" customWidth="1"/>
    <col min="12" max="16384" width="9.140625" style="1"/>
  </cols>
  <sheetData>
    <row r="4" spans="1:13" ht="15" customHeight="1" thickBot="1" x14ac:dyDescent="0.4">
      <c r="D4" s="3"/>
    </row>
    <row r="5" spans="1:13" ht="15.75" customHeight="1" x14ac:dyDescent="0.35">
      <c r="D5" s="3"/>
      <c r="L5" s="273" t="s">
        <v>100</v>
      </c>
      <c r="M5" s="273"/>
    </row>
    <row r="6" spans="1:13" ht="26.25" customHeight="1" x14ac:dyDescent="0.25">
      <c r="L6" s="274"/>
      <c r="M6" s="274"/>
    </row>
    <row r="7" spans="1:13" ht="26.25" customHeight="1" x14ac:dyDescent="0.35">
      <c r="C7" s="4"/>
      <c r="D7" s="3"/>
      <c r="G7" s="3" t="s">
        <v>101</v>
      </c>
      <c r="H7" s="3"/>
      <c r="I7" s="3"/>
      <c r="J7" s="5">
        <f ca="1">TODAY()</f>
        <v>46313</v>
      </c>
      <c r="L7" s="274"/>
      <c r="M7" s="274"/>
    </row>
    <row r="8" spans="1:13" ht="26.25" customHeight="1" x14ac:dyDescent="0.35">
      <c r="C8" s="4"/>
      <c r="D8" s="3"/>
      <c r="L8" s="274"/>
      <c r="M8" s="274"/>
    </row>
    <row r="9" spans="1:13" s="6" customFormat="1" ht="21" customHeight="1" x14ac:dyDescent="0.25">
      <c r="B9" s="7" t="s">
        <v>102</v>
      </c>
      <c r="C9" s="8"/>
      <c r="D9" s="9" t="s">
        <v>158</v>
      </c>
      <c r="E9" s="7" t="s">
        <v>103</v>
      </c>
      <c r="F9" s="9">
        <v>6</v>
      </c>
      <c r="G9" s="7" t="s">
        <v>104</v>
      </c>
      <c r="H9" s="7"/>
      <c r="I9" s="7"/>
      <c r="J9" s="10"/>
    </row>
    <row r="10" spans="1:13" ht="21" customHeight="1" x14ac:dyDescent="0.25"/>
    <row r="11" spans="1:13" ht="21" customHeight="1" thickBot="1" x14ac:dyDescent="0.3">
      <c r="B11" s="11" t="s">
        <v>105</v>
      </c>
      <c r="C11" s="12" t="s">
        <v>106</v>
      </c>
      <c r="D11" s="11" t="s">
        <v>107</v>
      </c>
      <c r="E11" s="11" t="s">
        <v>108</v>
      </c>
      <c r="F11" s="11" t="s">
        <v>0</v>
      </c>
      <c r="G11" s="11" t="s">
        <v>109</v>
      </c>
      <c r="H11" s="11"/>
      <c r="I11" s="11"/>
      <c r="J11" s="13"/>
    </row>
    <row r="12" spans="1:13" ht="21" customHeight="1" thickBot="1" x14ac:dyDescent="0.3">
      <c r="A12" s="1">
        <f>F9+0.1</f>
        <v>6.1</v>
      </c>
      <c r="B12" s="14">
        <v>1</v>
      </c>
      <c r="C12" s="15">
        <v>4654</v>
      </c>
      <c r="D12" s="16" t="s">
        <v>12</v>
      </c>
      <c r="E12" s="17" t="s">
        <v>13</v>
      </c>
      <c r="F12" s="18">
        <v>539</v>
      </c>
      <c r="G12" s="19">
        <v>8</v>
      </c>
      <c r="H12" s="20"/>
      <c r="I12" s="20"/>
      <c r="J12" s="1" t="str">
        <f>IF(ISBLANK(J11)," ",(E18+F18+G18+E20+F20+G20+H18+I18+H20+I20)/(E19+F19+G19+E21+F21+G21+H19+I19+H21+I21))</f>
        <v xml:space="preserve"> </v>
      </c>
    </row>
    <row r="13" spans="1:13" ht="21" customHeight="1" thickBot="1" x14ac:dyDescent="0.3">
      <c r="A13" s="1">
        <f>F9+0.2</f>
        <v>6.2</v>
      </c>
      <c r="B13" s="14">
        <v>2</v>
      </c>
      <c r="C13" s="21">
        <v>4239</v>
      </c>
      <c r="D13" s="22" t="s">
        <v>14</v>
      </c>
      <c r="E13" s="23" t="s">
        <v>15</v>
      </c>
      <c r="F13" s="24">
        <v>525</v>
      </c>
      <c r="G13" s="25">
        <v>9</v>
      </c>
      <c r="H13" s="20"/>
      <c r="I13" s="20"/>
      <c r="J13" s="1" t="str">
        <f>IF(ISBLANK(J11)," ",(E21+F21+G21+E22+F22+G22+H21+I21+H22+I22)/(E20+F20+G20+E23+F23+G23+H20+I20+H23+I23))</f>
        <v xml:space="preserve"> </v>
      </c>
    </row>
    <row r="14" spans="1:13" ht="21" customHeight="1" thickBot="1" x14ac:dyDescent="0.3">
      <c r="A14" s="1">
        <f>+F9+0.3</f>
        <v>6.3</v>
      </c>
      <c r="B14" s="14">
        <v>3</v>
      </c>
      <c r="C14" s="26">
        <v>4697</v>
      </c>
      <c r="D14" s="27" t="s">
        <v>33</v>
      </c>
      <c r="E14" s="28" t="s">
        <v>6</v>
      </c>
      <c r="F14" s="29">
        <v>457</v>
      </c>
      <c r="G14" s="30">
        <v>23</v>
      </c>
      <c r="H14" s="20"/>
      <c r="I14" s="20"/>
      <c r="J14" s="1" t="str">
        <f>IF(ISBLANK(J11)," ",(E19+F19+G19+E23+F23+G23+H19+I19+H23+I23)/(E18+F18+G18+E22+F22+G22+H18+I18+H22+I22))</f>
        <v xml:space="preserve"> </v>
      </c>
    </row>
    <row r="15" spans="1:13" ht="21" customHeight="1" x14ac:dyDescent="0.25"/>
    <row r="16" spans="1:13" ht="21" customHeight="1" thickBot="1" x14ac:dyDescent="0.3"/>
    <row r="17" spans="2:10" s="31" customFormat="1" ht="21" customHeight="1" thickBot="1" x14ac:dyDescent="0.3">
      <c r="B17" s="32" t="s">
        <v>110</v>
      </c>
      <c r="C17" s="33"/>
      <c r="D17" s="32" t="s">
        <v>111</v>
      </c>
      <c r="E17" s="33" t="s">
        <v>112</v>
      </c>
      <c r="F17" s="32" t="s">
        <v>113</v>
      </c>
      <c r="G17" s="34" t="s">
        <v>114</v>
      </c>
      <c r="H17" s="35" t="s">
        <v>115</v>
      </c>
      <c r="I17" s="36" t="s">
        <v>116</v>
      </c>
      <c r="J17" s="32" t="s">
        <v>117</v>
      </c>
    </row>
    <row r="18" spans="2:10" s="37" customFormat="1" ht="21" customHeight="1" thickBot="1" x14ac:dyDescent="0.3">
      <c r="B18" s="276">
        <v>1</v>
      </c>
      <c r="C18" s="12">
        <v>1</v>
      </c>
      <c r="D18" s="39" t="str">
        <f>D12</f>
        <v>DANIELA HIDALGO CHACÓN</v>
      </c>
      <c r="E18" s="12">
        <v>11</v>
      </c>
      <c r="F18" s="38">
        <v>11</v>
      </c>
      <c r="G18" s="40"/>
      <c r="H18" s="41"/>
      <c r="I18" s="42"/>
      <c r="J18" s="266">
        <v>1</v>
      </c>
    </row>
    <row r="19" spans="2:10" s="37" customFormat="1" ht="21" customHeight="1" thickBot="1" x14ac:dyDescent="0.3">
      <c r="B19" s="267"/>
      <c r="C19" s="44">
        <v>3</v>
      </c>
      <c r="D19" s="45" t="str">
        <f>D14</f>
        <v>MARIANA SOFÍA CHAVES MUÑOZ</v>
      </c>
      <c r="E19" s="46">
        <v>6</v>
      </c>
      <c r="F19" s="47">
        <v>3</v>
      </c>
      <c r="G19" s="47"/>
      <c r="H19" s="41"/>
      <c r="I19" s="42"/>
      <c r="J19" s="267"/>
    </row>
    <row r="20" spans="2:10" s="37" customFormat="1" ht="21" customHeight="1" thickBot="1" x14ac:dyDescent="0.3">
      <c r="B20" s="266">
        <v>2</v>
      </c>
      <c r="C20" s="12">
        <v>1</v>
      </c>
      <c r="D20" s="39" t="str">
        <f>D12</f>
        <v>DANIELA HIDALGO CHACÓN</v>
      </c>
      <c r="E20" s="12">
        <v>8</v>
      </c>
      <c r="F20" s="38">
        <v>1</v>
      </c>
      <c r="G20" s="38"/>
      <c r="H20" s="41"/>
      <c r="I20" s="42"/>
      <c r="J20" s="266">
        <v>2</v>
      </c>
    </row>
    <row r="21" spans="2:10" s="37" customFormat="1" ht="21" customHeight="1" thickBot="1" x14ac:dyDescent="0.3">
      <c r="B21" s="267"/>
      <c r="C21" s="44">
        <v>2</v>
      </c>
      <c r="D21" s="45" t="str">
        <f>D13</f>
        <v>BELÉN MAZARIEGOS SANTOS</v>
      </c>
      <c r="E21" s="46">
        <v>11</v>
      </c>
      <c r="F21" s="47">
        <v>11</v>
      </c>
      <c r="G21" s="47"/>
      <c r="H21" s="41"/>
      <c r="I21" s="42"/>
      <c r="J21" s="267"/>
    </row>
    <row r="22" spans="2:10" s="37" customFormat="1" ht="21" customHeight="1" thickBot="1" x14ac:dyDescent="0.3">
      <c r="B22" s="266">
        <v>3</v>
      </c>
      <c r="C22" s="44">
        <v>2</v>
      </c>
      <c r="D22" s="45" t="str">
        <f>D13</f>
        <v>BELÉN MAZARIEGOS SANTOS</v>
      </c>
      <c r="E22" s="46">
        <v>11</v>
      </c>
      <c r="F22" s="47">
        <v>11</v>
      </c>
      <c r="G22" s="47"/>
      <c r="H22" s="41"/>
      <c r="I22" s="42"/>
      <c r="J22" s="266">
        <v>2</v>
      </c>
    </row>
    <row r="23" spans="2:10" s="37" customFormat="1" ht="21" customHeight="1" thickBot="1" x14ac:dyDescent="0.3">
      <c r="B23" s="267"/>
      <c r="C23" s="48">
        <v>3</v>
      </c>
      <c r="D23" s="49" t="str">
        <f>D14</f>
        <v>MARIANA SOFÍA CHAVES MUÑOZ</v>
      </c>
      <c r="E23" s="48">
        <v>7</v>
      </c>
      <c r="F23" s="43">
        <v>7</v>
      </c>
      <c r="G23" s="43"/>
      <c r="H23" s="50"/>
      <c r="I23" s="51"/>
      <c r="J23" s="267"/>
    </row>
    <row r="24" spans="2:10" ht="6" customHeight="1" x14ac:dyDescent="0.25">
      <c r="B24" s="268"/>
      <c r="C24" s="52"/>
      <c r="D24" s="53"/>
      <c r="E24" s="53"/>
      <c r="F24" s="53"/>
      <c r="G24" s="53"/>
      <c r="H24" s="53"/>
      <c r="I24" s="53"/>
      <c r="J24" s="53"/>
    </row>
    <row r="25" spans="2:10" ht="6" customHeight="1" x14ac:dyDescent="0.25">
      <c r="B25" s="269"/>
      <c r="E25" s="53"/>
      <c r="F25" s="53"/>
      <c r="G25" s="53"/>
      <c r="H25" s="53"/>
      <c r="I25" s="53"/>
      <c r="J25" s="53"/>
    </row>
    <row r="26" spans="2:10" s="2" customFormat="1" ht="6" customHeight="1" x14ac:dyDescent="0.25">
      <c r="B26" s="269"/>
      <c r="E26" s="52"/>
      <c r="F26" s="52"/>
      <c r="G26" s="52"/>
      <c r="H26" s="52"/>
      <c r="I26" s="52"/>
      <c r="J26" s="52"/>
    </row>
    <row r="27" spans="2:10" ht="6" customHeight="1" x14ac:dyDescent="0.25">
      <c r="B27" s="269"/>
      <c r="E27" s="53"/>
      <c r="F27" s="53"/>
    </row>
    <row r="28" spans="2:10" ht="6" customHeight="1" x14ac:dyDescent="0.25">
      <c r="B28" s="270"/>
      <c r="E28" s="53"/>
      <c r="F28" s="53"/>
    </row>
    <row r="29" spans="2:10" ht="6" customHeight="1" x14ac:dyDescent="0.25">
      <c r="B29" s="270"/>
    </row>
    <row r="30" spans="2:10" ht="6" customHeight="1" x14ac:dyDescent="0.25"/>
    <row r="31" spans="2:10" ht="6" customHeight="1" thickBot="1" x14ac:dyDescent="0.3"/>
    <row r="32" spans="2:10" s="37" customFormat="1" ht="18" customHeight="1" thickBot="1" x14ac:dyDescent="0.3">
      <c r="C32" s="271" t="s">
        <v>118</v>
      </c>
      <c r="D32" s="272"/>
      <c r="F32" s="257" t="s">
        <v>119</v>
      </c>
      <c r="G32" s="258"/>
      <c r="H32" s="258"/>
      <c r="I32" s="258"/>
      <c r="J32" s="259"/>
    </row>
    <row r="33" spans="3:10" s="37" customFormat="1" ht="18" customHeight="1" thickBot="1" x14ac:dyDescent="0.3">
      <c r="C33" s="54" t="s">
        <v>120</v>
      </c>
      <c r="D33" s="54" t="s">
        <v>121</v>
      </c>
      <c r="F33" s="257" t="s">
        <v>122</v>
      </c>
      <c r="G33" s="258"/>
      <c r="H33" s="258"/>
      <c r="I33" s="258"/>
      <c r="J33" s="259"/>
    </row>
    <row r="34" spans="3:10" ht="25.5" customHeight="1" thickBot="1" x14ac:dyDescent="0.3">
      <c r="C34" s="55">
        <v>4239</v>
      </c>
      <c r="D34" s="56" t="s">
        <v>14</v>
      </c>
      <c r="F34" s="57" t="s">
        <v>123</v>
      </c>
      <c r="G34" s="260"/>
      <c r="H34" s="261"/>
      <c r="I34" s="261"/>
      <c r="J34" s="262"/>
    </row>
    <row r="35" spans="3:10" ht="25.5" customHeight="1" thickBot="1" x14ac:dyDescent="0.3">
      <c r="C35" s="55">
        <v>4654</v>
      </c>
      <c r="D35" s="56" t="s">
        <v>12</v>
      </c>
      <c r="F35" s="263" t="s">
        <v>124</v>
      </c>
      <c r="G35" s="264"/>
      <c r="H35" s="264"/>
      <c r="I35" s="265"/>
      <c r="J35" s="58"/>
    </row>
  </sheetData>
  <mergeCells count="15">
    <mergeCell ref="B22:B23"/>
    <mergeCell ref="J22:J23"/>
    <mergeCell ref="L5:M8"/>
    <mergeCell ref="B18:B19"/>
    <mergeCell ref="J18:J19"/>
    <mergeCell ref="B20:B21"/>
    <mergeCell ref="J20:J21"/>
    <mergeCell ref="G34:J34"/>
    <mergeCell ref="F35:I35"/>
    <mergeCell ref="B24:B25"/>
    <mergeCell ref="B26:B27"/>
    <mergeCell ref="B28:B29"/>
    <mergeCell ref="C32:D32"/>
    <mergeCell ref="F32:J32"/>
    <mergeCell ref="F33:J33"/>
  </mergeCells>
  <pageMargins left="0.7" right="0.7" top="0.75" bottom="0.75" header="0.3" footer="0.3"/>
  <pageSetup scale="81" orientation="portrait" horizontalDpi="360" verticalDpi="36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E5841-5568-4AD1-B500-C38BE32A5CE3}">
  <sheetPr published="0">
    <tabColor theme="8" tint="-0.249977111117893"/>
    <pageSetUpPr fitToPage="1"/>
  </sheetPr>
  <dimension ref="A9:CB99"/>
  <sheetViews>
    <sheetView showGridLines="0" zoomScale="70" zoomScaleNormal="70" workbookViewId="0">
      <selection activeCell="V48" sqref="V48"/>
    </sheetView>
  </sheetViews>
  <sheetFormatPr defaultColWidth="11.42578125" defaultRowHeight="10.7" customHeight="1" outlineLevelCol="2" x14ac:dyDescent="0.25"/>
  <cols>
    <col min="1" max="3" width="4.7109375" style="59" customWidth="1" outlineLevel="1"/>
    <col min="4" max="4" width="4.7109375" style="60" customWidth="1" outlineLevel="1"/>
    <col min="5" max="5" width="4.7109375" style="59" customWidth="1" outlineLevel="1"/>
    <col min="6" max="6" width="11.42578125" style="59" hidden="1" customWidth="1" outlineLevel="1"/>
    <col min="7" max="7" width="4.7109375" style="59" customWidth="1" outlineLevel="1"/>
    <col min="8" max="8" width="3.85546875" style="59" bestFit="1" customWidth="1" outlineLevel="1"/>
    <col min="9" max="9" width="18.85546875" style="59" bestFit="1" customWidth="1" outlineLevel="1"/>
    <col min="10" max="10" width="17.28515625" style="59" bestFit="1" customWidth="1" outlineLevel="1"/>
    <col min="11" max="11" width="10.7109375" style="59" customWidth="1" outlineLevel="1"/>
    <col min="12" max="12" width="4.7109375" style="59" customWidth="1" outlineLevel="1"/>
    <col min="13" max="26" width="2.7109375" style="59" customWidth="1" outlineLevel="1"/>
    <col min="27" max="27" width="3.42578125" style="59" hidden="1" customWidth="1" outlineLevel="1"/>
    <col min="28" max="28" width="3.28515625" style="59" hidden="1" customWidth="1" outlineLevel="1"/>
    <col min="29" max="29" width="11.7109375" style="59" hidden="1" customWidth="1" outlineLevel="1"/>
    <col min="30" max="30" width="4.85546875" style="59" hidden="1" customWidth="1" outlineLevel="2"/>
    <col min="31" max="31" width="5.42578125" style="59" hidden="1" customWidth="1" outlineLevel="2"/>
    <col min="32" max="38" width="2.140625" style="59" hidden="1" customWidth="1" outlineLevel="2"/>
    <col min="39" max="45" width="2.7109375" style="59" hidden="1" customWidth="1" outlineLevel="2"/>
    <col min="46" max="46" width="0.140625" style="62" customWidth="1" outlineLevel="2"/>
    <col min="47" max="47" width="2.7109375" style="63" bestFit="1" customWidth="1"/>
    <col min="48" max="48" width="3.85546875" style="64" bestFit="1" customWidth="1"/>
    <col min="49" max="49" width="28.28515625" style="64" bestFit="1" customWidth="1"/>
    <col min="50" max="50" width="11.5703125" style="68" bestFit="1" customWidth="1"/>
    <col min="51" max="51" width="3.85546875" style="68" bestFit="1" customWidth="1"/>
    <col min="52" max="52" width="26.140625" style="64" bestFit="1" customWidth="1"/>
    <col min="53" max="53" width="10.42578125" style="68" bestFit="1" customWidth="1"/>
    <col min="54" max="54" width="3.85546875" style="64" bestFit="1" customWidth="1"/>
    <col min="55" max="55" width="26.140625" style="64" bestFit="1" customWidth="1"/>
    <col min="56" max="56" width="10.42578125" style="68" bestFit="1" customWidth="1"/>
    <col min="57" max="57" width="6.7109375" style="64" customWidth="1"/>
    <col min="58" max="58" width="26.140625" style="67" bestFit="1" customWidth="1"/>
    <col min="59" max="59" width="10.42578125" style="67" bestFit="1" customWidth="1"/>
    <col min="60" max="60" width="7.42578125" style="67" customWidth="1"/>
    <col min="61" max="61" width="26.140625" style="67" bestFit="1" customWidth="1"/>
    <col min="62" max="62" width="6.7109375" style="67" bestFit="1" customWidth="1"/>
    <col min="63" max="63" width="11.42578125" style="62"/>
    <col min="64" max="64" width="7.85546875" style="62" customWidth="1"/>
    <col min="65" max="65" width="6.7109375" style="62" customWidth="1"/>
    <col min="66" max="66" width="4.42578125" style="62" customWidth="1"/>
    <col min="67" max="67" width="6.42578125" style="62" customWidth="1"/>
    <col min="68" max="68" width="11.42578125" style="62" bestFit="1" customWidth="1"/>
    <col min="69" max="69" width="4.140625" style="62" customWidth="1"/>
    <col min="70" max="70" width="4" style="62" customWidth="1"/>
    <col min="71" max="71" width="8.140625" style="62" customWidth="1"/>
    <col min="72" max="72" width="5.7109375" style="62" customWidth="1"/>
    <col min="73" max="73" width="8.140625" style="62" customWidth="1"/>
    <col min="74" max="74" width="5.7109375" style="62" customWidth="1"/>
    <col min="75" max="75" width="8.28515625" style="62" customWidth="1"/>
    <col min="76" max="78" width="11.42578125" style="62"/>
    <col min="79" max="79" width="13.7109375" style="62" bestFit="1" customWidth="1"/>
    <col min="80" max="80" width="12.42578125" style="62" customWidth="1"/>
    <col min="81" max="16384" width="11.42578125" style="62"/>
  </cols>
  <sheetData>
    <row r="9" spans="1:80" ht="18" x14ac:dyDescent="0.25">
      <c r="AA9" s="256">
        <v>2</v>
      </c>
      <c r="AB9" s="256"/>
      <c r="AC9" s="61"/>
      <c r="AW9" s="65"/>
      <c r="AX9" s="66"/>
      <c r="AY9" s="66"/>
      <c r="AZ9" s="65"/>
      <c r="BA9" s="66"/>
      <c r="BB9" s="65"/>
      <c r="BC9" s="65"/>
      <c r="BD9" s="66"/>
      <c r="BE9" s="65"/>
      <c r="BF9" s="65"/>
      <c r="BG9" s="65"/>
      <c r="BH9" s="65"/>
      <c r="BI9" s="65"/>
    </row>
    <row r="10" spans="1:80" ht="13.5" thickBot="1" x14ac:dyDescent="0.3">
      <c r="A10" s="59" t="s">
        <v>125</v>
      </c>
      <c r="B10" s="59" t="s">
        <v>126</v>
      </c>
      <c r="C10" s="59" t="s">
        <v>127</v>
      </c>
      <c r="D10" s="60" t="s">
        <v>128</v>
      </c>
      <c r="E10" s="59" t="s">
        <v>129</v>
      </c>
      <c r="G10" s="59" t="s">
        <v>130</v>
      </c>
      <c r="H10" s="59" t="s">
        <v>131</v>
      </c>
      <c r="I10" s="59" t="s">
        <v>132</v>
      </c>
      <c r="J10" s="59" t="s">
        <v>133</v>
      </c>
      <c r="K10" s="59" t="s">
        <v>134</v>
      </c>
      <c r="L10" s="59" t="s">
        <v>135</v>
      </c>
      <c r="AA10" s="59" t="s">
        <v>136</v>
      </c>
      <c r="AB10" s="59" t="s">
        <v>137</v>
      </c>
      <c r="AD10" s="59" t="s">
        <v>138</v>
      </c>
      <c r="AE10" s="59" t="s">
        <v>139</v>
      </c>
    </row>
    <row r="11" spans="1:80" ht="18.75" thickBot="1" x14ac:dyDescent="0.3">
      <c r="A11" s="165">
        <v>1</v>
      </c>
      <c r="B11" s="247"/>
      <c r="C11" s="249" t="s">
        <v>140</v>
      </c>
      <c r="D11" s="249"/>
      <c r="E11" s="237"/>
      <c r="F11" s="251" t="str">
        <f>C11&amp;"-"&amp;D11&amp;"- Table"&amp;E11</f>
        <v>4 Julio-- Table</v>
      </c>
      <c r="G11" s="237">
        <v>4521</v>
      </c>
      <c r="H11" s="237" t="s">
        <v>198</v>
      </c>
      <c r="I11" s="237">
        <v>0</v>
      </c>
      <c r="J11" s="237" t="s">
        <v>6</v>
      </c>
      <c r="K11" s="237">
        <v>0</v>
      </c>
      <c r="L11" s="237">
        <v>0</v>
      </c>
      <c r="M11" s="245">
        <v>11</v>
      </c>
      <c r="N11" s="237">
        <v>0</v>
      </c>
      <c r="O11" s="237">
        <v>11</v>
      </c>
      <c r="P11" s="237">
        <v>0</v>
      </c>
      <c r="Q11" s="237"/>
      <c r="R11" s="237"/>
      <c r="S11" s="237"/>
      <c r="T11" s="237"/>
      <c r="U11" s="237"/>
      <c r="V11" s="237"/>
      <c r="W11" s="237"/>
      <c r="X11" s="237"/>
      <c r="Y11" s="237"/>
      <c r="Z11" s="239"/>
      <c r="AA11" s="178">
        <f>IF(M11+N11&lt;&gt;0,SUM(AF11:AL11),"")</f>
        <v>2</v>
      </c>
      <c r="AB11" s="178">
        <f>IF(M11+N11&lt;&gt;0,SUM(AF12:AL12),"")</f>
        <v>0</v>
      </c>
      <c r="AC11" s="178" t="str">
        <f>IF(AA11&gt;AB11,AD11&amp;"  "&amp;AE11,IF(AB11&gt;AA11,AD11&amp;"  "&amp;AE12,""))</f>
        <v>2 - 0  (0, 0)</v>
      </c>
      <c r="AD11" s="59" t="str">
        <f>IF(AA11&gt;AB11,AA11&amp;" - "&amp;AB11,IF(AB11&gt;AA11,AB11&amp;" - "&amp;AA11,""))</f>
        <v>2 - 0</v>
      </c>
      <c r="AE11" s="59" t="str">
        <f t="shared" ref="AE11:AE42" si="0">CONCATENATE("(",AM11,AN11,AO11,AP11,AQ11,AR11,AS11,")")</f>
        <v>(0, 0)</v>
      </c>
      <c r="AF11" s="59">
        <f>IF(M11&gt;N11,1,0)</f>
        <v>1</v>
      </c>
      <c r="AG11" s="59">
        <f>IF(O11&gt;P11,1,0)</f>
        <v>1</v>
      </c>
      <c r="AH11" s="59">
        <f>IF(Q11&gt;R11,1,0)</f>
        <v>0</v>
      </c>
      <c r="AI11" s="59">
        <f>IF(S11&gt;T11,1,0)</f>
        <v>0</v>
      </c>
      <c r="AJ11" s="59">
        <f>IF(U11&gt;V11,1,0)</f>
        <v>0</v>
      </c>
      <c r="AK11" s="59">
        <f>IF(W11&gt;X11,1,0)</f>
        <v>0</v>
      </c>
      <c r="AL11" s="59">
        <f>IF(Y11&gt;Z11,1,0)</f>
        <v>0</v>
      </c>
      <c r="AM11" s="59">
        <f>IF(M11&gt;N11,N11,IF(N11&gt;M11,-M11,""))</f>
        <v>0</v>
      </c>
      <c r="AN11" s="59" t="str">
        <f>IF(O11&gt;P11,", "&amp;P11,IF(P11&gt;O11,", "&amp;-O11,""))</f>
        <v>, 0</v>
      </c>
      <c r="AO11" s="59" t="str">
        <f>IF(Q11&gt;R11,", "&amp;R11,IF(R11&gt;Q11,", "&amp;-Q11,""))</f>
        <v/>
      </c>
      <c r="AP11" s="59" t="str">
        <f>IF(S11&gt;T11,", "&amp;T11,IF(T11&gt;S11,", "&amp;-S11,""))</f>
        <v/>
      </c>
      <c r="AQ11" s="59" t="str">
        <f>IF(U11&gt;V11,", "&amp;V11,IF(V11&gt;U11,", "&amp;-U11,""))</f>
        <v/>
      </c>
      <c r="AR11" s="59" t="str">
        <f>IF(W11&gt;X11,", "&amp;X11,IF(X11&gt;W11,", "&amp;-W11,""))</f>
        <v/>
      </c>
      <c r="AS11" s="59" t="str">
        <f>IF(Y11&gt;Z11,", "&amp;Z11,IF(Z11&gt;Y11,", "&amp;-Y11,""))</f>
        <v/>
      </c>
      <c r="AU11" s="69">
        <v>1</v>
      </c>
      <c r="AV11" s="70">
        <f>VLOOKUP(AV12,$A$11:$L$58,7,FALSE)</f>
        <v>4521</v>
      </c>
      <c r="AW11" s="71" t="s">
        <v>5</v>
      </c>
      <c r="AX11" s="72" t="s">
        <v>6</v>
      </c>
      <c r="AY11" s="73"/>
      <c r="AZ11" s="73" t="str">
        <f>VLOOKUP(AV12,$A$11:$AD$58,29,FALSE)</f>
        <v>2 - 0  (0, 0)</v>
      </c>
      <c r="BA11" s="73"/>
      <c r="BE11" s="253" t="s">
        <v>141</v>
      </c>
      <c r="BF11" s="254"/>
      <c r="BG11" s="254"/>
      <c r="BH11" s="254"/>
      <c r="BI11" s="254"/>
      <c r="BJ11" s="255"/>
      <c r="BL11" s="74" t="s">
        <v>142</v>
      </c>
      <c r="BM11" s="74" t="s">
        <v>143</v>
      </c>
      <c r="BN11" s="74" t="s">
        <v>144</v>
      </c>
      <c r="BO11" s="74" t="s">
        <v>145</v>
      </c>
      <c r="BP11" s="74" t="s">
        <v>146</v>
      </c>
      <c r="BQ11" s="74" t="s">
        <v>147</v>
      </c>
      <c r="BR11" s="74" t="s">
        <v>148</v>
      </c>
      <c r="BS11" s="74" t="s">
        <v>149</v>
      </c>
      <c r="BT11" s="74" t="s">
        <v>150</v>
      </c>
      <c r="BU11" s="74" t="s">
        <v>151</v>
      </c>
      <c r="BV11" s="74" t="s">
        <v>152</v>
      </c>
      <c r="BW11" s="74" t="s">
        <v>153</v>
      </c>
      <c r="BX11" s="75"/>
      <c r="BY11" s="76" t="s">
        <v>154</v>
      </c>
      <c r="BZ11" s="77" t="s">
        <v>155</v>
      </c>
      <c r="CA11" s="78" t="s">
        <v>156</v>
      </c>
      <c r="CB11" s="79" t="s">
        <v>157</v>
      </c>
    </row>
    <row r="12" spans="1:80" ht="12.75" x14ac:dyDescent="0.25">
      <c r="A12" s="165"/>
      <c r="B12" s="248"/>
      <c r="C12" s="250"/>
      <c r="D12" s="250"/>
      <c r="E12" s="238"/>
      <c r="F12" s="252"/>
      <c r="G12" s="238"/>
      <c r="H12" s="238"/>
      <c r="I12" s="238">
        <v>0</v>
      </c>
      <c r="J12" s="238">
        <v>0</v>
      </c>
      <c r="K12" s="238">
        <v>0</v>
      </c>
      <c r="L12" s="238">
        <v>0</v>
      </c>
      <c r="M12" s="246"/>
      <c r="N12" s="238"/>
      <c r="O12" s="238"/>
      <c r="P12" s="238"/>
      <c r="Q12" s="238"/>
      <c r="R12" s="238"/>
      <c r="S12" s="238"/>
      <c r="T12" s="238"/>
      <c r="U12" s="238"/>
      <c r="V12" s="238"/>
      <c r="W12" s="238"/>
      <c r="X12" s="238"/>
      <c r="Y12" s="238"/>
      <c r="Z12" s="240"/>
      <c r="AA12" s="178"/>
      <c r="AB12" s="178"/>
      <c r="AC12" s="178"/>
      <c r="AD12" s="59" t="str">
        <f>IF(AA11&gt;AB11,AD11&amp;"  "&amp;AE11,IF(AB11&gt;AA11,AD11&amp;"  "&amp;AE12,""))</f>
        <v>2 - 0  (0, 0)</v>
      </c>
      <c r="AE12" s="59" t="str">
        <f t="shared" si="0"/>
        <v>(0, 0)</v>
      </c>
      <c r="AF12" s="59">
        <f>IF(N11&gt;M11,1,0)</f>
        <v>0</v>
      </c>
      <c r="AG12" s="59">
        <f>IF(P11&gt;O11,1,0)</f>
        <v>0</v>
      </c>
      <c r="AH12" s="59">
        <f>IF(R11&gt;Q11,1,0)</f>
        <v>0</v>
      </c>
      <c r="AI12" s="59">
        <f>IF(T11&gt;S11,1,0)</f>
        <v>0</v>
      </c>
      <c r="AJ12" s="59">
        <f>IF(V11&gt;U11,1,0)</f>
        <v>0</v>
      </c>
      <c r="AK12" s="59">
        <f>IF(X11&gt;W11,1,0)</f>
        <v>0</v>
      </c>
      <c r="AL12" s="59">
        <f>IF(Z11&gt;Y11,1,0)</f>
        <v>0</v>
      </c>
      <c r="AM12" s="59">
        <f>IF(N11&gt;M11,M11,IF(M11&gt;N11,-N11,""))</f>
        <v>0</v>
      </c>
      <c r="AN12" s="59" t="str">
        <f>IF(P11&gt;O11,", "&amp;O11,IF(O11&gt;P11,", "&amp;-P11,""))</f>
        <v>, 0</v>
      </c>
      <c r="AO12" s="59" t="str">
        <f>IF(R11&gt;Q11,", "&amp;Q11,IF(Q11&gt;R11,", "&amp;-R11,""))</f>
        <v/>
      </c>
      <c r="AP12" s="59" t="str">
        <f>IF(T11&gt;S11,", "&amp;S11,IF(S11&gt;T11,", "&amp;-T11,""))</f>
        <v/>
      </c>
      <c r="AQ12" s="59" t="str">
        <f>IF(V11&gt;U11,", "&amp;U11,IF(U11&gt;V11,", "&amp;-V11,""))</f>
        <v/>
      </c>
      <c r="AR12" s="59" t="str">
        <f>IF(X11&gt;W11,", "&amp;W11,IF(W11&gt;X11,", "&amp;-X11,""))</f>
        <v/>
      </c>
      <c r="AS12" s="59" t="str">
        <f>IF(Z11&gt;Y11,", "&amp;Y11,IF(Y11&gt;Z11,", "&amp;-Z11,""))</f>
        <v/>
      </c>
      <c r="AV12" s="80">
        <v>1</v>
      </c>
      <c r="AW12" s="81" t="str">
        <f>VLOOKUP(AV12,$A$11:$L$58,6,FALSE)</f>
        <v>4 Julio-- Table</v>
      </c>
      <c r="AX12" s="82"/>
      <c r="AY12" s="83">
        <f>VLOOKUP(AY14,$A$11:$L$62,7,FALSE)</f>
        <v>4521</v>
      </c>
      <c r="AZ12" s="71" t="s">
        <v>5</v>
      </c>
      <c r="BA12" s="72" t="s">
        <v>6</v>
      </c>
      <c r="BL12" s="84">
        <v>1</v>
      </c>
      <c r="BM12" s="85" t="str">
        <f>C11</f>
        <v>4 Julio</v>
      </c>
      <c r="BN12" s="85">
        <f>D11</f>
        <v>0</v>
      </c>
      <c r="BO12" s="86">
        <f>E11</f>
        <v>0</v>
      </c>
      <c r="BP12" s="87"/>
      <c r="BQ12" s="84"/>
      <c r="BR12" s="84">
        <v>1</v>
      </c>
      <c r="BS12" s="88" t="e">
        <v>#REF!</v>
      </c>
      <c r="BT12" s="89"/>
      <c r="BU12" s="88" t="e">
        <v>#REF!</v>
      </c>
      <c r="BV12" s="89"/>
      <c r="BW12" s="84"/>
      <c r="BX12" s="75"/>
      <c r="BY12" s="90">
        <f>G11</f>
        <v>4521</v>
      </c>
      <c r="BZ12" s="91" t="str">
        <f>H11</f>
        <v>x</v>
      </c>
      <c r="CA12" s="78" t="s">
        <v>158</v>
      </c>
      <c r="CB12" s="79" t="s">
        <v>159</v>
      </c>
    </row>
    <row r="13" spans="1:80" ht="12.75" x14ac:dyDescent="0.25">
      <c r="A13" s="165">
        <v>2</v>
      </c>
      <c r="B13" s="241"/>
      <c r="C13" s="243" t="s">
        <v>140</v>
      </c>
      <c r="D13" s="243"/>
      <c r="E13" s="229"/>
      <c r="F13" s="235" t="str">
        <f t="shared" ref="F13" si="1">C13&amp;"-"&amp;D13&amp;"- Table"&amp;E13</f>
        <v>4 Julio-- Table</v>
      </c>
      <c r="G13" s="229">
        <v>4251</v>
      </c>
      <c r="H13" s="229">
        <v>4348</v>
      </c>
      <c r="I13" s="229" t="s">
        <v>22</v>
      </c>
      <c r="J13" s="229" t="s">
        <v>23</v>
      </c>
      <c r="K13" s="229" t="s">
        <v>10</v>
      </c>
      <c r="L13" s="229" t="s">
        <v>11</v>
      </c>
      <c r="M13" s="233">
        <v>3</v>
      </c>
      <c r="N13" s="229">
        <v>11</v>
      </c>
      <c r="O13" s="229">
        <v>6</v>
      </c>
      <c r="P13" s="229">
        <v>11</v>
      </c>
      <c r="Q13" s="229"/>
      <c r="R13" s="229"/>
      <c r="S13" s="229"/>
      <c r="T13" s="229"/>
      <c r="U13" s="229"/>
      <c r="V13" s="229"/>
      <c r="W13" s="229"/>
      <c r="X13" s="229"/>
      <c r="Y13" s="229"/>
      <c r="Z13" s="231"/>
      <c r="AA13" s="178">
        <f t="shared" ref="AA13" si="2">IF(M13+N13&lt;&gt;0,SUM(AF13:AL13),"")</f>
        <v>0</v>
      </c>
      <c r="AB13" s="178">
        <f t="shared" ref="AB13" si="3">IF(M13+N13&lt;&gt;0,SUM(AF14:AL14),"")</f>
        <v>2</v>
      </c>
      <c r="AC13" s="178" t="str">
        <f t="shared" ref="AC13" si="4">IF(AA13&gt;AB13,AD13&amp;"  "&amp;AE13,IF(AB13&gt;AA13,AD13&amp;"  "&amp;AE14,""))</f>
        <v>2 - 0  (3, 6)</v>
      </c>
      <c r="AD13" s="59" t="str">
        <f t="shared" ref="AD13" si="5">IF(AA13&gt;AB13,AA13&amp;" - "&amp;AB13,IF(AB13&gt;AA13,AB13&amp;" - "&amp;AA13,""))</f>
        <v>2 - 0</v>
      </c>
      <c r="AE13" s="59" t="str">
        <f t="shared" si="0"/>
        <v>(-3, -6)</v>
      </c>
      <c r="AF13" s="59">
        <f t="shared" ref="AF13" si="6">IF(M13&gt;N13,1,0)</f>
        <v>0</v>
      </c>
      <c r="AG13" s="59">
        <f t="shared" ref="AG13" si="7">IF(O13&gt;P13,1,0)</f>
        <v>0</v>
      </c>
      <c r="AH13" s="59">
        <f t="shared" ref="AH13" si="8">IF(Q13&gt;R13,1,0)</f>
        <v>0</v>
      </c>
      <c r="AI13" s="59">
        <f t="shared" ref="AI13" si="9">IF(S13&gt;T13,1,0)</f>
        <v>0</v>
      </c>
      <c r="AJ13" s="59">
        <f t="shared" ref="AJ13" si="10">IF(U13&gt;V13,1,0)</f>
        <v>0</v>
      </c>
      <c r="AK13" s="59">
        <f t="shared" ref="AK13" si="11">IF(W13&gt;X13,1,0)</f>
        <v>0</v>
      </c>
      <c r="AL13" s="59">
        <f t="shared" ref="AL13" si="12">IF(Y13&gt;Z13,1,0)</f>
        <v>0</v>
      </c>
      <c r="AM13" s="59">
        <f t="shared" ref="AM13" si="13">IF(M13&gt;N13,N13,IF(N13&gt;M13,-M13,""))</f>
        <v>-3</v>
      </c>
      <c r="AN13" s="59" t="str">
        <f t="shared" ref="AN13" si="14">IF(O13&gt;P13,", "&amp;P13,IF(P13&gt;O13,", "&amp;-O13,""))</f>
        <v>, -6</v>
      </c>
      <c r="AO13" s="59" t="str">
        <f t="shared" ref="AO13" si="15">IF(Q13&gt;R13,", "&amp;R13,IF(R13&gt;Q13,", "&amp;-Q13,""))</f>
        <v/>
      </c>
      <c r="AP13" s="59" t="str">
        <f t="shared" ref="AP13" si="16">IF(S13&gt;T13,", "&amp;T13,IF(T13&gt;S13,", "&amp;-S13,""))</f>
        <v/>
      </c>
      <c r="AQ13" s="59" t="str">
        <f t="shared" ref="AQ13" si="17">IF(U13&gt;V13,", "&amp;V13,IF(V13&gt;U13,", "&amp;-U13,""))</f>
        <v/>
      </c>
      <c r="AR13" s="59" t="str">
        <f t="shared" ref="AR13" si="18">IF(W13&gt;X13,", "&amp;X13,IF(X13&gt;W13,", "&amp;-W13,""))</f>
        <v/>
      </c>
      <c r="AS13" s="59" t="str">
        <f t="shared" ref="AS13" si="19">IF(Y13&gt;Z13,", "&amp;Z13,IF(Z13&gt;Y13,", "&amp;-Y13,""))</f>
        <v/>
      </c>
      <c r="AU13" s="69">
        <f>1+AU11</f>
        <v>2</v>
      </c>
      <c r="AV13" s="92" t="str">
        <f>VLOOKUP(AV12,$A$11:$L$58,8,FALSE)</f>
        <v>x</v>
      </c>
      <c r="AW13" s="92" t="s">
        <v>200</v>
      </c>
      <c r="AX13" s="93" t="s">
        <v>200</v>
      </c>
      <c r="BA13" s="94"/>
      <c r="BB13" s="95"/>
      <c r="BC13" s="73" t="str">
        <f>VLOOKUP(AY14,$A$11:$AD$58,29,FALSE)</f>
        <v>2 - 0  (6, 7)</v>
      </c>
      <c r="BD13" s="73"/>
      <c r="BL13" s="84">
        <f>1+BL12</f>
        <v>2</v>
      </c>
      <c r="BM13" s="85" t="str">
        <f>C13</f>
        <v>4 Julio</v>
      </c>
      <c r="BN13" s="85">
        <f>D13</f>
        <v>0</v>
      </c>
      <c r="BO13" s="86">
        <f>E13</f>
        <v>0</v>
      </c>
      <c r="BP13" s="87"/>
      <c r="BQ13" s="84"/>
      <c r="BR13" s="84">
        <v>2</v>
      </c>
      <c r="BS13" s="88" t="e">
        <v>#REF!</v>
      </c>
      <c r="BT13" s="89"/>
      <c r="BU13" s="88" t="e">
        <v>#REF!</v>
      </c>
      <c r="BV13" s="89"/>
      <c r="BW13" s="84"/>
      <c r="BX13" s="75"/>
      <c r="BY13" s="90">
        <f>G13</f>
        <v>4251</v>
      </c>
      <c r="BZ13" s="91">
        <f>H13</f>
        <v>4348</v>
      </c>
      <c r="CA13" s="78" t="s">
        <v>158</v>
      </c>
      <c r="CB13" s="79" t="s">
        <v>160</v>
      </c>
    </row>
    <row r="14" spans="1:80" ht="12.75" x14ac:dyDescent="0.25">
      <c r="A14" s="165"/>
      <c r="B14" s="242"/>
      <c r="C14" s="244"/>
      <c r="D14" s="244"/>
      <c r="E14" s="230"/>
      <c r="F14" s="236"/>
      <c r="G14" s="230"/>
      <c r="H14" s="230"/>
      <c r="I14" s="230">
        <v>0</v>
      </c>
      <c r="J14" s="230">
        <v>0</v>
      </c>
      <c r="K14" s="230">
        <v>0</v>
      </c>
      <c r="L14" s="230">
        <v>0</v>
      </c>
      <c r="M14" s="234"/>
      <c r="N14" s="230"/>
      <c r="O14" s="230"/>
      <c r="P14" s="230"/>
      <c r="Q14" s="230"/>
      <c r="R14" s="230"/>
      <c r="S14" s="230"/>
      <c r="T14" s="230"/>
      <c r="U14" s="230"/>
      <c r="V14" s="230"/>
      <c r="W14" s="230"/>
      <c r="X14" s="230"/>
      <c r="Y14" s="230"/>
      <c r="Z14" s="232"/>
      <c r="AA14" s="178"/>
      <c r="AB14" s="178"/>
      <c r="AC14" s="178"/>
      <c r="AD14" s="59" t="str">
        <f t="shared" ref="AD14" si="20">IF(AA13&gt;AB13,AD13&amp;"  "&amp;AE13,IF(AB13&gt;AA13,AD13&amp;"  "&amp;AE14,""))</f>
        <v>2 - 0  (3, 6)</v>
      </c>
      <c r="AE14" s="59" t="str">
        <f t="shared" si="0"/>
        <v>(3, 6)</v>
      </c>
      <c r="AF14" s="59">
        <f t="shared" ref="AF14" si="21">IF(N13&gt;M13,1,0)</f>
        <v>1</v>
      </c>
      <c r="AG14" s="59">
        <f t="shared" ref="AG14" si="22">IF(P13&gt;O13,1,0)</f>
        <v>1</v>
      </c>
      <c r="AH14" s="59">
        <f t="shared" ref="AH14" si="23">IF(R13&gt;Q13,1,0)</f>
        <v>0</v>
      </c>
      <c r="AI14" s="59">
        <f t="shared" ref="AI14" si="24">IF(T13&gt;S13,1,0)</f>
        <v>0</v>
      </c>
      <c r="AJ14" s="59">
        <f t="shared" ref="AJ14" si="25">IF(V13&gt;U13,1,0)</f>
        <v>0</v>
      </c>
      <c r="AK14" s="59">
        <f t="shared" ref="AK14" si="26">IF(X13&gt;W13,1,0)</f>
        <v>0</v>
      </c>
      <c r="AL14" s="59">
        <f t="shared" ref="AL14" si="27">IF(Z13&gt;Y13,1,0)</f>
        <v>0</v>
      </c>
      <c r="AM14" s="59">
        <f t="shared" ref="AM14" si="28">IF(N13&gt;M13,M13,IF(M13&gt;N13,-N13,""))</f>
        <v>3</v>
      </c>
      <c r="AN14" s="59" t="str">
        <f t="shared" ref="AN14" si="29">IF(P13&gt;O13,", "&amp;O13,IF(O13&gt;P13,", "&amp;-P13,""))</f>
        <v>, 6</v>
      </c>
      <c r="AO14" s="59" t="str">
        <f t="shared" ref="AO14" si="30">IF(R13&gt;Q13,", "&amp;Q13,IF(Q13&gt;R13,", "&amp;-R13,""))</f>
        <v/>
      </c>
      <c r="AP14" s="59" t="str">
        <f t="shared" ref="AP14" si="31">IF(T13&gt;S13,", "&amp;S13,IF(S13&gt;T13,", "&amp;-T13,""))</f>
        <v/>
      </c>
      <c r="AQ14" s="59" t="str">
        <f t="shared" ref="AQ14" si="32">IF(V13&gt;U13,", "&amp;U13,IF(U13&gt;V13,", "&amp;-V13,""))</f>
        <v/>
      </c>
      <c r="AR14" s="59" t="str">
        <f t="shared" ref="AR14" si="33">IF(X13&gt;W13,", "&amp;W13,IF(W13&gt;X13,", "&amp;-X13,""))</f>
        <v/>
      </c>
      <c r="AS14" s="59" t="str">
        <f t="shared" ref="AS14" si="34">IF(Z13&gt;Y13,", "&amp;Y13,IF(Y13&gt;Z13,", "&amp;-Z13,""))</f>
        <v/>
      </c>
      <c r="AU14" s="69"/>
      <c r="AX14" s="96"/>
      <c r="AY14" s="80">
        <v>9</v>
      </c>
      <c r="AZ14" s="81" t="str">
        <f>VLOOKUP(AY14,$A$11:$L$58,6,FALSE)</f>
        <v>4 Julio-- Table</v>
      </c>
      <c r="BA14" s="97"/>
      <c r="BB14" s="70">
        <f>VLOOKUP(BB18,$A$11:$L$62,7,FALSE)</f>
        <v>4348</v>
      </c>
      <c r="BC14" s="71" t="s">
        <v>10</v>
      </c>
      <c r="BD14" s="72" t="s">
        <v>11</v>
      </c>
      <c r="BL14" s="84">
        <f t="shared" ref="BL14:BL27" si="35">1+BL13</f>
        <v>3</v>
      </c>
      <c r="BM14" s="85" t="str">
        <f>C15</f>
        <v>4 Julio</v>
      </c>
      <c r="BN14" s="85">
        <f>D15</f>
        <v>0</v>
      </c>
      <c r="BO14" s="86">
        <f>E15</f>
        <v>0</v>
      </c>
      <c r="BP14" s="87"/>
      <c r="BQ14" s="84"/>
      <c r="BR14" s="84">
        <v>3</v>
      </c>
      <c r="BS14" s="88" t="e">
        <v>#REF!</v>
      </c>
      <c r="BT14" s="89"/>
      <c r="BU14" s="88" t="e">
        <v>#REF!</v>
      </c>
      <c r="BV14" s="89"/>
      <c r="BW14" s="84"/>
      <c r="BX14" s="75"/>
      <c r="BY14" s="90">
        <f>G15</f>
        <v>4722</v>
      </c>
      <c r="BZ14" s="91">
        <f>H15</f>
        <v>4654</v>
      </c>
      <c r="CA14" s="78" t="s">
        <v>158</v>
      </c>
      <c r="CB14" s="79" t="s">
        <v>161</v>
      </c>
    </row>
    <row r="15" spans="1:80" ht="12.75" x14ac:dyDescent="0.25">
      <c r="A15" s="165">
        <v>3</v>
      </c>
      <c r="B15" s="247"/>
      <c r="C15" s="249" t="s">
        <v>140</v>
      </c>
      <c r="D15" s="249"/>
      <c r="E15" s="237"/>
      <c r="F15" s="251" t="str">
        <f t="shared" ref="F15" si="36">C15&amp;"-"&amp;D15&amp;"- Table"&amp;E15</f>
        <v>4 Julio-- Table</v>
      </c>
      <c r="G15" s="237">
        <v>4722</v>
      </c>
      <c r="H15" s="237">
        <v>4654</v>
      </c>
      <c r="I15" s="237" t="s">
        <v>20</v>
      </c>
      <c r="J15" s="237" t="s">
        <v>21</v>
      </c>
      <c r="K15" s="237" t="s">
        <v>12</v>
      </c>
      <c r="L15" s="237" t="s">
        <v>13</v>
      </c>
      <c r="M15" s="245">
        <v>6</v>
      </c>
      <c r="N15" s="237">
        <v>11</v>
      </c>
      <c r="O15" s="237">
        <v>6</v>
      </c>
      <c r="P15" s="237">
        <v>11</v>
      </c>
      <c r="Q15" s="237"/>
      <c r="R15" s="237"/>
      <c r="S15" s="237"/>
      <c r="T15" s="237"/>
      <c r="U15" s="237"/>
      <c r="V15" s="237"/>
      <c r="W15" s="237"/>
      <c r="X15" s="237"/>
      <c r="Y15" s="237"/>
      <c r="Z15" s="239"/>
      <c r="AA15" s="178">
        <f t="shared" ref="AA15" si="37">IF(M15+N15&lt;&gt;0,SUM(AF15:AL15),"")</f>
        <v>0</v>
      </c>
      <c r="AB15" s="178">
        <f t="shared" ref="AB15" si="38">IF(M15+N15&lt;&gt;0,SUM(AF16:AL16),"")</f>
        <v>2</v>
      </c>
      <c r="AC15" s="178" t="str">
        <f t="shared" ref="AC15" si="39">IF(AA15&gt;AB15,AD15&amp;"  "&amp;AE15,IF(AB15&gt;AA15,AD15&amp;"  "&amp;AE16,""))</f>
        <v>2 - 0  (6, 6)</v>
      </c>
      <c r="AD15" s="59" t="str">
        <f t="shared" ref="AD15" si="40">IF(AA15&gt;AB15,AA15&amp;" - "&amp;AB15,IF(AB15&gt;AA15,AB15&amp;" - "&amp;AA15,""))</f>
        <v>2 - 0</v>
      </c>
      <c r="AE15" s="59" t="str">
        <f t="shared" si="0"/>
        <v>(-6, -6)</v>
      </c>
      <c r="AF15" s="59">
        <f t="shared" ref="AF15" si="41">IF(M15&gt;N15,1,0)</f>
        <v>0</v>
      </c>
      <c r="AG15" s="59">
        <f t="shared" ref="AG15" si="42">IF(O15&gt;P15,1,0)</f>
        <v>0</v>
      </c>
      <c r="AH15" s="59">
        <f t="shared" ref="AH15" si="43">IF(Q15&gt;R15,1,0)</f>
        <v>0</v>
      </c>
      <c r="AI15" s="59">
        <f t="shared" ref="AI15" si="44">IF(S15&gt;T15,1,0)</f>
        <v>0</v>
      </c>
      <c r="AJ15" s="59">
        <f t="shared" ref="AJ15" si="45">IF(U15&gt;V15,1,0)</f>
        <v>0</v>
      </c>
      <c r="AK15" s="59">
        <f t="shared" ref="AK15" si="46">IF(W15&gt;X15,1,0)</f>
        <v>0</v>
      </c>
      <c r="AL15" s="59">
        <f t="shared" ref="AL15" si="47">IF(Y15&gt;Z15,1,0)</f>
        <v>0</v>
      </c>
      <c r="AM15" s="59">
        <f t="shared" ref="AM15" si="48">IF(M15&gt;N15,N15,IF(N15&gt;M15,-M15,""))</f>
        <v>-6</v>
      </c>
      <c r="AN15" s="59" t="str">
        <f t="shared" ref="AN15" si="49">IF(O15&gt;P15,", "&amp;P15,IF(P15&gt;O15,", "&amp;-O15,""))</f>
        <v>, -6</v>
      </c>
      <c r="AO15" s="59" t="str">
        <f t="shared" ref="AO15" si="50">IF(Q15&gt;R15,", "&amp;R15,IF(R15&gt;Q15,", "&amp;-Q15,""))</f>
        <v/>
      </c>
      <c r="AP15" s="59" t="str">
        <f t="shared" ref="AP15" si="51">IF(S15&gt;T15,", "&amp;T15,IF(T15&gt;S15,", "&amp;-S15,""))</f>
        <v/>
      </c>
      <c r="AQ15" s="59" t="str">
        <f t="shared" ref="AQ15" si="52">IF(U15&gt;V15,", "&amp;V15,IF(V15&gt;U15,", "&amp;-U15,""))</f>
        <v/>
      </c>
      <c r="AR15" s="59" t="str">
        <f t="shared" ref="AR15" si="53">IF(W15&gt;X15,", "&amp;X15,IF(X15&gt;W15,", "&amp;-W15,""))</f>
        <v/>
      </c>
      <c r="AS15" s="59" t="str">
        <f t="shared" ref="AS15" si="54">IF(Y15&gt;Z15,", "&amp;Z15,IF(Z15&gt;Y15,", "&amp;-Y15,""))</f>
        <v/>
      </c>
      <c r="AU15" s="69">
        <f>1+AU13</f>
        <v>3</v>
      </c>
      <c r="AV15" s="70">
        <f>VLOOKUP(AV16,$A$11:$L$58,7,FALSE)</f>
        <v>4251</v>
      </c>
      <c r="AW15" s="71" t="s">
        <v>22</v>
      </c>
      <c r="AX15" s="72" t="s">
        <v>23</v>
      </c>
      <c r="AY15" s="98"/>
      <c r="BA15" s="94"/>
      <c r="BD15" s="94"/>
      <c r="BL15" s="84">
        <f t="shared" si="35"/>
        <v>4</v>
      </c>
      <c r="BM15" s="85" t="str">
        <f>C17</f>
        <v>4 Julio</v>
      </c>
      <c r="BN15" s="85">
        <f>D17</f>
        <v>0</v>
      </c>
      <c r="BO15" s="86">
        <f>E17</f>
        <v>0</v>
      </c>
      <c r="BP15" s="87"/>
      <c r="BQ15" s="84"/>
      <c r="BR15" s="84">
        <v>4</v>
      </c>
      <c r="BS15" s="88" t="e">
        <v>#REF!</v>
      </c>
      <c r="BT15" s="89"/>
      <c r="BU15" s="88" t="e">
        <v>#REF!</v>
      </c>
      <c r="BV15" s="89"/>
      <c r="BW15" s="84"/>
      <c r="BX15" s="75"/>
      <c r="BY15" s="90" t="str">
        <f>G17</f>
        <v>X</v>
      </c>
      <c r="BZ15" s="91">
        <f>H17</f>
        <v>4276</v>
      </c>
      <c r="CA15" s="78" t="s">
        <v>158</v>
      </c>
      <c r="CB15" s="79" t="s">
        <v>162</v>
      </c>
    </row>
    <row r="16" spans="1:80" ht="12.75" x14ac:dyDescent="0.25">
      <c r="A16" s="165"/>
      <c r="B16" s="248"/>
      <c r="C16" s="250"/>
      <c r="D16" s="250"/>
      <c r="E16" s="238"/>
      <c r="F16" s="252"/>
      <c r="G16" s="238"/>
      <c r="H16" s="238"/>
      <c r="I16" s="238">
        <v>0</v>
      </c>
      <c r="J16" s="238">
        <v>0</v>
      </c>
      <c r="K16" s="238">
        <v>0</v>
      </c>
      <c r="L16" s="238">
        <v>0</v>
      </c>
      <c r="M16" s="246"/>
      <c r="N16" s="238"/>
      <c r="O16" s="238"/>
      <c r="P16" s="238"/>
      <c r="Q16" s="238"/>
      <c r="R16" s="238"/>
      <c r="S16" s="238"/>
      <c r="T16" s="238"/>
      <c r="U16" s="238"/>
      <c r="V16" s="238"/>
      <c r="W16" s="238"/>
      <c r="X16" s="238"/>
      <c r="Y16" s="238"/>
      <c r="Z16" s="240"/>
      <c r="AA16" s="178"/>
      <c r="AB16" s="178"/>
      <c r="AC16" s="178"/>
      <c r="AD16" s="59" t="str">
        <f t="shared" ref="AD16" si="55">IF(AA15&gt;AB15,AD15&amp;"  "&amp;AE15,IF(AB15&gt;AA15,AD15&amp;"  "&amp;AE16,""))</f>
        <v>2 - 0  (6, 6)</v>
      </c>
      <c r="AE16" s="59" t="str">
        <f t="shared" si="0"/>
        <v>(6, 6)</v>
      </c>
      <c r="AF16" s="59">
        <f t="shared" ref="AF16" si="56">IF(N15&gt;M15,1,0)</f>
        <v>1</v>
      </c>
      <c r="AG16" s="59">
        <f t="shared" ref="AG16" si="57">IF(P15&gt;O15,1,0)</f>
        <v>1</v>
      </c>
      <c r="AH16" s="59">
        <f t="shared" ref="AH16" si="58">IF(R15&gt;Q15,1,0)</f>
        <v>0</v>
      </c>
      <c r="AI16" s="59">
        <f t="shared" ref="AI16" si="59">IF(T15&gt;S15,1,0)</f>
        <v>0</v>
      </c>
      <c r="AJ16" s="59">
        <f t="shared" ref="AJ16" si="60">IF(V15&gt;U15,1,0)</f>
        <v>0</v>
      </c>
      <c r="AK16" s="59">
        <f t="shared" ref="AK16" si="61">IF(X15&gt;W15,1,0)</f>
        <v>0</v>
      </c>
      <c r="AL16" s="59">
        <f t="shared" ref="AL16" si="62">IF(Z15&gt;Y15,1,0)</f>
        <v>0</v>
      </c>
      <c r="AM16" s="59">
        <f t="shared" ref="AM16" si="63">IF(N15&gt;M15,M15,IF(M15&gt;N15,-N15,""))</f>
        <v>6</v>
      </c>
      <c r="AN16" s="59" t="str">
        <f t="shared" ref="AN16" si="64">IF(P15&gt;O15,", "&amp;O15,IF(O15&gt;P15,", "&amp;-P15,""))</f>
        <v>, 6</v>
      </c>
      <c r="AO16" s="59" t="str">
        <f t="shared" ref="AO16" si="65">IF(R15&gt;Q15,", "&amp;Q15,IF(Q15&gt;R15,", "&amp;-R15,""))</f>
        <v/>
      </c>
      <c r="AP16" s="59" t="str">
        <f t="shared" ref="AP16" si="66">IF(T15&gt;S15,", "&amp;S15,IF(S15&gt;T15,", "&amp;-T15,""))</f>
        <v/>
      </c>
      <c r="AQ16" s="59" t="str">
        <f t="shared" ref="AQ16" si="67">IF(V15&gt;U15,", "&amp;U15,IF(U15&gt;V15,", "&amp;-V15,""))</f>
        <v/>
      </c>
      <c r="AR16" s="59" t="str">
        <f t="shared" ref="AR16" si="68">IF(X15&gt;W15,", "&amp;W15,IF(W15&gt;X15,", "&amp;-X15,""))</f>
        <v/>
      </c>
      <c r="AS16" s="59" t="str">
        <f t="shared" ref="AS16" si="69">IF(Z15&gt;Y15,", "&amp;Y15,IF(Y15&gt;Z15,", "&amp;-Z15,""))</f>
        <v/>
      </c>
      <c r="AV16" s="80">
        <v>2</v>
      </c>
      <c r="AW16" s="81" t="str">
        <f>VLOOKUP(AV16,$A$11:$L$58,6,FALSE)</f>
        <v>4 Julio-- Table</v>
      </c>
      <c r="AX16" s="82"/>
      <c r="AY16" s="99">
        <f>VLOOKUP(AY14,$A$11:$L$62,8,FALSE)</f>
        <v>4348</v>
      </c>
      <c r="AZ16" s="92" t="s">
        <v>10</v>
      </c>
      <c r="BA16" s="93" t="s">
        <v>11</v>
      </c>
      <c r="BD16" s="94"/>
      <c r="BL16" s="84">
        <f t="shared" si="35"/>
        <v>5</v>
      </c>
      <c r="BM16" s="85" t="str">
        <f>C19</f>
        <v>4 Julio</v>
      </c>
      <c r="BN16" s="85">
        <f>D19</f>
        <v>0</v>
      </c>
      <c r="BO16" s="86">
        <f>E19</f>
        <v>0</v>
      </c>
      <c r="BP16" s="87"/>
      <c r="BQ16" s="84"/>
      <c r="BR16" s="84">
        <v>5</v>
      </c>
      <c r="BS16" s="88" t="e">
        <v>#REF!</v>
      </c>
      <c r="BT16" s="89"/>
      <c r="BU16" s="88" t="e">
        <v>#REF!</v>
      </c>
      <c r="BV16" s="89"/>
      <c r="BW16" s="84"/>
      <c r="BX16" s="75"/>
      <c r="BY16" s="90">
        <f>G19</f>
        <v>4349</v>
      </c>
      <c r="BZ16" s="91" t="str">
        <f>H19</f>
        <v>x</v>
      </c>
      <c r="CA16" s="78" t="s">
        <v>158</v>
      </c>
      <c r="CB16" s="79" t="s">
        <v>163</v>
      </c>
    </row>
    <row r="17" spans="1:80" ht="12.75" x14ac:dyDescent="0.25">
      <c r="A17" s="165">
        <v>4</v>
      </c>
      <c r="B17" s="241"/>
      <c r="C17" s="243" t="s">
        <v>140</v>
      </c>
      <c r="D17" s="243"/>
      <c r="E17" s="229"/>
      <c r="F17" s="235" t="str">
        <f t="shared" ref="F17" si="70">C17&amp;"-"&amp;D17&amp;"- Table"&amp;E17</f>
        <v>4 Julio-- Table</v>
      </c>
      <c r="G17" s="229" t="s">
        <v>199</v>
      </c>
      <c r="H17" s="229">
        <v>4276</v>
      </c>
      <c r="I17" s="229" t="s">
        <v>200</v>
      </c>
      <c r="J17" s="229" t="s">
        <v>200</v>
      </c>
      <c r="K17" s="229" t="s">
        <v>8</v>
      </c>
      <c r="L17" s="229" t="s">
        <v>6</v>
      </c>
      <c r="M17" s="233">
        <v>0</v>
      </c>
      <c r="N17" s="229">
        <v>11</v>
      </c>
      <c r="O17" s="229">
        <v>0</v>
      </c>
      <c r="P17" s="229">
        <v>11</v>
      </c>
      <c r="Q17" s="229"/>
      <c r="R17" s="229"/>
      <c r="S17" s="229"/>
      <c r="T17" s="229"/>
      <c r="U17" s="229"/>
      <c r="V17" s="229"/>
      <c r="W17" s="229"/>
      <c r="X17" s="229"/>
      <c r="Y17" s="229"/>
      <c r="Z17" s="231"/>
      <c r="AA17" s="178">
        <f t="shared" ref="AA17" si="71">IF(M17+N17&lt;&gt;0,SUM(AF17:AL17),"")</f>
        <v>0</v>
      </c>
      <c r="AB17" s="178">
        <f t="shared" ref="AB17" si="72">IF(M17+N17&lt;&gt;0,SUM(AF18:AL18),"")</f>
        <v>2</v>
      </c>
      <c r="AC17" s="178" t="str">
        <f t="shared" ref="AC17" si="73">IF(AA17&gt;AB17,AD17&amp;"  "&amp;AE17,IF(AB17&gt;AA17,AD17&amp;"  "&amp;AE18,""))</f>
        <v>2 - 0  (0, 0)</v>
      </c>
      <c r="AD17" s="59" t="str">
        <f t="shared" ref="AD17" si="74">IF(AA17&gt;AB17,AA17&amp;" - "&amp;AB17,IF(AB17&gt;AA17,AB17&amp;" - "&amp;AA17,""))</f>
        <v>2 - 0</v>
      </c>
      <c r="AE17" s="59" t="str">
        <f t="shared" si="0"/>
        <v>(0, 0)</v>
      </c>
      <c r="AF17" s="59">
        <f t="shared" ref="AF17" si="75">IF(M17&gt;N17,1,0)</f>
        <v>0</v>
      </c>
      <c r="AG17" s="59">
        <f t="shared" ref="AG17" si="76">IF(O17&gt;P17,1,0)</f>
        <v>0</v>
      </c>
      <c r="AH17" s="59">
        <f t="shared" ref="AH17" si="77">IF(Q17&gt;R17,1,0)</f>
        <v>0</v>
      </c>
      <c r="AI17" s="59">
        <f t="shared" ref="AI17" si="78">IF(S17&gt;T17,1,0)</f>
        <v>0</v>
      </c>
      <c r="AJ17" s="59">
        <f t="shared" ref="AJ17" si="79">IF(U17&gt;V17,1,0)</f>
        <v>0</v>
      </c>
      <c r="AK17" s="59">
        <f t="shared" ref="AK17" si="80">IF(W17&gt;X17,1,0)</f>
        <v>0</v>
      </c>
      <c r="AL17" s="59">
        <f t="shared" ref="AL17" si="81">IF(Y17&gt;Z17,1,0)</f>
        <v>0</v>
      </c>
      <c r="AM17" s="59">
        <f t="shared" ref="AM17" si="82">IF(M17&gt;N17,N17,IF(N17&gt;M17,-M17,""))</f>
        <v>0</v>
      </c>
      <c r="AN17" s="59" t="str">
        <f t="shared" ref="AN17" si="83">IF(O17&gt;P17,", "&amp;P17,IF(P17&gt;O17,", "&amp;-O17,""))</f>
        <v>, 0</v>
      </c>
      <c r="AO17" s="59" t="str">
        <f t="shared" ref="AO17" si="84">IF(Q17&gt;R17,", "&amp;R17,IF(R17&gt;Q17,", "&amp;-Q17,""))</f>
        <v/>
      </c>
      <c r="AP17" s="59" t="str">
        <f t="shared" ref="AP17" si="85">IF(S17&gt;T17,", "&amp;T17,IF(T17&gt;S17,", "&amp;-S17,""))</f>
        <v/>
      </c>
      <c r="AQ17" s="59" t="str">
        <f t="shared" ref="AQ17" si="86">IF(U17&gt;V17,", "&amp;V17,IF(V17&gt;U17,", "&amp;-U17,""))</f>
        <v/>
      </c>
      <c r="AR17" s="59" t="str">
        <f t="shared" ref="AR17" si="87">IF(W17&gt;X17,", "&amp;X17,IF(X17&gt;W17,", "&amp;-W17,""))</f>
        <v/>
      </c>
      <c r="AS17" s="59" t="str">
        <f t="shared" ref="AS17" si="88">IF(Y17&gt;Z17,", "&amp;Z17,IF(Z17&gt;Y17,", "&amp;-Y17,""))</f>
        <v/>
      </c>
      <c r="AU17" s="69">
        <f>1+AU15</f>
        <v>4</v>
      </c>
      <c r="AV17" s="92">
        <f>VLOOKUP(AV16,$A$11:$L$58,8,FALSE)</f>
        <v>4348</v>
      </c>
      <c r="AW17" s="92" t="s">
        <v>10</v>
      </c>
      <c r="AX17" s="93" t="s">
        <v>11</v>
      </c>
      <c r="AY17" s="73"/>
      <c r="AZ17" s="73" t="str">
        <f>VLOOKUP(AV16,$A$11:$AD$62,29,FALSE)</f>
        <v>2 - 0  (3, 6)</v>
      </c>
      <c r="BA17" s="73"/>
      <c r="BD17" s="94"/>
      <c r="BE17" s="95"/>
      <c r="BF17" s="73" t="str">
        <f>VLOOKUP(BB18,$A$11:$AD$58,29,FALSE)</f>
        <v>3 - 2  (-3, 8, 4, -6, 6)</v>
      </c>
      <c r="BG17" s="95"/>
      <c r="BL17" s="84">
        <f t="shared" si="35"/>
        <v>6</v>
      </c>
      <c r="BM17" s="85" t="str">
        <f>C21</f>
        <v>4 Julio</v>
      </c>
      <c r="BN17" s="85">
        <f>D21</f>
        <v>0</v>
      </c>
      <c r="BO17" s="86">
        <f>E21</f>
        <v>0</v>
      </c>
      <c r="BP17" s="87"/>
      <c r="BQ17" s="84"/>
      <c r="BR17" s="84">
        <v>6</v>
      </c>
      <c r="BS17" s="88" t="e">
        <v>#REF!</v>
      </c>
      <c r="BT17" s="89"/>
      <c r="BU17" s="88" t="e">
        <v>#REF!</v>
      </c>
      <c r="BV17" s="89"/>
      <c r="BW17" s="84"/>
      <c r="BX17" s="75"/>
      <c r="BY17" s="90">
        <f>G21</f>
        <v>4439</v>
      </c>
      <c r="BZ17" s="91">
        <f>H21</f>
        <v>4519</v>
      </c>
      <c r="CA17" s="78" t="s">
        <v>158</v>
      </c>
      <c r="CB17" s="79" t="s">
        <v>164</v>
      </c>
    </row>
    <row r="18" spans="1:80" ht="12.75" x14ac:dyDescent="0.25">
      <c r="A18" s="165"/>
      <c r="B18" s="242"/>
      <c r="C18" s="244"/>
      <c r="D18" s="244"/>
      <c r="E18" s="230"/>
      <c r="F18" s="236"/>
      <c r="G18" s="230"/>
      <c r="H18" s="230"/>
      <c r="I18" s="230">
        <v>0</v>
      </c>
      <c r="J18" s="230">
        <v>0</v>
      </c>
      <c r="K18" s="230">
        <v>0</v>
      </c>
      <c r="L18" s="230">
        <v>0</v>
      </c>
      <c r="M18" s="234"/>
      <c r="N18" s="230"/>
      <c r="O18" s="230"/>
      <c r="P18" s="230"/>
      <c r="Q18" s="230"/>
      <c r="R18" s="230"/>
      <c r="S18" s="230"/>
      <c r="T18" s="230"/>
      <c r="U18" s="230"/>
      <c r="V18" s="230"/>
      <c r="W18" s="230"/>
      <c r="X18" s="230"/>
      <c r="Y18" s="230"/>
      <c r="Z18" s="232"/>
      <c r="AA18" s="178"/>
      <c r="AB18" s="178"/>
      <c r="AC18" s="178"/>
      <c r="AD18" s="59" t="str">
        <f t="shared" ref="AD18" si="89">IF(AA17&gt;AB17,AD17&amp;"  "&amp;AE17,IF(AB17&gt;AA17,AD17&amp;"  "&amp;AE18,""))</f>
        <v>2 - 0  (0, 0)</v>
      </c>
      <c r="AE18" s="59" t="str">
        <f t="shared" si="0"/>
        <v>(0, 0)</v>
      </c>
      <c r="AF18" s="59">
        <f t="shared" ref="AF18" si="90">IF(N17&gt;M17,1,0)</f>
        <v>1</v>
      </c>
      <c r="AG18" s="59">
        <f t="shared" ref="AG18" si="91">IF(P17&gt;O17,1,0)</f>
        <v>1</v>
      </c>
      <c r="AH18" s="59">
        <f t="shared" ref="AH18" si="92">IF(R17&gt;Q17,1,0)</f>
        <v>0</v>
      </c>
      <c r="AI18" s="59">
        <f t="shared" ref="AI18" si="93">IF(T17&gt;S17,1,0)</f>
        <v>0</v>
      </c>
      <c r="AJ18" s="59">
        <f t="shared" ref="AJ18" si="94">IF(V17&gt;U17,1,0)</f>
        <v>0</v>
      </c>
      <c r="AK18" s="59">
        <f t="shared" ref="AK18" si="95">IF(X17&gt;W17,1,0)</f>
        <v>0</v>
      </c>
      <c r="AL18" s="59">
        <f t="shared" ref="AL18" si="96">IF(Z17&gt;Y17,1,0)</f>
        <v>0</v>
      </c>
      <c r="AM18" s="59">
        <f t="shared" ref="AM18" si="97">IF(N17&gt;M17,M17,IF(M17&gt;N17,-N17,""))</f>
        <v>0</v>
      </c>
      <c r="AN18" s="59" t="str">
        <f t="shared" ref="AN18" si="98">IF(P17&gt;O17,", "&amp;O17,IF(O17&gt;P17,", "&amp;-P17,""))</f>
        <v>, 0</v>
      </c>
      <c r="AO18" s="59" t="str">
        <f t="shared" ref="AO18" si="99">IF(R17&gt;Q17,", "&amp;Q17,IF(Q17&gt;R17,", "&amp;-R17,""))</f>
        <v/>
      </c>
      <c r="AP18" s="59" t="str">
        <f t="shared" ref="AP18" si="100">IF(T17&gt;S17,", "&amp;S17,IF(S17&gt;T17,", "&amp;-T17,""))</f>
        <v/>
      </c>
      <c r="AQ18" s="59" t="str">
        <f t="shared" ref="AQ18" si="101">IF(V17&gt;U17,", "&amp;U17,IF(U17&gt;V17,", "&amp;-V17,""))</f>
        <v/>
      </c>
      <c r="AR18" s="59" t="str">
        <f t="shared" ref="AR18" si="102">IF(X17&gt;W17,", "&amp;W17,IF(W17&gt;X17,", "&amp;-X17,""))</f>
        <v/>
      </c>
      <c r="AS18" s="59" t="str">
        <f t="shared" ref="AS18" si="103">IF(Z17&gt;Y17,", "&amp;Y17,IF(Y17&gt;Z17,", "&amp;-Z17,""))</f>
        <v/>
      </c>
      <c r="AX18" s="96"/>
      <c r="BB18" s="80">
        <v>13</v>
      </c>
      <c r="BC18" s="81" t="str">
        <f>VLOOKUP(BB18,$A$11:$L$58,6,FALSE)</f>
        <v>4 Julio-- Table</v>
      </c>
      <c r="BD18" s="94"/>
      <c r="BE18" s="70">
        <f>VLOOKUP(BE26,$A$11:$L$62,7,FALSE)</f>
        <v>4276</v>
      </c>
      <c r="BF18" s="71" t="s">
        <v>8</v>
      </c>
      <c r="BG18" s="100" t="s">
        <v>6</v>
      </c>
      <c r="BL18" s="84">
        <f t="shared" si="35"/>
        <v>7</v>
      </c>
      <c r="BM18" s="85" t="str">
        <f>C23</f>
        <v>4 Julio</v>
      </c>
      <c r="BN18" s="85">
        <f>D23</f>
        <v>0</v>
      </c>
      <c r="BO18" s="86">
        <f>E23</f>
        <v>0</v>
      </c>
      <c r="BP18" s="87"/>
      <c r="BQ18" s="84"/>
      <c r="BR18" s="84">
        <v>7</v>
      </c>
      <c r="BS18" s="88" t="e">
        <v>#REF!</v>
      </c>
      <c r="BT18" s="89"/>
      <c r="BU18" s="88" t="e">
        <v>#REF!</v>
      </c>
      <c r="BV18" s="89"/>
      <c r="BW18" s="84"/>
      <c r="BX18" s="75"/>
      <c r="BY18" s="90">
        <f>G23</f>
        <v>4239</v>
      </c>
      <c r="BZ18" s="91">
        <f>H23</f>
        <v>4531</v>
      </c>
      <c r="CA18" s="78" t="s">
        <v>158</v>
      </c>
      <c r="CB18" s="79" t="s">
        <v>165</v>
      </c>
    </row>
    <row r="19" spans="1:80" ht="12.75" x14ac:dyDescent="0.25">
      <c r="A19" s="165">
        <v>5</v>
      </c>
      <c r="B19" s="247"/>
      <c r="C19" s="249" t="s">
        <v>140</v>
      </c>
      <c r="D19" s="249"/>
      <c r="E19" s="237"/>
      <c r="F19" s="251" t="str">
        <f t="shared" ref="F19" si="104">C19&amp;"-"&amp;D19&amp;"- Table"&amp;E19</f>
        <v>4 Julio-- Table</v>
      </c>
      <c r="G19" s="237">
        <v>4349</v>
      </c>
      <c r="H19" s="237" t="s">
        <v>198</v>
      </c>
      <c r="I19" s="237" t="s">
        <v>9</v>
      </c>
      <c r="J19" s="237" t="s">
        <v>6</v>
      </c>
      <c r="K19" s="237" t="s">
        <v>200</v>
      </c>
      <c r="L19" s="237" t="s">
        <v>200</v>
      </c>
      <c r="M19" s="245">
        <v>11</v>
      </c>
      <c r="N19" s="237">
        <v>0</v>
      </c>
      <c r="O19" s="237">
        <v>11</v>
      </c>
      <c r="P19" s="237">
        <v>0</v>
      </c>
      <c r="Q19" s="237"/>
      <c r="R19" s="237"/>
      <c r="S19" s="237"/>
      <c r="T19" s="237"/>
      <c r="U19" s="237"/>
      <c r="V19" s="237"/>
      <c r="W19" s="237"/>
      <c r="X19" s="237"/>
      <c r="Y19" s="237"/>
      <c r="Z19" s="239"/>
      <c r="AA19" s="178">
        <f t="shared" ref="AA19" si="105">IF(M19+N19&lt;&gt;0,SUM(AF19:AL19),"")</f>
        <v>2</v>
      </c>
      <c r="AB19" s="178">
        <f t="shared" ref="AB19" si="106">IF(M19+N19&lt;&gt;0,SUM(AF20:AL20),"")</f>
        <v>0</v>
      </c>
      <c r="AC19" s="178" t="str">
        <f t="shared" ref="AC19" si="107">IF(AA19&gt;AB19,AD19&amp;"  "&amp;AE19,IF(AB19&gt;AA19,AD19&amp;"  "&amp;AE20,""))</f>
        <v>2 - 0  (0, 0)</v>
      </c>
      <c r="AD19" s="59" t="str">
        <f t="shared" ref="AD19" si="108">IF(AA19&gt;AB19,AA19&amp;" - "&amp;AB19,IF(AB19&gt;AA19,AB19&amp;" - "&amp;AA19,""))</f>
        <v>2 - 0</v>
      </c>
      <c r="AE19" s="59" t="str">
        <f t="shared" si="0"/>
        <v>(0, 0)</v>
      </c>
      <c r="AF19" s="59">
        <f t="shared" ref="AF19" si="109">IF(M19&gt;N19,1,0)</f>
        <v>1</v>
      </c>
      <c r="AG19" s="59">
        <f t="shared" ref="AG19" si="110">IF(O19&gt;P19,1,0)</f>
        <v>1</v>
      </c>
      <c r="AH19" s="59">
        <f t="shared" ref="AH19" si="111">IF(Q19&gt;R19,1,0)</f>
        <v>0</v>
      </c>
      <c r="AI19" s="59">
        <f t="shared" ref="AI19" si="112">IF(S19&gt;T19,1,0)</f>
        <v>0</v>
      </c>
      <c r="AJ19" s="59">
        <f t="shared" ref="AJ19" si="113">IF(U19&gt;V19,1,0)</f>
        <v>0</v>
      </c>
      <c r="AK19" s="59">
        <f t="shared" ref="AK19" si="114">IF(W19&gt;X19,1,0)</f>
        <v>0</v>
      </c>
      <c r="AL19" s="59">
        <f t="shared" ref="AL19" si="115">IF(Y19&gt;Z19,1,0)</f>
        <v>0</v>
      </c>
      <c r="AM19" s="59">
        <f t="shared" ref="AM19" si="116">IF(M19&gt;N19,N19,IF(N19&gt;M19,-M19,""))</f>
        <v>0</v>
      </c>
      <c r="AN19" s="59" t="str">
        <f t="shared" ref="AN19" si="117">IF(O19&gt;P19,", "&amp;P19,IF(P19&gt;O19,", "&amp;-O19,""))</f>
        <v>, 0</v>
      </c>
      <c r="AO19" s="59" t="str">
        <f t="shared" ref="AO19" si="118">IF(Q19&gt;R19,", "&amp;R19,IF(R19&gt;Q19,", "&amp;-Q19,""))</f>
        <v/>
      </c>
      <c r="AP19" s="59" t="str">
        <f t="shared" ref="AP19" si="119">IF(S19&gt;T19,", "&amp;T19,IF(T19&gt;S19,", "&amp;-S19,""))</f>
        <v/>
      </c>
      <c r="AQ19" s="59" t="str">
        <f t="shared" ref="AQ19" si="120">IF(U19&gt;V19,", "&amp;V19,IF(V19&gt;U19,", "&amp;-U19,""))</f>
        <v/>
      </c>
      <c r="AR19" s="59" t="str">
        <f t="shared" ref="AR19" si="121">IF(W19&gt;X19,", "&amp;X19,IF(X19&gt;W19,", "&amp;-W19,""))</f>
        <v/>
      </c>
      <c r="AS19" s="59" t="str">
        <f t="shared" ref="AS19" si="122">IF(Y19&gt;Z19,", "&amp;Z19,IF(Z19&gt;Y19,", "&amp;-Y19,""))</f>
        <v/>
      </c>
      <c r="AU19" s="69">
        <f>1+AU17</f>
        <v>5</v>
      </c>
      <c r="AV19" s="70">
        <f>VLOOKUP(AV20,$A$11:$L$58,7,FALSE)</f>
        <v>4722</v>
      </c>
      <c r="AW19" s="71" t="s">
        <v>20</v>
      </c>
      <c r="AX19" s="72" t="s">
        <v>21</v>
      </c>
      <c r="AY19" s="73"/>
      <c r="AZ19" s="73" t="str">
        <f>VLOOKUP(AV20,$A$11:$AD$58,29,FALSE)</f>
        <v>2 - 0  (6, 6)</v>
      </c>
      <c r="BA19" s="73"/>
      <c r="BD19" s="94"/>
      <c r="BG19" s="101"/>
      <c r="BL19" s="84">
        <f t="shared" si="35"/>
        <v>8</v>
      </c>
      <c r="BM19" s="85" t="str">
        <f>C25</f>
        <v>4 Julio</v>
      </c>
      <c r="BN19" s="85">
        <f>D25</f>
        <v>0</v>
      </c>
      <c r="BO19" s="86">
        <f>E25</f>
        <v>0</v>
      </c>
      <c r="BP19" s="87"/>
      <c r="BQ19" s="84"/>
      <c r="BR19" s="84">
        <v>8</v>
      </c>
      <c r="BS19" s="88" t="e">
        <v>#REF!</v>
      </c>
      <c r="BT19" s="89"/>
      <c r="BU19" s="88" t="e">
        <v>#REF!</v>
      </c>
      <c r="BV19" s="89"/>
      <c r="BW19" s="84"/>
      <c r="BX19" s="75"/>
      <c r="BY19" s="90" t="str">
        <f>G25</f>
        <v>x</v>
      </c>
      <c r="BZ19" s="91">
        <f>H25</f>
        <v>4695</v>
      </c>
      <c r="CA19" s="78" t="s">
        <v>158</v>
      </c>
      <c r="CB19" s="79" t="s">
        <v>166</v>
      </c>
    </row>
    <row r="20" spans="1:80" ht="12.75" x14ac:dyDescent="0.25">
      <c r="A20" s="165"/>
      <c r="B20" s="248"/>
      <c r="C20" s="250"/>
      <c r="D20" s="250"/>
      <c r="E20" s="238"/>
      <c r="F20" s="252"/>
      <c r="G20" s="238"/>
      <c r="H20" s="238"/>
      <c r="I20" s="238">
        <v>0</v>
      </c>
      <c r="J20" s="238">
        <v>0</v>
      </c>
      <c r="K20" s="238">
        <v>0</v>
      </c>
      <c r="L20" s="238">
        <v>0</v>
      </c>
      <c r="M20" s="246"/>
      <c r="N20" s="238"/>
      <c r="O20" s="238"/>
      <c r="P20" s="238"/>
      <c r="Q20" s="238"/>
      <c r="R20" s="238"/>
      <c r="S20" s="238"/>
      <c r="T20" s="238"/>
      <c r="U20" s="238"/>
      <c r="V20" s="238"/>
      <c r="W20" s="238"/>
      <c r="X20" s="238"/>
      <c r="Y20" s="238"/>
      <c r="Z20" s="240"/>
      <c r="AA20" s="178"/>
      <c r="AB20" s="178"/>
      <c r="AC20" s="178"/>
      <c r="AD20" s="59" t="str">
        <f t="shared" ref="AD20" si="123">IF(AA19&gt;AB19,AD19&amp;"  "&amp;AE19,IF(AB19&gt;AA19,AD19&amp;"  "&amp;AE20,""))</f>
        <v>2 - 0  (0, 0)</v>
      </c>
      <c r="AE20" s="59" t="str">
        <f t="shared" si="0"/>
        <v>(0, 0)</v>
      </c>
      <c r="AF20" s="59">
        <f t="shared" ref="AF20" si="124">IF(N19&gt;M19,1,0)</f>
        <v>0</v>
      </c>
      <c r="AG20" s="59">
        <f t="shared" ref="AG20" si="125">IF(P19&gt;O19,1,0)</f>
        <v>0</v>
      </c>
      <c r="AH20" s="59">
        <f t="shared" ref="AH20" si="126">IF(R19&gt;Q19,1,0)</f>
        <v>0</v>
      </c>
      <c r="AI20" s="59">
        <f t="shared" ref="AI20" si="127">IF(T19&gt;S19,1,0)</f>
        <v>0</v>
      </c>
      <c r="AJ20" s="59">
        <f t="shared" ref="AJ20" si="128">IF(V19&gt;U19,1,0)</f>
        <v>0</v>
      </c>
      <c r="AK20" s="59">
        <f t="shared" ref="AK20" si="129">IF(X19&gt;W19,1,0)</f>
        <v>0</v>
      </c>
      <c r="AL20" s="59">
        <f t="shared" ref="AL20" si="130">IF(Z19&gt;Y19,1,0)</f>
        <v>0</v>
      </c>
      <c r="AM20" s="59">
        <f t="shared" ref="AM20" si="131">IF(N19&gt;M19,M19,IF(M19&gt;N19,-N19,""))</f>
        <v>0</v>
      </c>
      <c r="AN20" s="59" t="str">
        <f t="shared" ref="AN20" si="132">IF(P19&gt;O19,", "&amp;O19,IF(O19&gt;P19,", "&amp;-P19,""))</f>
        <v>, 0</v>
      </c>
      <c r="AO20" s="59" t="str">
        <f t="shared" ref="AO20" si="133">IF(R19&gt;Q19,", "&amp;Q19,IF(Q19&gt;R19,", "&amp;-R19,""))</f>
        <v/>
      </c>
      <c r="AP20" s="59" t="str">
        <f t="shared" ref="AP20" si="134">IF(T19&gt;S19,", "&amp;S19,IF(S19&gt;T19,", "&amp;-T19,""))</f>
        <v/>
      </c>
      <c r="AQ20" s="59" t="str">
        <f t="shared" ref="AQ20" si="135">IF(V19&gt;U19,", "&amp;U19,IF(U19&gt;V19,", "&amp;-V19,""))</f>
        <v/>
      </c>
      <c r="AR20" s="59" t="str">
        <f t="shared" ref="AR20" si="136">IF(X19&gt;W19,", "&amp;W19,IF(W19&gt;X19,", "&amp;-X19,""))</f>
        <v/>
      </c>
      <c r="AS20" s="59" t="str">
        <f t="shared" ref="AS20" si="137">IF(Z19&gt;Y19,", "&amp;Y19,IF(Y19&gt;Z19,", "&amp;-Z19,""))</f>
        <v/>
      </c>
      <c r="AV20" s="80">
        <v>3</v>
      </c>
      <c r="AW20" s="81" t="str">
        <f>VLOOKUP(AV20,$A$11:$L$58,6,FALSE)</f>
        <v>4 Julio-- Table</v>
      </c>
      <c r="AX20" s="82"/>
      <c r="AY20" s="83">
        <f>VLOOKUP(AY22,$A$11:$L$62,7,FALSE)</f>
        <v>4654</v>
      </c>
      <c r="AZ20" s="71" t="s">
        <v>12</v>
      </c>
      <c r="BA20" s="72" t="s">
        <v>13</v>
      </c>
      <c r="BD20" s="94"/>
      <c r="BG20" s="101"/>
      <c r="BL20" s="102">
        <f t="shared" si="35"/>
        <v>9</v>
      </c>
      <c r="BM20" s="103" t="str">
        <f>C27</f>
        <v>4 Julio</v>
      </c>
      <c r="BN20" s="103">
        <f>D27</f>
        <v>0</v>
      </c>
      <c r="BO20" s="104">
        <f>E27</f>
        <v>0</v>
      </c>
      <c r="BP20" s="105"/>
      <c r="BQ20" s="102"/>
      <c r="BR20" s="102">
        <v>33</v>
      </c>
      <c r="BS20" s="106" t="e">
        <v>#REF!</v>
      </c>
      <c r="BT20" s="102"/>
      <c r="BU20" s="106" t="e">
        <v>#REF!</v>
      </c>
      <c r="BV20" s="102"/>
      <c r="BW20" s="102"/>
      <c r="BY20" s="90">
        <f>G27</f>
        <v>4521</v>
      </c>
      <c r="BZ20" s="91">
        <f>H27</f>
        <v>4348</v>
      </c>
      <c r="CA20" s="78" t="s">
        <v>158</v>
      </c>
      <c r="CB20" s="79" t="s">
        <v>167</v>
      </c>
    </row>
    <row r="21" spans="1:80" ht="12.75" x14ac:dyDescent="0.25">
      <c r="A21" s="165">
        <v>6</v>
      </c>
      <c r="B21" s="241"/>
      <c r="C21" s="243" t="s">
        <v>140</v>
      </c>
      <c r="D21" s="243"/>
      <c r="E21" s="229"/>
      <c r="F21" s="235" t="str">
        <f t="shared" ref="F21" si="138">C21&amp;"-"&amp;D21&amp;"- Table"&amp;E21</f>
        <v>4 Julio-- Table</v>
      </c>
      <c r="G21" s="229">
        <v>4439</v>
      </c>
      <c r="H21" s="229">
        <v>4519</v>
      </c>
      <c r="I21" s="229" t="s">
        <v>24</v>
      </c>
      <c r="J21" s="229" t="s">
        <v>11</v>
      </c>
      <c r="K21" s="229" t="s">
        <v>25</v>
      </c>
      <c r="L21" s="229" t="s">
        <v>6</v>
      </c>
      <c r="M21" s="233">
        <v>11</v>
      </c>
      <c r="N21" s="229">
        <v>9</v>
      </c>
      <c r="O21" s="229">
        <v>12</v>
      </c>
      <c r="P21" s="229">
        <v>10</v>
      </c>
      <c r="Q21" s="229"/>
      <c r="R21" s="229"/>
      <c r="S21" s="229"/>
      <c r="T21" s="229"/>
      <c r="U21" s="229"/>
      <c r="V21" s="229"/>
      <c r="W21" s="229"/>
      <c r="X21" s="229"/>
      <c r="Y21" s="229"/>
      <c r="Z21" s="231"/>
      <c r="AA21" s="178">
        <f t="shared" ref="AA21" si="139">IF(M21+N21&lt;&gt;0,SUM(AF21:AL21),"")</f>
        <v>2</v>
      </c>
      <c r="AB21" s="178">
        <f t="shared" ref="AB21" si="140">IF(M21+N21&lt;&gt;0,SUM(AF22:AL22),"")</f>
        <v>0</v>
      </c>
      <c r="AC21" s="178" t="str">
        <f t="shared" ref="AC21" si="141">IF(AA21&gt;AB21,AD21&amp;"  "&amp;AE21,IF(AB21&gt;AA21,AD21&amp;"  "&amp;AE22,""))</f>
        <v>2 - 0  (9, 10)</v>
      </c>
      <c r="AD21" s="59" t="str">
        <f t="shared" ref="AD21" si="142">IF(AA21&gt;AB21,AA21&amp;" - "&amp;AB21,IF(AB21&gt;AA21,AB21&amp;" - "&amp;AA21,""))</f>
        <v>2 - 0</v>
      </c>
      <c r="AE21" s="59" t="str">
        <f t="shared" si="0"/>
        <v>(9, 10)</v>
      </c>
      <c r="AF21" s="59">
        <f t="shared" ref="AF21" si="143">IF(M21&gt;N21,1,0)</f>
        <v>1</v>
      </c>
      <c r="AG21" s="59">
        <f t="shared" ref="AG21" si="144">IF(O21&gt;P21,1,0)</f>
        <v>1</v>
      </c>
      <c r="AH21" s="59">
        <f t="shared" ref="AH21" si="145">IF(Q21&gt;R21,1,0)</f>
        <v>0</v>
      </c>
      <c r="AI21" s="59">
        <f t="shared" ref="AI21" si="146">IF(S21&gt;T21,1,0)</f>
        <v>0</v>
      </c>
      <c r="AJ21" s="59">
        <f t="shared" ref="AJ21" si="147">IF(U21&gt;V21,1,0)</f>
        <v>0</v>
      </c>
      <c r="AK21" s="59">
        <f t="shared" ref="AK21" si="148">IF(W21&gt;X21,1,0)</f>
        <v>0</v>
      </c>
      <c r="AL21" s="59">
        <f t="shared" ref="AL21" si="149">IF(Y21&gt;Z21,1,0)</f>
        <v>0</v>
      </c>
      <c r="AM21" s="59">
        <f t="shared" ref="AM21" si="150">IF(M21&gt;N21,N21,IF(N21&gt;M21,-M21,""))</f>
        <v>9</v>
      </c>
      <c r="AN21" s="59" t="str">
        <f t="shared" ref="AN21" si="151">IF(O21&gt;P21,", "&amp;P21,IF(P21&gt;O21,", "&amp;-O21,""))</f>
        <v>, 10</v>
      </c>
      <c r="AO21" s="59" t="str">
        <f t="shared" ref="AO21" si="152">IF(Q21&gt;R21,", "&amp;R21,IF(R21&gt;Q21,", "&amp;-Q21,""))</f>
        <v/>
      </c>
      <c r="AP21" s="59" t="str">
        <f t="shared" ref="AP21" si="153">IF(S21&gt;T21,", "&amp;T21,IF(T21&gt;S21,", "&amp;-S21,""))</f>
        <v/>
      </c>
      <c r="AQ21" s="59" t="str">
        <f t="shared" ref="AQ21" si="154">IF(U21&gt;V21,", "&amp;V21,IF(V21&gt;U21,", "&amp;-U21,""))</f>
        <v/>
      </c>
      <c r="AR21" s="59" t="str">
        <f t="shared" ref="AR21" si="155">IF(W21&gt;X21,", "&amp;X21,IF(X21&gt;W21,", "&amp;-W21,""))</f>
        <v/>
      </c>
      <c r="AS21" s="59" t="str">
        <f t="shared" ref="AS21" si="156">IF(Y21&gt;Z21,", "&amp;Z21,IF(Z21&gt;Y21,", "&amp;-Y21,""))</f>
        <v/>
      </c>
      <c r="AU21" s="69">
        <f>1+AU19</f>
        <v>6</v>
      </c>
      <c r="AV21" s="92">
        <f>VLOOKUP(AV20,$A$11:$L$58,8,FALSE)</f>
        <v>4654</v>
      </c>
      <c r="AW21" s="92" t="s">
        <v>12</v>
      </c>
      <c r="AX21" s="93" t="s">
        <v>13</v>
      </c>
      <c r="BA21" s="94"/>
      <c r="BD21" s="94"/>
      <c r="BG21" s="101"/>
      <c r="BL21" s="102">
        <f t="shared" si="35"/>
        <v>10</v>
      </c>
      <c r="BM21" s="103" t="str">
        <f>C29</f>
        <v>4 Julio</v>
      </c>
      <c r="BN21" s="103">
        <f>D29</f>
        <v>0</v>
      </c>
      <c r="BO21" s="104">
        <f>E29</f>
        <v>0</v>
      </c>
      <c r="BP21" s="105"/>
      <c r="BQ21" s="102"/>
      <c r="BR21" s="102">
        <v>34</v>
      </c>
      <c r="BS21" s="106" t="e">
        <v>#REF!</v>
      </c>
      <c r="BT21" s="102"/>
      <c r="BU21" s="106" t="e">
        <v>#REF!</v>
      </c>
      <c r="BV21" s="102"/>
      <c r="BW21" s="102"/>
      <c r="BY21" s="90">
        <f>G29</f>
        <v>4654</v>
      </c>
      <c r="BZ21" s="91">
        <f>H29</f>
        <v>4276</v>
      </c>
      <c r="CA21" s="78" t="s">
        <v>158</v>
      </c>
      <c r="CB21" s="79" t="s">
        <v>168</v>
      </c>
    </row>
    <row r="22" spans="1:80" ht="12.75" x14ac:dyDescent="0.25">
      <c r="A22" s="165"/>
      <c r="B22" s="242"/>
      <c r="C22" s="244"/>
      <c r="D22" s="244"/>
      <c r="E22" s="230"/>
      <c r="F22" s="236"/>
      <c r="G22" s="230"/>
      <c r="H22" s="230"/>
      <c r="I22" s="230">
        <v>0</v>
      </c>
      <c r="J22" s="230">
        <v>0</v>
      </c>
      <c r="K22" s="230">
        <v>0</v>
      </c>
      <c r="L22" s="230">
        <v>0</v>
      </c>
      <c r="M22" s="234"/>
      <c r="N22" s="230"/>
      <c r="O22" s="230"/>
      <c r="P22" s="230"/>
      <c r="Q22" s="230"/>
      <c r="R22" s="230"/>
      <c r="S22" s="230"/>
      <c r="T22" s="230"/>
      <c r="U22" s="230"/>
      <c r="V22" s="230"/>
      <c r="W22" s="230"/>
      <c r="X22" s="230"/>
      <c r="Y22" s="230"/>
      <c r="Z22" s="232"/>
      <c r="AA22" s="178"/>
      <c r="AB22" s="178"/>
      <c r="AC22" s="178"/>
      <c r="AD22" s="59" t="str">
        <f t="shared" ref="AD22" si="157">IF(AA21&gt;AB21,AD21&amp;"  "&amp;AE21,IF(AB21&gt;AA21,AD21&amp;"  "&amp;AE22,""))</f>
        <v>2 - 0  (9, 10)</v>
      </c>
      <c r="AE22" s="59" t="str">
        <f t="shared" si="0"/>
        <v>(-9, -10)</v>
      </c>
      <c r="AF22" s="59">
        <f t="shared" ref="AF22" si="158">IF(N21&gt;M21,1,0)</f>
        <v>0</v>
      </c>
      <c r="AG22" s="59">
        <f t="shared" ref="AG22" si="159">IF(P21&gt;O21,1,0)</f>
        <v>0</v>
      </c>
      <c r="AH22" s="59">
        <f t="shared" ref="AH22" si="160">IF(R21&gt;Q21,1,0)</f>
        <v>0</v>
      </c>
      <c r="AI22" s="59">
        <f t="shared" ref="AI22" si="161">IF(T21&gt;S21,1,0)</f>
        <v>0</v>
      </c>
      <c r="AJ22" s="59">
        <f t="shared" ref="AJ22" si="162">IF(V21&gt;U21,1,0)</f>
        <v>0</v>
      </c>
      <c r="AK22" s="59">
        <f t="shared" ref="AK22" si="163">IF(X21&gt;W21,1,0)</f>
        <v>0</v>
      </c>
      <c r="AL22" s="59">
        <f t="shared" ref="AL22" si="164">IF(Z21&gt;Y21,1,0)</f>
        <v>0</v>
      </c>
      <c r="AM22" s="59">
        <f t="shared" ref="AM22" si="165">IF(N21&gt;M21,M21,IF(M21&gt;N21,-N21,""))</f>
        <v>-9</v>
      </c>
      <c r="AN22" s="59" t="str">
        <f t="shared" ref="AN22" si="166">IF(P21&gt;O21,", "&amp;O21,IF(O21&gt;P21,", "&amp;-P21,""))</f>
        <v>, -10</v>
      </c>
      <c r="AO22" s="59" t="str">
        <f t="shared" ref="AO22" si="167">IF(R21&gt;Q21,", "&amp;Q21,IF(Q21&gt;R21,", "&amp;-R21,""))</f>
        <v/>
      </c>
      <c r="AP22" s="59" t="str">
        <f t="shared" ref="AP22" si="168">IF(T21&gt;S21,", "&amp;S21,IF(S21&gt;T21,", "&amp;-T21,""))</f>
        <v/>
      </c>
      <c r="AQ22" s="59" t="str">
        <f t="shared" ref="AQ22" si="169">IF(V21&gt;U21,", "&amp;U21,IF(U21&gt;V21,", "&amp;-V21,""))</f>
        <v/>
      </c>
      <c r="AR22" s="59" t="str">
        <f t="shared" ref="AR22" si="170">IF(X21&gt;W21,", "&amp;W21,IF(W21&gt;X21,", "&amp;-X21,""))</f>
        <v/>
      </c>
      <c r="AS22" s="59" t="str">
        <f t="shared" ref="AS22" si="171">IF(Z21&gt;Y21,", "&amp;Y21,IF(Y21&gt;Z21,", "&amp;-Z21,""))</f>
        <v/>
      </c>
      <c r="AX22" s="96"/>
      <c r="AY22" s="80">
        <v>10</v>
      </c>
      <c r="AZ22" s="81" t="str">
        <f>VLOOKUP(AY22,$A$11:$L$58,6,FALSE)</f>
        <v>4 Julio-- Table</v>
      </c>
      <c r="BA22" s="97"/>
      <c r="BB22" s="92">
        <f>VLOOKUP(BB18,$A$11:$L$62,8,FALSE)</f>
        <v>4276</v>
      </c>
      <c r="BC22" s="92" t="s">
        <v>8</v>
      </c>
      <c r="BD22" s="93" t="s">
        <v>6</v>
      </c>
      <c r="BG22" s="101"/>
      <c r="BL22" s="102">
        <f t="shared" si="35"/>
        <v>11</v>
      </c>
      <c r="BM22" s="103" t="str">
        <f>C31</f>
        <v>4 Julio</v>
      </c>
      <c r="BN22" s="103">
        <f>D31</f>
        <v>0</v>
      </c>
      <c r="BO22" s="104">
        <f>E31</f>
        <v>0</v>
      </c>
      <c r="BP22" s="105"/>
      <c r="BQ22" s="102"/>
      <c r="BR22" s="102">
        <v>35</v>
      </c>
      <c r="BS22" s="106" t="e">
        <v>#REF!</v>
      </c>
      <c r="BT22" s="102"/>
      <c r="BU22" s="106" t="e">
        <v>#REF!</v>
      </c>
      <c r="BV22" s="102"/>
      <c r="BW22" s="102"/>
      <c r="BY22" s="90">
        <f>G31</f>
        <v>4349</v>
      </c>
      <c r="BZ22" s="91">
        <f>H31</f>
        <v>4439</v>
      </c>
      <c r="CA22" s="78" t="s">
        <v>158</v>
      </c>
      <c r="CB22" s="79" t="s">
        <v>168</v>
      </c>
    </row>
    <row r="23" spans="1:80" ht="12.75" x14ac:dyDescent="0.25">
      <c r="A23" s="165">
        <v>7</v>
      </c>
      <c r="B23" s="247"/>
      <c r="C23" s="249" t="s">
        <v>140</v>
      </c>
      <c r="D23" s="249"/>
      <c r="E23" s="237"/>
      <c r="F23" s="251" t="str">
        <f t="shared" ref="F23" si="172">C23&amp;"-"&amp;D23&amp;"- Table"&amp;E23</f>
        <v>4 Julio-- Table</v>
      </c>
      <c r="G23" s="237">
        <v>4239</v>
      </c>
      <c r="H23" s="237">
        <v>4531</v>
      </c>
      <c r="I23" s="237" t="s">
        <v>14</v>
      </c>
      <c r="J23" s="237" t="s">
        <v>15</v>
      </c>
      <c r="K23" s="237" t="s">
        <v>29</v>
      </c>
      <c r="L23" s="237" t="s">
        <v>30</v>
      </c>
      <c r="M23" s="245">
        <v>11</v>
      </c>
      <c r="N23" s="237">
        <v>3</v>
      </c>
      <c r="O23" s="237">
        <v>11</v>
      </c>
      <c r="P23" s="237">
        <v>4</v>
      </c>
      <c r="Q23" s="237"/>
      <c r="R23" s="237"/>
      <c r="S23" s="237"/>
      <c r="T23" s="237"/>
      <c r="U23" s="237"/>
      <c r="V23" s="237"/>
      <c r="W23" s="237"/>
      <c r="X23" s="237"/>
      <c r="Y23" s="237"/>
      <c r="Z23" s="239"/>
      <c r="AA23" s="178">
        <f t="shared" ref="AA23" si="173">IF(M23+N23&lt;&gt;0,SUM(AF23:AL23),"")</f>
        <v>2</v>
      </c>
      <c r="AB23" s="178">
        <f t="shared" ref="AB23" si="174">IF(M23+N23&lt;&gt;0,SUM(AF24:AL24),"")</f>
        <v>0</v>
      </c>
      <c r="AC23" s="178" t="str">
        <f t="shared" ref="AC23" si="175">IF(AA23&gt;AB23,AD23&amp;"  "&amp;AE23,IF(AB23&gt;AA23,AD23&amp;"  "&amp;AE24,""))</f>
        <v>2 - 0  (3, 4)</v>
      </c>
      <c r="AD23" s="59" t="str">
        <f t="shared" ref="AD23" si="176">IF(AA23&gt;AB23,AA23&amp;" - "&amp;AB23,IF(AB23&gt;AA23,AB23&amp;" - "&amp;AA23,""))</f>
        <v>2 - 0</v>
      </c>
      <c r="AE23" s="59" t="str">
        <f t="shared" si="0"/>
        <v>(3, 4)</v>
      </c>
      <c r="AF23" s="59">
        <f t="shared" ref="AF23" si="177">IF(M23&gt;N23,1,0)</f>
        <v>1</v>
      </c>
      <c r="AG23" s="59">
        <f t="shared" ref="AG23" si="178">IF(O23&gt;P23,1,0)</f>
        <v>1</v>
      </c>
      <c r="AH23" s="59">
        <f t="shared" ref="AH23" si="179">IF(Q23&gt;R23,1,0)</f>
        <v>0</v>
      </c>
      <c r="AI23" s="59">
        <f t="shared" ref="AI23" si="180">IF(S23&gt;T23,1,0)</f>
        <v>0</v>
      </c>
      <c r="AJ23" s="59">
        <f t="shared" ref="AJ23" si="181">IF(U23&gt;V23,1,0)</f>
        <v>0</v>
      </c>
      <c r="AK23" s="59">
        <f t="shared" ref="AK23" si="182">IF(W23&gt;X23,1,0)</f>
        <v>0</v>
      </c>
      <c r="AL23" s="59">
        <f t="shared" ref="AL23" si="183">IF(Y23&gt;Z23,1,0)</f>
        <v>0</v>
      </c>
      <c r="AM23" s="59">
        <f t="shared" ref="AM23" si="184">IF(M23&gt;N23,N23,IF(N23&gt;M23,-M23,""))</f>
        <v>3</v>
      </c>
      <c r="AN23" s="59" t="str">
        <f t="shared" ref="AN23" si="185">IF(O23&gt;P23,", "&amp;P23,IF(P23&gt;O23,", "&amp;-O23,""))</f>
        <v>, 4</v>
      </c>
      <c r="AO23" s="59" t="str">
        <f t="shared" ref="AO23" si="186">IF(Q23&gt;R23,", "&amp;R23,IF(R23&gt;Q23,", "&amp;-Q23,""))</f>
        <v/>
      </c>
      <c r="AP23" s="59" t="str">
        <f t="shared" ref="AP23" si="187">IF(S23&gt;T23,", "&amp;T23,IF(T23&gt;S23,", "&amp;-S23,""))</f>
        <v/>
      </c>
      <c r="AQ23" s="59" t="str">
        <f t="shared" ref="AQ23" si="188">IF(U23&gt;V23,", "&amp;V23,IF(V23&gt;U23,", "&amp;-U23,""))</f>
        <v/>
      </c>
      <c r="AR23" s="59" t="str">
        <f t="shared" ref="AR23" si="189">IF(W23&gt;X23,", "&amp;X23,IF(X23&gt;W23,", "&amp;-W23,""))</f>
        <v/>
      </c>
      <c r="AS23" s="59" t="str">
        <f t="shared" ref="AS23" si="190">IF(Y23&gt;Z23,", "&amp;Z23,IF(Z23&gt;Y23,", "&amp;-Y23,""))</f>
        <v/>
      </c>
      <c r="AU23" s="69">
        <f>1+AU21</f>
        <v>7</v>
      </c>
      <c r="AV23" s="70" t="str">
        <f>VLOOKUP(AV24,$A$11:$L$58,7,FALSE)</f>
        <v>X</v>
      </c>
      <c r="AW23" s="71" t="s">
        <v>200</v>
      </c>
      <c r="AX23" s="72" t="s">
        <v>200</v>
      </c>
      <c r="AY23" s="98"/>
      <c r="BA23" s="94"/>
      <c r="BB23" s="95"/>
      <c r="BC23" s="73" t="str">
        <f>VLOOKUP(AY22,$A$11:$AD$62,29,FALSE)</f>
        <v>2 - 1  (-6, 5, 5)</v>
      </c>
      <c r="BD23" s="73"/>
      <c r="BG23" s="101"/>
      <c r="BL23" s="102">
        <f t="shared" si="35"/>
        <v>12</v>
      </c>
      <c r="BM23" s="103" t="str">
        <f>C33</f>
        <v>4 Julio</v>
      </c>
      <c r="BN23" s="103">
        <f>D33</f>
        <v>0</v>
      </c>
      <c r="BO23" s="104">
        <f>E33</f>
        <v>0</v>
      </c>
      <c r="BP23" s="105"/>
      <c r="BQ23" s="102"/>
      <c r="BR23" s="102">
        <v>36</v>
      </c>
      <c r="BS23" s="106" t="e">
        <v>#REF!</v>
      </c>
      <c r="BT23" s="102"/>
      <c r="BU23" s="106" t="e">
        <v>#REF!</v>
      </c>
      <c r="BV23" s="102"/>
      <c r="BW23" s="102"/>
      <c r="BY23" s="90">
        <f>G33</f>
        <v>4239</v>
      </c>
      <c r="BZ23" s="91">
        <f>H33</f>
        <v>4695</v>
      </c>
      <c r="CA23" s="78" t="s">
        <v>158</v>
      </c>
      <c r="CB23" s="79" t="s">
        <v>168</v>
      </c>
    </row>
    <row r="24" spans="1:80" ht="12.75" x14ac:dyDescent="0.25">
      <c r="A24" s="165"/>
      <c r="B24" s="248"/>
      <c r="C24" s="250"/>
      <c r="D24" s="250"/>
      <c r="E24" s="238"/>
      <c r="F24" s="252"/>
      <c r="G24" s="238"/>
      <c r="H24" s="238"/>
      <c r="I24" s="238">
        <v>0</v>
      </c>
      <c r="J24" s="238">
        <v>0</v>
      </c>
      <c r="K24" s="238">
        <v>0</v>
      </c>
      <c r="L24" s="238">
        <v>0</v>
      </c>
      <c r="M24" s="246"/>
      <c r="N24" s="238"/>
      <c r="O24" s="238"/>
      <c r="P24" s="238"/>
      <c r="Q24" s="238"/>
      <c r="R24" s="238"/>
      <c r="S24" s="238"/>
      <c r="T24" s="238"/>
      <c r="U24" s="238"/>
      <c r="V24" s="238"/>
      <c r="W24" s="238"/>
      <c r="X24" s="238"/>
      <c r="Y24" s="238"/>
      <c r="Z24" s="240"/>
      <c r="AA24" s="178"/>
      <c r="AB24" s="178"/>
      <c r="AC24" s="178"/>
      <c r="AD24" s="59" t="str">
        <f t="shared" ref="AD24" si="191">IF(AA23&gt;AB23,AD23&amp;"  "&amp;AE23,IF(AB23&gt;AA23,AD23&amp;"  "&amp;AE24,""))</f>
        <v>2 - 0  (3, 4)</v>
      </c>
      <c r="AE24" s="59" t="str">
        <f t="shared" si="0"/>
        <v>(-3, -4)</v>
      </c>
      <c r="AF24" s="59">
        <f t="shared" ref="AF24" si="192">IF(N23&gt;M23,1,0)</f>
        <v>0</v>
      </c>
      <c r="AG24" s="59">
        <f t="shared" ref="AG24" si="193">IF(P23&gt;O23,1,0)</f>
        <v>0</v>
      </c>
      <c r="AH24" s="59">
        <f t="shared" ref="AH24" si="194">IF(R23&gt;Q23,1,0)</f>
        <v>0</v>
      </c>
      <c r="AI24" s="59">
        <f t="shared" ref="AI24" si="195">IF(T23&gt;S23,1,0)</f>
        <v>0</v>
      </c>
      <c r="AJ24" s="59">
        <f t="shared" ref="AJ24" si="196">IF(V23&gt;U23,1,0)</f>
        <v>0</v>
      </c>
      <c r="AK24" s="59">
        <f t="shared" ref="AK24" si="197">IF(X23&gt;W23,1,0)</f>
        <v>0</v>
      </c>
      <c r="AL24" s="59">
        <f t="shared" ref="AL24" si="198">IF(Z23&gt;Y23,1,0)</f>
        <v>0</v>
      </c>
      <c r="AM24" s="59">
        <f t="shared" ref="AM24" si="199">IF(N23&gt;M23,M23,IF(M23&gt;N23,-N23,""))</f>
        <v>-3</v>
      </c>
      <c r="AN24" s="59" t="str">
        <f t="shared" ref="AN24" si="200">IF(P23&gt;O23,", "&amp;O23,IF(O23&gt;P23,", "&amp;-P23,""))</f>
        <v>, -4</v>
      </c>
      <c r="AO24" s="59" t="str">
        <f t="shared" ref="AO24" si="201">IF(R23&gt;Q23,", "&amp;Q23,IF(Q23&gt;R23,", "&amp;-R23,""))</f>
        <v/>
      </c>
      <c r="AP24" s="59" t="str">
        <f t="shared" ref="AP24" si="202">IF(T23&gt;S23,", "&amp;S23,IF(S23&gt;T23,", "&amp;-T23,""))</f>
        <v/>
      </c>
      <c r="AQ24" s="59" t="str">
        <f t="shared" ref="AQ24" si="203">IF(V23&gt;U23,", "&amp;U23,IF(U23&gt;V23,", "&amp;-V23,""))</f>
        <v/>
      </c>
      <c r="AR24" s="59" t="str">
        <f t="shared" ref="AR24" si="204">IF(X23&gt;W23,", "&amp;W23,IF(W23&gt;X23,", "&amp;-X23,""))</f>
        <v/>
      </c>
      <c r="AS24" s="59" t="str">
        <f t="shared" ref="AS24" si="205">IF(Z23&gt;Y23,", "&amp;Y23,IF(Y23&gt;Z23,", "&amp;-Z23,""))</f>
        <v/>
      </c>
      <c r="AV24" s="80">
        <v>4</v>
      </c>
      <c r="AW24" s="81" t="str">
        <f>VLOOKUP(AV24,$A$11:$L$58,6,FALSE)</f>
        <v>4 Julio-- Table</v>
      </c>
      <c r="AX24" s="82"/>
      <c r="AY24" s="99">
        <f>VLOOKUP(AY22,$A$11:$L$62,8,FALSE)</f>
        <v>4276</v>
      </c>
      <c r="AZ24" s="92" t="s">
        <v>8</v>
      </c>
      <c r="BA24" s="93" t="s">
        <v>6</v>
      </c>
      <c r="BG24" s="101"/>
      <c r="BI24" s="107" t="s">
        <v>169</v>
      </c>
      <c r="BL24" s="108">
        <f t="shared" si="35"/>
        <v>13</v>
      </c>
      <c r="BM24" s="109" t="str">
        <f>C35</f>
        <v>4 Julio</v>
      </c>
      <c r="BN24" s="109">
        <f>D35</f>
        <v>0</v>
      </c>
      <c r="BO24" s="110">
        <f>E35</f>
        <v>0</v>
      </c>
      <c r="BP24" s="111"/>
      <c r="BQ24" s="108"/>
      <c r="BR24" s="108">
        <v>49</v>
      </c>
      <c r="BS24" s="112" t="e">
        <v>#REF!</v>
      </c>
      <c r="BT24" s="108"/>
      <c r="BU24" s="112" t="e">
        <v>#REF!</v>
      </c>
      <c r="BV24" s="108"/>
      <c r="BW24" s="108"/>
      <c r="BY24" s="90">
        <f>G35</f>
        <v>4348</v>
      </c>
      <c r="BZ24" s="91">
        <f>H35</f>
        <v>4276</v>
      </c>
      <c r="CA24" s="78" t="s">
        <v>158</v>
      </c>
      <c r="CB24" s="79" t="s">
        <v>170</v>
      </c>
    </row>
    <row r="25" spans="1:80" ht="12.75" x14ac:dyDescent="0.25">
      <c r="A25" s="165">
        <v>8</v>
      </c>
      <c r="B25" s="241"/>
      <c r="C25" s="243" t="s">
        <v>140</v>
      </c>
      <c r="D25" s="243"/>
      <c r="E25" s="229"/>
      <c r="F25" s="235" t="str">
        <f t="shared" ref="F25" si="206">C25&amp;"-"&amp;D25&amp;"- Table"&amp;E25</f>
        <v>4 Julio-- Table</v>
      </c>
      <c r="G25" s="229" t="s">
        <v>198</v>
      </c>
      <c r="H25" s="229">
        <v>4695</v>
      </c>
      <c r="I25" s="229" t="s">
        <v>200</v>
      </c>
      <c r="J25" s="229" t="s">
        <v>200</v>
      </c>
      <c r="K25" s="229" t="s">
        <v>7</v>
      </c>
      <c r="L25" s="229" t="s">
        <v>6</v>
      </c>
      <c r="M25" s="233">
        <v>0</v>
      </c>
      <c r="N25" s="229">
        <v>11</v>
      </c>
      <c r="O25" s="229">
        <v>0</v>
      </c>
      <c r="P25" s="229">
        <v>11</v>
      </c>
      <c r="Q25" s="229"/>
      <c r="R25" s="229"/>
      <c r="S25" s="229"/>
      <c r="T25" s="229"/>
      <c r="U25" s="229"/>
      <c r="V25" s="229"/>
      <c r="W25" s="229"/>
      <c r="X25" s="229"/>
      <c r="Y25" s="229"/>
      <c r="Z25" s="231"/>
      <c r="AA25" s="178">
        <f t="shared" ref="AA25" si="207">IF(M25+N25&lt;&gt;0,SUM(AF25:AL25),"")</f>
        <v>0</v>
      </c>
      <c r="AB25" s="178">
        <f t="shared" ref="AB25" si="208">IF(M25+N25&lt;&gt;0,SUM(AF26:AL26),"")</f>
        <v>2</v>
      </c>
      <c r="AC25" s="178" t="str">
        <f t="shared" ref="AC25" si="209">IF(AA25&gt;AB25,AD25&amp;"  "&amp;AE25,IF(AB25&gt;AA25,AD25&amp;"  "&amp;AE26,""))</f>
        <v>2 - 0  (0, 0)</v>
      </c>
      <c r="AD25" s="59" t="str">
        <f t="shared" ref="AD25" si="210">IF(AA25&gt;AB25,AA25&amp;" - "&amp;AB25,IF(AB25&gt;AA25,AB25&amp;" - "&amp;AA25,""))</f>
        <v>2 - 0</v>
      </c>
      <c r="AE25" s="59" t="str">
        <f t="shared" si="0"/>
        <v>(0, 0)</v>
      </c>
      <c r="AF25" s="59">
        <f t="shared" ref="AF25" si="211">IF(M25&gt;N25,1,0)</f>
        <v>0</v>
      </c>
      <c r="AG25" s="59">
        <f t="shared" ref="AG25" si="212">IF(O25&gt;P25,1,0)</f>
        <v>0</v>
      </c>
      <c r="AH25" s="59">
        <f t="shared" ref="AH25" si="213">IF(Q25&gt;R25,1,0)</f>
        <v>0</v>
      </c>
      <c r="AI25" s="59">
        <f t="shared" ref="AI25" si="214">IF(S25&gt;T25,1,0)</f>
        <v>0</v>
      </c>
      <c r="AJ25" s="59">
        <f t="shared" ref="AJ25" si="215">IF(U25&gt;V25,1,0)</f>
        <v>0</v>
      </c>
      <c r="AK25" s="59">
        <f t="shared" ref="AK25" si="216">IF(W25&gt;X25,1,0)</f>
        <v>0</v>
      </c>
      <c r="AL25" s="59">
        <f t="shared" ref="AL25" si="217">IF(Y25&gt;Z25,1,0)</f>
        <v>0</v>
      </c>
      <c r="AM25" s="59">
        <f t="shared" ref="AM25" si="218">IF(M25&gt;N25,N25,IF(N25&gt;M25,-M25,""))</f>
        <v>0</v>
      </c>
      <c r="AN25" s="59" t="str">
        <f t="shared" ref="AN25" si="219">IF(O25&gt;P25,", "&amp;P25,IF(P25&gt;O25,", "&amp;-O25,""))</f>
        <v>, 0</v>
      </c>
      <c r="AO25" s="59" t="str">
        <f t="shared" ref="AO25" si="220">IF(Q25&gt;R25,", "&amp;R25,IF(R25&gt;Q25,", "&amp;-Q25,""))</f>
        <v/>
      </c>
      <c r="AP25" s="59" t="str">
        <f t="shared" ref="AP25" si="221">IF(S25&gt;T25,", "&amp;T25,IF(T25&gt;S25,", "&amp;-S25,""))</f>
        <v/>
      </c>
      <c r="AQ25" s="59" t="str">
        <f t="shared" ref="AQ25" si="222">IF(U25&gt;V25,", "&amp;V25,IF(V25&gt;U25,", "&amp;-U25,""))</f>
        <v/>
      </c>
      <c r="AR25" s="59" t="str">
        <f t="shared" ref="AR25" si="223">IF(W25&gt;X25,", "&amp;X25,IF(X25&gt;W25,", "&amp;-W25,""))</f>
        <v/>
      </c>
      <c r="AS25" s="59" t="str">
        <f t="shared" ref="AS25" si="224">IF(Y25&gt;Z25,", "&amp;Z25,IF(Z25&gt;Y25,", "&amp;-Y25,""))</f>
        <v/>
      </c>
      <c r="AU25" s="69">
        <f>1+AU23</f>
        <v>8</v>
      </c>
      <c r="AV25" s="92">
        <f>VLOOKUP(AV24,$A$11:$L$58,8,FALSE)</f>
        <v>4276</v>
      </c>
      <c r="AW25" s="92" t="s">
        <v>8</v>
      </c>
      <c r="AX25" s="93" t="s">
        <v>6</v>
      </c>
      <c r="AY25" s="73"/>
      <c r="AZ25" s="73" t="str">
        <f>VLOOKUP(AV24,$A$11:$AD$62,29,FALSE)</f>
        <v>2 - 0  (0, 0)</v>
      </c>
      <c r="BA25" s="73"/>
      <c r="BF25" s="64"/>
      <c r="BG25" s="113"/>
      <c r="BH25" s="95"/>
      <c r="BI25" s="73" t="str">
        <f>VLOOKUP(BE26,$A$11:$AD$58,29,FALSE)</f>
        <v>3 - 2  (-10, 10, -10, 9, 7)</v>
      </c>
      <c r="BJ25" s="95"/>
      <c r="BL25" s="108">
        <f t="shared" si="35"/>
        <v>14</v>
      </c>
      <c r="BM25" s="109" t="str">
        <f>C37</f>
        <v>4 Julio</v>
      </c>
      <c r="BN25" s="109">
        <f>D37</f>
        <v>0</v>
      </c>
      <c r="BO25" s="110">
        <f>E37</f>
        <v>0</v>
      </c>
      <c r="BP25" s="111"/>
      <c r="BQ25" s="108"/>
      <c r="BR25" s="108">
        <v>50</v>
      </c>
      <c r="BS25" s="112" t="e">
        <v>#REF!</v>
      </c>
      <c r="BT25" s="108"/>
      <c r="BU25" s="112" t="e">
        <v>#REF!</v>
      </c>
      <c r="BV25" s="108"/>
      <c r="BW25" s="108"/>
      <c r="BY25" s="90">
        <f>G37</f>
        <v>4349</v>
      </c>
      <c r="BZ25" s="91">
        <f>H37</f>
        <v>4695</v>
      </c>
      <c r="CA25" s="78" t="s">
        <v>158</v>
      </c>
      <c r="CB25" s="79" t="s">
        <v>170</v>
      </c>
    </row>
    <row r="26" spans="1:80" ht="12.75" x14ac:dyDescent="0.25">
      <c r="A26" s="165"/>
      <c r="B26" s="242"/>
      <c r="C26" s="244"/>
      <c r="D26" s="244"/>
      <c r="E26" s="230"/>
      <c r="F26" s="236"/>
      <c r="G26" s="230"/>
      <c r="H26" s="230"/>
      <c r="I26" s="230">
        <v>0</v>
      </c>
      <c r="J26" s="230">
        <v>0</v>
      </c>
      <c r="K26" s="230">
        <v>0</v>
      </c>
      <c r="L26" s="230">
        <v>0</v>
      </c>
      <c r="M26" s="234"/>
      <c r="N26" s="230"/>
      <c r="O26" s="230"/>
      <c r="P26" s="230"/>
      <c r="Q26" s="230"/>
      <c r="R26" s="230"/>
      <c r="S26" s="230"/>
      <c r="T26" s="230"/>
      <c r="U26" s="230"/>
      <c r="V26" s="230"/>
      <c r="W26" s="230"/>
      <c r="X26" s="230"/>
      <c r="Y26" s="230"/>
      <c r="Z26" s="232"/>
      <c r="AA26" s="178"/>
      <c r="AB26" s="178"/>
      <c r="AC26" s="178"/>
      <c r="AD26" s="59" t="str">
        <f t="shared" ref="AD26" si="225">IF(AA25&gt;AB25,AD25&amp;"  "&amp;AE25,IF(AB25&gt;AA25,AD25&amp;"  "&amp;AE26,""))</f>
        <v>2 - 0  (0, 0)</v>
      </c>
      <c r="AE26" s="59" t="str">
        <f t="shared" si="0"/>
        <v>(0, 0)</v>
      </c>
      <c r="AF26" s="59">
        <f t="shared" ref="AF26" si="226">IF(N25&gt;M25,1,0)</f>
        <v>1</v>
      </c>
      <c r="AG26" s="59">
        <f t="shared" ref="AG26" si="227">IF(P25&gt;O25,1,0)</f>
        <v>1</v>
      </c>
      <c r="AH26" s="59">
        <f t="shared" ref="AH26" si="228">IF(R25&gt;Q25,1,0)</f>
        <v>0</v>
      </c>
      <c r="AI26" s="59">
        <f t="shared" ref="AI26" si="229">IF(T25&gt;S25,1,0)</f>
        <v>0</v>
      </c>
      <c r="AJ26" s="59">
        <f t="shared" ref="AJ26" si="230">IF(V25&gt;U25,1,0)</f>
        <v>0</v>
      </c>
      <c r="AK26" s="59">
        <f t="shared" ref="AK26" si="231">IF(X25&gt;W25,1,0)</f>
        <v>0</v>
      </c>
      <c r="AL26" s="59">
        <f t="shared" ref="AL26" si="232">IF(Z25&gt;Y25,1,0)</f>
        <v>0</v>
      </c>
      <c r="AM26" s="59">
        <f t="shared" ref="AM26" si="233">IF(N25&gt;M25,M25,IF(M25&gt;N25,-N25,""))</f>
        <v>0</v>
      </c>
      <c r="AN26" s="59" t="str">
        <f t="shared" ref="AN26" si="234">IF(P25&gt;O25,", "&amp;O25,IF(O25&gt;P25,", "&amp;-P25,""))</f>
        <v>, 0</v>
      </c>
      <c r="AO26" s="59" t="str">
        <f t="shared" ref="AO26" si="235">IF(R25&gt;Q25,", "&amp;Q25,IF(Q25&gt;R25,", "&amp;-R25,""))</f>
        <v/>
      </c>
      <c r="AP26" s="59" t="str">
        <f t="shared" ref="AP26" si="236">IF(T25&gt;S25,", "&amp;S25,IF(S25&gt;T25,", "&amp;-T25,""))</f>
        <v/>
      </c>
      <c r="AQ26" s="59" t="str">
        <f t="shared" ref="AQ26" si="237">IF(V25&gt;U25,", "&amp;U25,IF(U25&gt;V25,", "&amp;-V25,""))</f>
        <v/>
      </c>
      <c r="AR26" s="59" t="str">
        <f t="shared" ref="AR26" si="238">IF(X25&gt;W25,", "&amp;W25,IF(W25&gt;X25,", "&amp;-X25,""))</f>
        <v/>
      </c>
      <c r="AS26" s="59" t="str">
        <f t="shared" ref="AS26" si="239">IF(Z25&gt;Y25,", "&amp;Y25,IF(Y25&gt;Z25,", "&amp;-Z25,""))</f>
        <v/>
      </c>
      <c r="AX26" s="96"/>
      <c r="BE26" s="80">
        <v>16</v>
      </c>
      <c r="BF26" s="81" t="str">
        <f>VLOOKUP(BE26,$A$11:$L$58,6,FALSE)</f>
        <v>4 Julio-- Table</v>
      </c>
      <c r="BG26" s="113"/>
      <c r="BH26" s="70">
        <f>G45</f>
        <v>4695</v>
      </c>
      <c r="BI26" s="71" t="s">
        <v>7</v>
      </c>
      <c r="BJ26" s="114" t="s">
        <v>6</v>
      </c>
      <c r="BL26" s="115">
        <f t="shared" si="35"/>
        <v>15</v>
      </c>
      <c r="BM26" s="116" t="str">
        <f>C39</f>
        <v>4 Julio</v>
      </c>
      <c r="BN26" s="116">
        <f>D39</f>
        <v>0</v>
      </c>
      <c r="BO26" s="117">
        <f>E39</f>
        <v>0</v>
      </c>
      <c r="BP26" s="118"/>
      <c r="BQ26" s="115"/>
      <c r="BR26" s="115">
        <v>63</v>
      </c>
      <c r="BS26" s="119" t="e">
        <v>#REF!</v>
      </c>
      <c r="BT26" s="115"/>
      <c r="BU26" s="119" t="e">
        <v>#REF!</v>
      </c>
      <c r="BV26" s="115"/>
      <c r="BW26" s="115"/>
      <c r="BY26" s="90">
        <f>G39</f>
        <v>4348</v>
      </c>
      <c r="BZ26" s="91">
        <f>H39</f>
        <v>4349</v>
      </c>
      <c r="CA26" s="78" t="s">
        <v>158</v>
      </c>
      <c r="CB26" s="79" t="s">
        <v>171</v>
      </c>
    </row>
    <row r="27" spans="1:80" ht="12.75" x14ac:dyDescent="0.25">
      <c r="A27" s="165">
        <v>9</v>
      </c>
      <c r="B27" s="223"/>
      <c r="C27" s="225" t="s">
        <v>140</v>
      </c>
      <c r="D27" s="225"/>
      <c r="E27" s="211"/>
      <c r="F27" s="227" t="str">
        <f t="shared" ref="F27:F31" si="240">C27&amp;"-"&amp;D27&amp;"- Table"&amp;E27</f>
        <v>4 Julio-- Table</v>
      </c>
      <c r="G27" s="211">
        <f>IF(M11="",0,IF(AA11&gt;AB11,G11,H11))</f>
        <v>4521</v>
      </c>
      <c r="H27" s="211">
        <f>IF(M13="",0,IF(AA13&gt;AB13,G13,H13))</f>
        <v>4348</v>
      </c>
      <c r="I27" s="211" t="s">
        <v>5</v>
      </c>
      <c r="J27" s="211" t="s">
        <v>6</v>
      </c>
      <c r="K27" s="211" t="s">
        <v>10</v>
      </c>
      <c r="L27" s="211" t="s">
        <v>11</v>
      </c>
      <c r="M27" s="221">
        <v>6</v>
      </c>
      <c r="N27" s="211">
        <v>11</v>
      </c>
      <c r="O27" s="211">
        <v>7</v>
      </c>
      <c r="P27" s="211">
        <v>11</v>
      </c>
      <c r="Q27" s="211"/>
      <c r="R27" s="211"/>
      <c r="S27" s="211"/>
      <c r="T27" s="211"/>
      <c r="U27" s="211"/>
      <c r="V27" s="211"/>
      <c r="W27" s="211"/>
      <c r="X27" s="211"/>
      <c r="Y27" s="211"/>
      <c r="Z27" s="213"/>
      <c r="AA27" s="178">
        <f t="shared" ref="AA27" si="241">IF(M27+N27&lt;&gt;0,SUM(AF27:AL27),"")</f>
        <v>0</v>
      </c>
      <c r="AB27" s="178">
        <f t="shared" ref="AB27" si="242">IF(M27+N27&lt;&gt;0,SUM(AF28:AL28),"")</f>
        <v>2</v>
      </c>
      <c r="AC27" s="59" t="str">
        <f t="shared" ref="AC27" si="243">IF(AA27&gt;AB27,AD27&amp;"  "&amp;AE27,IF(AB27&gt;AA27,AD27&amp;"  "&amp;AE28,""))</f>
        <v>2 - 0  (6, 7)</v>
      </c>
      <c r="AD27" s="59" t="str">
        <f t="shared" ref="AD27" si="244">IF(AA27&gt;AB27,AA27&amp;" - "&amp;AB27,IF(AB27&gt;AA27,AB27&amp;" - "&amp;AA27,""))</f>
        <v>2 - 0</v>
      </c>
      <c r="AE27" s="59" t="str">
        <f t="shared" si="0"/>
        <v>(-6, -7)</v>
      </c>
      <c r="AF27" s="59">
        <f t="shared" ref="AF27" si="245">IF(M27&gt;N27,1,0)</f>
        <v>0</v>
      </c>
      <c r="AG27" s="59">
        <f t="shared" ref="AG27" si="246">IF(O27&gt;P27,1,0)</f>
        <v>0</v>
      </c>
      <c r="AH27" s="59">
        <f t="shared" ref="AH27" si="247">IF(Q27&gt;R27,1,0)</f>
        <v>0</v>
      </c>
      <c r="AI27" s="59">
        <f t="shared" ref="AI27" si="248">IF(S27&gt;T27,1,0)</f>
        <v>0</v>
      </c>
      <c r="AJ27" s="59">
        <f t="shared" ref="AJ27" si="249">IF(U27&gt;V27,1,0)</f>
        <v>0</v>
      </c>
      <c r="AK27" s="59">
        <f t="shared" ref="AK27" si="250">IF(W27&gt;X27,1,0)</f>
        <v>0</v>
      </c>
      <c r="AL27" s="59">
        <f t="shared" ref="AL27" si="251">IF(Y27&gt;Z27,1,0)</f>
        <v>0</v>
      </c>
      <c r="AM27" s="59">
        <f t="shared" ref="AM27" si="252">IF(M27&gt;N27,N27,IF(N27&gt;M27,-M27,""))</f>
        <v>-6</v>
      </c>
      <c r="AN27" s="59" t="str">
        <f t="shared" ref="AN27" si="253">IF(O27&gt;P27,", "&amp;P27,IF(P27&gt;O27,", "&amp;-O27,""))</f>
        <v>, -7</v>
      </c>
      <c r="AO27" s="59" t="str">
        <f t="shared" ref="AO27" si="254">IF(Q27&gt;R27,", "&amp;R27,IF(R27&gt;Q27,", "&amp;-Q27,""))</f>
        <v/>
      </c>
      <c r="AP27" s="59" t="str">
        <f t="shared" ref="AP27" si="255">IF(S27&gt;T27,", "&amp;T27,IF(T27&gt;S27,", "&amp;-S27,""))</f>
        <v/>
      </c>
      <c r="AQ27" s="59" t="str">
        <f t="shared" ref="AQ27" si="256">IF(U27&gt;V27,", "&amp;V27,IF(V27&gt;U27,", "&amp;-U27,""))</f>
        <v/>
      </c>
      <c r="AR27" s="59" t="str">
        <f t="shared" ref="AR27" si="257">IF(W27&gt;X27,", "&amp;X27,IF(X27&gt;W27,", "&amp;-W27,""))</f>
        <v/>
      </c>
      <c r="AS27" s="59" t="str">
        <f t="shared" ref="AS27" si="258">IF(Y27&gt;Z27,", "&amp;Z27,IF(Z27&gt;Y27,", "&amp;-Y27,""))</f>
        <v/>
      </c>
      <c r="AU27" s="69">
        <f>1+AU25</f>
        <v>9</v>
      </c>
      <c r="AV27" s="70">
        <f>VLOOKUP(AV28,$A$11:$L$58,7,FALSE)</f>
        <v>4349</v>
      </c>
      <c r="AW27" s="71" t="s">
        <v>9</v>
      </c>
      <c r="AX27" s="72" t="s">
        <v>6</v>
      </c>
      <c r="AY27" s="73"/>
      <c r="AZ27" s="73" t="str">
        <f>VLOOKUP(AV28,$A$11:$AD$58,29,FALSE)</f>
        <v>2 - 0  (0, 0)</v>
      </c>
      <c r="BA27" s="73"/>
      <c r="BF27" s="64"/>
      <c r="BG27" s="113"/>
      <c r="BL27" s="115">
        <f t="shared" si="35"/>
        <v>16</v>
      </c>
      <c r="BM27" s="116" t="str">
        <f>C41</f>
        <v>4 Julio</v>
      </c>
      <c r="BN27" s="116">
        <f>D41</f>
        <v>0</v>
      </c>
      <c r="BO27" s="117">
        <f>E41</f>
        <v>0</v>
      </c>
      <c r="BP27" s="118"/>
      <c r="BQ27" s="115"/>
      <c r="BR27" s="115">
        <v>64</v>
      </c>
      <c r="BS27" s="119" t="e">
        <v>#REF!</v>
      </c>
      <c r="BT27" s="115"/>
      <c r="BU27" s="119" t="e">
        <v>#REF!</v>
      </c>
      <c r="BV27" s="115"/>
      <c r="BW27" s="115"/>
      <c r="BY27" s="90">
        <f>G41</f>
        <v>4276</v>
      </c>
      <c r="BZ27" s="91">
        <f>H41</f>
        <v>4695</v>
      </c>
      <c r="CA27" s="78" t="s">
        <v>158</v>
      </c>
      <c r="CB27" s="79" t="s">
        <v>172</v>
      </c>
    </row>
    <row r="28" spans="1:80" ht="12.75" x14ac:dyDescent="0.25">
      <c r="A28" s="165"/>
      <c r="B28" s="224"/>
      <c r="C28" s="226"/>
      <c r="D28" s="226"/>
      <c r="E28" s="212"/>
      <c r="F28" s="228"/>
      <c r="G28" s="212" t="s">
        <v>173</v>
      </c>
      <c r="H28" s="212" t="s">
        <v>173</v>
      </c>
      <c r="I28" s="212"/>
      <c r="J28" s="212"/>
      <c r="K28" s="212">
        <v>0</v>
      </c>
      <c r="L28" s="212">
        <v>0</v>
      </c>
      <c r="M28" s="222"/>
      <c r="N28" s="212"/>
      <c r="O28" s="212"/>
      <c r="P28" s="212"/>
      <c r="Q28" s="212"/>
      <c r="R28" s="212"/>
      <c r="S28" s="212"/>
      <c r="T28" s="212"/>
      <c r="U28" s="212"/>
      <c r="V28" s="212"/>
      <c r="W28" s="212"/>
      <c r="X28" s="212"/>
      <c r="Y28" s="212"/>
      <c r="Z28" s="214"/>
      <c r="AA28" s="178"/>
      <c r="AB28" s="178"/>
      <c r="AD28" s="59" t="str">
        <f t="shared" ref="AD28" si="259">IF(AA27&gt;AB27,AD27&amp;"  "&amp;AE27,IF(AB27&gt;AA27,AD27&amp;"  "&amp;AE28,""))</f>
        <v>2 - 0  (6, 7)</v>
      </c>
      <c r="AE28" s="59" t="str">
        <f t="shared" si="0"/>
        <v>(6, 7)</v>
      </c>
      <c r="AF28" s="59">
        <f t="shared" ref="AF28" si="260">IF(N27&gt;M27,1,0)</f>
        <v>1</v>
      </c>
      <c r="AG28" s="59">
        <f t="shared" ref="AG28" si="261">IF(P27&gt;O27,1,0)</f>
        <v>1</v>
      </c>
      <c r="AH28" s="59">
        <f t="shared" ref="AH28" si="262">IF(R27&gt;Q27,1,0)</f>
        <v>0</v>
      </c>
      <c r="AI28" s="59">
        <f t="shared" ref="AI28" si="263">IF(T27&gt;S27,1,0)</f>
        <v>0</v>
      </c>
      <c r="AJ28" s="59">
        <f t="shared" ref="AJ28" si="264">IF(V27&gt;U27,1,0)</f>
        <v>0</v>
      </c>
      <c r="AK28" s="59">
        <f t="shared" ref="AK28" si="265">IF(X27&gt;W27,1,0)</f>
        <v>0</v>
      </c>
      <c r="AL28" s="59">
        <f t="shared" ref="AL28" si="266">IF(Z27&gt;Y27,1,0)</f>
        <v>0</v>
      </c>
      <c r="AM28" s="59">
        <f t="shared" ref="AM28" si="267">IF(N27&gt;M27,M27,IF(M27&gt;N27,-N27,""))</f>
        <v>6</v>
      </c>
      <c r="AN28" s="59" t="str">
        <f t="shared" ref="AN28" si="268">IF(P27&gt;O27,", "&amp;O27,IF(O27&gt;P27,", "&amp;-P27,""))</f>
        <v>, 7</v>
      </c>
      <c r="AO28" s="59" t="str">
        <f t="shared" ref="AO28" si="269">IF(R27&gt;Q27,", "&amp;Q27,IF(Q27&gt;R27,", "&amp;-R27,""))</f>
        <v/>
      </c>
      <c r="AP28" s="59" t="str">
        <f t="shared" ref="AP28" si="270">IF(T27&gt;S27,", "&amp;S27,IF(S27&gt;T27,", "&amp;-T27,""))</f>
        <v/>
      </c>
      <c r="AQ28" s="59" t="str">
        <f t="shared" ref="AQ28" si="271">IF(V27&gt;U27,", "&amp;U27,IF(U27&gt;V27,", "&amp;-V27,""))</f>
        <v/>
      </c>
      <c r="AR28" s="59" t="str">
        <f t="shared" ref="AR28" si="272">IF(X27&gt;W27,", "&amp;W27,IF(W27&gt;X27,", "&amp;-X27,""))</f>
        <v/>
      </c>
      <c r="AS28" s="59" t="str">
        <f t="shared" ref="AS28" si="273">IF(Z27&gt;Y27,", "&amp;Y27,IF(Y27&gt;Z27,", "&amp;-Z27,""))</f>
        <v/>
      </c>
      <c r="AV28" s="80">
        <v>5</v>
      </c>
      <c r="AW28" s="81" t="str">
        <f>VLOOKUP(AV28,$A$11:$L$58,6,FALSE)</f>
        <v>4 Julio-- Table</v>
      </c>
      <c r="AX28" s="82"/>
      <c r="AY28" s="83">
        <f>VLOOKUP(AY30,$A$11:$L$62,7,FALSE)</f>
        <v>4349</v>
      </c>
      <c r="AZ28" s="71" t="s">
        <v>9</v>
      </c>
      <c r="BA28" s="72" t="s">
        <v>6</v>
      </c>
      <c r="BG28" s="101"/>
    </row>
    <row r="29" spans="1:80" ht="12.75" x14ac:dyDescent="0.25">
      <c r="A29" s="165">
        <v>10</v>
      </c>
      <c r="B29" s="215"/>
      <c r="C29" s="217" t="s">
        <v>140</v>
      </c>
      <c r="D29" s="217"/>
      <c r="E29" s="199"/>
      <c r="F29" s="219" t="str">
        <f t="shared" ref="F29:F33" si="274">C29&amp;"-"&amp;D29&amp;"- Table"&amp;E29</f>
        <v>4 Julio-- Table</v>
      </c>
      <c r="G29" s="199">
        <f>IF(M15="",0,IF(AA15&gt;AB15,G15,H15))</f>
        <v>4654</v>
      </c>
      <c r="H29" s="199">
        <f>IF(M17="",0,IF(AA17&gt;AB17,G17,H17))</f>
        <v>4276</v>
      </c>
      <c r="I29" s="199" t="s">
        <v>12</v>
      </c>
      <c r="J29" s="199" t="s">
        <v>13</v>
      </c>
      <c r="K29" s="199" t="s">
        <v>8</v>
      </c>
      <c r="L29" s="199" t="s">
        <v>6</v>
      </c>
      <c r="M29" s="209">
        <v>11</v>
      </c>
      <c r="N29" s="199">
        <v>6</v>
      </c>
      <c r="O29" s="199">
        <v>5</v>
      </c>
      <c r="P29" s="199">
        <v>11</v>
      </c>
      <c r="Q29" s="199">
        <v>5</v>
      </c>
      <c r="R29" s="199">
        <v>11</v>
      </c>
      <c r="S29" s="199"/>
      <c r="T29" s="199"/>
      <c r="U29" s="199"/>
      <c r="V29" s="199"/>
      <c r="W29" s="199"/>
      <c r="X29" s="199"/>
      <c r="Y29" s="199"/>
      <c r="Z29" s="201"/>
      <c r="AA29" s="178">
        <f t="shared" ref="AA29" si="275">IF(M29+N29&lt;&gt;0,SUM(AF29:AL29),"")</f>
        <v>1</v>
      </c>
      <c r="AB29" s="178">
        <f t="shared" ref="AB29" si="276">IF(M29+N29&lt;&gt;0,SUM(AF30:AL30),"")</f>
        <v>2</v>
      </c>
      <c r="AC29" s="59" t="str">
        <f t="shared" ref="AC29" si="277">IF(AA29&gt;AB29,AD29&amp;"  "&amp;AE29,IF(AB29&gt;AA29,AD29&amp;"  "&amp;AE30,""))</f>
        <v>2 - 1  (-6, 5, 5)</v>
      </c>
      <c r="AD29" s="59" t="str">
        <f t="shared" ref="AD29" si="278">IF(AA29&gt;AB29,AA29&amp;" - "&amp;AB29,IF(AB29&gt;AA29,AB29&amp;" - "&amp;AA29,""))</f>
        <v>2 - 1</v>
      </c>
      <c r="AE29" s="59" t="str">
        <f t="shared" si="0"/>
        <v>(6, -5, -5)</v>
      </c>
      <c r="AF29" s="59">
        <f t="shared" ref="AF29" si="279">IF(M29&gt;N29,1,0)</f>
        <v>1</v>
      </c>
      <c r="AG29" s="59">
        <f t="shared" ref="AG29" si="280">IF(O29&gt;P29,1,0)</f>
        <v>0</v>
      </c>
      <c r="AH29" s="59">
        <f t="shared" ref="AH29" si="281">IF(Q29&gt;R29,1,0)</f>
        <v>0</v>
      </c>
      <c r="AI29" s="59">
        <f t="shared" ref="AI29" si="282">IF(S29&gt;T29,1,0)</f>
        <v>0</v>
      </c>
      <c r="AJ29" s="59">
        <f t="shared" ref="AJ29" si="283">IF(U29&gt;V29,1,0)</f>
        <v>0</v>
      </c>
      <c r="AK29" s="59">
        <f t="shared" ref="AK29" si="284">IF(W29&gt;X29,1,0)</f>
        <v>0</v>
      </c>
      <c r="AL29" s="59">
        <f t="shared" ref="AL29" si="285">IF(Y29&gt;Z29,1,0)</f>
        <v>0</v>
      </c>
      <c r="AM29" s="59">
        <f t="shared" ref="AM29" si="286">IF(M29&gt;N29,N29,IF(N29&gt;M29,-M29,""))</f>
        <v>6</v>
      </c>
      <c r="AN29" s="59" t="str">
        <f t="shared" ref="AN29" si="287">IF(O29&gt;P29,", "&amp;P29,IF(P29&gt;O29,", "&amp;-O29,""))</f>
        <v>, -5</v>
      </c>
      <c r="AO29" s="59" t="str">
        <f t="shared" ref="AO29" si="288">IF(Q29&gt;R29,", "&amp;R29,IF(R29&gt;Q29,", "&amp;-Q29,""))</f>
        <v>, -5</v>
      </c>
      <c r="AP29" s="59" t="str">
        <f t="shared" ref="AP29" si="289">IF(S29&gt;T29,", "&amp;T29,IF(T29&gt;S29,", "&amp;-S29,""))</f>
        <v/>
      </c>
      <c r="AQ29" s="59" t="str">
        <f t="shared" ref="AQ29" si="290">IF(U29&gt;V29,", "&amp;V29,IF(V29&gt;U29,", "&amp;-U29,""))</f>
        <v/>
      </c>
      <c r="AR29" s="59" t="str">
        <f t="shared" ref="AR29" si="291">IF(W29&gt;X29,", "&amp;X29,IF(X29&gt;W29,", "&amp;-W29,""))</f>
        <v/>
      </c>
      <c r="AS29" s="59" t="str">
        <f t="shared" ref="AS29" si="292">IF(Y29&gt;Z29,", "&amp;Z29,IF(Z29&gt;Y29,", "&amp;-Y29,""))</f>
        <v/>
      </c>
      <c r="AU29" s="69">
        <f>1+AU27</f>
        <v>10</v>
      </c>
      <c r="AV29" s="92" t="str">
        <f>VLOOKUP(AV28,$A$11:$L$58,8,FALSE)</f>
        <v>x</v>
      </c>
      <c r="AW29" s="92" t="s">
        <v>200</v>
      </c>
      <c r="AX29" s="93" t="s">
        <v>200</v>
      </c>
      <c r="BA29" s="94"/>
      <c r="BB29" s="95"/>
      <c r="BC29" s="73" t="str">
        <f>VLOOKUP(AY30,$A$11:$AD$58,29,FALSE)</f>
        <v>2 - 0  (6, 5)</v>
      </c>
      <c r="BD29" s="73"/>
      <c r="BG29" s="101"/>
    </row>
    <row r="30" spans="1:80" ht="12.75" x14ac:dyDescent="0.25">
      <c r="A30" s="165"/>
      <c r="B30" s="216"/>
      <c r="C30" s="218"/>
      <c r="D30" s="218"/>
      <c r="E30" s="200"/>
      <c r="F30" s="220"/>
      <c r="G30" s="200" t="s">
        <v>173</v>
      </c>
      <c r="H30" s="200" t="s">
        <v>173</v>
      </c>
      <c r="I30" s="200"/>
      <c r="J30" s="200"/>
      <c r="K30" s="200">
        <v>0</v>
      </c>
      <c r="L30" s="200">
        <v>0</v>
      </c>
      <c r="M30" s="210"/>
      <c r="N30" s="200"/>
      <c r="O30" s="200"/>
      <c r="P30" s="200"/>
      <c r="Q30" s="200"/>
      <c r="R30" s="200"/>
      <c r="S30" s="200"/>
      <c r="T30" s="200"/>
      <c r="U30" s="200"/>
      <c r="V30" s="200"/>
      <c r="W30" s="200"/>
      <c r="X30" s="200"/>
      <c r="Y30" s="200"/>
      <c r="Z30" s="202"/>
      <c r="AA30" s="178"/>
      <c r="AB30" s="178"/>
      <c r="AD30" s="59" t="str">
        <f t="shared" ref="AD30" si="293">IF(AA29&gt;AB29,AD29&amp;"  "&amp;AE29,IF(AB29&gt;AA29,AD29&amp;"  "&amp;AE30,""))</f>
        <v>2 - 1  (-6, 5, 5)</v>
      </c>
      <c r="AE30" s="59" t="str">
        <f t="shared" si="0"/>
        <v>(-6, 5, 5)</v>
      </c>
      <c r="AF30" s="59">
        <f t="shared" ref="AF30" si="294">IF(N29&gt;M29,1,0)</f>
        <v>0</v>
      </c>
      <c r="AG30" s="59">
        <f t="shared" ref="AG30" si="295">IF(P29&gt;O29,1,0)</f>
        <v>1</v>
      </c>
      <c r="AH30" s="59">
        <f t="shared" ref="AH30" si="296">IF(R29&gt;Q29,1,0)</f>
        <v>1</v>
      </c>
      <c r="AI30" s="59">
        <f t="shared" ref="AI30" si="297">IF(T29&gt;S29,1,0)</f>
        <v>0</v>
      </c>
      <c r="AJ30" s="59">
        <f t="shared" ref="AJ30" si="298">IF(V29&gt;U29,1,0)</f>
        <v>0</v>
      </c>
      <c r="AK30" s="59">
        <f t="shared" ref="AK30" si="299">IF(X29&gt;W29,1,0)</f>
        <v>0</v>
      </c>
      <c r="AL30" s="59">
        <f t="shared" ref="AL30" si="300">IF(Z29&gt;Y29,1,0)</f>
        <v>0</v>
      </c>
      <c r="AM30" s="59">
        <f t="shared" ref="AM30" si="301">IF(N29&gt;M29,M29,IF(M29&gt;N29,-N29,""))</f>
        <v>-6</v>
      </c>
      <c r="AN30" s="59" t="str">
        <f t="shared" ref="AN30" si="302">IF(P29&gt;O29,", "&amp;O29,IF(O29&gt;P29,", "&amp;-P29,""))</f>
        <v>, 5</v>
      </c>
      <c r="AO30" s="59" t="str">
        <f t="shared" ref="AO30" si="303">IF(R29&gt;Q29,", "&amp;Q29,IF(Q29&gt;R29,", "&amp;-R29,""))</f>
        <v>, 5</v>
      </c>
      <c r="AP30" s="59" t="str">
        <f t="shared" ref="AP30" si="304">IF(T29&gt;S29,", "&amp;S29,IF(S29&gt;T29,", "&amp;-T29,""))</f>
        <v/>
      </c>
      <c r="AQ30" s="59" t="str">
        <f t="shared" ref="AQ30" si="305">IF(V29&gt;U29,", "&amp;U29,IF(U29&gt;V29,", "&amp;-V29,""))</f>
        <v/>
      </c>
      <c r="AR30" s="59" t="str">
        <f t="shared" ref="AR30" si="306">IF(X29&gt;W29,", "&amp;W29,IF(W29&gt;X29,", "&amp;-X29,""))</f>
        <v/>
      </c>
      <c r="AS30" s="59" t="str">
        <f t="shared" ref="AS30" si="307">IF(Z29&gt;Y29,", "&amp;Y29,IF(Y29&gt;Z29,", "&amp;-Z29,""))</f>
        <v/>
      </c>
      <c r="AX30" s="96"/>
      <c r="AY30" s="80">
        <v>11</v>
      </c>
      <c r="AZ30" s="81" t="str">
        <f>VLOOKUP(AY30,$A$11:$L$58,6,FALSE)</f>
        <v>4 Julio-- Table</v>
      </c>
      <c r="BA30" s="97"/>
      <c r="BB30" s="70">
        <f>VLOOKUP(BB34,$A$11:$L$62,7,FALSE)</f>
        <v>4349</v>
      </c>
      <c r="BC30" s="71" t="s">
        <v>9</v>
      </c>
      <c r="BD30" s="72" t="s">
        <v>6</v>
      </c>
      <c r="BG30" s="101"/>
    </row>
    <row r="31" spans="1:80" ht="12.75" x14ac:dyDescent="0.25">
      <c r="A31" s="165">
        <v>11</v>
      </c>
      <c r="B31" s="223"/>
      <c r="C31" s="225" t="s">
        <v>140</v>
      </c>
      <c r="D31" s="225"/>
      <c r="E31" s="211"/>
      <c r="F31" s="227" t="str">
        <f t="shared" si="240"/>
        <v>4 Julio-- Table</v>
      </c>
      <c r="G31" s="211">
        <f>IF(M19="",0,IF(AA19&gt;AB19,G19,H19))</f>
        <v>4349</v>
      </c>
      <c r="H31" s="211">
        <f>IF(M21="",0,IF(AA21&gt;AB21,G21,H21))</f>
        <v>4439</v>
      </c>
      <c r="I31" s="211" t="s">
        <v>9</v>
      </c>
      <c r="J31" s="211" t="s">
        <v>6</v>
      </c>
      <c r="K31" s="211" t="s">
        <v>24</v>
      </c>
      <c r="L31" s="211" t="s">
        <v>11</v>
      </c>
      <c r="M31" s="221">
        <v>11</v>
      </c>
      <c r="N31" s="211">
        <v>6</v>
      </c>
      <c r="O31" s="211">
        <v>11</v>
      </c>
      <c r="P31" s="211">
        <v>5</v>
      </c>
      <c r="Q31" s="211"/>
      <c r="R31" s="211"/>
      <c r="S31" s="211"/>
      <c r="T31" s="211"/>
      <c r="U31" s="211"/>
      <c r="V31" s="211"/>
      <c r="W31" s="211"/>
      <c r="X31" s="211"/>
      <c r="Y31" s="211"/>
      <c r="Z31" s="213"/>
      <c r="AA31" s="178">
        <f t="shared" ref="AA31" si="308">IF(M31+N31&lt;&gt;0,SUM(AF31:AL31),"")</f>
        <v>2</v>
      </c>
      <c r="AB31" s="178">
        <f t="shared" ref="AB31" si="309">IF(M31+N31&lt;&gt;0,SUM(AF32:AL32),"")</f>
        <v>0</v>
      </c>
      <c r="AC31" s="59" t="str">
        <f t="shared" ref="AC31" si="310">IF(AA31&gt;AB31,AD31&amp;"  "&amp;AE31,IF(AB31&gt;AA31,AD31&amp;"  "&amp;AE32,""))</f>
        <v>2 - 0  (6, 5)</v>
      </c>
      <c r="AD31" s="59" t="str">
        <f t="shared" ref="AD31" si="311">IF(AA31&gt;AB31,AA31&amp;" - "&amp;AB31,IF(AB31&gt;AA31,AB31&amp;" - "&amp;AA31,""))</f>
        <v>2 - 0</v>
      </c>
      <c r="AE31" s="59" t="str">
        <f t="shared" si="0"/>
        <v>(6, 5)</v>
      </c>
      <c r="AF31" s="59">
        <f t="shared" ref="AF31" si="312">IF(M31&gt;N31,1,0)</f>
        <v>1</v>
      </c>
      <c r="AG31" s="59">
        <f t="shared" ref="AG31" si="313">IF(O31&gt;P31,1,0)</f>
        <v>1</v>
      </c>
      <c r="AH31" s="59">
        <f t="shared" ref="AH31" si="314">IF(Q31&gt;R31,1,0)</f>
        <v>0</v>
      </c>
      <c r="AI31" s="59">
        <f t="shared" ref="AI31" si="315">IF(S31&gt;T31,1,0)</f>
        <v>0</v>
      </c>
      <c r="AJ31" s="59">
        <f t="shared" ref="AJ31" si="316">IF(U31&gt;V31,1,0)</f>
        <v>0</v>
      </c>
      <c r="AK31" s="59">
        <f t="shared" ref="AK31" si="317">IF(W31&gt;X31,1,0)</f>
        <v>0</v>
      </c>
      <c r="AL31" s="59">
        <f t="shared" ref="AL31" si="318">IF(Y31&gt;Z31,1,0)</f>
        <v>0</v>
      </c>
      <c r="AM31" s="59">
        <f t="shared" ref="AM31" si="319">IF(M31&gt;N31,N31,IF(N31&gt;M31,-M31,""))</f>
        <v>6</v>
      </c>
      <c r="AN31" s="59" t="str">
        <f t="shared" ref="AN31" si="320">IF(O31&gt;P31,", "&amp;P31,IF(P31&gt;O31,", "&amp;-O31,""))</f>
        <v>, 5</v>
      </c>
      <c r="AO31" s="59" t="str">
        <f t="shared" ref="AO31" si="321">IF(Q31&gt;R31,", "&amp;R31,IF(R31&gt;Q31,", "&amp;-Q31,""))</f>
        <v/>
      </c>
      <c r="AP31" s="59" t="str">
        <f t="shared" ref="AP31" si="322">IF(S31&gt;T31,", "&amp;T31,IF(T31&gt;S31,", "&amp;-S31,""))</f>
        <v/>
      </c>
      <c r="AQ31" s="59" t="str">
        <f t="shared" ref="AQ31" si="323">IF(U31&gt;V31,", "&amp;V31,IF(V31&gt;U31,", "&amp;-U31,""))</f>
        <v/>
      </c>
      <c r="AR31" s="59" t="str">
        <f t="shared" ref="AR31" si="324">IF(W31&gt;X31,", "&amp;X31,IF(X31&gt;W31,", "&amp;-W31,""))</f>
        <v/>
      </c>
      <c r="AS31" s="59" t="str">
        <f t="shared" ref="AS31" si="325">IF(Y31&gt;Z31,", "&amp;Z31,IF(Z31&gt;Y31,", "&amp;-Y31,""))</f>
        <v/>
      </c>
      <c r="AU31" s="69">
        <f>1+AU29</f>
        <v>11</v>
      </c>
      <c r="AV31" s="70">
        <f>VLOOKUP(AV32,$A$11:$L$58,7,FALSE)</f>
        <v>4439</v>
      </c>
      <c r="AW31" s="71" t="s">
        <v>24</v>
      </c>
      <c r="AX31" s="72" t="s">
        <v>11</v>
      </c>
      <c r="AY31" s="98"/>
      <c r="BA31" s="94"/>
      <c r="BD31" s="94"/>
      <c r="BG31" s="101"/>
    </row>
    <row r="32" spans="1:80" ht="12.75" x14ac:dyDescent="0.25">
      <c r="A32" s="165"/>
      <c r="B32" s="224"/>
      <c r="C32" s="226"/>
      <c r="D32" s="226"/>
      <c r="E32" s="212"/>
      <c r="F32" s="228"/>
      <c r="G32" s="212" t="s">
        <v>173</v>
      </c>
      <c r="H32" s="212" t="s">
        <v>173</v>
      </c>
      <c r="I32" s="212"/>
      <c r="J32" s="212"/>
      <c r="K32" s="212">
        <v>0</v>
      </c>
      <c r="L32" s="212">
        <v>0</v>
      </c>
      <c r="M32" s="222"/>
      <c r="N32" s="212"/>
      <c r="O32" s="212"/>
      <c r="P32" s="212"/>
      <c r="Q32" s="212"/>
      <c r="R32" s="212"/>
      <c r="S32" s="212"/>
      <c r="T32" s="212"/>
      <c r="U32" s="212"/>
      <c r="V32" s="212"/>
      <c r="W32" s="212"/>
      <c r="X32" s="212"/>
      <c r="Y32" s="212"/>
      <c r="Z32" s="214"/>
      <c r="AA32" s="178"/>
      <c r="AB32" s="178"/>
      <c r="AD32" s="59" t="str">
        <f t="shared" ref="AD32" si="326">IF(AA31&gt;AB31,AD31&amp;"  "&amp;AE31,IF(AB31&gt;AA31,AD31&amp;"  "&amp;AE32,""))</f>
        <v>2 - 0  (6, 5)</v>
      </c>
      <c r="AE32" s="59" t="str">
        <f t="shared" si="0"/>
        <v>(-6, -5)</v>
      </c>
      <c r="AF32" s="59">
        <f t="shared" ref="AF32" si="327">IF(N31&gt;M31,1,0)</f>
        <v>0</v>
      </c>
      <c r="AG32" s="59">
        <f t="shared" ref="AG32" si="328">IF(P31&gt;O31,1,0)</f>
        <v>0</v>
      </c>
      <c r="AH32" s="59">
        <f t="shared" ref="AH32" si="329">IF(R31&gt;Q31,1,0)</f>
        <v>0</v>
      </c>
      <c r="AI32" s="59">
        <f t="shared" ref="AI32" si="330">IF(T31&gt;S31,1,0)</f>
        <v>0</v>
      </c>
      <c r="AJ32" s="59">
        <f t="shared" ref="AJ32" si="331">IF(V31&gt;U31,1,0)</f>
        <v>0</v>
      </c>
      <c r="AK32" s="59">
        <f t="shared" ref="AK32" si="332">IF(X31&gt;W31,1,0)</f>
        <v>0</v>
      </c>
      <c r="AL32" s="59">
        <f t="shared" ref="AL32" si="333">IF(Z31&gt;Y31,1,0)</f>
        <v>0</v>
      </c>
      <c r="AM32" s="59">
        <f t="shared" ref="AM32" si="334">IF(N31&gt;M31,M31,IF(M31&gt;N31,-N31,""))</f>
        <v>-6</v>
      </c>
      <c r="AN32" s="59" t="str">
        <f t="shared" ref="AN32" si="335">IF(P31&gt;O31,", "&amp;O31,IF(O31&gt;P31,", "&amp;-P31,""))</f>
        <v>, -5</v>
      </c>
      <c r="AO32" s="59" t="str">
        <f t="shared" ref="AO32" si="336">IF(R31&gt;Q31,", "&amp;Q31,IF(Q31&gt;R31,", "&amp;-R31,""))</f>
        <v/>
      </c>
      <c r="AP32" s="59" t="str">
        <f t="shared" ref="AP32" si="337">IF(T31&gt;S31,", "&amp;S31,IF(S31&gt;T31,", "&amp;-T31,""))</f>
        <v/>
      </c>
      <c r="AQ32" s="59" t="str">
        <f t="shared" ref="AQ32" si="338">IF(V31&gt;U31,", "&amp;U31,IF(U31&gt;V31,", "&amp;-V31,""))</f>
        <v/>
      </c>
      <c r="AR32" s="59" t="str">
        <f t="shared" ref="AR32" si="339">IF(X31&gt;W31,", "&amp;W31,IF(W31&gt;X31,", "&amp;-X31,""))</f>
        <v/>
      </c>
      <c r="AS32" s="59" t="str">
        <f t="shared" ref="AS32" si="340">IF(Z31&gt;Y31,", "&amp;Y31,IF(Y31&gt;Z31,", "&amp;-Z31,""))</f>
        <v/>
      </c>
      <c r="AV32" s="80">
        <v>6</v>
      </c>
      <c r="AW32" s="81" t="str">
        <f>VLOOKUP(AV32,$A$11:$L$58,6,FALSE)</f>
        <v>4 Julio-- Table</v>
      </c>
      <c r="AX32" s="82"/>
      <c r="AY32" s="99">
        <f>VLOOKUP(AY30,$A$11:$L$62,8,FALSE)</f>
        <v>4439</v>
      </c>
      <c r="AZ32" s="92" t="s">
        <v>24</v>
      </c>
      <c r="BA32" s="93" t="s">
        <v>11</v>
      </c>
      <c r="BD32" s="94"/>
      <c r="BG32" s="101"/>
    </row>
    <row r="33" spans="1:62" ht="12.75" x14ac:dyDescent="0.25">
      <c r="A33" s="165">
        <v>12</v>
      </c>
      <c r="B33" s="215"/>
      <c r="C33" s="217" t="s">
        <v>140</v>
      </c>
      <c r="D33" s="217"/>
      <c r="E33" s="199"/>
      <c r="F33" s="219" t="str">
        <f t="shared" si="274"/>
        <v>4 Julio-- Table</v>
      </c>
      <c r="G33" s="199">
        <f>IF(M23="",0,IF(AA23&gt;AB23,G23,H23))</f>
        <v>4239</v>
      </c>
      <c r="H33" s="199">
        <f>IF(M25="",0,IF(AA25&gt;AB25,G25,H25))</f>
        <v>4695</v>
      </c>
      <c r="I33" s="199" t="s">
        <v>14</v>
      </c>
      <c r="J33" s="199" t="s">
        <v>15</v>
      </c>
      <c r="K33" s="199" t="s">
        <v>7</v>
      </c>
      <c r="L33" s="199" t="s">
        <v>6</v>
      </c>
      <c r="M33" s="209">
        <v>8</v>
      </c>
      <c r="N33" s="199">
        <v>11</v>
      </c>
      <c r="O33" s="199">
        <v>2</v>
      </c>
      <c r="P33" s="199">
        <v>11</v>
      </c>
      <c r="Q33" s="199"/>
      <c r="R33" s="199"/>
      <c r="S33" s="199"/>
      <c r="T33" s="199"/>
      <c r="U33" s="199"/>
      <c r="V33" s="199"/>
      <c r="W33" s="199"/>
      <c r="X33" s="199"/>
      <c r="Y33" s="199"/>
      <c r="Z33" s="201"/>
      <c r="AA33" s="178">
        <f t="shared" ref="AA33" si="341">IF(M33+N33&lt;&gt;0,SUM(AF33:AL33),"")</f>
        <v>0</v>
      </c>
      <c r="AB33" s="178">
        <f t="shared" ref="AB33" si="342">IF(M33+N33&lt;&gt;0,SUM(AF34:AL34),"")</f>
        <v>2</v>
      </c>
      <c r="AC33" s="59" t="str">
        <f t="shared" ref="AC33" si="343">IF(AA33&gt;AB33,AD33&amp;"  "&amp;AE33,IF(AB33&gt;AA33,AD33&amp;"  "&amp;AE34,""))</f>
        <v>2 - 0  (8, 2)</v>
      </c>
      <c r="AD33" s="59" t="str">
        <f t="shared" ref="AD33" si="344">IF(AA33&gt;AB33,AA33&amp;" - "&amp;AB33,IF(AB33&gt;AA33,AB33&amp;" - "&amp;AA33,""))</f>
        <v>2 - 0</v>
      </c>
      <c r="AE33" s="59" t="str">
        <f t="shared" si="0"/>
        <v>(-8, -2)</v>
      </c>
      <c r="AF33" s="59">
        <f t="shared" ref="AF33" si="345">IF(M33&gt;N33,1,0)</f>
        <v>0</v>
      </c>
      <c r="AG33" s="59">
        <f t="shared" ref="AG33" si="346">IF(O33&gt;P33,1,0)</f>
        <v>0</v>
      </c>
      <c r="AH33" s="59">
        <f t="shared" ref="AH33" si="347">IF(Q33&gt;R33,1,0)</f>
        <v>0</v>
      </c>
      <c r="AI33" s="59">
        <f t="shared" ref="AI33" si="348">IF(S33&gt;T33,1,0)</f>
        <v>0</v>
      </c>
      <c r="AJ33" s="59">
        <f t="shared" ref="AJ33" si="349">IF(U33&gt;V33,1,0)</f>
        <v>0</v>
      </c>
      <c r="AK33" s="59">
        <f t="shared" ref="AK33" si="350">IF(W33&gt;X33,1,0)</f>
        <v>0</v>
      </c>
      <c r="AL33" s="59">
        <f t="shared" ref="AL33" si="351">IF(Y33&gt;Z33,1,0)</f>
        <v>0</v>
      </c>
      <c r="AM33" s="59">
        <f t="shared" ref="AM33" si="352">IF(M33&gt;N33,N33,IF(N33&gt;M33,-M33,""))</f>
        <v>-8</v>
      </c>
      <c r="AN33" s="59" t="str">
        <f t="shared" ref="AN33" si="353">IF(O33&gt;P33,", "&amp;P33,IF(P33&gt;O33,", "&amp;-O33,""))</f>
        <v>, -2</v>
      </c>
      <c r="AO33" s="59" t="str">
        <f t="shared" ref="AO33" si="354">IF(Q33&gt;R33,", "&amp;R33,IF(R33&gt;Q33,", "&amp;-Q33,""))</f>
        <v/>
      </c>
      <c r="AP33" s="59" t="str">
        <f t="shared" ref="AP33" si="355">IF(S33&gt;T33,", "&amp;T33,IF(T33&gt;S33,", "&amp;-S33,""))</f>
        <v/>
      </c>
      <c r="AQ33" s="59" t="str">
        <f t="shared" ref="AQ33" si="356">IF(U33&gt;V33,", "&amp;V33,IF(V33&gt;U33,", "&amp;-U33,""))</f>
        <v/>
      </c>
      <c r="AR33" s="59" t="str">
        <f t="shared" ref="AR33" si="357">IF(W33&gt;X33,", "&amp;X33,IF(X33&gt;W33,", "&amp;-W33,""))</f>
        <v/>
      </c>
      <c r="AS33" s="59" t="str">
        <f t="shared" ref="AS33" si="358">IF(Y33&gt;Z33,", "&amp;Z33,IF(Z33&gt;Y33,", "&amp;-Y33,""))</f>
        <v/>
      </c>
      <c r="AU33" s="69">
        <f>1+AU31</f>
        <v>12</v>
      </c>
      <c r="AV33" s="92">
        <f>VLOOKUP(AV32,$A$11:$L$58,8,FALSE)</f>
        <v>4519</v>
      </c>
      <c r="AW33" s="92" t="s">
        <v>25</v>
      </c>
      <c r="AX33" s="93" t="s">
        <v>6</v>
      </c>
      <c r="AY33" s="73"/>
      <c r="AZ33" s="73" t="str">
        <f>VLOOKUP(AV32,$A$11:$AD$62,29,FALSE)</f>
        <v>2 - 0  (9, 10)</v>
      </c>
      <c r="BA33" s="73"/>
      <c r="BD33" s="94"/>
      <c r="BG33" s="101"/>
    </row>
    <row r="34" spans="1:62" ht="12.75" x14ac:dyDescent="0.25">
      <c r="A34" s="165"/>
      <c r="B34" s="216"/>
      <c r="C34" s="218"/>
      <c r="D34" s="218"/>
      <c r="E34" s="200"/>
      <c r="F34" s="220"/>
      <c r="G34" s="200" t="s">
        <v>173</v>
      </c>
      <c r="H34" s="200" t="s">
        <v>173</v>
      </c>
      <c r="I34" s="200"/>
      <c r="J34" s="200"/>
      <c r="K34" s="200">
        <v>0</v>
      </c>
      <c r="L34" s="200">
        <v>0</v>
      </c>
      <c r="M34" s="210"/>
      <c r="N34" s="200"/>
      <c r="O34" s="200"/>
      <c r="P34" s="200"/>
      <c r="Q34" s="200"/>
      <c r="R34" s="200"/>
      <c r="S34" s="200"/>
      <c r="T34" s="200"/>
      <c r="U34" s="200"/>
      <c r="V34" s="200"/>
      <c r="W34" s="200"/>
      <c r="X34" s="200"/>
      <c r="Y34" s="200"/>
      <c r="Z34" s="202"/>
      <c r="AA34" s="178"/>
      <c r="AB34" s="178"/>
      <c r="AD34" s="59" t="str">
        <f t="shared" ref="AD34" si="359">IF(AA33&gt;AB33,AD33&amp;"  "&amp;AE33,IF(AB33&gt;AA33,AD33&amp;"  "&amp;AE34,""))</f>
        <v>2 - 0  (8, 2)</v>
      </c>
      <c r="AE34" s="59" t="str">
        <f t="shared" si="0"/>
        <v>(8, 2)</v>
      </c>
      <c r="AF34" s="59">
        <f t="shared" ref="AF34" si="360">IF(N33&gt;M33,1,0)</f>
        <v>1</v>
      </c>
      <c r="AG34" s="59">
        <f t="shared" ref="AG34" si="361">IF(P33&gt;O33,1,0)</f>
        <v>1</v>
      </c>
      <c r="AH34" s="59">
        <f t="shared" ref="AH34" si="362">IF(R33&gt;Q33,1,0)</f>
        <v>0</v>
      </c>
      <c r="AI34" s="59">
        <f t="shared" ref="AI34" si="363">IF(T33&gt;S33,1,0)</f>
        <v>0</v>
      </c>
      <c r="AJ34" s="59">
        <f t="shared" ref="AJ34" si="364">IF(V33&gt;U33,1,0)</f>
        <v>0</v>
      </c>
      <c r="AK34" s="59">
        <f t="shared" ref="AK34" si="365">IF(X33&gt;W33,1,0)</f>
        <v>0</v>
      </c>
      <c r="AL34" s="59">
        <f t="shared" ref="AL34" si="366">IF(Z33&gt;Y33,1,0)</f>
        <v>0</v>
      </c>
      <c r="AM34" s="59">
        <f t="shared" ref="AM34" si="367">IF(N33&gt;M33,M33,IF(M33&gt;N33,-N33,""))</f>
        <v>8</v>
      </c>
      <c r="AN34" s="59" t="str">
        <f t="shared" ref="AN34" si="368">IF(P33&gt;O33,", "&amp;O33,IF(O33&gt;P33,", "&amp;-P33,""))</f>
        <v>, 2</v>
      </c>
      <c r="AO34" s="59" t="str">
        <f t="shared" ref="AO34" si="369">IF(R33&gt;Q33,", "&amp;Q33,IF(Q33&gt;R33,", "&amp;-R33,""))</f>
        <v/>
      </c>
      <c r="AP34" s="59" t="str">
        <f t="shared" ref="AP34" si="370">IF(T33&gt;S33,", "&amp;S33,IF(S33&gt;T33,", "&amp;-T33,""))</f>
        <v/>
      </c>
      <c r="AQ34" s="59" t="str">
        <f t="shared" ref="AQ34" si="371">IF(V33&gt;U33,", "&amp;U33,IF(U33&gt;V33,", "&amp;-V33,""))</f>
        <v/>
      </c>
      <c r="AR34" s="59" t="str">
        <f t="shared" ref="AR34" si="372">IF(X33&gt;W33,", "&amp;W33,IF(W33&gt;X33,", "&amp;-X33,""))</f>
        <v/>
      </c>
      <c r="AS34" s="59" t="str">
        <f t="shared" ref="AS34" si="373">IF(Z33&gt;Y33,", "&amp;Y33,IF(Y33&gt;Z33,", "&amp;-Z33,""))</f>
        <v/>
      </c>
      <c r="AX34" s="96"/>
      <c r="BB34" s="80">
        <v>14</v>
      </c>
      <c r="BC34" s="81" t="str">
        <f>VLOOKUP(BB34,$A$11:$L$58,6,FALSE)</f>
        <v>4 Julio-- Table</v>
      </c>
      <c r="BD34" s="94"/>
      <c r="BE34" s="92">
        <f>VLOOKUP(BE26,$A$11:$L$62,8,FALSE)</f>
        <v>4695</v>
      </c>
      <c r="BF34" s="92" t="s">
        <v>7</v>
      </c>
      <c r="BG34" s="120" t="s">
        <v>6</v>
      </c>
    </row>
    <row r="35" spans="1:62" ht="12.75" x14ac:dyDescent="0.25">
      <c r="A35" s="165">
        <v>13</v>
      </c>
      <c r="B35" s="203"/>
      <c r="C35" s="205" t="s">
        <v>140</v>
      </c>
      <c r="D35" s="205"/>
      <c r="E35" s="187"/>
      <c r="F35" s="207" t="str">
        <f t="shared" ref="F35:F39" si="374">C35&amp;"-"&amp;D35&amp;"- Table"&amp;E35</f>
        <v>4 Julio-- Table</v>
      </c>
      <c r="G35" s="187">
        <f>IF(M27="",0,IF(AA27&gt;AB27,G27,H27))</f>
        <v>4348</v>
      </c>
      <c r="H35" s="187">
        <f>IF(M29="",0,IF(AA29&gt;AB29,G29,H29))</f>
        <v>4276</v>
      </c>
      <c r="I35" s="187" t="s">
        <v>10</v>
      </c>
      <c r="J35" s="187" t="s">
        <v>11</v>
      </c>
      <c r="K35" s="187" t="s">
        <v>8</v>
      </c>
      <c r="L35" s="187" t="s">
        <v>6</v>
      </c>
      <c r="M35" s="197">
        <v>11</v>
      </c>
      <c r="N35" s="187">
        <v>3</v>
      </c>
      <c r="O35" s="187">
        <v>8</v>
      </c>
      <c r="P35" s="187">
        <v>11</v>
      </c>
      <c r="Q35" s="187">
        <v>4</v>
      </c>
      <c r="R35" s="187">
        <v>11</v>
      </c>
      <c r="S35" s="187">
        <v>11</v>
      </c>
      <c r="T35" s="187">
        <v>6</v>
      </c>
      <c r="U35" s="187">
        <v>6</v>
      </c>
      <c r="V35" s="187">
        <v>11</v>
      </c>
      <c r="W35" s="187"/>
      <c r="X35" s="187"/>
      <c r="Y35" s="187"/>
      <c r="Z35" s="189"/>
      <c r="AA35" s="178">
        <f t="shared" ref="AA35" si="375">IF(M35+N35&lt;&gt;0,SUM(AF35:AL35),"")</f>
        <v>2</v>
      </c>
      <c r="AB35" s="178">
        <f t="shared" ref="AB35" si="376">IF(M35+N35&lt;&gt;0,SUM(AF36:AL36),"")</f>
        <v>3</v>
      </c>
      <c r="AC35" s="59" t="str">
        <f t="shared" ref="AC35" si="377">IF(AA35&gt;AB35,AD35&amp;"  "&amp;AE35,IF(AB35&gt;AA35,AD35&amp;"  "&amp;AE36,""))</f>
        <v>3 - 2  (-3, 8, 4, -6, 6)</v>
      </c>
      <c r="AD35" s="59" t="str">
        <f t="shared" ref="AD35" si="378">IF(AA35&gt;AB35,AA35&amp;" - "&amp;AB35,IF(AB35&gt;AA35,AB35&amp;" - "&amp;AA35,""))</f>
        <v>3 - 2</v>
      </c>
      <c r="AE35" s="59" t="str">
        <f t="shared" si="0"/>
        <v>(3, -8, -4, 6, -6)</v>
      </c>
      <c r="AF35" s="59">
        <f t="shared" ref="AF35" si="379">IF(M35&gt;N35,1,0)</f>
        <v>1</v>
      </c>
      <c r="AG35" s="59">
        <f t="shared" ref="AG35" si="380">IF(O35&gt;P35,1,0)</f>
        <v>0</v>
      </c>
      <c r="AH35" s="59">
        <f t="shared" ref="AH35" si="381">IF(Q35&gt;R35,1,0)</f>
        <v>0</v>
      </c>
      <c r="AI35" s="59">
        <f t="shared" ref="AI35" si="382">IF(S35&gt;T35,1,0)</f>
        <v>1</v>
      </c>
      <c r="AJ35" s="59">
        <f t="shared" ref="AJ35" si="383">IF(U35&gt;V35,1,0)</f>
        <v>0</v>
      </c>
      <c r="AK35" s="59">
        <f t="shared" ref="AK35" si="384">IF(W35&gt;X35,1,0)</f>
        <v>0</v>
      </c>
      <c r="AL35" s="59">
        <f t="shared" ref="AL35" si="385">IF(Y35&gt;Z35,1,0)</f>
        <v>0</v>
      </c>
      <c r="AM35" s="59">
        <f t="shared" ref="AM35" si="386">IF(M35&gt;N35,N35,IF(N35&gt;M35,-M35,""))</f>
        <v>3</v>
      </c>
      <c r="AN35" s="59" t="str">
        <f t="shared" ref="AN35" si="387">IF(O35&gt;P35,", "&amp;P35,IF(P35&gt;O35,", "&amp;-O35,""))</f>
        <v>, -8</v>
      </c>
      <c r="AO35" s="59" t="str">
        <f t="shared" ref="AO35" si="388">IF(Q35&gt;R35,", "&amp;R35,IF(R35&gt;Q35,", "&amp;-Q35,""))</f>
        <v>, -4</v>
      </c>
      <c r="AP35" s="59" t="str">
        <f t="shared" ref="AP35" si="389">IF(S35&gt;T35,", "&amp;T35,IF(T35&gt;S35,", "&amp;-S35,""))</f>
        <v>, 6</v>
      </c>
      <c r="AQ35" s="59" t="str">
        <f t="shared" ref="AQ35" si="390">IF(U35&gt;V35,", "&amp;V35,IF(V35&gt;U35,", "&amp;-U35,""))</f>
        <v>, -6</v>
      </c>
      <c r="AR35" s="59" t="str">
        <f t="shared" ref="AR35" si="391">IF(W35&gt;X35,", "&amp;X35,IF(X35&gt;W35,", "&amp;-W35,""))</f>
        <v/>
      </c>
      <c r="AS35" s="59" t="str">
        <f t="shared" ref="AS35" si="392">IF(Y35&gt;Z35,", "&amp;Z35,IF(Z35&gt;Y35,", "&amp;-Y35,""))</f>
        <v/>
      </c>
      <c r="AU35" s="69">
        <f>1+AU33</f>
        <v>13</v>
      </c>
      <c r="AV35" s="70">
        <f>VLOOKUP(AV36,$A$11:$L$58,7,FALSE)</f>
        <v>4239</v>
      </c>
      <c r="AW35" s="71" t="s">
        <v>14</v>
      </c>
      <c r="AX35" s="72" t="s">
        <v>15</v>
      </c>
      <c r="AY35" s="73"/>
      <c r="AZ35" s="73" t="str">
        <f>VLOOKUP(AV36,$A$11:$AD$58,29,FALSE)</f>
        <v>2 - 0  (3, 4)</v>
      </c>
      <c r="BA35" s="73"/>
      <c r="BD35" s="94"/>
      <c r="BE35" s="95"/>
      <c r="BF35" s="73" t="str">
        <f>VLOOKUP(BB34,$A$11:$AD$62,29,FALSE)</f>
        <v>3 - 2  (8, -7, -10, 9, 6)</v>
      </c>
      <c r="BG35" s="95"/>
    </row>
    <row r="36" spans="1:62" ht="12.75" x14ac:dyDescent="0.25">
      <c r="A36" s="165"/>
      <c r="B36" s="204"/>
      <c r="C36" s="206"/>
      <c r="D36" s="206"/>
      <c r="E36" s="188"/>
      <c r="F36" s="208"/>
      <c r="G36" s="188" t="s">
        <v>173</v>
      </c>
      <c r="H36" s="188" t="s">
        <v>173</v>
      </c>
      <c r="I36" s="188"/>
      <c r="J36" s="188"/>
      <c r="K36" s="188">
        <v>0</v>
      </c>
      <c r="L36" s="188">
        <v>0</v>
      </c>
      <c r="M36" s="198"/>
      <c r="N36" s="188"/>
      <c r="O36" s="188"/>
      <c r="P36" s="188"/>
      <c r="Q36" s="188"/>
      <c r="R36" s="188"/>
      <c r="S36" s="188"/>
      <c r="T36" s="188"/>
      <c r="U36" s="188"/>
      <c r="V36" s="188"/>
      <c r="W36" s="188"/>
      <c r="X36" s="188"/>
      <c r="Y36" s="188"/>
      <c r="Z36" s="190"/>
      <c r="AA36" s="178"/>
      <c r="AB36" s="178"/>
      <c r="AD36" s="59" t="str">
        <f t="shared" ref="AD36" si="393">IF(AA35&gt;AB35,AD35&amp;"  "&amp;AE35,IF(AB35&gt;AA35,AD35&amp;"  "&amp;AE36,""))</f>
        <v>3 - 2  (-3, 8, 4, -6, 6)</v>
      </c>
      <c r="AE36" s="59" t="str">
        <f t="shared" si="0"/>
        <v>(-3, 8, 4, -6, 6)</v>
      </c>
      <c r="AF36" s="59">
        <f t="shared" ref="AF36" si="394">IF(N35&gt;M35,1,0)</f>
        <v>0</v>
      </c>
      <c r="AG36" s="59">
        <f t="shared" ref="AG36" si="395">IF(P35&gt;O35,1,0)</f>
        <v>1</v>
      </c>
      <c r="AH36" s="59">
        <f t="shared" ref="AH36" si="396">IF(R35&gt;Q35,1,0)</f>
        <v>1</v>
      </c>
      <c r="AI36" s="59">
        <f t="shared" ref="AI36" si="397">IF(T35&gt;S35,1,0)</f>
        <v>0</v>
      </c>
      <c r="AJ36" s="59">
        <f t="shared" ref="AJ36" si="398">IF(V35&gt;U35,1,0)</f>
        <v>1</v>
      </c>
      <c r="AK36" s="59">
        <f t="shared" ref="AK36" si="399">IF(X35&gt;W35,1,0)</f>
        <v>0</v>
      </c>
      <c r="AL36" s="59">
        <f t="shared" ref="AL36" si="400">IF(Z35&gt;Y35,1,0)</f>
        <v>0</v>
      </c>
      <c r="AM36" s="59">
        <f t="shared" ref="AM36" si="401">IF(N35&gt;M35,M35,IF(M35&gt;N35,-N35,""))</f>
        <v>-3</v>
      </c>
      <c r="AN36" s="59" t="str">
        <f t="shared" ref="AN36" si="402">IF(P35&gt;O35,", "&amp;O35,IF(O35&gt;P35,", "&amp;-P35,""))</f>
        <v>, 8</v>
      </c>
      <c r="AO36" s="59" t="str">
        <f t="shared" ref="AO36" si="403">IF(R35&gt;Q35,", "&amp;Q35,IF(Q35&gt;R35,", "&amp;-R35,""))</f>
        <v>, 4</v>
      </c>
      <c r="AP36" s="59" t="str">
        <f t="shared" ref="AP36" si="404">IF(T35&gt;S35,", "&amp;S35,IF(S35&gt;T35,", "&amp;-T35,""))</f>
        <v>, -6</v>
      </c>
      <c r="AQ36" s="59" t="str">
        <f t="shared" ref="AQ36" si="405">IF(V35&gt;U35,", "&amp;U35,IF(U35&gt;V35,", "&amp;-V35,""))</f>
        <v>, 6</v>
      </c>
      <c r="AR36" s="59" t="str">
        <f t="shared" ref="AR36" si="406">IF(X35&gt;W35,", "&amp;W35,IF(W35&gt;X35,", "&amp;-X35,""))</f>
        <v/>
      </c>
      <c r="AS36" s="59" t="str">
        <f t="shared" ref="AS36" si="407">IF(Z35&gt;Y35,", "&amp;Y35,IF(Y35&gt;Z35,", "&amp;-Z35,""))</f>
        <v/>
      </c>
      <c r="AV36" s="80">
        <v>7</v>
      </c>
      <c r="AW36" s="81" t="str">
        <f>VLOOKUP(AV36,$A$11:$L$58,6,FALSE)</f>
        <v>4 Julio-- Table</v>
      </c>
      <c r="AX36" s="82"/>
      <c r="AY36" s="83">
        <f>VLOOKUP(AY38,$A$11:$L$62,7,FALSE)</f>
        <v>4239</v>
      </c>
      <c r="AZ36" s="71" t="s">
        <v>14</v>
      </c>
      <c r="BA36" s="72" t="s">
        <v>15</v>
      </c>
      <c r="BD36" s="94"/>
    </row>
    <row r="37" spans="1:62" ht="12.75" x14ac:dyDescent="0.25">
      <c r="A37" s="165">
        <v>14</v>
      </c>
      <c r="B37" s="191"/>
      <c r="C37" s="193" t="s">
        <v>140</v>
      </c>
      <c r="D37" s="193"/>
      <c r="E37" s="174"/>
      <c r="F37" s="195" t="str">
        <f t="shared" ref="F37:F41" si="408">C37&amp;"-"&amp;D37&amp;"- Table"&amp;E37</f>
        <v>4 Julio-- Table</v>
      </c>
      <c r="G37" s="174">
        <f>IF(M31="",0,IF(AA31&gt;AB31,G31,H31))</f>
        <v>4349</v>
      </c>
      <c r="H37" s="174">
        <f>IF(M33="",0,IF(AA33&gt;AB33,G33,H33))</f>
        <v>4695</v>
      </c>
      <c r="I37" s="174" t="s">
        <v>9</v>
      </c>
      <c r="J37" s="174" t="s">
        <v>6</v>
      </c>
      <c r="K37" s="174" t="s">
        <v>7</v>
      </c>
      <c r="L37" s="174" t="s">
        <v>6</v>
      </c>
      <c r="M37" s="185">
        <v>8</v>
      </c>
      <c r="N37" s="174">
        <v>11</v>
      </c>
      <c r="O37" s="174">
        <v>11</v>
      </c>
      <c r="P37" s="174">
        <v>7</v>
      </c>
      <c r="Q37" s="174">
        <v>12</v>
      </c>
      <c r="R37" s="174">
        <v>10</v>
      </c>
      <c r="S37" s="174">
        <v>9</v>
      </c>
      <c r="T37" s="174">
        <v>11</v>
      </c>
      <c r="U37" s="174">
        <v>6</v>
      </c>
      <c r="V37" s="174">
        <v>11</v>
      </c>
      <c r="W37" s="174"/>
      <c r="X37" s="174"/>
      <c r="Y37" s="174"/>
      <c r="Z37" s="176"/>
      <c r="AA37" s="178">
        <f t="shared" ref="AA37" si="409">IF(M37+N37&lt;&gt;0,SUM(AF37:AL37),"")</f>
        <v>2</v>
      </c>
      <c r="AB37" s="178">
        <f t="shared" ref="AB37" si="410">IF(M37+N37&lt;&gt;0,SUM(AF38:AL38),"")</f>
        <v>3</v>
      </c>
      <c r="AC37" s="59" t="str">
        <f t="shared" ref="AC37" si="411">IF(AA37&gt;AB37,AD37&amp;"  "&amp;AE37,IF(AB37&gt;AA37,AD37&amp;"  "&amp;AE38,""))</f>
        <v>3 - 2  (8, -7, -10, 9, 6)</v>
      </c>
      <c r="AD37" s="59" t="str">
        <f t="shared" ref="AD37" si="412">IF(AA37&gt;AB37,AA37&amp;" - "&amp;AB37,IF(AB37&gt;AA37,AB37&amp;" - "&amp;AA37,""))</f>
        <v>3 - 2</v>
      </c>
      <c r="AE37" s="59" t="str">
        <f t="shared" si="0"/>
        <v>(-8, 7, 10, -9, -6)</v>
      </c>
      <c r="AF37" s="59">
        <f t="shared" ref="AF37" si="413">IF(M37&gt;N37,1,0)</f>
        <v>0</v>
      </c>
      <c r="AG37" s="59">
        <f t="shared" ref="AG37" si="414">IF(O37&gt;P37,1,0)</f>
        <v>1</v>
      </c>
      <c r="AH37" s="59">
        <f t="shared" ref="AH37" si="415">IF(Q37&gt;R37,1,0)</f>
        <v>1</v>
      </c>
      <c r="AI37" s="59">
        <f t="shared" ref="AI37" si="416">IF(S37&gt;T37,1,0)</f>
        <v>0</v>
      </c>
      <c r="AJ37" s="59">
        <f t="shared" ref="AJ37" si="417">IF(U37&gt;V37,1,0)</f>
        <v>0</v>
      </c>
      <c r="AK37" s="59">
        <f t="shared" ref="AK37" si="418">IF(W37&gt;X37,1,0)</f>
        <v>0</v>
      </c>
      <c r="AL37" s="59">
        <f t="shared" ref="AL37" si="419">IF(Y37&gt;Z37,1,0)</f>
        <v>0</v>
      </c>
      <c r="AM37" s="59">
        <f t="shared" ref="AM37" si="420">IF(M37&gt;N37,N37,IF(N37&gt;M37,-M37,""))</f>
        <v>-8</v>
      </c>
      <c r="AN37" s="59" t="str">
        <f t="shared" ref="AN37" si="421">IF(O37&gt;P37,", "&amp;P37,IF(P37&gt;O37,", "&amp;-O37,""))</f>
        <v>, 7</v>
      </c>
      <c r="AO37" s="59" t="str">
        <f t="shared" ref="AO37" si="422">IF(Q37&gt;R37,", "&amp;R37,IF(R37&gt;Q37,", "&amp;-Q37,""))</f>
        <v>, 10</v>
      </c>
      <c r="AP37" s="59" t="str">
        <f t="shared" ref="AP37" si="423">IF(S37&gt;T37,", "&amp;T37,IF(T37&gt;S37,", "&amp;-S37,""))</f>
        <v>, -9</v>
      </c>
      <c r="AQ37" s="59" t="str">
        <f t="shared" ref="AQ37" si="424">IF(U37&gt;V37,", "&amp;V37,IF(V37&gt;U37,", "&amp;-U37,""))</f>
        <v>, -6</v>
      </c>
      <c r="AR37" s="59" t="str">
        <f t="shared" ref="AR37" si="425">IF(W37&gt;X37,", "&amp;X37,IF(X37&gt;W37,", "&amp;-W37,""))</f>
        <v/>
      </c>
      <c r="AS37" s="59" t="str">
        <f t="shared" ref="AS37" si="426">IF(Y37&gt;Z37,", "&amp;Z37,IF(Z37&gt;Y37,", "&amp;-Y37,""))</f>
        <v/>
      </c>
      <c r="AU37" s="69">
        <f>1+AU35</f>
        <v>14</v>
      </c>
      <c r="AV37" s="92">
        <f>VLOOKUP(AV36,$A$11:$L$58,8,FALSE)</f>
        <v>4531</v>
      </c>
      <c r="AW37" s="92" t="s">
        <v>29</v>
      </c>
      <c r="AX37" s="93" t="s">
        <v>30</v>
      </c>
      <c r="BA37" s="94"/>
      <c r="BD37" s="94"/>
    </row>
    <row r="38" spans="1:62" ht="12.75" x14ac:dyDescent="0.25">
      <c r="A38" s="165"/>
      <c r="B38" s="192"/>
      <c r="C38" s="194"/>
      <c r="D38" s="194"/>
      <c r="E38" s="175"/>
      <c r="F38" s="196"/>
      <c r="G38" s="175" t="s">
        <v>173</v>
      </c>
      <c r="H38" s="175" t="s">
        <v>173</v>
      </c>
      <c r="I38" s="175"/>
      <c r="J38" s="175"/>
      <c r="K38" s="175">
        <v>0</v>
      </c>
      <c r="L38" s="175">
        <v>0</v>
      </c>
      <c r="M38" s="186"/>
      <c r="N38" s="175"/>
      <c r="O38" s="175"/>
      <c r="P38" s="175"/>
      <c r="Q38" s="175"/>
      <c r="R38" s="175"/>
      <c r="S38" s="175"/>
      <c r="T38" s="175"/>
      <c r="U38" s="175"/>
      <c r="V38" s="175"/>
      <c r="W38" s="175"/>
      <c r="X38" s="175"/>
      <c r="Y38" s="175"/>
      <c r="Z38" s="177"/>
      <c r="AA38" s="178"/>
      <c r="AB38" s="178"/>
      <c r="AD38" s="59" t="str">
        <f t="shared" ref="AD38" si="427">IF(AA37&gt;AB37,AD37&amp;"  "&amp;AE37,IF(AB37&gt;AA37,AD37&amp;"  "&amp;AE38,""))</f>
        <v>3 - 2  (8, -7, -10, 9, 6)</v>
      </c>
      <c r="AE38" s="59" t="str">
        <f t="shared" si="0"/>
        <v>(8, -7, -10, 9, 6)</v>
      </c>
      <c r="AF38" s="59">
        <f t="shared" ref="AF38" si="428">IF(N37&gt;M37,1,0)</f>
        <v>1</v>
      </c>
      <c r="AG38" s="59">
        <f t="shared" ref="AG38" si="429">IF(P37&gt;O37,1,0)</f>
        <v>0</v>
      </c>
      <c r="AH38" s="59">
        <f t="shared" ref="AH38" si="430">IF(R37&gt;Q37,1,0)</f>
        <v>0</v>
      </c>
      <c r="AI38" s="59">
        <f t="shared" ref="AI38" si="431">IF(T37&gt;S37,1,0)</f>
        <v>1</v>
      </c>
      <c r="AJ38" s="59">
        <f t="shared" ref="AJ38" si="432">IF(V37&gt;U37,1,0)</f>
        <v>1</v>
      </c>
      <c r="AK38" s="59">
        <f t="shared" ref="AK38" si="433">IF(X37&gt;W37,1,0)</f>
        <v>0</v>
      </c>
      <c r="AL38" s="59">
        <f t="shared" ref="AL38" si="434">IF(Z37&gt;Y37,1,0)</f>
        <v>0</v>
      </c>
      <c r="AM38" s="59">
        <f t="shared" ref="AM38" si="435">IF(N37&gt;M37,M37,IF(M37&gt;N37,-N37,""))</f>
        <v>8</v>
      </c>
      <c r="AN38" s="59" t="str">
        <f t="shared" ref="AN38" si="436">IF(P37&gt;O37,", "&amp;O37,IF(O37&gt;P37,", "&amp;-P37,""))</f>
        <v>, -7</v>
      </c>
      <c r="AO38" s="59" t="str">
        <f t="shared" ref="AO38" si="437">IF(R37&gt;Q37,", "&amp;Q37,IF(Q37&gt;R37,", "&amp;-R37,""))</f>
        <v>, -10</v>
      </c>
      <c r="AP38" s="59" t="str">
        <f t="shared" ref="AP38" si="438">IF(T37&gt;S37,", "&amp;S37,IF(S37&gt;T37,", "&amp;-T37,""))</f>
        <v>, 9</v>
      </c>
      <c r="AQ38" s="59" t="str">
        <f t="shared" ref="AQ38" si="439">IF(V37&gt;U37,", "&amp;U37,IF(U37&gt;V37,", "&amp;-V37,""))</f>
        <v>, 6</v>
      </c>
      <c r="AR38" s="59" t="str">
        <f t="shared" ref="AR38" si="440">IF(X37&gt;W37,", "&amp;W37,IF(W37&gt;X37,", "&amp;-X37,""))</f>
        <v/>
      </c>
      <c r="AS38" s="59" t="str">
        <f t="shared" ref="AS38" si="441">IF(Z37&gt;Y37,", "&amp;Y37,IF(Y37&gt;Z37,", "&amp;-Z37,""))</f>
        <v/>
      </c>
      <c r="AX38" s="96"/>
      <c r="AY38" s="80">
        <v>12</v>
      </c>
      <c r="AZ38" s="81" t="str">
        <f>VLOOKUP(AY38,$A$11:$L$58,6,FALSE)</f>
        <v>4 Julio-- Table</v>
      </c>
      <c r="BA38" s="97"/>
      <c r="BB38" s="92">
        <f>VLOOKUP(BB34,$A$11:$L$62,8,FALSE)</f>
        <v>4695</v>
      </c>
      <c r="BC38" s="92" t="s">
        <v>7</v>
      </c>
      <c r="BD38" s="93" t="s">
        <v>6</v>
      </c>
    </row>
    <row r="39" spans="1:62" ht="12.75" x14ac:dyDescent="0.25">
      <c r="A39" s="165">
        <v>15</v>
      </c>
      <c r="B39" s="179"/>
      <c r="C39" s="181" t="s">
        <v>140</v>
      </c>
      <c r="D39" s="181"/>
      <c r="E39" s="160"/>
      <c r="F39" s="183" t="str">
        <f t="shared" si="374"/>
        <v>4 Julio-- Table</v>
      </c>
      <c r="G39" s="160">
        <f>IF(M35="",0,IF(AA35&lt;AB35,G35,H35))</f>
        <v>4348</v>
      </c>
      <c r="H39" s="160">
        <f>IF(M37="",0,IF(AA37&lt;AB37,G37,H37))</f>
        <v>4349</v>
      </c>
      <c r="I39" s="160" t="s">
        <v>10</v>
      </c>
      <c r="J39" s="160" t="s">
        <v>11</v>
      </c>
      <c r="K39" s="160" t="s">
        <v>9</v>
      </c>
      <c r="L39" s="160" t="s">
        <v>6</v>
      </c>
      <c r="M39" s="172"/>
      <c r="N39" s="160"/>
      <c r="O39" s="160"/>
      <c r="P39" s="160"/>
      <c r="Q39" s="160"/>
      <c r="R39" s="160"/>
      <c r="S39" s="160"/>
      <c r="T39" s="160"/>
      <c r="U39" s="160"/>
      <c r="V39" s="160"/>
      <c r="W39" s="160"/>
      <c r="X39" s="160"/>
      <c r="Y39" s="160"/>
      <c r="Z39" s="162"/>
      <c r="AA39" s="164" t="str">
        <f t="shared" ref="AA39" si="442">IF(M39+N39&lt;&gt;0,SUM(AF39:AL39),"")</f>
        <v/>
      </c>
      <c r="AB39" s="164" t="str">
        <f t="shared" ref="AB39" si="443">IF(M39+N39&lt;&gt;0,SUM(AF40:AL40),"")</f>
        <v/>
      </c>
      <c r="AC39" s="121" t="str">
        <f t="shared" ref="AC39" si="444">IF(AA39&gt;AB39,AD39&amp;"  "&amp;AE39,IF(AB39&gt;AA39,AD39&amp;"  "&amp;AE40,""))</f>
        <v/>
      </c>
      <c r="AD39" s="121" t="str">
        <f t="shared" ref="AD39" si="445">IF(AA39&gt;AB39,AA39&amp;" - "&amp;AB39,IF(AB39&gt;AA39,AB39&amp;" - "&amp;AA39,""))</f>
        <v/>
      </c>
      <c r="AE39" s="121" t="str">
        <f t="shared" si="0"/>
        <v>()</v>
      </c>
      <c r="AF39" s="121">
        <f t="shared" ref="AF39" si="446">IF(M39&gt;N39,1,0)</f>
        <v>0</v>
      </c>
      <c r="AG39" s="121">
        <f t="shared" ref="AG39" si="447">IF(O39&gt;P39,1,0)</f>
        <v>0</v>
      </c>
      <c r="AH39" s="121">
        <f t="shared" ref="AH39" si="448">IF(Q39&gt;R39,1,0)</f>
        <v>0</v>
      </c>
      <c r="AI39" s="121">
        <f t="shared" ref="AI39" si="449">IF(S39&gt;T39,1,0)</f>
        <v>0</v>
      </c>
      <c r="AJ39" s="121">
        <f t="shared" ref="AJ39" si="450">IF(U39&gt;V39,1,0)</f>
        <v>0</v>
      </c>
      <c r="AK39" s="121">
        <f t="shared" ref="AK39" si="451">IF(W39&gt;X39,1,0)</f>
        <v>0</v>
      </c>
      <c r="AL39" s="121">
        <f t="shared" ref="AL39" si="452">IF(Y39&gt;Z39,1,0)</f>
        <v>0</v>
      </c>
      <c r="AM39" s="59" t="str">
        <f t="shared" ref="AM39" si="453">IF(M39&gt;N39,N39,IF(N39&gt;M39,-M39,""))</f>
        <v/>
      </c>
      <c r="AN39" s="59" t="str">
        <f t="shared" ref="AN39" si="454">IF(O39&gt;P39,", "&amp;P39,IF(P39&gt;O39,", "&amp;-O39,""))</f>
        <v/>
      </c>
      <c r="AO39" s="59" t="str">
        <f t="shared" ref="AO39" si="455">IF(Q39&gt;R39,", "&amp;R39,IF(R39&gt;Q39,", "&amp;-Q39,""))</f>
        <v/>
      </c>
      <c r="AP39" s="59" t="str">
        <f t="shared" ref="AP39" si="456">IF(S39&gt;T39,", "&amp;T39,IF(T39&gt;S39,", "&amp;-S39,""))</f>
        <v/>
      </c>
      <c r="AQ39" s="59" t="str">
        <f t="shared" ref="AQ39" si="457">IF(U39&gt;V39,", "&amp;V39,IF(V39&gt;U39,", "&amp;-U39,""))</f>
        <v/>
      </c>
      <c r="AR39" s="59" t="str">
        <f t="shared" ref="AR39" si="458">IF(W39&gt;X39,", "&amp;X39,IF(X39&gt;W39,", "&amp;-W39,""))</f>
        <v/>
      </c>
      <c r="AS39" s="59" t="str">
        <f t="shared" ref="AS39" si="459">IF(Y39&gt;Z39,", "&amp;Z39,IF(Z39&gt;Y39,", "&amp;-Y39,""))</f>
        <v/>
      </c>
      <c r="AU39" s="69">
        <f>1+AU37</f>
        <v>15</v>
      </c>
      <c r="AV39" s="70" t="str">
        <f>VLOOKUP(AV40,$A$11:$L$58,7,FALSE)</f>
        <v>x</v>
      </c>
      <c r="AW39" s="71" t="s">
        <v>200</v>
      </c>
      <c r="AX39" s="72" t="s">
        <v>200</v>
      </c>
      <c r="AY39" s="98"/>
      <c r="BA39" s="94"/>
      <c r="BB39" s="95"/>
      <c r="BC39" s="73" t="str">
        <f>VLOOKUP(AY38,$A$11:$AD$62,29,FALSE)</f>
        <v>2 - 0  (8, 2)</v>
      </c>
      <c r="BD39" s="73"/>
    </row>
    <row r="40" spans="1:62" ht="12.75" x14ac:dyDescent="0.25">
      <c r="A40" s="165"/>
      <c r="B40" s="180"/>
      <c r="C40" s="182"/>
      <c r="D40" s="182"/>
      <c r="E40" s="161"/>
      <c r="F40" s="184"/>
      <c r="G40" s="161" t="s">
        <v>173</v>
      </c>
      <c r="H40" s="161" t="s">
        <v>173</v>
      </c>
      <c r="I40" s="161"/>
      <c r="J40" s="161"/>
      <c r="K40" s="161">
        <v>0</v>
      </c>
      <c r="L40" s="161">
        <v>0</v>
      </c>
      <c r="M40" s="173"/>
      <c r="N40" s="161"/>
      <c r="O40" s="161"/>
      <c r="P40" s="161"/>
      <c r="Q40" s="161"/>
      <c r="R40" s="161"/>
      <c r="S40" s="161"/>
      <c r="T40" s="161"/>
      <c r="U40" s="161"/>
      <c r="V40" s="161"/>
      <c r="W40" s="161"/>
      <c r="X40" s="161"/>
      <c r="Y40" s="161"/>
      <c r="Z40" s="163"/>
      <c r="AA40" s="164"/>
      <c r="AB40" s="164"/>
      <c r="AC40" s="121"/>
      <c r="AD40" s="121" t="str">
        <f t="shared" ref="AD40" si="460">IF(AA39&gt;AB39,AD39&amp;"  "&amp;AE39,IF(AB39&gt;AA39,AD39&amp;"  "&amp;AE40,""))</f>
        <v/>
      </c>
      <c r="AE40" s="121" t="str">
        <f t="shared" si="0"/>
        <v>()</v>
      </c>
      <c r="AF40" s="121">
        <f t="shared" ref="AF40" si="461">IF(N39&gt;M39,1,0)</f>
        <v>0</v>
      </c>
      <c r="AG40" s="121">
        <f t="shared" ref="AG40" si="462">IF(P39&gt;O39,1,0)</f>
        <v>0</v>
      </c>
      <c r="AH40" s="121">
        <f t="shared" ref="AH40" si="463">IF(R39&gt;Q39,1,0)</f>
        <v>0</v>
      </c>
      <c r="AI40" s="121">
        <f t="shared" ref="AI40" si="464">IF(T39&gt;S39,1,0)</f>
        <v>0</v>
      </c>
      <c r="AJ40" s="121">
        <f t="shared" ref="AJ40" si="465">IF(V39&gt;U39,1,0)</f>
        <v>0</v>
      </c>
      <c r="AK40" s="121">
        <f t="shared" ref="AK40" si="466">IF(X39&gt;W39,1,0)</f>
        <v>0</v>
      </c>
      <c r="AL40" s="121">
        <f t="shared" ref="AL40" si="467">IF(Z39&gt;Y39,1,0)</f>
        <v>0</v>
      </c>
      <c r="AM40" s="59" t="str">
        <f t="shared" ref="AM40" si="468">IF(N39&gt;M39,M39,IF(M39&gt;N39,-N39,""))</f>
        <v/>
      </c>
      <c r="AN40" s="59" t="str">
        <f t="shared" ref="AN40" si="469">IF(P39&gt;O39,", "&amp;O39,IF(O39&gt;P39,", "&amp;-P39,""))</f>
        <v/>
      </c>
      <c r="AO40" s="59" t="str">
        <f t="shared" ref="AO40" si="470">IF(R39&gt;Q39,", "&amp;Q39,IF(Q39&gt;R39,", "&amp;-R39,""))</f>
        <v/>
      </c>
      <c r="AP40" s="59" t="str">
        <f t="shared" ref="AP40" si="471">IF(T39&gt;S39,", "&amp;S39,IF(S39&gt;T39,", "&amp;-T39,""))</f>
        <v/>
      </c>
      <c r="AQ40" s="59" t="str">
        <f t="shared" ref="AQ40" si="472">IF(V39&gt;U39,", "&amp;U39,IF(U39&gt;V39,", "&amp;-V39,""))</f>
        <v/>
      </c>
      <c r="AR40" s="59" t="str">
        <f t="shared" ref="AR40" si="473">IF(X39&gt;W39,", "&amp;W39,IF(W39&gt;X39,", "&amp;-X39,""))</f>
        <v/>
      </c>
      <c r="AS40" s="59" t="str">
        <f t="shared" ref="AS40" si="474">IF(Z39&gt;Y39,", "&amp;Y39,IF(Y39&gt;Z39,", "&amp;-Z39,""))</f>
        <v/>
      </c>
      <c r="AV40" s="80">
        <v>8</v>
      </c>
      <c r="AW40" s="81" t="str">
        <f>VLOOKUP(AV40,$A$11:$L$58,6,FALSE)</f>
        <v>4 Julio-- Table</v>
      </c>
      <c r="AX40" s="82"/>
      <c r="AY40" s="99">
        <f>VLOOKUP(AY38,$A$11:$L$62,8,FALSE)</f>
        <v>4695</v>
      </c>
      <c r="AZ40" s="92" t="s">
        <v>7</v>
      </c>
      <c r="BA40" s="93" t="s">
        <v>6</v>
      </c>
      <c r="BB40" s="67"/>
    </row>
    <row r="41" spans="1:62" ht="12.75" x14ac:dyDescent="0.25">
      <c r="A41" s="165">
        <v>16</v>
      </c>
      <c r="B41" s="166"/>
      <c r="C41" s="168" t="s">
        <v>140</v>
      </c>
      <c r="D41" s="168"/>
      <c r="E41" s="145"/>
      <c r="F41" s="170" t="str">
        <f t="shared" si="408"/>
        <v>4 Julio-- Table</v>
      </c>
      <c r="G41" s="145">
        <f>IF(M35="",0,IF(AA35&gt;AB35,G35,H35))</f>
        <v>4276</v>
      </c>
      <c r="H41" s="145">
        <f>IF(M37="",0,IF(AA37&gt;AB37,G37,H37))</f>
        <v>4695</v>
      </c>
      <c r="I41" s="145" t="s">
        <v>8</v>
      </c>
      <c r="J41" s="145" t="s">
        <v>6</v>
      </c>
      <c r="K41" s="145" t="s">
        <v>7</v>
      </c>
      <c r="L41" s="145" t="s">
        <v>6</v>
      </c>
      <c r="M41" s="158">
        <v>12</v>
      </c>
      <c r="N41" s="145">
        <v>10</v>
      </c>
      <c r="O41" s="145">
        <v>10</v>
      </c>
      <c r="P41" s="145">
        <v>12</v>
      </c>
      <c r="Q41" s="145">
        <v>12</v>
      </c>
      <c r="R41" s="145">
        <v>10</v>
      </c>
      <c r="S41" s="145">
        <v>9</v>
      </c>
      <c r="T41" s="145">
        <v>11</v>
      </c>
      <c r="U41" s="145">
        <v>7</v>
      </c>
      <c r="V41" s="145">
        <v>11</v>
      </c>
      <c r="W41" s="145"/>
      <c r="X41" s="145"/>
      <c r="Y41" s="145"/>
      <c r="Z41" s="147"/>
      <c r="AA41" s="59">
        <f t="shared" ref="AA41" si="475">IF(M41+N41&lt;&gt;0,SUM(AF41:AL41),"")</f>
        <v>2</v>
      </c>
      <c r="AB41" s="59">
        <f t="shared" ref="AB41" si="476">IF(M41+N41&lt;&gt;0,SUM(AF42:AL42),"")</f>
        <v>3</v>
      </c>
      <c r="AC41" s="59" t="str">
        <f t="shared" ref="AC41" si="477">IF(AA41&gt;AB41,AD41&amp;"  "&amp;AE41,IF(AB41&gt;AA41,AD41&amp;"  "&amp;AE42,""))</f>
        <v>3 - 2  (-10, 10, -10, 9, 7)</v>
      </c>
      <c r="AD41" s="59" t="str">
        <f t="shared" ref="AD41" si="478">IF(AA41&gt;AB41,AA41&amp;" - "&amp;AB41,IF(AB41&gt;AA41,AB41&amp;" - "&amp;AA41,""))</f>
        <v>3 - 2</v>
      </c>
      <c r="AE41" s="59" t="str">
        <f t="shared" si="0"/>
        <v>(10, -10, 10, -9, -7)</v>
      </c>
      <c r="AF41" s="59">
        <f t="shared" ref="AF41" si="479">IF(M41&gt;N41,1,0)</f>
        <v>1</v>
      </c>
      <c r="AG41" s="59">
        <f t="shared" ref="AG41" si="480">IF(O41&gt;P41,1,0)</f>
        <v>0</v>
      </c>
      <c r="AH41" s="59">
        <f t="shared" ref="AH41" si="481">IF(Q41&gt;R41,1,0)</f>
        <v>1</v>
      </c>
      <c r="AI41" s="59">
        <f t="shared" ref="AI41" si="482">IF(S41&gt;T41,1,0)</f>
        <v>0</v>
      </c>
      <c r="AJ41" s="59">
        <f t="shared" ref="AJ41" si="483">IF(U41&gt;V41,1,0)</f>
        <v>0</v>
      </c>
      <c r="AK41" s="59">
        <f t="shared" ref="AK41" si="484">IF(W41&gt;X41,1,0)</f>
        <v>0</v>
      </c>
      <c r="AL41" s="59">
        <f t="shared" ref="AL41" si="485">IF(Y41&gt;Z41,1,0)</f>
        <v>0</v>
      </c>
      <c r="AM41" s="59">
        <f t="shared" ref="AM41" si="486">IF(M41&gt;N41,N41,IF(N41&gt;M41,-M41,""))</f>
        <v>10</v>
      </c>
      <c r="AN41" s="59" t="str">
        <f t="shared" ref="AN41" si="487">IF(O41&gt;P41,", "&amp;P41,IF(P41&gt;O41,", "&amp;-O41,""))</f>
        <v>, -10</v>
      </c>
      <c r="AO41" s="59" t="str">
        <f t="shared" ref="AO41" si="488">IF(Q41&gt;R41,", "&amp;R41,IF(R41&gt;Q41,", "&amp;-Q41,""))</f>
        <v>, 10</v>
      </c>
      <c r="AP41" s="59" t="str">
        <f t="shared" ref="AP41" si="489">IF(S41&gt;T41,", "&amp;T41,IF(T41&gt;S41,", "&amp;-S41,""))</f>
        <v>, -9</v>
      </c>
      <c r="AQ41" s="59" t="str">
        <f t="shared" ref="AQ41" si="490">IF(U41&gt;V41,", "&amp;V41,IF(V41&gt;U41,", "&amp;-U41,""))</f>
        <v>, -7</v>
      </c>
      <c r="AR41" s="59" t="str">
        <f t="shared" ref="AR41" si="491">IF(W41&gt;X41,", "&amp;X41,IF(X41&gt;W41,", "&amp;-W41,""))</f>
        <v/>
      </c>
      <c r="AS41" s="59" t="str">
        <f t="shared" ref="AS41" si="492">IF(Y41&gt;Z41,", "&amp;Z41,IF(Z41&gt;Y41,", "&amp;-Y41,""))</f>
        <v/>
      </c>
      <c r="AU41" s="69">
        <f>1+AU39</f>
        <v>16</v>
      </c>
      <c r="AV41" s="92">
        <f>VLOOKUP(AV40,$A$11:$L$58,8,FALSE)</f>
        <v>4695</v>
      </c>
      <c r="AW41" s="92" t="s">
        <v>7</v>
      </c>
      <c r="AX41" s="93" t="s">
        <v>6</v>
      </c>
      <c r="AY41" s="73"/>
      <c r="AZ41" s="73" t="str">
        <f>VLOOKUP(AV40,$A$11:$AD$62,29,FALSE)</f>
        <v>2 - 0  (0, 0)</v>
      </c>
      <c r="BA41" s="73"/>
      <c r="BB41" s="67"/>
    </row>
    <row r="42" spans="1:62" ht="13.5" thickBot="1" x14ac:dyDescent="0.3">
      <c r="A42" s="165"/>
      <c r="B42" s="167"/>
      <c r="C42" s="169"/>
      <c r="D42" s="169"/>
      <c r="E42" s="146"/>
      <c r="F42" s="171"/>
      <c r="G42" s="146" t="s">
        <v>173</v>
      </c>
      <c r="H42" s="146" t="s">
        <v>173</v>
      </c>
      <c r="I42" s="146"/>
      <c r="J42" s="146"/>
      <c r="K42" s="146">
        <v>0</v>
      </c>
      <c r="L42" s="146">
        <v>0</v>
      </c>
      <c r="M42" s="159"/>
      <c r="N42" s="146"/>
      <c r="O42" s="146"/>
      <c r="P42" s="146"/>
      <c r="Q42" s="146"/>
      <c r="R42" s="146"/>
      <c r="S42" s="146"/>
      <c r="T42" s="146"/>
      <c r="U42" s="146"/>
      <c r="V42" s="146"/>
      <c r="W42" s="146"/>
      <c r="X42" s="146"/>
      <c r="Y42" s="146"/>
      <c r="Z42" s="148"/>
      <c r="AD42" s="59" t="str">
        <f t="shared" ref="AD42" si="493">IF(AA41&gt;AB41,AD41&amp;"  "&amp;AE41,IF(AB41&gt;AA41,AD41&amp;"  "&amp;AE42,""))</f>
        <v>3 - 2  (-10, 10, -10, 9, 7)</v>
      </c>
      <c r="AE42" s="59" t="str">
        <f t="shared" si="0"/>
        <v>(-10, 10, -10, 9, 7)</v>
      </c>
      <c r="AF42" s="59">
        <f t="shared" ref="AF42" si="494">IF(N41&gt;M41,1,0)</f>
        <v>0</v>
      </c>
      <c r="AG42" s="59">
        <f t="shared" ref="AG42" si="495">IF(P41&gt;O41,1,0)</f>
        <v>1</v>
      </c>
      <c r="AH42" s="59">
        <f t="shared" ref="AH42" si="496">IF(R41&gt;Q41,1,0)</f>
        <v>0</v>
      </c>
      <c r="AI42" s="59">
        <f t="shared" ref="AI42" si="497">IF(T41&gt;S41,1,0)</f>
        <v>1</v>
      </c>
      <c r="AJ42" s="59">
        <f t="shared" ref="AJ42" si="498">IF(V41&gt;U41,1,0)</f>
        <v>1</v>
      </c>
      <c r="AK42" s="59">
        <f t="shared" ref="AK42" si="499">IF(X41&gt;W41,1,0)</f>
        <v>0</v>
      </c>
      <c r="AL42" s="59">
        <f t="shared" ref="AL42" si="500">IF(Z41&gt;Y41,1,0)</f>
        <v>0</v>
      </c>
      <c r="AM42" s="59">
        <f t="shared" ref="AM42" si="501">IF(N41&gt;M41,M41,IF(M41&gt;N41,-N41,""))</f>
        <v>-10</v>
      </c>
      <c r="AN42" s="59" t="str">
        <f t="shared" ref="AN42" si="502">IF(P41&gt;O41,", "&amp;O41,IF(O41&gt;P41,", "&amp;-P41,""))</f>
        <v>, 10</v>
      </c>
      <c r="AO42" s="59" t="str">
        <f t="shared" ref="AO42" si="503">IF(R41&gt;Q41,", "&amp;Q41,IF(Q41&gt;R41,", "&amp;-R41,""))</f>
        <v>, -10</v>
      </c>
      <c r="AP42" s="59" t="str">
        <f t="shared" ref="AP42" si="504">IF(T41&gt;S41,", "&amp;S41,IF(S41&gt;T41,", "&amp;-T41,""))</f>
        <v>, 9</v>
      </c>
      <c r="AQ42" s="59" t="str">
        <f t="shared" ref="AQ42" si="505">IF(V41&gt;U41,", "&amp;U41,IF(U41&gt;V41,", "&amp;-V41,""))</f>
        <v>, 7</v>
      </c>
      <c r="AR42" s="59" t="str">
        <f t="shared" ref="AR42" si="506">IF(X41&gt;W41,", "&amp;W41,IF(W41&gt;X41,", "&amp;-X41,""))</f>
        <v/>
      </c>
      <c r="AS42" s="59" t="str">
        <f t="shared" ref="AS42" si="507">IF(Z41&gt;Y41,", "&amp;Y41,IF(Y41&gt;Z41,", "&amp;-Z41,""))</f>
        <v/>
      </c>
      <c r="AU42" s="62"/>
      <c r="AV42" s="67"/>
      <c r="AW42" s="67"/>
      <c r="AX42" s="107"/>
      <c r="AY42" s="107"/>
      <c r="AZ42" s="67"/>
      <c r="BA42" s="107"/>
      <c r="BB42" s="67"/>
      <c r="BC42" s="67"/>
      <c r="BD42" s="107"/>
    </row>
    <row r="43" spans="1:62" ht="12.75" x14ac:dyDescent="0.25">
      <c r="B43" s="149" t="s">
        <v>174</v>
      </c>
      <c r="C43" s="150"/>
      <c r="D43" s="150"/>
      <c r="E43" s="155"/>
      <c r="G43" s="145">
        <f>IF(M39="",0,IF(AA39&gt;AB39,G39,H39))</f>
        <v>0</v>
      </c>
      <c r="I43" s="145">
        <v>0</v>
      </c>
      <c r="J43" s="145">
        <v>0</v>
      </c>
      <c r="AU43" s="62"/>
      <c r="AV43" s="67"/>
      <c r="AW43" s="67"/>
      <c r="AX43" s="107"/>
      <c r="AY43" s="107"/>
      <c r="AZ43" s="67"/>
      <c r="BA43" s="107"/>
      <c r="BB43" s="67"/>
      <c r="BC43" s="67"/>
      <c r="BD43" s="107"/>
    </row>
    <row r="44" spans="1:62" ht="12.75" x14ac:dyDescent="0.25">
      <c r="B44" s="151"/>
      <c r="C44" s="152"/>
      <c r="D44" s="152"/>
      <c r="E44" s="156"/>
      <c r="G44" s="146" t="s">
        <v>173</v>
      </c>
      <c r="I44" s="146"/>
      <c r="J44" s="146"/>
      <c r="AU44" s="62"/>
      <c r="AV44" s="67"/>
      <c r="AW44" s="67"/>
      <c r="AX44" s="107"/>
      <c r="AY44" s="107"/>
      <c r="AZ44" s="67"/>
      <c r="BA44" s="107"/>
      <c r="BB44" s="67"/>
      <c r="BC44" s="67"/>
      <c r="BD44" s="107"/>
      <c r="BE44" s="67"/>
    </row>
    <row r="45" spans="1:62" ht="12.75" x14ac:dyDescent="0.25">
      <c r="B45" s="151"/>
      <c r="C45" s="152"/>
      <c r="D45" s="152"/>
      <c r="E45" s="156"/>
      <c r="G45" s="145">
        <f>IF(M41="",0,IF(AA41&gt;AB41,G41,H41))</f>
        <v>4695</v>
      </c>
      <c r="I45" s="145" t="s">
        <v>7</v>
      </c>
      <c r="J45" s="145" t="s">
        <v>6</v>
      </c>
      <c r="AU45" s="62"/>
      <c r="AV45" s="67"/>
      <c r="AW45" s="67"/>
      <c r="AX45" s="107"/>
      <c r="AY45" s="107"/>
      <c r="AZ45" s="67"/>
      <c r="BA45" s="107"/>
      <c r="BB45" s="67"/>
      <c r="BC45" s="67"/>
      <c r="BD45" s="107"/>
      <c r="BE45" s="67"/>
    </row>
    <row r="46" spans="1:62" ht="13.5" thickBot="1" x14ac:dyDescent="0.3">
      <c r="B46" s="153"/>
      <c r="C46" s="154"/>
      <c r="D46" s="154"/>
      <c r="E46" s="157"/>
      <c r="G46" s="146" t="s">
        <v>173</v>
      </c>
      <c r="I46" s="146"/>
      <c r="J46" s="146"/>
      <c r="AU46" s="62"/>
      <c r="AV46" s="67"/>
      <c r="AW46" s="67"/>
      <c r="AX46" s="107"/>
      <c r="AY46" s="107"/>
      <c r="AZ46" s="67"/>
      <c r="BA46" s="107"/>
      <c r="BB46" s="67"/>
      <c r="BC46" s="67"/>
      <c r="BD46" s="107"/>
      <c r="BE46" s="70">
        <f>VLOOKUP(BE47,$A$11:$L$62,7,FALSE)</f>
        <v>4348</v>
      </c>
      <c r="BF46" s="71" t="s">
        <v>10</v>
      </c>
      <c r="BG46" s="100" t="s">
        <v>11</v>
      </c>
      <c r="BH46" s="122"/>
      <c r="BI46" s="68" t="s">
        <v>175</v>
      </c>
      <c r="BJ46" s="64"/>
    </row>
    <row r="47" spans="1:62" ht="12.75" x14ac:dyDescent="0.25">
      <c r="AU47" s="62"/>
      <c r="AV47" s="67"/>
      <c r="AW47" s="67"/>
      <c r="AX47" s="107"/>
      <c r="AY47" s="107"/>
      <c r="AZ47" s="67"/>
      <c r="BA47" s="107"/>
      <c r="BB47" s="67"/>
      <c r="BC47" s="67"/>
      <c r="BD47" s="107"/>
      <c r="BE47" s="80">
        <v>15</v>
      </c>
      <c r="BF47" s="81" t="str">
        <f>VLOOKUP(BE47,$A$11:$L$58,6,FALSE)</f>
        <v>4 Julio-- Table</v>
      </c>
      <c r="BG47" s="123"/>
      <c r="BH47" s="124">
        <f>G43</f>
        <v>0</v>
      </c>
      <c r="BI47" s="125">
        <v>0</v>
      </c>
      <c r="BJ47" s="126">
        <v>0</v>
      </c>
    </row>
    <row r="48" spans="1:62" ht="12.75" x14ac:dyDescent="0.25">
      <c r="AU48" s="62"/>
      <c r="AV48" s="67"/>
      <c r="AW48" s="67"/>
      <c r="AX48" s="107"/>
      <c r="AY48" s="107"/>
      <c r="AZ48" s="67"/>
      <c r="BA48" s="107"/>
      <c r="BB48" s="67"/>
      <c r="BC48" s="67"/>
      <c r="BD48" s="107"/>
      <c r="BE48" s="92">
        <f>VLOOKUP(BE47,$A$11:$L$1350,8,FALSE)</f>
        <v>4349</v>
      </c>
      <c r="BF48" s="127" t="s">
        <v>9</v>
      </c>
      <c r="BG48" s="120" t="s">
        <v>6</v>
      </c>
      <c r="BH48" s="95"/>
      <c r="BI48" s="73" t="str">
        <f>VLOOKUP(BE47,$A$11:$AD$62,29,FALSE)</f>
        <v/>
      </c>
      <c r="BJ48" s="95"/>
    </row>
    <row r="49" spans="4:57" ht="12.75" hidden="1" x14ac:dyDescent="0.25">
      <c r="AU49" s="62"/>
      <c r="AV49" s="67"/>
      <c r="AW49" s="67"/>
      <c r="AX49" s="107"/>
      <c r="AY49" s="107"/>
      <c r="AZ49" s="67"/>
      <c r="BA49" s="107"/>
      <c r="BB49" s="67"/>
      <c r="BC49" s="67"/>
      <c r="BD49" s="107"/>
      <c r="BE49" s="67"/>
    </row>
    <row r="50" spans="4:57" ht="12.75" hidden="1" x14ac:dyDescent="0.25">
      <c r="AU50" s="62"/>
      <c r="AV50" s="67"/>
      <c r="AW50" s="67"/>
      <c r="AX50" s="107"/>
      <c r="AY50" s="107"/>
      <c r="AZ50" s="67"/>
      <c r="BA50" s="107"/>
      <c r="BB50" s="67"/>
      <c r="BC50" s="67"/>
      <c r="BD50" s="107"/>
      <c r="BE50" s="67"/>
    </row>
    <row r="51" spans="4:57" ht="12.75" hidden="1" x14ac:dyDescent="0.25">
      <c r="D51" s="60" t="s">
        <v>176</v>
      </c>
      <c r="E51" s="59">
        <v>1</v>
      </c>
      <c r="G51" s="121">
        <f>G45</f>
        <v>4695</v>
      </c>
      <c r="I51" s="59" t="s">
        <v>7</v>
      </c>
      <c r="J51" s="59" t="s">
        <v>6</v>
      </c>
      <c r="K51" s="128">
        <f>G35</f>
        <v>4348</v>
      </c>
      <c r="L51" s="129">
        <f>H35</f>
        <v>4276</v>
      </c>
      <c r="M51" s="138" t="s">
        <v>177</v>
      </c>
      <c r="AU51" s="62"/>
      <c r="AV51" s="67"/>
      <c r="AW51" s="67"/>
      <c r="AX51" s="107"/>
      <c r="AY51" s="107"/>
      <c r="AZ51" s="67"/>
      <c r="BA51" s="107"/>
      <c r="BB51" s="67"/>
      <c r="BC51" s="67"/>
      <c r="BD51" s="107"/>
      <c r="BE51" s="67"/>
    </row>
    <row r="52" spans="4:57" ht="12.75" hidden="1" x14ac:dyDescent="0.25">
      <c r="D52" s="60" t="s">
        <v>178</v>
      </c>
      <c r="E52" s="59">
        <v>2</v>
      </c>
      <c r="G52" s="121">
        <f>IF(G51=G41,H41,G41)</f>
        <v>4276</v>
      </c>
      <c r="I52" s="59" t="s">
        <v>8</v>
      </c>
      <c r="J52" s="59" t="s">
        <v>6</v>
      </c>
      <c r="K52" s="130">
        <f>H35</f>
        <v>4276</v>
      </c>
      <c r="L52" s="131">
        <f>G35</f>
        <v>4348</v>
      </c>
      <c r="M52" s="139"/>
      <c r="AU52" s="62"/>
      <c r="AV52" s="67"/>
      <c r="AW52" s="67"/>
      <c r="AX52" s="107"/>
      <c r="AY52" s="107"/>
      <c r="AZ52" s="67"/>
      <c r="BA52" s="107"/>
      <c r="BB52" s="67"/>
      <c r="BC52" s="67"/>
      <c r="BD52" s="107"/>
      <c r="BE52" s="67"/>
    </row>
    <row r="53" spans="4:57" ht="12.75" hidden="1" x14ac:dyDescent="0.25">
      <c r="D53" s="60" t="s">
        <v>179</v>
      </c>
      <c r="E53" s="59">
        <v>3</v>
      </c>
      <c r="G53" s="121">
        <f>IF(E43=1,G43,VLOOKUP(G51,K51:L54,2,FALSE))</f>
        <v>4349</v>
      </c>
      <c r="I53" s="59" t="s">
        <v>9</v>
      </c>
      <c r="J53" s="59" t="s">
        <v>6</v>
      </c>
      <c r="K53" s="130">
        <f>G37</f>
        <v>4349</v>
      </c>
      <c r="L53" s="131">
        <f>H37</f>
        <v>4695</v>
      </c>
      <c r="M53" s="139"/>
      <c r="AU53" s="62"/>
      <c r="AV53" s="67"/>
      <c r="AW53" s="67"/>
      <c r="AX53" s="107"/>
      <c r="AY53" s="107"/>
      <c r="AZ53" s="67"/>
      <c r="BA53" s="107"/>
      <c r="BB53" s="67"/>
      <c r="BC53" s="67"/>
      <c r="BD53" s="107"/>
      <c r="BE53" s="67"/>
    </row>
    <row r="54" spans="4:57" ht="12.75" hidden="1" x14ac:dyDescent="0.25">
      <c r="D54" s="60" t="s">
        <v>180</v>
      </c>
      <c r="E54" s="59">
        <v>4</v>
      </c>
      <c r="G54" s="121">
        <f>IF(G53=G39,H39,G39)</f>
        <v>4348</v>
      </c>
      <c r="I54" s="59" t="s">
        <v>10</v>
      </c>
      <c r="J54" s="59" t="s">
        <v>11</v>
      </c>
      <c r="K54" s="132">
        <f>H37</f>
        <v>4695</v>
      </c>
      <c r="L54" s="133">
        <f>G37</f>
        <v>4349</v>
      </c>
      <c r="M54" s="140"/>
      <c r="AU54" s="62"/>
      <c r="AV54" s="67"/>
      <c r="AW54" s="67"/>
      <c r="AX54" s="107"/>
      <c r="AY54" s="107"/>
      <c r="AZ54" s="67"/>
      <c r="BA54" s="107"/>
      <c r="BB54" s="67"/>
      <c r="BC54" s="67"/>
      <c r="BD54" s="107"/>
      <c r="BE54" s="67"/>
    </row>
    <row r="55" spans="4:57" ht="12.75" hidden="1" x14ac:dyDescent="0.25">
      <c r="K55" s="128">
        <f>G27</f>
        <v>4521</v>
      </c>
      <c r="L55" s="129">
        <f>H27</f>
        <v>4348</v>
      </c>
      <c r="M55" s="141" t="s">
        <v>181</v>
      </c>
      <c r="AU55" s="62"/>
      <c r="AV55" s="67"/>
      <c r="AW55" s="67"/>
      <c r="AX55" s="107"/>
      <c r="AY55" s="107"/>
      <c r="AZ55" s="67"/>
      <c r="BA55" s="107"/>
      <c r="BB55" s="67"/>
      <c r="BC55" s="67"/>
      <c r="BD55" s="107"/>
      <c r="BE55" s="67"/>
    </row>
    <row r="56" spans="4:57" ht="12.75" hidden="1" x14ac:dyDescent="0.25">
      <c r="K56" s="130">
        <f>H27</f>
        <v>4348</v>
      </c>
      <c r="L56" s="131">
        <f>G27</f>
        <v>4521</v>
      </c>
      <c r="M56" s="142"/>
      <c r="AU56" s="62"/>
      <c r="AV56" s="67"/>
      <c r="AW56" s="67"/>
      <c r="AX56" s="107"/>
      <c r="AY56" s="107"/>
      <c r="AZ56" s="67"/>
      <c r="BA56" s="107"/>
      <c r="BB56" s="67"/>
      <c r="BC56" s="67"/>
      <c r="BD56" s="107"/>
      <c r="BE56" s="67"/>
    </row>
    <row r="57" spans="4:57" ht="12.75" hidden="1" x14ac:dyDescent="0.25">
      <c r="K57" s="130">
        <f>G29</f>
        <v>4654</v>
      </c>
      <c r="L57" s="131">
        <f>H29</f>
        <v>4276</v>
      </c>
      <c r="M57" s="142"/>
      <c r="AU57" s="62"/>
      <c r="AV57" s="67"/>
      <c r="AW57" s="67"/>
      <c r="AX57" s="107"/>
      <c r="AY57" s="107"/>
      <c r="AZ57" s="67"/>
      <c r="BA57" s="107"/>
      <c r="BB57" s="67"/>
      <c r="BC57" s="67"/>
      <c r="BD57" s="107"/>
      <c r="BE57" s="67"/>
    </row>
    <row r="58" spans="4:57" ht="12.75" hidden="1" x14ac:dyDescent="0.25">
      <c r="K58" s="130">
        <f>H29</f>
        <v>4276</v>
      </c>
      <c r="L58" s="131">
        <f>G29</f>
        <v>4654</v>
      </c>
      <c r="M58" s="142"/>
      <c r="AU58" s="62"/>
      <c r="AV58" s="67"/>
      <c r="AW58" s="67"/>
      <c r="AX58" s="107"/>
      <c r="AY58" s="107"/>
      <c r="AZ58" s="67"/>
      <c r="BA58" s="107"/>
      <c r="BB58" s="67"/>
      <c r="BC58" s="67"/>
      <c r="BD58" s="107"/>
      <c r="BE58" s="67"/>
    </row>
    <row r="59" spans="4:57" ht="12.75" hidden="1" x14ac:dyDescent="0.25">
      <c r="D59" s="60" t="s">
        <v>182</v>
      </c>
      <c r="G59" s="121">
        <f>VLOOKUP(G51,K55:L62,2,FALSE)</f>
        <v>4239</v>
      </c>
      <c r="I59" s="59" t="s">
        <v>14</v>
      </c>
      <c r="J59" s="59" t="s">
        <v>15</v>
      </c>
      <c r="K59" s="130">
        <f>G31</f>
        <v>4349</v>
      </c>
      <c r="L59" s="131">
        <f>H31</f>
        <v>4439</v>
      </c>
      <c r="M59" s="142"/>
      <c r="AU59" s="62"/>
      <c r="AV59" s="67"/>
      <c r="AW59" s="67"/>
      <c r="AX59" s="107"/>
      <c r="AY59" s="107"/>
      <c r="AZ59" s="67"/>
      <c r="BA59" s="107"/>
      <c r="BB59" s="67"/>
      <c r="BC59" s="67"/>
      <c r="BD59" s="107"/>
      <c r="BE59" s="67"/>
    </row>
    <row r="60" spans="4:57" ht="12.75" hidden="1" x14ac:dyDescent="0.25">
      <c r="D60" s="60" t="s">
        <v>183</v>
      </c>
      <c r="G60" s="121">
        <f>VLOOKUP(G52,K55:L62,2,FALSE)</f>
        <v>4654</v>
      </c>
      <c r="I60" s="59" t="s">
        <v>12</v>
      </c>
      <c r="J60" s="59" t="s">
        <v>13</v>
      </c>
      <c r="K60" s="130">
        <f>H31</f>
        <v>4439</v>
      </c>
      <c r="L60" s="131">
        <f>G31</f>
        <v>4349</v>
      </c>
      <c r="M60" s="142"/>
      <c r="AU60" s="62"/>
      <c r="AV60" s="67"/>
      <c r="AW60" s="67"/>
      <c r="AX60" s="107"/>
      <c r="AY60" s="107"/>
      <c r="AZ60" s="67"/>
      <c r="BA60" s="107"/>
      <c r="BB60" s="67"/>
      <c r="BC60" s="67"/>
      <c r="BD60" s="107"/>
      <c r="BE60" s="67"/>
    </row>
    <row r="61" spans="4:57" ht="12.75" hidden="1" x14ac:dyDescent="0.25">
      <c r="D61" s="60" t="s">
        <v>184</v>
      </c>
      <c r="G61" s="121">
        <f>VLOOKUP(G53,K55:L62,2,FALSE)</f>
        <v>4439</v>
      </c>
      <c r="I61" s="59" t="s">
        <v>24</v>
      </c>
      <c r="J61" s="59" t="s">
        <v>11</v>
      </c>
      <c r="K61" s="130">
        <f>G33</f>
        <v>4239</v>
      </c>
      <c r="L61" s="131">
        <f>H33</f>
        <v>4695</v>
      </c>
      <c r="M61" s="142"/>
      <c r="AU61" s="62"/>
      <c r="AV61" s="67"/>
      <c r="AW61" s="67"/>
      <c r="AX61" s="107"/>
      <c r="AY61" s="107"/>
      <c r="AZ61" s="67"/>
      <c r="BA61" s="107"/>
      <c r="BB61" s="67"/>
      <c r="BC61" s="67"/>
      <c r="BD61" s="107"/>
      <c r="BE61" s="67"/>
    </row>
    <row r="62" spans="4:57" ht="12.75" hidden="1" x14ac:dyDescent="0.25">
      <c r="D62" s="60" t="s">
        <v>185</v>
      </c>
      <c r="G62" s="121">
        <f>VLOOKUP(G54,K55:L62,2,FALSE)</f>
        <v>4521</v>
      </c>
      <c r="I62" s="59" t="s">
        <v>5</v>
      </c>
      <c r="J62" s="59" t="s">
        <v>6</v>
      </c>
      <c r="K62" s="132">
        <f>H33</f>
        <v>4695</v>
      </c>
      <c r="L62" s="133">
        <f>G33</f>
        <v>4239</v>
      </c>
      <c r="M62" s="143"/>
      <c r="AU62" s="62"/>
      <c r="AV62" s="67"/>
      <c r="AW62" s="67"/>
      <c r="AX62" s="107"/>
      <c r="AY62" s="107"/>
      <c r="AZ62" s="67"/>
      <c r="BA62" s="107"/>
      <c r="BB62" s="67"/>
      <c r="BC62" s="67"/>
      <c r="BD62" s="107"/>
      <c r="BE62" s="67"/>
    </row>
    <row r="63" spans="4:57" ht="12.75" hidden="1" x14ac:dyDescent="0.25">
      <c r="K63" s="128">
        <f>G11</f>
        <v>4521</v>
      </c>
      <c r="L63" s="129" t="str">
        <f>H11</f>
        <v>x</v>
      </c>
      <c r="M63" s="142" t="s">
        <v>186</v>
      </c>
      <c r="AU63" s="62"/>
      <c r="AV63" s="67"/>
      <c r="AW63" s="67"/>
      <c r="AX63" s="107"/>
      <c r="AY63" s="107"/>
      <c r="AZ63" s="67"/>
      <c r="BA63" s="107"/>
      <c r="BB63" s="67"/>
      <c r="BC63" s="67"/>
      <c r="BD63" s="107"/>
      <c r="BE63" s="67"/>
    </row>
    <row r="64" spans="4:57" ht="12.75" hidden="1" x14ac:dyDescent="0.25">
      <c r="K64" s="130" t="str">
        <f>H11</f>
        <v>x</v>
      </c>
      <c r="L64" s="131">
        <f>G11</f>
        <v>4521</v>
      </c>
      <c r="M64" s="142"/>
      <c r="AU64" s="62"/>
      <c r="AV64" s="67"/>
      <c r="AW64" s="67"/>
      <c r="AX64" s="107"/>
      <c r="AY64" s="107"/>
      <c r="AZ64" s="67"/>
      <c r="BA64" s="107"/>
      <c r="BB64" s="67"/>
      <c r="BC64" s="67"/>
      <c r="BD64" s="107"/>
      <c r="BE64" s="67"/>
    </row>
    <row r="65" spans="4:57" ht="12.75" hidden="1" x14ac:dyDescent="0.25">
      <c r="K65" s="130">
        <f>G13</f>
        <v>4251</v>
      </c>
      <c r="L65" s="131">
        <f>H13</f>
        <v>4348</v>
      </c>
      <c r="M65" s="142"/>
      <c r="AU65" s="62"/>
      <c r="AV65" s="67"/>
      <c r="AW65" s="67"/>
      <c r="AX65" s="107"/>
      <c r="AY65" s="107"/>
      <c r="AZ65" s="67"/>
      <c r="BA65" s="107"/>
      <c r="BB65" s="67"/>
      <c r="BC65" s="67"/>
      <c r="BD65" s="107"/>
      <c r="BE65" s="67"/>
    </row>
    <row r="66" spans="4:57" ht="12.75" hidden="1" x14ac:dyDescent="0.25">
      <c r="K66" s="130">
        <f>H13</f>
        <v>4348</v>
      </c>
      <c r="L66" s="131">
        <f>G13</f>
        <v>4251</v>
      </c>
      <c r="M66" s="142"/>
      <c r="AU66" s="62"/>
      <c r="AV66" s="67"/>
      <c r="AW66" s="67"/>
      <c r="AX66" s="107"/>
      <c r="AY66" s="107"/>
      <c r="AZ66" s="67"/>
      <c r="BA66" s="107"/>
      <c r="BB66" s="67"/>
      <c r="BC66" s="67"/>
      <c r="BD66" s="107"/>
      <c r="BE66" s="67"/>
    </row>
    <row r="67" spans="4:57" ht="12.75" hidden="1" x14ac:dyDescent="0.25">
      <c r="K67" s="130">
        <f>G15</f>
        <v>4722</v>
      </c>
      <c r="L67" s="131">
        <f>H15</f>
        <v>4654</v>
      </c>
      <c r="M67" s="142"/>
      <c r="AU67" s="62"/>
      <c r="AV67" s="67"/>
      <c r="AW67" s="67"/>
      <c r="AX67" s="107"/>
      <c r="AY67" s="107"/>
      <c r="AZ67" s="67"/>
      <c r="BA67" s="107"/>
      <c r="BB67" s="67"/>
      <c r="BC67" s="67"/>
      <c r="BD67" s="107"/>
      <c r="BE67" s="67"/>
    </row>
    <row r="68" spans="4:57" ht="12.75" hidden="1" x14ac:dyDescent="0.25">
      <c r="K68" s="130">
        <f>H15</f>
        <v>4654</v>
      </c>
      <c r="L68" s="131">
        <f>G15</f>
        <v>4722</v>
      </c>
      <c r="M68" s="142"/>
      <c r="AU68" s="62"/>
      <c r="AV68" s="67"/>
      <c r="AW68" s="67"/>
      <c r="AX68" s="107"/>
      <c r="AY68" s="107"/>
      <c r="AZ68" s="67"/>
      <c r="BA68" s="107"/>
      <c r="BB68" s="67"/>
      <c r="BC68" s="67"/>
      <c r="BD68" s="107"/>
      <c r="BE68" s="67"/>
    </row>
    <row r="69" spans="4:57" ht="12.75" hidden="1" x14ac:dyDescent="0.25">
      <c r="K69" s="130" t="str">
        <f>G17</f>
        <v>X</v>
      </c>
      <c r="L69" s="131">
        <f>H17</f>
        <v>4276</v>
      </c>
      <c r="M69" s="142"/>
      <c r="AU69" s="62"/>
      <c r="AV69" s="67"/>
      <c r="AW69" s="67"/>
      <c r="AX69" s="107"/>
      <c r="AY69" s="107"/>
      <c r="AZ69" s="67"/>
      <c r="BA69" s="107"/>
      <c r="BB69" s="67"/>
      <c r="BC69" s="67"/>
      <c r="BD69" s="107"/>
      <c r="BE69" s="67"/>
    </row>
    <row r="70" spans="4:57" ht="12.75" hidden="1" x14ac:dyDescent="0.25">
      <c r="K70" s="130">
        <f>H17</f>
        <v>4276</v>
      </c>
      <c r="L70" s="131" t="str">
        <f>G17</f>
        <v>X</v>
      </c>
      <c r="M70" s="142"/>
      <c r="AU70" s="62"/>
      <c r="AV70" s="67"/>
      <c r="AW70" s="67"/>
      <c r="AX70" s="107"/>
      <c r="AY70" s="107"/>
      <c r="AZ70" s="67"/>
      <c r="BA70" s="107"/>
      <c r="BB70" s="67"/>
      <c r="BC70" s="67"/>
      <c r="BD70" s="107"/>
      <c r="BE70" s="67"/>
    </row>
    <row r="71" spans="4:57" ht="12.75" hidden="1" x14ac:dyDescent="0.25">
      <c r="D71" s="60" t="s">
        <v>187</v>
      </c>
      <c r="G71" s="121" t="str">
        <f>VLOOKUP(G51,$K$63:$L$78,2,FALSE)</f>
        <v>x</v>
      </c>
      <c r="I71" s="59" t="s">
        <v>200</v>
      </c>
      <c r="J71" s="59" t="s">
        <v>200</v>
      </c>
      <c r="K71" s="130">
        <f>G19</f>
        <v>4349</v>
      </c>
      <c r="L71" s="131" t="str">
        <f>H19</f>
        <v>x</v>
      </c>
      <c r="M71" s="142"/>
      <c r="AT71" s="134"/>
      <c r="AU71" s="62"/>
      <c r="AV71" s="67"/>
      <c r="AW71" s="67"/>
      <c r="AX71" s="107"/>
      <c r="AY71" s="107"/>
      <c r="AZ71" s="67"/>
      <c r="BA71" s="107"/>
      <c r="BB71" s="67"/>
      <c r="BC71" s="67"/>
      <c r="BD71" s="107"/>
      <c r="BE71" s="67"/>
    </row>
    <row r="72" spans="4:57" ht="12.75" hidden="1" x14ac:dyDescent="0.25">
      <c r="D72" s="60" t="s">
        <v>188</v>
      </c>
      <c r="G72" s="121" t="str">
        <f t="shared" ref="G72:G74" si="508">VLOOKUP(G52,$K$63:$L$78,2,FALSE)</f>
        <v>X</v>
      </c>
      <c r="I72" s="59" t="s">
        <v>200</v>
      </c>
      <c r="J72" s="59" t="s">
        <v>200</v>
      </c>
      <c r="K72" s="130" t="str">
        <f>H19</f>
        <v>x</v>
      </c>
      <c r="L72" s="131">
        <f>G19</f>
        <v>4349</v>
      </c>
      <c r="M72" s="142"/>
      <c r="AT72" s="134"/>
      <c r="AU72" s="62"/>
      <c r="AV72" s="67"/>
      <c r="AW72" s="67"/>
      <c r="AX72" s="107"/>
      <c r="AY72" s="107"/>
      <c r="AZ72" s="67"/>
      <c r="BA72" s="107"/>
      <c r="BB72" s="67"/>
      <c r="BC72" s="67"/>
      <c r="BD72" s="107"/>
      <c r="BE72" s="67"/>
    </row>
    <row r="73" spans="4:57" ht="12.75" hidden="1" x14ac:dyDescent="0.25">
      <c r="D73" s="60" t="s">
        <v>189</v>
      </c>
      <c r="G73" s="121" t="str">
        <f t="shared" si="508"/>
        <v>x</v>
      </c>
      <c r="I73" s="59" t="s">
        <v>200</v>
      </c>
      <c r="J73" s="59" t="s">
        <v>200</v>
      </c>
      <c r="K73" s="130">
        <f>G21</f>
        <v>4439</v>
      </c>
      <c r="L73" s="131">
        <f>H21</f>
        <v>4519</v>
      </c>
      <c r="M73" s="142"/>
      <c r="AU73" s="62"/>
      <c r="AV73" s="67"/>
      <c r="AW73" s="67"/>
      <c r="AX73" s="107"/>
      <c r="AY73" s="107"/>
      <c r="AZ73" s="67"/>
      <c r="BA73" s="107"/>
      <c r="BB73" s="67"/>
      <c r="BC73" s="67"/>
      <c r="BD73" s="107"/>
      <c r="BE73" s="67"/>
    </row>
    <row r="74" spans="4:57" ht="12.75" hidden="1" x14ac:dyDescent="0.25">
      <c r="D74" s="60" t="s">
        <v>190</v>
      </c>
      <c r="G74" s="121">
        <f t="shared" si="508"/>
        <v>4251</v>
      </c>
      <c r="I74" s="59" t="s">
        <v>22</v>
      </c>
      <c r="J74" s="59" t="s">
        <v>23</v>
      </c>
      <c r="K74" s="130">
        <f>H21</f>
        <v>4519</v>
      </c>
      <c r="L74" s="131">
        <f>G21</f>
        <v>4439</v>
      </c>
      <c r="M74" s="142"/>
      <c r="AU74" s="62"/>
      <c r="AV74" s="67"/>
      <c r="AW74" s="67"/>
      <c r="AX74" s="107"/>
      <c r="AY74" s="107"/>
      <c r="AZ74" s="67"/>
      <c r="BA74" s="107"/>
      <c r="BB74" s="67"/>
      <c r="BC74" s="67"/>
      <c r="BD74" s="107"/>
      <c r="BE74" s="67"/>
    </row>
    <row r="75" spans="4:57" ht="12.75" hidden="1" x14ac:dyDescent="0.25">
      <c r="D75" s="60" t="s">
        <v>191</v>
      </c>
      <c r="G75" s="121">
        <f>VLOOKUP(G59,$K$63:$L$78,2,FALSE)</f>
        <v>4531</v>
      </c>
      <c r="I75" s="59" t="s">
        <v>29</v>
      </c>
      <c r="J75" s="59" t="s">
        <v>30</v>
      </c>
      <c r="K75" s="130">
        <f>G23</f>
        <v>4239</v>
      </c>
      <c r="L75" s="131">
        <f>H23</f>
        <v>4531</v>
      </c>
      <c r="M75" s="142"/>
      <c r="AU75" s="62"/>
      <c r="AV75" s="67"/>
      <c r="AW75" s="67"/>
      <c r="AX75" s="107"/>
      <c r="AY75" s="107"/>
      <c r="AZ75" s="67"/>
      <c r="BA75" s="107"/>
      <c r="BB75" s="67"/>
      <c r="BC75" s="67"/>
      <c r="BD75" s="107"/>
      <c r="BE75" s="67"/>
    </row>
    <row r="76" spans="4:57" ht="12.75" hidden="1" x14ac:dyDescent="0.25">
      <c r="D76" s="60" t="s">
        <v>192</v>
      </c>
      <c r="G76" s="121">
        <f t="shared" ref="G76:G78" si="509">VLOOKUP(G60,$K$63:$L$78,2,FALSE)</f>
        <v>4722</v>
      </c>
      <c r="I76" s="59" t="s">
        <v>20</v>
      </c>
      <c r="J76" s="59" t="s">
        <v>21</v>
      </c>
      <c r="K76" s="130">
        <f>H23</f>
        <v>4531</v>
      </c>
      <c r="L76" s="131">
        <f>G23</f>
        <v>4239</v>
      </c>
      <c r="M76" s="142"/>
      <c r="AU76" s="62"/>
      <c r="AV76" s="67"/>
      <c r="AW76" s="67"/>
      <c r="AX76" s="107"/>
      <c r="AY76" s="107"/>
      <c r="AZ76" s="67"/>
      <c r="BA76" s="107"/>
      <c r="BB76" s="67"/>
      <c r="BC76" s="67"/>
      <c r="BD76" s="107"/>
      <c r="BE76" s="67"/>
    </row>
    <row r="77" spans="4:57" ht="12.75" hidden="1" x14ac:dyDescent="0.25">
      <c r="D77" s="60" t="s">
        <v>193</v>
      </c>
      <c r="G77" s="121">
        <f t="shared" si="509"/>
        <v>4519</v>
      </c>
      <c r="I77" s="59" t="s">
        <v>25</v>
      </c>
      <c r="J77" s="59" t="s">
        <v>6</v>
      </c>
      <c r="K77" s="130" t="str">
        <f>G25</f>
        <v>x</v>
      </c>
      <c r="L77" s="131">
        <f>H25</f>
        <v>4695</v>
      </c>
      <c r="M77" s="142"/>
      <c r="AU77" s="62"/>
      <c r="AV77" s="67"/>
      <c r="AW77" s="67"/>
      <c r="AX77" s="107"/>
      <c r="AY77" s="107"/>
      <c r="AZ77" s="67"/>
      <c r="BA77" s="107"/>
      <c r="BB77" s="67"/>
      <c r="BC77" s="67"/>
      <c r="BD77" s="107"/>
      <c r="BE77" s="67"/>
    </row>
    <row r="78" spans="4:57" ht="12.75" hidden="1" x14ac:dyDescent="0.25">
      <c r="D78" s="60" t="s">
        <v>194</v>
      </c>
      <c r="G78" s="121" t="str">
        <f t="shared" si="509"/>
        <v>x</v>
      </c>
      <c r="I78" s="59" t="s">
        <v>200</v>
      </c>
      <c r="J78" s="59" t="s">
        <v>200</v>
      </c>
      <c r="K78" s="132">
        <f>H25</f>
        <v>4695</v>
      </c>
      <c r="L78" s="133" t="str">
        <f>G25</f>
        <v>x</v>
      </c>
      <c r="M78" s="143"/>
      <c r="AU78" s="62"/>
      <c r="AV78" s="67"/>
      <c r="AW78" s="67"/>
      <c r="AX78" s="107"/>
      <c r="AY78" s="107"/>
      <c r="AZ78" s="67"/>
      <c r="BA78" s="107"/>
      <c r="BB78" s="67"/>
      <c r="BC78" s="67"/>
      <c r="BD78" s="107"/>
      <c r="BE78" s="67"/>
    </row>
    <row r="79" spans="4:57" ht="10.7" hidden="1" customHeight="1" x14ac:dyDescent="0.25"/>
    <row r="80" spans="4:57" ht="10.7" hidden="1" customHeight="1" x14ac:dyDescent="0.25"/>
    <row r="82" spans="7:10" ht="10.7" customHeight="1" x14ac:dyDescent="0.25">
      <c r="G82" s="144" t="s">
        <v>195</v>
      </c>
      <c r="H82" s="144"/>
      <c r="I82" s="144"/>
      <c r="J82" s="144"/>
    </row>
    <row r="84" spans="7:10" ht="10.7" customHeight="1" x14ac:dyDescent="0.25">
      <c r="G84" s="135" t="s">
        <v>176</v>
      </c>
      <c r="H84" s="59">
        <f>G51</f>
        <v>4695</v>
      </c>
      <c r="I84" s="136" t="s">
        <v>7</v>
      </c>
      <c r="J84" s="136" t="s">
        <v>6</v>
      </c>
    </row>
    <row r="85" spans="7:10" ht="10.7" customHeight="1" x14ac:dyDescent="0.25">
      <c r="G85" s="135" t="s">
        <v>178</v>
      </c>
      <c r="H85" s="59">
        <f t="shared" ref="H85:H87" si="510">G52</f>
        <v>4276</v>
      </c>
      <c r="I85" s="136" t="s">
        <v>8</v>
      </c>
      <c r="J85" s="136" t="s">
        <v>6</v>
      </c>
    </row>
    <row r="86" spans="7:10" ht="10.7" customHeight="1" x14ac:dyDescent="0.25">
      <c r="G86" s="135" t="s">
        <v>179</v>
      </c>
      <c r="H86" s="59">
        <f t="shared" si="510"/>
        <v>4349</v>
      </c>
      <c r="I86" s="136" t="s">
        <v>9</v>
      </c>
      <c r="J86" s="136" t="s">
        <v>6</v>
      </c>
    </row>
    <row r="87" spans="7:10" ht="10.7" customHeight="1" x14ac:dyDescent="0.25">
      <c r="G87" s="137">
        <f>IF(E43=1,4,3)</f>
        <v>3</v>
      </c>
      <c r="H87" s="59">
        <f t="shared" si="510"/>
        <v>4348</v>
      </c>
      <c r="I87" s="136" t="s">
        <v>10</v>
      </c>
      <c r="J87" s="136" t="s">
        <v>11</v>
      </c>
    </row>
    <row r="88" spans="7:10" ht="10.7" customHeight="1" x14ac:dyDescent="0.25">
      <c r="G88" s="135" t="s">
        <v>196</v>
      </c>
      <c r="H88" s="59">
        <f>G59</f>
        <v>4239</v>
      </c>
      <c r="I88" s="136" t="s">
        <v>14</v>
      </c>
      <c r="J88" s="136" t="s">
        <v>15</v>
      </c>
    </row>
    <row r="89" spans="7:10" ht="10.7" customHeight="1" x14ac:dyDescent="0.25">
      <c r="G89" s="135" t="s">
        <v>196</v>
      </c>
      <c r="H89" s="59">
        <f t="shared" ref="H89:H91" si="511">G60</f>
        <v>4654</v>
      </c>
      <c r="I89" s="136" t="s">
        <v>12</v>
      </c>
      <c r="J89" s="136" t="s">
        <v>13</v>
      </c>
    </row>
    <row r="90" spans="7:10" ht="10.7" customHeight="1" x14ac:dyDescent="0.25">
      <c r="G90" s="135" t="s">
        <v>196</v>
      </c>
      <c r="H90" s="59">
        <f t="shared" si="511"/>
        <v>4439</v>
      </c>
      <c r="I90" s="136" t="s">
        <v>24</v>
      </c>
      <c r="J90" s="136" t="s">
        <v>11</v>
      </c>
    </row>
    <row r="91" spans="7:10" ht="10.7" customHeight="1" x14ac:dyDescent="0.25">
      <c r="G91" s="135" t="s">
        <v>196</v>
      </c>
      <c r="H91" s="59">
        <f t="shared" si="511"/>
        <v>4521</v>
      </c>
      <c r="I91" s="136" t="s">
        <v>5</v>
      </c>
      <c r="J91" s="136" t="s">
        <v>6</v>
      </c>
    </row>
    <row r="92" spans="7:10" ht="10.7" customHeight="1" x14ac:dyDescent="0.25">
      <c r="G92" s="135" t="s">
        <v>197</v>
      </c>
      <c r="H92" s="59" t="str">
        <f>G71</f>
        <v>x</v>
      </c>
      <c r="I92" s="136" t="s">
        <v>200</v>
      </c>
      <c r="J92" s="136" t="s">
        <v>200</v>
      </c>
    </row>
    <row r="93" spans="7:10" ht="10.7" customHeight="1" x14ac:dyDescent="0.25">
      <c r="G93" s="135" t="s">
        <v>197</v>
      </c>
      <c r="H93" s="59" t="str">
        <f t="shared" ref="H93:H99" si="512">G72</f>
        <v>X</v>
      </c>
      <c r="I93" s="136" t="s">
        <v>200</v>
      </c>
      <c r="J93" s="136" t="s">
        <v>200</v>
      </c>
    </row>
    <row r="94" spans="7:10" ht="10.7" customHeight="1" x14ac:dyDescent="0.25">
      <c r="G94" s="135" t="s">
        <v>197</v>
      </c>
      <c r="H94" s="59" t="str">
        <f t="shared" si="512"/>
        <v>x</v>
      </c>
      <c r="I94" s="136" t="s">
        <v>200</v>
      </c>
      <c r="J94" s="136" t="s">
        <v>200</v>
      </c>
    </row>
    <row r="95" spans="7:10" ht="10.7" customHeight="1" x14ac:dyDescent="0.25">
      <c r="G95" s="135" t="s">
        <v>197</v>
      </c>
      <c r="H95" s="59">
        <f t="shared" si="512"/>
        <v>4251</v>
      </c>
      <c r="I95" s="136" t="s">
        <v>22</v>
      </c>
      <c r="J95" s="136" t="s">
        <v>23</v>
      </c>
    </row>
    <row r="96" spans="7:10" ht="10.7" customHeight="1" x14ac:dyDescent="0.25">
      <c r="G96" s="135" t="s">
        <v>197</v>
      </c>
      <c r="H96" s="59">
        <f t="shared" si="512"/>
        <v>4531</v>
      </c>
      <c r="I96" s="136" t="s">
        <v>29</v>
      </c>
      <c r="J96" s="136" t="s">
        <v>30</v>
      </c>
    </row>
    <row r="97" spans="7:10" ht="10.7" customHeight="1" x14ac:dyDescent="0.25">
      <c r="G97" s="135" t="s">
        <v>197</v>
      </c>
      <c r="H97" s="59">
        <f t="shared" si="512"/>
        <v>4722</v>
      </c>
      <c r="I97" s="136" t="s">
        <v>20</v>
      </c>
      <c r="J97" s="136" t="s">
        <v>21</v>
      </c>
    </row>
    <row r="98" spans="7:10" ht="10.7" customHeight="1" x14ac:dyDescent="0.25">
      <c r="G98" s="135" t="s">
        <v>197</v>
      </c>
      <c r="H98" s="59">
        <f t="shared" si="512"/>
        <v>4519</v>
      </c>
      <c r="I98" s="136" t="s">
        <v>25</v>
      </c>
      <c r="J98" s="136" t="s">
        <v>6</v>
      </c>
    </row>
    <row r="99" spans="7:10" ht="10.7" customHeight="1" x14ac:dyDescent="0.25">
      <c r="G99" s="135" t="s">
        <v>197</v>
      </c>
      <c r="H99" s="59" t="str">
        <f t="shared" si="512"/>
        <v>x</v>
      </c>
      <c r="I99" s="136" t="s">
        <v>200</v>
      </c>
      <c r="J99" s="136" t="s">
        <v>200</v>
      </c>
    </row>
  </sheetData>
  <mergeCells count="468">
    <mergeCell ref="AA9:AB9"/>
    <mergeCell ref="A11:A12"/>
    <mergeCell ref="B11:B12"/>
    <mergeCell ref="C11:C12"/>
    <mergeCell ref="D11:D12"/>
    <mergeCell ref="E11:E12"/>
    <mergeCell ref="F11:F12"/>
    <mergeCell ref="G11:G12"/>
    <mergeCell ref="H11:H12"/>
    <mergeCell ref="I11:I12"/>
    <mergeCell ref="AC11:AC12"/>
    <mergeCell ref="BE11:BJ11"/>
    <mergeCell ref="A13:A14"/>
    <mergeCell ref="B13:B14"/>
    <mergeCell ref="C13:C14"/>
    <mergeCell ref="D13:D14"/>
    <mergeCell ref="E13:E14"/>
    <mergeCell ref="F13:F14"/>
    <mergeCell ref="G13:G14"/>
    <mergeCell ref="V11:V12"/>
    <mergeCell ref="W11:W12"/>
    <mergeCell ref="X11:X12"/>
    <mergeCell ref="Y11:Y12"/>
    <mergeCell ref="Z11:Z12"/>
    <mergeCell ref="AA11:AA12"/>
    <mergeCell ref="P11:P12"/>
    <mergeCell ref="Q11:Q12"/>
    <mergeCell ref="R11:R12"/>
    <mergeCell ref="S11:S12"/>
    <mergeCell ref="T11:T12"/>
    <mergeCell ref="U11:U12"/>
    <mergeCell ref="J11:J12"/>
    <mergeCell ref="K11:K12"/>
    <mergeCell ref="L11:L12"/>
    <mergeCell ref="R13:R14"/>
    <mergeCell ref="S13:S14"/>
    <mergeCell ref="H13:H14"/>
    <mergeCell ref="I13:I14"/>
    <mergeCell ref="J13:J14"/>
    <mergeCell ref="K13:K14"/>
    <mergeCell ref="L13:L14"/>
    <mergeCell ref="M13:M14"/>
    <mergeCell ref="AB11:AB12"/>
    <mergeCell ref="M11:M12"/>
    <mergeCell ref="N11:N12"/>
    <mergeCell ref="O11:O12"/>
    <mergeCell ref="I15:I16"/>
    <mergeCell ref="J15:J16"/>
    <mergeCell ref="K15:K16"/>
    <mergeCell ref="L15:L16"/>
    <mergeCell ref="Z13:Z14"/>
    <mergeCell ref="AA13:AA14"/>
    <mergeCell ref="AB13:AB14"/>
    <mergeCell ref="AC13:AC14"/>
    <mergeCell ref="A15:A16"/>
    <mergeCell ref="B15:B16"/>
    <mergeCell ref="C15:C16"/>
    <mergeCell ref="D15:D16"/>
    <mergeCell ref="E15:E16"/>
    <mergeCell ref="F15:F16"/>
    <mergeCell ref="T13:T14"/>
    <mergeCell ref="U13:U14"/>
    <mergeCell ref="V13:V14"/>
    <mergeCell ref="W13:W14"/>
    <mergeCell ref="X13:X14"/>
    <mergeCell ref="Y13:Y14"/>
    <mergeCell ref="N13:N14"/>
    <mergeCell ref="O13:O14"/>
    <mergeCell ref="P13:P14"/>
    <mergeCell ref="Q13:Q14"/>
    <mergeCell ref="Y15:Y16"/>
    <mergeCell ref="Z15:Z16"/>
    <mergeCell ref="AA15:AA16"/>
    <mergeCell ref="AB15:AB16"/>
    <mergeCell ref="AC15:AC16"/>
    <mergeCell ref="A17:A18"/>
    <mergeCell ref="B17:B18"/>
    <mergeCell ref="C17:C18"/>
    <mergeCell ref="D17:D18"/>
    <mergeCell ref="E17:E18"/>
    <mergeCell ref="S15:S16"/>
    <mergeCell ref="T15:T16"/>
    <mergeCell ref="U15:U16"/>
    <mergeCell ref="V15:V16"/>
    <mergeCell ref="W15:W16"/>
    <mergeCell ref="X15:X16"/>
    <mergeCell ref="M15:M16"/>
    <mergeCell ref="N15:N16"/>
    <mergeCell ref="O15:O16"/>
    <mergeCell ref="P15:P16"/>
    <mergeCell ref="Q15:Q16"/>
    <mergeCell ref="R15:R16"/>
    <mergeCell ref="G15:G16"/>
    <mergeCell ref="H15:H16"/>
    <mergeCell ref="L17:L18"/>
    <mergeCell ref="M17:M18"/>
    <mergeCell ref="N17:N18"/>
    <mergeCell ref="O17:O18"/>
    <mergeCell ref="P17:P18"/>
    <mergeCell ref="Q17:Q18"/>
    <mergeCell ref="F17:F18"/>
    <mergeCell ref="G17:G18"/>
    <mergeCell ref="H17:H18"/>
    <mergeCell ref="I17:I18"/>
    <mergeCell ref="J17:J18"/>
    <mergeCell ref="K17:K18"/>
    <mergeCell ref="X17:X18"/>
    <mergeCell ref="Y17:Y18"/>
    <mergeCell ref="Z17:Z18"/>
    <mergeCell ref="AA17:AA18"/>
    <mergeCell ref="AB17:AB18"/>
    <mergeCell ref="AC17:AC18"/>
    <mergeCell ref="R17:R18"/>
    <mergeCell ref="S17:S18"/>
    <mergeCell ref="T17:T18"/>
    <mergeCell ref="U17:U18"/>
    <mergeCell ref="V17:V18"/>
    <mergeCell ref="W17:W18"/>
    <mergeCell ref="I19:I20"/>
    <mergeCell ref="J19:J20"/>
    <mergeCell ref="K19:K20"/>
    <mergeCell ref="L19:L20"/>
    <mergeCell ref="A19:A20"/>
    <mergeCell ref="B19:B20"/>
    <mergeCell ref="C19:C20"/>
    <mergeCell ref="D19:D20"/>
    <mergeCell ref="E19:E20"/>
    <mergeCell ref="F19:F20"/>
    <mergeCell ref="Y19:Y20"/>
    <mergeCell ref="Z19:Z20"/>
    <mergeCell ref="AA19:AA20"/>
    <mergeCell ref="AB19:AB20"/>
    <mergeCell ref="AC19:AC20"/>
    <mergeCell ref="A21:A22"/>
    <mergeCell ref="B21:B22"/>
    <mergeCell ref="C21:C22"/>
    <mergeCell ref="D21:D22"/>
    <mergeCell ref="E21:E22"/>
    <mergeCell ref="S19:S20"/>
    <mergeCell ref="T19:T20"/>
    <mergeCell ref="U19:U20"/>
    <mergeCell ref="V19:V20"/>
    <mergeCell ref="W19:W20"/>
    <mergeCell ref="X19:X20"/>
    <mergeCell ref="M19:M20"/>
    <mergeCell ref="N19:N20"/>
    <mergeCell ref="O19:O20"/>
    <mergeCell ref="P19:P20"/>
    <mergeCell ref="Q19:Q20"/>
    <mergeCell ref="R19:R20"/>
    <mergeCell ref="G19:G20"/>
    <mergeCell ref="H19:H20"/>
    <mergeCell ref="L21:L22"/>
    <mergeCell ref="M21:M22"/>
    <mergeCell ref="N21:N22"/>
    <mergeCell ref="O21:O22"/>
    <mergeCell ref="P21:P22"/>
    <mergeCell ref="Q21:Q22"/>
    <mergeCell ref="F21:F22"/>
    <mergeCell ref="G21:G22"/>
    <mergeCell ref="H21:H22"/>
    <mergeCell ref="I21:I22"/>
    <mergeCell ref="J21:J22"/>
    <mergeCell ref="K21:K22"/>
    <mergeCell ref="X21:X22"/>
    <mergeCell ref="Y21:Y22"/>
    <mergeCell ref="Z21:Z22"/>
    <mergeCell ref="AA21:AA22"/>
    <mergeCell ref="AB21:AB22"/>
    <mergeCell ref="AC21:AC22"/>
    <mergeCell ref="R21:R22"/>
    <mergeCell ref="S21:S22"/>
    <mergeCell ref="T21:T22"/>
    <mergeCell ref="U21:U22"/>
    <mergeCell ref="V21:V22"/>
    <mergeCell ref="W21:W22"/>
    <mergeCell ref="I23:I24"/>
    <mergeCell ref="J23:J24"/>
    <mergeCell ref="K23:K24"/>
    <mergeCell ref="L23:L24"/>
    <mergeCell ref="A23:A24"/>
    <mergeCell ref="B23:B24"/>
    <mergeCell ref="C23:C24"/>
    <mergeCell ref="D23:D24"/>
    <mergeCell ref="E23:E24"/>
    <mergeCell ref="F23:F24"/>
    <mergeCell ref="Y23:Y24"/>
    <mergeCell ref="Z23:Z24"/>
    <mergeCell ref="AA23:AA24"/>
    <mergeCell ref="AB23:AB24"/>
    <mergeCell ref="AC23:AC24"/>
    <mergeCell ref="A25:A26"/>
    <mergeCell ref="B25:B26"/>
    <mergeCell ref="C25:C26"/>
    <mergeCell ref="D25:D26"/>
    <mergeCell ref="E25:E26"/>
    <mergeCell ref="S23:S24"/>
    <mergeCell ref="T23:T24"/>
    <mergeCell ref="U23:U24"/>
    <mergeCell ref="V23:V24"/>
    <mergeCell ref="W23:W24"/>
    <mergeCell ref="X23:X24"/>
    <mergeCell ref="M23:M24"/>
    <mergeCell ref="N23:N24"/>
    <mergeCell ref="O23:O24"/>
    <mergeCell ref="P23:P24"/>
    <mergeCell ref="Q23:Q24"/>
    <mergeCell ref="R23:R24"/>
    <mergeCell ref="G23:G24"/>
    <mergeCell ref="H23:H24"/>
    <mergeCell ref="AA25:AA26"/>
    <mergeCell ref="AB25:AB26"/>
    <mergeCell ref="AC25:AC26"/>
    <mergeCell ref="R25:R26"/>
    <mergeCell ref="S25:S26"/>
    <mergeCell ref="T25:T26"/>
    <mergeCell ref="U25:U26"/>
    <mergeCell ref="V25:V26"/>
    <mergeCell ref="W25:W26"/>
    <mergeCell ref="A27:A28"/>
    <mergeCell ref="B27:B28"/>
    <mergeCell ref="C27:C28"/>
    <mergeCell ref="D27:D28"/>
    <mergeCell ref="E27:E28"/>
    <mergeCell ref="F27:F28"/>
    <mergeCell ref="X25:X26"/>
    <mergeCell ref="Y25:Y26"/>
    <mergeCell ref="Z25:Z26"/>
    <mergeCell ref="L25:L26"/>
    <mergeCell ref="M25:M26"/>
    <mergeCell ref="N25:N26"/>
    <mergeCell ref="O25:O26"/>
    <mergeCell ref="P25:P26"/>
    <mergeCell ref="Q25:Q26"/>
    <mergeCell ref="F25:F26"/>
    <mergeCell ref="G25:G26"/>
    <mergeCell ref="H25:H26"/>
    <mergeCell ref="I25:I26"/>
    <mergeCell ref="J25:J26"/>
    <mergeCell ref="K25:K26"/>
    <mergeCell ref="Z27:Z28"/>
    <mergeCell ref="AA27:AA28"/>
    <mergeCell ref="AB27:AB28"/>
    <mergeCell ref="A29:A30"/>
    <mergeCell ref="B29:B30"/>
    <mergeCell ref="C29:C30"/>
    <mergeCell ref="D29:D30"/>
    <mergeCell ref="E29:E30"/>
    <mergeCell ref="F29:F30"/>
    <mergeCell ref="S27:S28"/>
    <mergeCell ref="T27:T28"/>
    <mergeCell ref="U27:U28"/>
    <mergeCell ref="V27:V28"/>
    <mergeCell ref="W27:W28"/>
    <mergeCell ref="X27:X28"/>
    <mergeCell ref="M27:M28"/>
    <mergeCell ref="N27:N28"/>
    <mergeCell ref="O27:O28"/>
    <mergeCell ref="P27:P28"/>
    <mergeCell ref="Q27:Q28"/>
    <mergeCell ref="R27:R28"/>
    <mergeCell ref="G27:G28"/>
    <mergeCell ref="H27:H28"/>
    <mergeCell ref="I27:I28"/>
    <mergeCell ref="Q29:Q30"/>
    <mergeCell ref="R29:R30"/>
    <mergeCell ref="G29:G30"/>
    <mergeCell ref="H29:H30"/>
    <mergeCell ref="I29:I30"/>
    <mergeCell ref="J29:J30"/>
    <mergeCell ref="K29:K30"/>
    <mergeCell ref="L29:L30"/>
    <mergeCell ref="Y27:Y28"/>
    <mergeCell ref="J27:J28"/>
    <mergeCell ref="K27:K28"/>
    <mergeCell ref="L27:L28"/>
    <mergeCell ref="I31:I32"/>
    <mergeCell ref="J31:J32"/>
    <mergeCell ref="K31:K32"/>
    <mergeCell ref="L31:L32"/>
    <mergeCell ref="Y29:Y30"/>
    <mergeCell ref="Z29:Z30"/>
    <mergeCell ref="AA29:AA30"/>
    <mergeCell ref="AB29:AB30"/>
    <mergeCell ref="A31:A32"/>
    <mergeCell ref="B31:B32"/>
    <mergeCell ref="C31:C32"/>
    <mergeCell ref="D31:D32"/>
    <mergeCell ref="E31:E32"/>
    <mergeCell ref="F31:F32"/>
    <mergeCell ref="S29:S30"/>
    <mergeCell ref="T29:T30"/>
    <mergeCell ref="U29:U30"/>
    <mergeCell ref="V29:V30"/>
    <mergeCell ref="W29:W30"/>
    <mergeCell ref="X29:X30"/>
    <mergeCell ref="M29:M30"/>
    <mergeCell ref="N29:N30"/>
    <mergeCell ref="O29:O30"/>
    <mergeCell ref="P29:P30"/>
    <mergeCell ref="Y31:Y32"/>
    <mergeCell ref="Z31:Z32"/>
    <mergeCell ref="AA31:AA32"/>
    <mergeCell ref="AB31:AB32"/>
    <mergeCell ref="A33:A34"/>
    <mergeCell ref="B33:B34"/>
    <mergeCell ref="C33:C34"/>
    <mergeCell ref="D33:D34"/>
    <mergeCell ref="E33:E34"/>
    <mergeCell ref="F33:F34"/>
    <mergeCell ref="S31:S32"/>
    <mergeCell ref="T31:T32"/>
    <mergeCell ref="U31:U32"/>
    <mergeCell ref="V31:V32"/>
    <mergeCell ref="W31:W32"/>
    <mergeCell ref="X31:X32"/>
    <mergeCell ref="M31:M32"/>
    <mergeCell ref="N31:N32"/>
    <mergeCell ref="O31:O32"/>
    <mergeCell ref="P31:P32"/>
    <mergeCell ref="Q31:Q32"/>
    <mergeCell ref="R31:R32"/>
    <mergeCell ref="G31:G32"/>
    <mergeCell ref="H31:H32"/>
    <mergeCell ref="Z33:Z34"/>
    <mergeCell ref="AA33:AA34"/>
    <mergeCell ref="AB33:AB34"/>
    <mergeCell ref="A35:A36"/>
    <mergeCell ref="B35:B36"/>
    <mergeCell ref="C35:C36"/>
    <mergeCell ref="D35:D36"/>
    <mergeCell ref="E35:E36"/>
    <mergeCell ref="F35:F36"/>
    <mergeCell ref="S33:S34"/>
    <mergeCell ref="T33:T34"/>
    <mergeCell ref="U33:U34"/>
    <mergeCell ref="V33:V34"/>
    <mergeCell ref="W33:W34"/>
    <mergeCell ref="X33:X34"/>
    <mergeCell ref="M33:M34"/>
    <mergeCell ref="N33:N34"/>
    <mergeCell ref="O33:O34"/>
    <mergeCell ref="P33:P34"/>
    <mergeCell ref="Q33:Q34"/>
    <mergeCell ref="R33:R34"/>
    <mergeCell ref="G33:G34"/>
    <mergeCell ref="H33:H34"/>
    <mergeCell ref="I33:I34"/>
    <mergeCell ref="Q35:Q36"/>
    <mergeCell ref="R35:R36"/>
    <mergeCell ref="G35:G36"/>
    <mergeCell ref="H35:H36"/>
    <mergeCell ref="I35:I36"/>
    <mergeCell ref="J35:J36"/>
    <mergeCell ref="K35:K36"/>
    <mergeCell ref="L35:L36"/>
    <mergeCell ref="Y33:Y34"/>
    <mergeCell ref="J33:J34"/>
    <mergeCell ref="K33:K34"/>
    <mergeCell ref="L33:L34"/>
    <mergeCell ref="I37:I38"/>
    <mergeCell ref="J37:J38"/>
    <mergeCell ref="K37:K38"/>
    <mergeCell ref="L37:L38"/>
    <mergeCell ref="Y35:Y36"/>
    <mergeCell ref="Z35:Z36"/>
    <mergeCell ref="AA35:AA36"/>
    <mergeCell ref="AB35:AB36"/>
    <mergeCell ref="A37:A38"/>
    <mergeCell ref="B37:B38"/>
    <mergeCell ref="C37:C38"/>
    <mergeCell ref="D37:D38"/>
    <mergeCell ref="E37:E38"/>
    <mergeCell ref="F37:F38"/>
    <mergeCell ref="S35:S36"/>
    <mergeCell ref="T35:T36"/>
    <mergeCell ref="U35:U36"/>
    <mergeCell ref="V35:V36"/>
    <mergeCell ref="W35:W36"/>
    <mergeCell ref="X35:X36"/>
    <mergeCell ref="M35:M36"/>
    <mergeCell ref="N35:N36"/>
    <mergeCell ref="O35:O36"/>
    <mergeCell ref="P35:P36"/>
    <mergeCell ref="Y37:Y38"/>
    <mergeCell ref="Z37:Z38"/>
    <mergeCell ref="AA37:AA38"/>
    <mergeCell ref="AB37:AB38"/>
    <mergeCell ref="A39:A40"/>
    <mergeCell ref="B39:B40"/>
    <mergeCell ref="C39:C40"/>
    <mergeCell ref="D39:D40"/>
    <mergeCell ref="E39:E40"/>
    <mergeCell ref="F39:F40"/>
    <mergeCell ref="S37:S38"/>
    <mergeCell ref="T37:T38"/>
    <mergeCell ref="U37:U38"/>
    <mergeCell ref="V37:V38"/>
    <mergeCell ref="W37:W38"/>
    <mergeCell ref="X37:X38"/>
    <mergeCell ref="M37:M38"/>
    <mergeCell ref="N37:N38"/>
    <mergeCell ref="O37:O38"/>
    <mergeCell ref="P37:P38"/>
    <mergeCell ref="Q37:Q38"/>
    <mergeCell ref="R37:R38"/>
    <mergeCell ref="G37:G38"/>
    <mergeCell ref="H37:H38"/>
    <mergeCell ref="Z39:Z40"/>
    <mergeCell ref="AA39:AA40"/>
    <mergeCell ref="AB39:AB40"/>
    <mergeCell ref="A41:A42"/>
    <mergeCell ref="B41:B42"/>
    <mergeCell ref="C41:C42"/>
    <mergeCell ref="D41:D42"/>
    <mergeCell ref="E41:E42"/>
    <mergeCell ref="F41:F42"/>
    <mergeCell ref="S39:S40"/>
    <mergeCell ref="T39:T40"/>
    <mergeCell ref="U39:U40"/>
    <mergeCell ref="V39:V40"/>
    <mergeCell ref="W39:W40"/>
    <mergeCell ref="X39:X40"/>
    <mergeCell ref="M39:M40"/>
    <mergeCell ref="N39:N40"/>
    <mergeCell ref="O39:O40"/>
    <mergeCell ref="P39:P40"/>
    <mergeCell ref="Q39:Q40"/>
    <mergeCell ref="R39:R40"/>
    <mergeCell ref="G39:G40"/>
    <mergeCell ref="H39:H40"/>
    <mergeCell ref="I39:I40"/>
    <mergeCell ref="Q41:Q42"/>
    <mergeCell ref="R41:R42"/>
    <mergeCell ref="G41:G42"/>
    <mergeCell ref="H41:H42"/>
    <mergeCell ref="I41:I42"/>
    <mergeCell ref="J41:J42"/>
    <mergeCell ref="K41:K42"/>
    <mergeCell ref="L41:L42"/>
    <mergeCell ref="Y39:Y40"/>
    <mergeCell ref="J39:J40"/>
    <mergeCell ref="K39:K40"/>
    <mergeCell ref="L39:L40"/>
    <mergeCell ref="M51:M54"/>
    <mergeCell ref="M55:M62"/>
    <mergeCell ref="M63:M78"/>
    <mergeCell ref="G82:J82"/>
    <mergeCell ref="Y41:Y42"/>
    <mergeCell ref="Z41:Z42"/>
    <mergeCell ref="B43:D46"/>
    <mergeCell ref="E43:E46"/>
    <mergeCell ref="G43:G44"/>
    <mergeCell ref="I43:I44"/>
    <mergeCell ref="J43:J44"/>
    <mergeCell ref="G45:G46"/>
    <mergeCell ref="I45:I46"/>
    <mergeCell ref="J45:J46"/>
    <mergeCell ref="S41:S42"/>
    <mergeCell ref="T41:T42"/>
    <mergeCell ref="U41:U42"/>
    <mergeCell ref="V41:V42"/>
    <mergeCell ref="W41:W42"/>
    <mergeCell ref="X41:X42"/>
    <mergeCell ref="M41:M42"/>
    <mergeCell ref="N41:N42"/>
    <mergeCell ref="O41:O42"/>
    <mergeCell ref="P41:P42"/>
  </mergeCells>
  <printOptions verticalCentered="1"/>
  <pageMargins left="0.70866141732283472" right="0.70866141732283472" top="0.74803149606299213" bottom="0.74803149606299213" header="0.31496062992125984" footer="0.31496062992125984"/>
  <pageSetup scale="58" orientation="landscape" horizontalDpi="360" verticalDpi="36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Ranking Final</vt:lpstr>
      <vt:lpstr>Grupo 1</vt:lpstr>
      <vt:lpstr>Grupo 2</vt:lpstr>
      <vt:lpstr>Grupo 3</vt:lpstr>
      <vt:lpstr>Grupo 4</vt:lpstr>
      <vt:lpstr>Grupo 5</vt:lpstr>
      <vt:lpstr>Grupo 6</vt:lpstr>
      <vt:lpstr>LLAVE 16</vt:lpstr>
      <vt:lpstr>'Grupo 1'!Print_Area</vt:lpstr>
      <vt:lpstr>'Grupo 2'!Print_Area</vt:lpstr>
      <vt:lpstr>'Grupo 3'!Print_Area</vt:lpstr>
      <vt:lpstr>'Grupo 4'!Print_Area</vt:lpstr>
      <vt:lpstr>'Grupo 5'!Print_Area</vt:lpstr>
      <vt:lpstr>'Grupo 6'!Print_Area</vt:lpstr>
      <vt:lpstr>'LLAVE 16'!Print_Area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Leandro Ulloa</dc:creator>
  <cp:lastModifiedBy>Esteban Maroto Coto</cp:lastModifiedBy>
  <dcterms:created xsi:type="dcterms:W3CDTF">2026-09-23T05:14:59Z</dcterms:created>
  <dcterms:modified xsi:type="dcterms:W3CDTF">2026-10-19T02:41:44Z</dcterms:modified>
</cp:coreProperties>
</file>