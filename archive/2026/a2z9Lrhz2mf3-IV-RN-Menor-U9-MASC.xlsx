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62e4f4dfeb096b8/Documentos/fecoteme/2026/Ranking/IV RN Menor 2026/"/>
    </mc:Choice>
  </mc:AlternateContent>
  <xr:revisionPtr revIDLastSave="2" documentId="13_ncr:1_{A44CEC38-9ADB-43ED-8259-95F20C14093A}" xr6:coauthVersionLast="47" xr6:coauthVersionMax="47" xr10:uidLastSave="{D89D6B5F-D68E-4E2B-9164-22B5BD66192F}"/>
  <bookViews>
    <workbookView xWindow="28680" yWindow="-120" windowWidth="29040" windowHeight="15720" firstSheet="1" activeTab="1" xr2:uid="{1F5D55FB-9646-45EB-9D29-9CF49ACE47E8}"/>
  </bookViews>
  <sheets>
    <sheet name="Tabulación" sheetId="2" state="hidden" r:id="rId1"/>
    <sheet name="Ranking Final" sheetId="12" r:id="rId2"/>
    <sheet name="Inscripciones" sheetId="3" r:id="rId3"/>
    <sheet name="Grupo 1" sheetId="4" r:id="rId4"/>
    <sheet name="Grupo 2" sheetId="5" r:id="rId5"/>
    <sheet name="Grupo 3" sheetId="6" r:id="rId6"/>
    <sheet name="Grupo 4" sheetId="7" r:id="rId7"/>
    <sheet name="SORTEO 8" sheetId="8" state="hidden" r:id="rId8"/>
    <sheet name="LLAVE 8" sheetId="9" r:id="rId9"/>
    <sheet name="PLANILLA 8" sheetId="10" state="hidden" r:id="rId10"/>
    <sheet name="PREMIACION" sheetId="11" r:id="rId11"/>
  </sheets>
  <externalReferences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>
    <definedName name="a">#REF!</definedName>
    <definedName name="acdb" localSheetId="7">#REF!</definedName>
    <definedName name="acdb">#REF!</definedName>
    <definedName name="ACDB1">#REF!</definedName>
    <definedName name="acdf" localSheetId="7">#REF!</definedName>
    <definedName name="acdf">#REF!</definedName>
    <definedName name="acdh">#REF!</definedName>
    <definedName name="acdo" localSheetId="7">#REF!</definedName>
    <definedName name="acdo">#REF!</definedName>
    <definedName name="aceq" localSheetId="7">#REF!</definedName>
    <definedName name="aceq" localSheetId="0">[1]AE!$A:$IV</definedName>
    <definedName name="aceq">#REF!</definedName>
    <definedName name="acif" localSheetId="7">#REF!</definedName>
    <definedName name="acif">#REF!</definedName>
    <definedName name="acin" localSheetId="7">#REF!</definedName>
    <definedName name="acin">#REF!</definedName>
    <definedName name="ACIN1">#REF!</definedName>
    <definedName name="acti" localSheetId="7">#REF!</definedName>
    <definedName name="acti">#REF!</definedName>
    <definedName name="avc" localSheetId="7">#REF!</definedName>
    <definedName name="avc" localSheetId="0">[2]DORSAL!$A$2:$G$120</definedName>
    <definedName name="avc">#REF!</definedName>
    <definedName name="datos" localSheetId="7">#REF!</definedName>
    <definedName name="datos" localSheetId="0">[3]Datos!$A$2:$G$140</definedName>
    <definedName name="datos">#REF!</definedName>
    <definedName name="dorsal" localSheetId="7">#REF!</definedName>
    <definedName name="dorsal" localSheetId="0">[2]DORSAL!$A$2:$G$120</definedName>
    <definedName name="dorsal">#REF!</definedName>
    <definedName name="EQ" localSheetId="7">#REF!</definedName>
    <definedName name="EQ" localSheetId="0">[4]EQU!$A:$IV</definedName>
    <definedName name="EQ">#REF!</definedName>
    <definedName name="IN" localSheetId="7">#REF!</definedName>
    <definedName name="IN" localSheetId="0">[4]IND!$A:$IV</definedName>
    <definedName name="IN">#REF!</definedName>
    <definedName name="IND" localSheetId="7">#REF!</definedName>
    <definedName name="IND" localSheetId="0">[5]IN!$A$3:$IV$102</definedName>
    <definedName name="IND">#REF!</definedName>
    <definedName name="IPC_Member" localSheetId="7">#REF!</definedName>
    <definedName name="IPC_Member">#REF!</definedName>
    <definedName name="JBS" localSheetId="7">#REF!</definedName>
    <definedName name="JBS" localSheetId="0">[6]JB!$A$1:$E$100</definedName>
    <definedName name="JBS">#REF!</definedName>
    <definedName name="JGS" localSheetId="7">#REF!</definedName>
    <definedName name="JGS">#REF!</definedName>
    <definedName name="JUG" localSheetId="7">#REF!</definedName>
    <definedName name="JUG" localSheetId="0">[7]Jug!$A$2:$D$13</definedName>
    <definedName name="JUG">#REF!</definedName>
    <definedName name="PC" localSheetId="7">#REF!</definedName>
    <definedName name="PC">#REF!</definedName>
    <definedName name="PCS" localSheetId="7">#REF!</definedName>
    <definedName name="PCS">#REF!</definedName>
    <definedName name="PLAYERS" localSheetId="7">#REF!</definedName>
    <definedName name="PLAYERS" localSheetId="0">[8]Players!$B$4:$H$124</definedName>
    <definedName name="PLAYERS">#REF!</definedName>
    <definedName name="_xlnm.Print_Area" localSheetId="3">'Grupo 1'!$A$1:$J$35</definedName>
    <definedName name="_xlnm.Print_Area" localSheetId="4">'Grupo 2'!$A$1:$J$35</definedName>
    <definedName name="_xlnm.Print_Area" localSheetId="5">'Grupo 3'!$A$1:$J$35</definedName>
    <definedName name="_xlnm.Print_Area" localSheetId="6">'Grupo 4'!$A$1:$J$35</definedName>
    <definedName name="_xlnm.Print_Area" localSheetId="2">Inscripciones!$B$1:$G$96</definedName>
    <definedName name="_xlnm.Print_Area" localSheetId="8">'LLAVE 8'!$AU$2:$BJ$26</definedName>
    <definedName name="_xlnm.Print_Area" localSheetId="9">'PLANILLA 8'!$A$1:$Y$39</definedName>
    <definedName name="_xlnm.Print_Area" localSheetId="7">'SORTEO 8'!$A$1:$W$27</definedName>
    <definedName name="RK" localSheetId="7">#REF!</definedName>
    <definedName name="RK">#REF!</definedName>
    <definedName name="RKJB" localSheetId="7">#REF!</definedName>
    <definedName name="RKJB">#REF!</definedName>
    <definedName name="RKJG" localSheetId="7">#REF!</definedName>
    <definedName name="RKJG">#REF!</definedName>
    <definedName name="SI" localSheetId="7">#REF!</definedName>
    <definedName name="SI">#REF!</definedName>
    <definedName name="ssss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V2" i="9" l="1"/>
  <c r="AW5" i="9"/>
  <c r="AU6" i="9"/>
  <c r="AZ7" i="9"/>
  <c r="AU8" i="9"/>
  <c r="AW9" i="9"/>
  <c r="AU10" i="9"/>
  <c r="AU12" i="9" s="1"/>
  <c r="AU14" i="9" s="1"/>
  <c r="AU16" i="9" s="1"/>
  <c r="AU18" i="9" s="1"/>
  <c r="BC11" i="9"/>
  <c r="AW13" i="9"/>
  <c r="AZ15" i="9"/>
  <c r="AW17" i="9"/>
  <c r="A17" i="3"/>
  <c r="A16" i="3"/>
  <c r="A15" i="3"/>
  <c r="A14" i="3"/>
  <c r="A13" i="3"/>
  <c r="A12" i="3"/>
  <c r="A11" i="3"/>
  <c r="A10" i="3"/>
  <c r="A9" i="3"/>
  <c r="A8" i="3"/>
  <c r="C12" i="11"/>
  <c r="CA12" i="9"/>
  <c r="BU12" i="9"/>
  <c r="BS12" i="9"/>
  <c r="CA11" i="9"/>
  <c r="CA10" i="9"/>
  <c r="BU10" i="9"/>
  <c r="BS10" i="9"/>
  <c r="CA9" i="9"/>
  <c r="CA8" i="9"/>
  <c r="BU8" i="9"/>
  <c r="BS8" i="9"/>
  <c r="CA7" i="9"/>
  <c r="CA6" i="9"/>
  <c r="CA5" i="9"/>
  <c r="T14" i="8"/>
  <c r="S14" i="8"/>
  <c r="T13" i="8"/>
  <c r="S13" i="8"/>
  <c r="D35" i="7"/>
  <c r="D34" i="7"/>
  <c r="D9" i="7"/>
  <c r="D35" i="6"/>
  <c r="D34" i="6"/>
  <c r="D9" i="6"/>
  <c r="D35" i="5"/>
  <c r="D34" i="5"/>
  <c r="D9" i="5"/>
  <c r="D35" i="4"/>
  <c r="D34" i="4"/>
  <c r="D9" i="4"/>
  <c r="Y2" i="10"/>
  <c r="U2" i="10"/>
  <c r="N10" i="10" s="1"/>
  <c r="G46" i="9"/>
  <c r="G20" i="9"/>
  <c r="J20" i="9" s="1"/>
  <c r="AS19" i="9"/>
  <c r="AR19" i="9"/>
  <c r="AQ19" i="9"/>
  <c r="AP19" i="9"/>
  <c r="AO19" i="9"/>
  <c r="AE19" i="9" s="1"/>
  <c r="AN19" i="9"/>
  <c r="AM19" i="9"/>
  <c r="AL19" i="9"/>
  <c r="AK19" i="9"/>
  <c r="AJ19" i="9"/>
  <c r="AI19" i="9"/>
  <c r="AH19" i="9"/>
  <c r="AB18" i="9" s="1"/>
  <c r="AG19" i="9"/>
  <c r="AF19" i="9"/>
  <c r="AS18" i="9"/>
  <c r="AR18" i="9"/>
  <c r="AQ18" i="9"/>
  <c r="AP18" i="9"/>
  <c r="AO18" i="9"/>
  <c r="AN18" i="9"/>
  <c r="AM18" i="9"/>
  <c r="AL18" i="9"/>
  <c r="AK18" i="9"/>
  <c r="AJ18" i="9"/>
  <c r="AI18" i="9"/>
  <c r="AH18" i="9"/>
  <c r="AG18" i="9"/>
  <c r="AF18" i="9"/>
  <c r="F18" i="9"/>
  <c r="AS17" i="9"/>
  <c r="AR17" i="9"/>
  <c r="AQ17" i="9"/>
  <c r="AP17" i="9"/>
  <c r="AO17" i="9"/>
  <c r="AN17" i="9"/>
  <c r="AE17" i="9" s="1"/>
  <c r="AM17" i="9"/>
  <c r="AL17" i="9"/>
  <c r="AK17" i="9"/>
  <c r="AJ17" i="9"/>
  <c r="AI17" i="9"/>
  <c r="AH17" i="9"/>
  <c r="AG17" i="9"/>
  <c r="AF17" i="9"/>
  <c r="AS16" i="9"/>
  <c r="AR16" i="9"/>
  <c r="AQ16" i="9"/>
  <c r="AE16" i="9" s="1"/>
  <c r="AP16" i="9"/>
  <c r="AO16" i="9"/>
  <c r="AN16" i="9"/>
  <c r="AM16" i="9"/>
  <c r="AL16" i="9"/>
  <c r="AK16" i="9"/>
  <c r="AJ16" i="9"/>
  <c r="AI16" i="9"/>
  <c r="AH16" i="9"/>
  <c r="AG16" i="9"/>
  <c r="AF16" i="9"/>
  <c r="AB16" i="9"/>
  <c r="AD16" i="9" s="1"/>
  <c r="AA16" i="9"/>
  <c r="AD17" i="9" s="1"/>
  <c r="F16" i="9"/>
  <c r="BC20" i="9" s="1"/>
  <c r="AS15" i="9"/>
  <c r="AR15" i="9"/>
  <c r="AQ15" i="9"/>
  <c r="AP15" i="9"/>
  <c r="AO15" i="9"/>
  <c r="AN15" i="9"/>
  <c r="AM15" i="9"/>
  <c r="AL15" i="9"/>
  <c r="AK15" i="9"/>
  <c r="AJ15" i="9"/>
  <c r="AI15" i="9"/>
  <c r="AH15" i="9"/>
  <c r="AB14" i="9" s="1"/>
  <c r="AG15" i="9"/>
  <c r="AF15" i="9"/>
  <c r="AS14" i="9"/>
  <c r="AR14" i="9"/>
  <c r="AQ14" i="9"/>
  <c r="AP14" i="9"/>
  <c r="AO14" i="9"/>
  <c r="AN14" i="9"/>
  <c r="AM14" i="9"/>
  <c r="AL14" i="9"/>
  <c r="AK14" i="9"/>
  <c r="AJ14" i="9"/>
  <c r="AI14" i="9"/>
  <c r="AH14" i="9"/>
  <c r="AG14" i="9"/>
  <c r="AF14" i="9"/>
  <c r="AA14" i="9"/>
  <c r="F14" i="9"/>
  <c r="AS13" i="9"/>
  <c r="AR13" i="9"/>
  <c r="AQ13" i="9"/>
  <c r="AP13" i="9"/>
  <c r="AO13" i="9"/>
  <c r="AN13" i="9"/>
  <c r="AM13" i="9"/>
  <c r="AL13" i="9"/>
  <c r="AK13" i="9"/>
  <c r="AJ13" i="9"/>
  <c r="AI13" i="9"/>
  <c r="AH13" i="9"/>
  <c r="AG13" i="9"/>
  <c r="AF13" i="9"/>
  <c r="BO12" i="9"/>
  <c r="BN12" i="9"/>
  <c r="BM12" i="9"/>
  <c r="AS12" i="9"/>
  <c r="AR12" i="9"/>
  <c r="AQ12" i="9"/>
  <c r="AP12" i="9"/>
  <c r="AO12" i="9"/>
  <c r="AN12" i="9"/>
  <c r="AM12" i="9"/>
  <c r="AL12" i="9"/>
  <c r="AK12" i="9"/>
  <c r="AJ12" i="9"/>
  <c r="AI12" i="9"/>
  <c r="AH12" i="9"/>
  <c r="AG12" i="9"/>
  <c r="AF12" i="9"/>
  <c r="F12" i="9"/>
  <c r="BO11" i="9"/>
  <c r="BN11" i="9"/>
  <c r="BM11" i="9"/>
  <c r="AS11" i="9"/>
  <c r="AR11" i="9"/>
  <c r="AQ11" i="9"/>
  <c r="AP11" i="9"/>
  <c r="AO11" i="9"/>
  <c r="AN11" i="9"/>
  <c r="AM11" i="9"/>
  <c r="AL11" i="9"/>
  <c r="AK11" i="9"/>
  <c r="AJ11" i="9"/>
  <c r="AI11" i="9"/>
  <c r="AH11" i="9"/>
  <c r="AG11" i="9"/>
  <c r="AF11" i="9"/>
  <c r="BO10" i="9"/>
  <c r="BN10" i="9"/>
  <c r="BM10" i="9"/>
  <c r="AS10" i="9"/>
  <c r="AR10" i="9"/>
  <c r="AQ10" i="9"/>
  <c r="AP10" i="9"/>
  <c r="AO10" i="9"/>
  <c r="AN10" i="9"/>
  <c r="AM10" i="9"/>
  <c r="AL10" i="9"/>
  <c r="AK10" i="9"/>
  <c r="AJ10" i="9"/>
  <c r="AI10" i="9"/>
  <c r="AH10" i="9"/>
  <c r="AG10" i="9"/>
  <c r="AF10" i="9"/>
  <c r="AB10" i="9"/>
  <c r="F10" i="9"/>
  <c r="BO9" i="9"/>
  <c r="BN9" i="9"/>
  <c r="BM9" i="9"/>
  <c r="AS9" i="9"/>
  <c r="AR9" i="9"/>
  <c r="AQ9" i="9"/>
  <c r="AP9" i="9"/>
  <c r="AO9" i="9"/>
  <c r="AN9" i="9"/>
  <c r="AM9" i="9"/>
  <c r="AL9" i="9"/>
  <c r="AK9" i="9"/>
  <c r="AJ9" i="9"/>
  <c r="AI9" i="9"/>
  <c r="AH9" i="9"/>
  <c r="AG9" i="9"/>
  <c r="AF9" i="9"/>
  <c r="BO8" i="9"/>
  <c r="BN8" i="9"/>
  <c r="BM8" i="9"/>
  <c r="AS8" i="9"/>
  <c r="AR8" i="9"/>
  <c r="AQ8" i="9"/>
  <c r="AP8" i="9"/>
  <c r="AO8" i="9"/>
  <c r="AN8" i="9"/>
  <c r="AM8" i="9"/>
  <c r="AL8" i="9"/>
  <c r="AK8" i="9"/>
  <c r="AJ8" i="9"/>
  <c r="AI8" i="9"/>
  <c r="AH8" i="9"/>
  <c r="AG8" i="9"/>
  <c r="AF8" i="9"/>
  <c r="F8" i="9"/>
  <c r="BO7" i="9"/>
  <c r="BN7" i="9"/>
  <c r="BM7" i="9"/>
  <c r="AS7" i="9"/>
  <c r="AR7" i="9"/>
  <c r="AQ7" i="9"/>
  <c r="AP7" i="9"/>
  <c r="AO7" i="9"/>
  <c r="AN7" i="9"/>
  <c r="AM7" i="9"/>
  <c r="AL7" i="9"/>
  <c r="AK7" i="9"/>
  <c r="AJ7" i="9"/>
  <c r="AI7" i="9"/>
  <c r="AH7" i="9"/>
  <c r="AG7" i="9"/>
  <c r="AF7" i="9"/>
  <c r="BO6" i="9"/>
  <c r="BN6" i="9"/>
  <c r="BM6" i="9"/>
  <c r="BL6" i="9"/>
  <c r="BL7" i="9" s="1"/>
  <c r="BL8" i="9" s="1"/>
  <c r="BL9" i="9" s="1"/>
  <c r="BL10" i="9" s="1"/>
  <c r="BL11" i="9" s="1"/>
  <c r="BL12" i="9" s="1"/>
  <c r="AS6" i="9"/>
  <c r="AR6" i="9"/>
  <c r="AQ6" i="9"/>
  <c r="AP6" i="9"/>
  <c r="AO6" i="9"/>
  <c r="AN6" i="9"/>
  <c r="AM6" i="9"/>
  <c r="AE6" i="9" s="1"/>
  <c r="AL6" i="9"/>
  <c r="AK6" i="9"/>
  <c r="AJ6" i="9"/>
  <c r="AI6" i="9"/>
  <c r="AH6" i="9"/>
  <c r="AG6" i="9"/>
  <c r="AF6" i="9"/>
  <c r="AA6" i="9" s="1"/>
  <c r="F6" i="9"/>
  <c r="BO5" i="9"/>
  <c r="BN5" i="9"/>
  <c r="BM5" i="9"/>
  <c r="AS5" i="9"/>
  <c r="AR5" i="9"/>
  <c r="AQ5" i="9"/>
  <c r="AP5" i="9"/>
  <c r="AO5" i="9"/>
  <c r="AN5" i="9"/>
  <c r="AM5" i="9"/>
  <c r="AL5" i="9"/>
  <c r="AK5" i="9"/>
  <c r="AJ5" i="9"/>
  <c r="AI5" i="9"/>
  <c r="AH5" i="9"/>
  <c r="AG5" i="9"/>
  <c r="AF5" i="9"/>
  <c r="AS4" i="9"/>
  <c r="AR4" i="9"/>
  <c r="AQ4" i="9"/>
  <c r="AP4" i="9"/>
  <c r="AO4" i="9"/>
  <c r="AN4" i="9"/>
  <c r="AM4" i="9"/>
  <c r="AL4" i="9"/>
  <c r="AK4" i="9"/>
  <c r="AJ4" i="9"/>
  <c r="AI4" i="9"/>
  <c r="AH4" i="9"/>
  <c r="AG4" i="9"/>
  <c r="AA4" i="9" s="1"/>
  <c r="AF4" i="9"/>
  <c r="AB4" i="9"/>
  <c r="F4" i="9"/>
  <c r="W14" i="8"/>
  <c r="V14" i="8"/>
  <c r="W13" i="8"/>
  <c r="V13" i="8"/>
  <c r="W12" i="8"/>
  <c r="W19" i="8" s="1"/>
  <c r="W11" i="8"/>
  <c r="W18" i="8" s="1"/>
  <c r="W10" i="8"/>
  <c r="W17" i="8" s="1"/>
  <c r="W9" i="8"/>
  <c r="W16" i="8" s="1"/>
  <c r="J28" i="7" a="1"/>
  <c r="J28" i="7" s="1"/>
  <c r="J26" i="7" a="1"/>
  <c r="J26" i="7" s="1"/>
  <c r="J24" i="7" a="1"/>
  <c r="J24" i="7" s="1"/>
  <c r="J22" i="7" a="1"/>
  <c r="J22" i="7" s="1"/>
  <c r="J20" i="7" a="1"/>
  <c r="J20" i="7" s="1"/>
  <c r="J18" i="7" a="1"/>
  <c r="J18" i="7" s="1"/>
  <c r="J7" i="7"/>
  <c r="J22" i="6" a="1"/>
  <c r="J22" i="6" s="1"/>
  <c r="J20" i="6" a="1"/>
  <c r="J20" i="6" s="1"/>
  <c r="J18" i="6" a="1"/>
  <c r="J18" i="6" s="1"/>
  <c r="J14" i="6"/>
  <c r="J13" i="6"/>
  <c r="J12" i="6"/>
  <c r="J7" i="6"/>
  <c r="J22" i="5" a="1"/>
  <c r="J22" i="5" s="1"/>
  <c r="J20" i="5" a="1"/>
  <c r="J20" i="5" s="1"/>
  <c r="J18" i="5" a="1"/>
  <c r="J18" i="5" s="1"/>
  <c r="J14" i="5"/>
  <c r="J13" i="5"/>
  <c r="J12" i="5"/>
  <c r="J7" i="5"/>
  <c r="J22" i="4" a="1"/>
  <c r="J22" i="4" s="1"/>
  <c r="J20" i="4" a="1"/>
  <c r="J20" i="4" s="1"/>
  <c r="J18" i="4" a="1"/>
  <c r="J18" i="4" s="1"/>
  <c r="J14" i="4"/>
  <c r="J13" i="4"/>
  <c r="J12" i="4"/>
  <c r="J7" i="4"/>
  <c r="A119" i="3"/>
  <c r="A118" i="3"/>
  <c r="A117" i="3"/>
  <c r="A116" i="3"/>
  <c r="A115" i="3"/>
  <c r="A114" i="3"/>
  <c r="A113" i="3"/>
  <c r="A112" i="3"/>
  <c r="A111" i="3"/>
  <c r="A110" i="3"/>
  <c r="A109" i="3"/>
  <c r="A108" i="3"/>
  <c r="A107" i="3"/>
  <c r="A106" i="3"/>
  <c r="A105" i="3"/>
  <c r="A104" i="3"/>
  <c r="A103" i="3"/>
  <c r="A102" i="3"/>
  <c r="A101" i="3"/>
  <c r="A100" i="3"/>
  <c r="A99" i="3"/>
  <c r="A98" i="3"/>
  <c r="A97" i="3"/>
  <c r="A96" i="3"/>
  <c r="A95" i="3"/>
  <c r="A94" i="3"/>
  <c r="A93" i="3"/>
  <c r="A92" i="3"/>
  <c r="A91" i="3"/>
  <c r="A90" i="3"/>
  <c r="A89" i="3"/>
  <c r="A88" i="3"/>
  <c r="A87" i="3"/>
  <c r="A86" i="3"/>
  <c r="A85" i="3"/>
  <c r="A84" i="3"/>
  <c r="A83" i="3"/>
  <c r="A82" i="3"/>
  <c r="A81" i="3"/>
  <c r="A80" i="3"/>
  <c r="A79" i="3"/>
  <c r="A78" i="3"/>
  <c r="A77" i="3"/>
  <c r="A76" i="3"/>
  <c r="A75" i="3"/>
  <c r="A74" i="3"/>
  <c r="A73" i="3"/>
  <c r="A72" i="3"/>
  <c r="A71" i="3"/>
  <c r="A70" i="3"/>
  <c r="A69" i="3"/>
  <c r="A68" i="3"/>
  <c r="A67" i="3"/>
  <c r="A66" i="3"/>
  <c r="A65" i="3"/>
  <c r="A64" i="3"/>
  <c r="A63" i="3"/>
  <c r="A62" i="3"/>
  <c r="A61" i="3"/>
  <c r="A60" i="3"/>
  <c r="A59" i="3"/>
  <c r="A58" i="3"/>
  <c r="A57" i="3"/>
  <c r="A56" i="3"/>
  <c r="A55" i="3"/>
  <c r="A54" i="3"/>
  <c r="A53" i="3"/>
  <c r="A52" i="3"/>
  <c r="A51" i="3"/>
  <c r="A50" i="3"/>
  <c r="A49" i="3"/>
  <c r="A48" i="3"/>
  <c r="A47" i="3"/>
  <c r="A46" i="3"/>
  <c r="A45" i="3"/>
  <c r="A44" i="3"/>
  <c r="A43" i="3"/>
  <c r="A42" i="3"/>
  <c r="A41" i="3"/>
  <c r="A40" i="3"/>
  <c r="A39" i="3"/>
  <c r="A38" i="3"/>
  <c r="A37" i="3"/>
  <c r="A36" i="3"/>
  <c r="A35" i="3"/>
  <c r="A34" i="3"/>
  <c r="A33" i="3"/>
  <c r="A32" i="3"/>
  <c r="A31" i="3"/>
  <c r="A30" i="3"/>
  <c r="A29" i="3"/>
  <c r="A28" i="3"/>
  <c r="A27" i="3"/>
  <c r="A26" i="3"/>
  <c r="A25" i="3"/>
  <c r="A24" i="3"/>
  <c r="A23" i="3"/>
  <c r="A22" i="3"/>
  <c r="A21" i="3"/>
  <c r="A20" i="3"/>
  <c r="A19" i="3"/>
  <c r="A18" i="3"/>
  <c r="A7" i="3"/>
  <c r="A6" i="3"/>
  <c r="A5" i="3"/>
  <c r="B5" i="2"/>
  <c r="B8" i="2" s="1"/>
  <c r="G2" i="2" a="1"/>
  <c r="P5" i="2" a="1"/>
  <c r="G15" i="2" a="1"/>
  <c r="D11" i="2" a="1"/>
  <c r="L3" i="2" a="1"/>
  <c r="R10" i="8" a="1"/>
  <c r="F16" i="2" a="1"/>
  <c r="F13" i="2" a="1"/>
  <c r="M3" i="2" a="1"/>
  <c r="O5" i="2" a="1"/>
  <c r="G11" i="2" a="1"/>
  <c r="L6" i="2" a="1"/>
  <c r="D13" i="2" a="1"/>
  <c r="C16" i="2" a="1"/>
  <c r="P6" i="2" a="1"/>
  <c r="C2" i="2" a="1"/>
  <c r="G9" i="2" a="1"/>
  <c r="G4" i="2" a="1"/>
  <c r="C11" i="2" a="1"/>
  <c r="C14" i="2" a="1"/>
  <c r="L4" i="2" a="1"/>
  <c r="F11" i="2" a="1"/>
  <c r="M5" i="2" a="1"/>
  <c r="M4" i="2" a="1"/>
  <c r="M6" i="2" a="1"/>
  <c r="L2" i="2" a="1"/>
  <c r="P4" i="2" a="1"/>
  <c r="O3" i="2" a="1"/>
  <c r="C13" i="2" a="1"/>
  <c r="D12" i="2" a="1"/>
  <c r="L5" i="2" a="1"/>
  <c r="G13" i="2" a="1"/>
  <c r="R17" i="8" a="1"/>
  <c r="R9" i="8" a="1"/>
  <c r="P2" i="2" a="1"/>
  <c r="C12" i="2" a="1"/>
  <c r="C15" i="2" a="1"/>
  <c r="G12" i="2" a="1"/>
  <c r="C4" i="2" a="1"/>
  <c r="M2" i="2" a="1"/>
  <c r="R16" i="8" a="1"/>
  <c r="F14" i="2" a="1"/>
  <c r="F12" i="2" a="1"/>
  <c r="P1" i="2" a="1"/>
  <c r="R11" i="8" a="1"/>
  <c r="G3" i="2" a="1"/>
  <c r="C3" i="2" a="1"/>
  <c r="D14" i="2" a="1"/>
  <c r="O1" i="2" a="1"/>
  <c r="R18" i="8" a="1"/>
  <c r="D16" i="2" a="1"/>
  <c r="P3" i="2" a="1"/>
  <c r="R19" i="8" a="1"/>
  <c r="R12" i="8" a="1"/>
  <c r="G16" i="2" a="1"/>
  <c r="O2" i="2" a="1"/>
  <c r="F15" i="2" a="1"/>
  <c r="L1" i="2" a="1"/>
  <c r="D15" i="2" a="1"/>
  <c r="C6" i="2" a="1"/>
  <c r="O4" i="2" a="1"/>
  <c r="G14" i="2" a="1"/>
  <c r="O6" i="2" a="1"/>
  <c r="M1" i="2" a="1"/>
  <c r="AA18" i="9" l="1"/>
  <c r="AD18" i="9" s="1"/>
  <c r="AE18" i="9"/>
  <c r="AA12" i="9"/>
  <c r="AE12" i="9"/>
  <c r="AE13" i="9"/>
  <c r="AB12" i="9"/>
  <c r="AE14" i="9"/>
  <c r="AE15" i="9"/>
  <c r="AA8" i="9"/>
  <c r="AE8" i="9"/>
  <c r="AB8" i="9"/>
  <c r="AD8" i="9" s="1"/>
  <c r="AD9" i="9" s="1"/>
  <c r="AE9" i="9"/>
  <c r="AB6" i="9"/>
  <c r="AD6" i="9"/>
  <c r="AE7" i="9"/>
  <c r="AA10" i="9"/>
  <c r="AE11" i="9"/>
  <c r="AD10" i="9"/>
  <c r="AE10" i="9"/>
  <c r="AE5" i="9"/>
  <c r="AD4" i="9"/>
  <c r="AE4" i="9"/>
  <c r="AC4" i="9" s="1"/>
  <c r="AZ4" i="9" s="1"/>
  <c r="L11" i="10"/>
  <c r="S3" i="10"/>
  <c r="U22" i="10"/>
  <c r="N32" i="10" s="1"/>
  <c r="N11" i="10"/>
  <c r="D3" i="10"/>
  <c r="U3" i="10"/>
  <c r="L12" i="10"/>
  <c r="W3" i="10"/>
  <c r="N12" i="10"/>
  <c r="M3" i="10"/>
  <c r="C12" i="6"/>
  <c r="E12" i="6" s="1"/>
  <c r="C13" i="6"/>
  <c r="G13" i="6" s="1"/>
  <c r="C14" i="6"/>
  <c r="G14" i="6" s="1"/>
  <c r="C12" i="7"/>
  <c r="G12" i="7" s="1"/>
  <c r="C13" i="7"/>
  <c r="G13" i="7" s="1"/>
  <c r="C14" i="7"/>
  <c r="G14" i="7" s="1"/>
  <c r="C15" i="7"/>
  <c r="F15" i="7" s="1"/>
  <c r="E14" i="6"/>
  <c r="F14" i="6"/>
  <c r="F12" i="6"/>
  <c r="G12" i="6"/>
  <c r="I20" i="9"/>
  <c r="D13" i="6"/>
  <c r="D12" i="6"/>
  <c r="E13" i="6"/>
  <c r="F13" i="6"/>
  <c r="L9" i="10"/>
  <c r="N9" i="10"/>
  <c r="L10" i="10"/>
  <c r="AD12" i="9"/>
  <c r="AC12" i="9" s="1"/>
  <c r="BC6" i="9" s="1"/>
  <c r="AD14" i="9"/>
  <c r="AD15" i="9" s="1"/>
  <c r="AC16" i="9"/>
  <c r="BF21" i="9" s="1"/>
  <c r="BE20" i="9"/>
  <c r="AD5" i="9"/>
  <c r="R11" i="8"/>
  <c r="R10" i="8"/>
  <c r="R16" i="8"/>
  <c r="R17" i="8"/>
  <c r="R19" i="8"/>
  <c r="R18" i="8"/>
  <c r="R9" i="8"/>
  <c r="R12" i="8"/>
  <c r="A14" i="7"/>
  <c r="A12" i="7"/>
  <c r="A13" i="7"/>
  <c r="A15" i="7"/>
  <c r="A12" i="6"/>
  <c r="A13" i="6"/>
  <c r="A14" i="6"/>
  <c r="A13" i="5"/>
  <c r="C13" i="5" s="1"/>
  <c r="A14" i="5"/>
  <c r="C14" i="5" s="1"/>
  <c r="A12" i="5"/>
  <c r="C12" i="5" s="1"/>
  <c r="A13" i="4"/>
  <c r="C13" i="4" s="1"/>
  <c r="A14" i="4"/>
  <c r="C14" i="4" s="1"/>
  <c r="A12" i="4"/>
  <c r="C12" i="4" s="1"/>
  <c r="G9" i="2"/>
  <c r="C3" i="2"/>
  <c r="P5" i="2"/>
  <c r="M6" i="2"/>
  <c r="O3" i="2"/>
  <c r="M4" i="2"/>
  <c r="L4" i="2"/>
  <c r="P6" i="2"/>
  <c r="C4" i="2"/>
  <c r="O6" i="2"/>
  <c r="L5" i="2"/>
  <c r="L1" i="2"/>
  <c r="G2" i="2"/>
  <c r="G3" i="2"/>
  <c r="P4" i="2"/>
  <c r="M5" i="2"/>
  <c r="M1" i="2"/>
  <c r="O4" i="2"/>
  <c r="C2" i="2"/>
  <c r="O2" i="2"/>
  <c r="L3" i="2"/>
  <c r="P3" i="2"/>
  <c r="O1" i="2"/>
  <c r="P1" i="2"/>
  <c r="O5" i="2"/>
  <c r="L6" i="2"/>
  <c r="C6" i="2"/>
  <c r="L2" i="2"/>
  <c r="M2" i="2"/>
  <c r="P2" i="2"/>
  <c r="M3" i="2"/>
  <c r="G4" i="2"/>
  <c r="C11" i="2"/>
  <c r="F12" i="2"/>
  <c r="C14" i="2"/>
  <c r="F15" i="2"/>
  <c r="D11" i="2"/>
  <c r="G12" i="2"/>
  <c r="D14" i="2"/>
  <c r="G15" i="2"/>
  <c r="F11" i="2"/>
  <c r="C13" i="2"/>
  <c r="F14" i="2"/>
  <c r="C16" i="2"/>
  <c r="G11" i="2"/>
  <c r="D13" i="2"/>
  <c r="G14" i="2"/>
  <c r="D16" i="2"/>
  <c r="C12" i="2"/>
  <c r="F13" i="2"/>
  <c r="C15" i="2"/>
  <c r="F16" i="2"/>
  <c r="D12" i="2"/>
  <c r="G13" i="2"/>
  <c r="D15" i="2"/>
  <c r="G16" i="2"/>
  <c r="G5" i="2" a="1"/>
  <c r="G7" i="2" a="1"/>
  <c r="F6" i="2" a="1"/>
  <c r="F9" i="2" a="1"/>
  <c r="C10" i="2" a="1"/>
  <c r="G8" i="2" a="1"/>
  <c r="D7" i="2" a="1"/>
  <c r="D10" i="2" a="1"/>
  <c r="C5" i="2" a="1"/>
  <c r="G10" i="2" a="1"/>
  <c r="F4" i="2" a="1"/>
  <c r="F8" i="2" a="1"/>
  <c r="F3" i="2" a="1"/>
  <c r="D5" i="2" a="1"/>
  <c r="D4" i="2" a="1"/>
  <c r="C8" i="2" a="1"/>
  <c r="F10" i="2" a="1"/>
  <c r="D8" i="2" a="1"/>
  <c r="F2" i="2" a="1"/>
  <c r="G6" i="2" a="1"/>
  <c r="D6" i="2" a="1"/>
  <c r="D9" i="2" a="1"/>
  <c r="C9" i="2" a="1"/>
  <c r="D3" i="2" a="1"/>
  <c r="C7" i="2" a="1"/>
  <c r="F7" i="2" a="1"/>
  <c r="D2" i="2" a="1"/>
  <c r="F5" i="2" a="1"/>
  <c r="C5" i="2" l="1"/>
  <c r="G5" i="2"/>
  <c r="G6" i="2"/>
  <c r="G7" i="2"/>
  <c r="C7" i="2"/>
  <c r="AD19" i="9"/>
  <c r="AC18" i="9"/>
  <c r="BF10" i="9" s="1"/>
  <c r="AD13" i="9"/>
  <c r="AC14" i="9"/>
  <c r="BC16" i="9" s="1"/>
  <c r="L30" i="10"/>
  <c r="W23" i="10"/>
  <c r="N29" i="10"/>
  <c r="M23" i="10"/>
  <c r="L31" i="10"/>
  <c r="L29" i="10"/>
  <c r="L32" i="10"/>
  <c r="U23" i="10"/>
  <c r="S23" i="10"/>
  <c r="AC8" i="9"/>
  <c r="AZ12" i="9" s="1"/>
  <c r="AC6" i="9"/>
  <c r="AZ10" i="9" s="1"/>
  <c r="AD7" i="9"/>
  <c r="AD11" i="9"/>
  <c r="AC10" i="9"/>
  <c r="AZ18" i="9" s="1"/>
  <c r="D23" i="10"/>
  <c r="N31" i="10"/>
  <c r="N30" i="10"/>
  <c r="G12" i="5"/>
  <c r="D12" i="5"/>
  <c r="G14" i="5"/>
  <c r="F14" i="5"/>
  <c r="D14" i="5"/>
  <c r="E14" i="5"/>
  <c r="G13" i="5"/>
  <c r="F13" i="5"/>
  <c r="G14" i="4"/>
  <c r="D14" i="4"/>
  <c r="E14" i="4"/>
  <c r="F14" i="4"/>
  <c r="D12" i="4"/>
  <c r="F12" i="4"/>
  <c r="G13" i="4"/>
  <c r="D13" i="4"/>
  <c r="F13" i="4"/>
  <c r="E13" i="4"/>
  <c r="D14" i="7"/>
  <c r="D13" i="5"/>
  <c r="F12" i="5"/>
  <c r="F14" i="7"/>
  <c r="D12" i="7"/>
  <c r="E12" i="5"/>
  <c r="D14" i="6"/>
  <c r="D15" i="7"/>
  <c r="E12" i="4"/>
  <c r="F12" i="7"/>
  <c r="E12" i="7"/>
  <c r="G12" i="4"/>
  <c r="E13" i="5"/>
  <c r="E14" i="7"/>
  <c r="E13" i="7"/>
  <c r="D13" i="7"/>
  <c r="E15" i="7"/>
  <c r="G15" i="7"/>
  <c r="F13" i="7"/>
  <c r="T18" i="8"/>
  <c r="S18" i="8"/>
  <c r="T16" i="8"/>
  <c r="S16" i="8"/>
  <c r="T10" i="8"/>
  <c r="S10" i="8"/>
  <c r="T12" i="8"/>
  <c r="S12" i="8"/>
  <c r="BG20" i="9"/>
  <c r="BF20" i="9"/>
  <c r="S11" i="8"/>
  <c r="T11" i="8"/>
  <c r="T9" i="8"/>
  <c r="S9" i="8"/>
  <c r="T19" i="8"/>
  <c r="S19" i="8"/>
  <c r="T17" i="8"/>
  <c r="S17" i="8"/>
  <c r="V9" i="8"/>
  <c r="D9" i="8" s="1"/>
  <c r="V18" i="8"/>
  <c r="D14" i="8" s="1"/>
  <c r="V12" i="8"/>
  <c r="D13" i="8" s="1"/>
  <c r="V19" i="8"/>
  <c r="D10" i="8" s="1"/>
  <c r="V16" i="8"/>
  <c r="D15" i="8" s="1"/>
  <c r="V10" i="8"/>
  <c r="V17" i="8"/>
  <c r="D11" i="8" s="1"/>
  <c r="V11" i="8"/>
  <c r="D19" i="7"/>
  <c r="D24" i="7" s="1"/>
  <c r="D29" i="7" s="1"/>
  <c r="F6" i="2"/>
  <c r="D6" i="2"/>
  <c r="F5" i="2"/>
  <c r="D5" i="2"/>
  <c r="D7" i="2"/>
  <c r="F7" i="2"/>
  <c r="D2" i="2"/>
  <c r="D3" i="2"/>
  <c r="F3" i="2"/>
  <c r="F2" i="2"/>
  <c r="F4" i="2"/>
  <c r="D4" i="2"/>
  <c r="F8" i="2"/>
  <c r="F10" i="2"/>
  <c r="D8" i="2"/>
  <c r="F9" i="2"/>
  <c r="C10" i="2"/>
  <c r="G8" i="2"/>
  <c r="D10" i="2"/>
  <c r="C9" i="2"/>
  <c r="D9" i="2"/>
  <c r="G10" i="2"/>
  <c r="C8" i="2"/>
  <c r="H4" i="9" l="1"/>
  <c r="AV6" i="9" s="1"/>
  <c r="E10" i="8"/>
  <c r="F10" i="8"/>
  <c r="F11" i="8"/>
  <c r="E11" i="8"/>
  <c r="G6" i="9"/>
  <c r="F14" i="8"/>
  <c r="H8" i="9"/>
  <c r="AV14" i="9" s="1"/>
  <c r="E14" i="8"/>
  <c r="F15" i="8"/>
  <c r="E15" i="8"/>
  <c r="G10" i="9"/>
  <c r="F13" i="8"/>
  <c r="E13" i="8"/>
  <c r="G8" i="9"/>
  <c r="D16" i="8"/>
  <c r="E16" i="8" s="1"/>
  <c r="D12" i="8"/>
  <c r="F9" i="8"/>
  <c r="G4" i="9"/>
  <c r="E9" i="8"/>
  <c r="D18" i="7"/>
  <c r="D22" i="7"/>
  <c r="D26" i="7"/>
  <c r="D23" i="7"/>
  <c r="D28" i="7"/>
  <c r="D21" i="7"/>
  <c r="D27" i="7"/>
  <c r="D20" i="7"/>
  <c r="D25" i="7" s="1"/>
  <c r="D18" i="6"/>
  <c r="D20" i="6"/>
  <c r="D22" i="6"/>
  <c r="D21" i="6"/>
  <c r="D23" i="6"/>
  <c r="D19" i="6"/>
  <c r="D22" i="5"/>
  <c r="D21" i="5"/>
  <c r="D19" i="5"/>
  <c r="D23" i="5"/>
  <c r="D18" i="5"/>
  <c r="D20" i="5"/>
  <c r="D22" i="4"/>
  <c r="D21" i="4"/>
  <c r="D23" i="4"/>
  <c r="D19" i="4"/>
  <c r="D18" i="4"/>
  <c r="D20" i="4"/>
  <c r="AV12" i="9" l="1"/>
  <c r="AX12" i="9" s="1"/>
  <c r="G14" i="9"/>
  <c r="H18" i="9" s="1"/>
  <c r="AV8" i="9"/>
  <c r="AW8" i="9" s="1"/>
  <c r="AV16" i="9"/>
  <c r="AW16" i="9" s="1"/>
  <c r="AV4" i="9"/>
  <c r="AX4" i="9" s="1"/>
  <c r="G12" i="9"/>
  <c r="G18" i="9" s="1"/>
  <c r="G22" i="9" s="1"/>
  <c r="AX14" i="9"/>
  <c r="AW14" i="9"/>
  <c r="AW12" i="9"/>
  <c r="AX6" i="9"/>
  <c r="AW6" i="9"/>
  <c r="F16" i="8"/>
  <c r="K33" i="9"/>
  <c r="BZ5" i="9"/>
  <c r="L32" i="9"/>
  <c r="I6" i="9"/>
  <c r="L35" i="9"/>
  <c r="BY6" i="9"/>
  <c r="J6" i="9"/>
  <c r="K34" i="9"/>
  <c r="L36" i="9"/>
  <c r="BZ7" i="9"/>
  <c r="BU6" i="9" s="1"/>
  <c r="K37" i="9"/>
  <c r="J10" i="9"/>
  <c r="BY8" i="9"/>
  <c r="BS7" i="9" s="1"/>
  <c r="I10" i="9"/>
  <c r="L39" i="9"/>
  <c r="K38" i="9"/>
  <c r="H10" i="9"/>
  <c r="H14" i="9" s="1"/>
  <c r="H16" i="9" s="1"/>
  <c r="BY7" i="9"/>
  <c r="BS6" i="9" s="1"/>
  <c r="L37" i="9"/>
  <c r="K36" i="9"/>
  <c r="I8" i="9"/>
  <c r="J8" i="9"/>
  <c r="H6" i="9"/>
  <c r="AV10" i="9" s="1"/>
  <c r="E12" i="8"/>
  <c r="F12" i="8"/>
  <c r="J4" i="9"/>
  <c r="I4" i="9"/>
  <c r="G28" i="9" l="1"/>
  <c r="G29" i="9" s="1"/>
  <c r="BE11" i="9"/>
  <c r="J22" i="9"/>
  <c r="I22" i="9"/>
  <c r="J18" i="9"/>
  <c r="BB7" i="9"/>
  <c r="BY12" i="9"/>
  <c r="BS11" i="9" s="1"/>
  <c r="I18" i="9"/>
  <c r="BB15" i="9"/>
  <c r="BZ12" i="9"/>
  <c r="BU11" i="9" s="1"/>
  <c r="BZ11" i="9"/>
  <c r="BB21" i="9"/>
  <c r="AX8" i="9"/>
  <c r="AY13" i="9"/>
  <c r="K30" i="9"/>
  <c r="I14" i="9"/>
  <c r="L31" i="9"/>
  <c r="J14" i="9"/>
  <c r="BY10" i="9"/>
  <c r="BS9" i="9" s="1"/>
  <c r="AX16" i="9"/>
  <c r="H12" i="9"/>
  <c r="AW4" i="9"/>
  <c r="AY17" i="9"/>
  <c r="L30" i="9"/>
  <c r="BZ10" i="9"/>
  <c r="BU9" i="9" s="1"/>
  <c r="K31" i="9"/>
  <c r="L29" i="9"/>
  <c r="AY5" i="9"/>
  <c r="I12" i="9"/>
  <c r="K28" i="9"/>
  <c r="J12" i="9"/>
  <c r="BY9" i="9"/>
  <c r="AW10" i="9"/>
  <c r="AX10" i="9"/>
  <c r="K39" i="9"/>
  <c r="AV18" i="9"/>
  <c r="BS5" i="9"/>
  <c r="K6" i="9"/>
  <c r="L6" i="9"/>
  <c r="L38" i="9"/>
  <c r="L10" i="9"/>
  <c r="K10" i="9"/>
  <c r="BZ8" i="9"/>
  <c r="BU7" i="9" s="1"/>
  <c r="K8" i="9"/>
  <c r="L8" i="9"/>
  <c r="K35" i="9"/>
  <c r="L34" i="9"/>
  <c r="BZ6" i="9"/>
  <c r="L4" i="9"/>
  <c r="K4" i="9"/>
  <c r="BF11" i="9" l="1"/>
  <c r="BG11" i="9"/>
  <c r="J28" i="9"/>
  <c r="I28" i="9"/>
  <c r="H43" i="9"/>
  <c r="K29" i="9"/>
  <c r="G16" i="9"/>
  <c r="L18" i="9"/>
  <c r="K18" i="9"/>
  <c r="BC7" i="9"/>
  <c r="BD7" i="9"/>
  <c r="J29" i="9"/>
  <c r="I29" i="9"/>
  <c r="H44" i="9"/>
  <c r="D15" i="11" s="1"/>
  <c r="BD21" i="9"/>
  <c r="BC21" i="9"/>
  <c r="BD15" i="9"/>
  <c r="BC15" i="9"/>
  <c r="BZ9" i="9"/>
  <c r="U6" i="10" s="1"/>
  <c r="S8" i="10" s="1"/>
  <c r="K14" i="9"/>
  <c r="L14" i="9"/>
  <c r="AY9" i="9"/>
  <c r="BA9" i="9" s="1"/>
  <c r="L28" i="9"/>
  <c r="G30" i="9" s="1"/>
  <c r="BA13" i="9"/>
  <c r="AZ13" i="9"/>
  <c r="AZ17" i="9"/>
  <c r="BA17" i="9"/>
  <c r="L12" i="9"/>
  <c r="K12" i="9"/>
  <c r="BA5" i="9"/>
  <c r="AZ5" i="9"/>
  <c r="AW18" i="9"/>
  <c r="AX18" i="9"/>
  <c r="BU5" i="9"/>
  <c r="U26" i="10"/>
  <c r="L33" i="9"/>
  <c r="BY5" i="9"/>
  <c r="K32" i="9"/>
  <c r="J30" i="9" l="1"/>
  <c r="I30" i="9"/>
  <c r="H45" i="9"/>
  <c r="D14" i="11"/>
  <c r="J43" i="9"/>
  <c r="I43" i="9"/>
  <c r="I16" i="9"/>
  <c r="BY11" i="9"/>
  <c r="BB19" i="9"/>
  <c r="J16" i="9"/>
  <c r="G31" i="9"/>
  <c r="G39" i="9" s="1"/>
  <c r="J44" i="9"/>
  <c r="I44" i="9"/>
  <c r="U7" i="10"/>
  <c r="E6" i="10"/>
  <c r="C8" i="10" s="1"/>
  <c r="E26" i="10"/>
  <c r="AZ9" i="9"/>
  <c r="U27" i="10"/>
  <c r="S28" i="10"/>
  <c r="G36" i="9"/>
  <c r="G38" i="9"/>
  <c r="G37" i="9"/>
  <c r="D16" i="11" l="1"/>
  <c r="E16" i="11" s="1"/>
  <c r="I45" i="9"/>
  <c r="J45" i="9"/>
  <c r="F14" i="11"/>
  <c r="E14" i="11"/>
  <c r="BD19" i="9"/>
  <c r="BC19" i="9"/>
  <c r="I31" i="9"/>
  <c r="J31" i="9"/>
  <c r="H46" i="9"/>
  <c r="D17" i="11" s="1"/>
  <c r="L16" i="9"/>
  <c r="K16" i="9"/>
  <c r="F15" i="11"/>
  <c r="E15" i="11"/>
  <c r="E7" i="10"/>
  <c r="C28" i="10"/>
  <c r="E27" i="10"/>
  <c r="I37" i="9"/>
  <c r="J37" i="9"/>
  <c r="J39" i="9"/>
  <c r="I39" i="9"/>
  <c r="I38" i="9"/>
  <c r="J38" i="9"/>
  <c r="J36" i="9"/>
  <c r="I36" i="9"/>
  <c r="H48" i="9"/>
  <c r="D19" i="11" s="1"/>
  <c r="H50" i="9"/>
  <c r="D21" i="11" s="1"/>
  <c r="H49" i="9"/>
  <c r="D20" i="11" s="1"/>
  <c r="H47" i="9"/>
  <c r="D18" i="11" s="1"/>
  <c r="F16" i="11" l="1"/>
  <c r="J46" i="9"/>
  <c r="I46" i="9"/>
  <c r="F20" i="11"/>
  <c r="E20" i="11"/>
  <c r="F21" i="11"/>
  <c r="E21" i="11"/>
  <c r="E19" i="11"/>
  <c r="F19" i="11"/>
  <c r="F18" i="11"/>
  <c r="E18" i="11"/>
  <c r="I47" i="9"/>
  <c r="J47" i="9"/>
  <c r="J50" i="9"/>
  <c r="I50" i="9"/>
  <c r="J48" i="9"/>
  <c r="I48" i="9"/>
  <c r="J49" i="9"/>
  <c r="I49" i="9"/>
  <c r="E17" i="11" l="1"/>
  <c r="F17" i="1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<sst xmlns="http://schemas.openxmlformats.org/spreadsheetml/2006/main" count="449" uniqueCount="215">
  <si>
    <t>Ganadores</t>
  </si>
  <si>
    <t>Perdedores</t>
  </si>
  <si>
    <t xml:space="preserve"> </t>
  </si>
  <si>
    <t>Ranking Nacional</t>
  </si>
  <si>
    <t>CARNÉ</t>
  </si>
  <si>
    <t>NOMBRE</t>
  </si>
  <si>
    <t>CLUB</t>
  </si>
  <si>
    <t>RANKING</t>
  </si>
  <si>
    <t>PUNTOS</t>
  </si>
  <si>
    <t>Grupo</t>
  </si>
  <si>
    <t>X</t>
  </si>
  <si>
    <t>BYE</t>
  </si>
  <si>
    <t>En Caso de ocupar 3 de 5, mostrar columnas H - I         En caso de 2 de 2, ocultarlas.</t>
  </si>
  <si>
    <t>Fecha:</t>
  </si>
  <si>
    <t>Categoría</t>
  </si>
  <si>
    <t>Grupo nº</t>
  </si>
  <si>
    <t>Mesa nº</t>
  </si>
  <si>
    <t>Orden</t>
  </si>
  <si>
    <t>Carné</t>
  </si>
  <si>
    <t>Jugadores</t>
  </si>
  <si>
    <t>Lugar</t>
  </si>
  <si>
    <t>Ranking</t>
  </si>
  <si>
    <t>Puntos</t>
  </si>
  <si>
    <t xml:space="preserve">Partida </t>
  </si>
  <si>
    <t>JUGADOR</t>
  </si>
  <si>
    <t>1º set</t>
  </si>
  <si>
    <t>2º set</t>
  </si>
  <si>
    <t>3º set</t>
  </si>
  <si>
    <t>4º set</t>
  </si>
  <si>
    <t>5º set</t>
  </si>
  <si>
    <t xml:space="preserve">Ganador </t>
  </si>
  <si>
    <t>Clasificados (# de carne)</t>
  </si>
  <si>
    <t>Revisión de Camisas y Raquetas</t>
  </si>
  <si>
    <t>Carnet</t>
  </si>
  <si>
    <t>Nombre</t>
  </si>
  <si>
    <t>Revisión de nombres y resultados</t>
  </si>
  <si>
    <t>Árbitro</t>
  </si>
  <si>
    <t>Marque si hay informe</t>
  </si>
  <si>
    <t>En Caso de ocupar 3 de 5, mostrar columnas H - I             En caso de 2 de 2, ocultarlas.</t>
  </si>
  <si>
    <t>Todo</t>
  </si>
  <si>
    <t>Imprimir</t>
  </si>
  <si>
    <t>Par</t>
  </si>
  <si>
    <t xml:space="preserve">Fecha: </t>
  </si>
  <si>
    <t>Impar</t>
  </si>
  <si>
    <t>Categoría:</t>
  </si>
  <si>
    <t>Nº</t>
  </si>
  <si>
    <t>PRIMEROS DE GRUPO</t>
  </si>
  <si>
    <t>1ro G1</t>
  </si>
  <si>
    <t>Gr</t>
  </si>
  <si>
    <t>2do</t>
  </si>
  <si>
    <t>1ro G3-4</t>
  </si>
  <si>
    <t>SEGUNDOS DE GRUPO</t>
  </si>
  <si>
    <t>1ro G2</t>
  </si>
  <si>
    <t>-</t>
  </si>
  <si>
    <t>Match</t>
  </si>
  <si>
    <t>Round</t>
  </si>
  <si>
    <t>Day</t>
  </si>
  <si>
    <t>Time</t>
  </si>
  <si>
    <t>T</t>
  </si>
  <si>
    <t>A</t>
    <phoneticPr fontId="0" type="noConversion"/>
  </si>
  <si>
    <t>B</t>
    <phoneticPr fontId="0" type="noConversion"/>
  </si>
  <si>
    <t>pla 1</t>
    <phoneticPr fontId="0" type="noConversion"/>
  </si>
  <si>
    <t>Ass</t>
  </si>
  <si>
    <t>pla 2</t>
    <phoneticPr fontId="0" type="noConversion"/>
  </si>
  <si>
    <t>Ass</t>
    <phoneticPr fontId="0" type="noConversion"/>
  </si>
  <si>
    <t>G A</t>
  </si>
  <si>
    <t>G X</t>
  </si>
  <si>
    <t>Score</t>
  </si>
  <si>
    <t>Games</t>
  </si>
  <si>
    <t>QF</t>
    <phoneticPr fontId="48" type="noConversion"/>
  </si>
  <si>
    <t>5-Jun</t>
    <phoneticPr fontId="0" type="noConversion"/>
  </si>
  <si>
    <t>09:00</t>
    <phoneticPr fontId="0" type="noConversion"/>
  </si>
  <si>
    <t>MATCH_ID</t>
  </si>
  <si>
    <t>DAT</t>
  </si>
  <si>
    <t>TIME</t>
  </si>
  <si>
    <t>TABLE</t>
  </si>
  <si>
    <t>EVT</t>
  </si>
  <si>
    <t>GRP</t>
  </si>
  <si>
    <t>SEQ</t>
  </si>
  <si>
    <t>P1ID_1</t>
  </si>
  <si>
    <t>P1ID_2</t>
  </si>
  <si>
    <t>P2ID_1</t>
  </si>
  <si>
    <t>P2ID_2</t>
  </si>
  <si>
    <t>WINNER ID</t>
  </si>
  <si>
    <t>P1</t>
  </si>
  <si>
    <t>P2</t>
  </si>
  <si>
    <t>EVENT</t>
  </si>
  <si>
    <t>ROUND</t>
  </si>
  <si>
    <t>JBS</t>
  </si>
  <si>
    <t>Cuartos</t>
    <phoneticPr fontId="0" type="noConversion"/>
  </si>
  <si>
    <t>9:00</t>
    <phoneticPr fontId="0" type="noConversion"/>
  </si>
  <si>
    <t>Cuartos</t>
    <phoneticPr fontId="48" type="noConversion"/>
  </si>
  <si>
    <t>CAMPEON:</t>
    <phoneticPr fontId="48" type="noConversion"/>
  </si>
  <si>
    <t>Semifinal</t>
    <phoneticPr fontId="0" type="noConversion"/>
  </si>
  <si>
    <t>Semifinal</t>
    <phoneticPr fontId="48" type="noConversion"/>
  </si>
  <si>
    <t>3 y 4 puesto</t>
    <phoneticPr fontId="0" type="noConversion"/>
  </si>
  <si>
    <t>SF</t>
    <phoneticPr fontId="48" type="noConversion"/>
  </si>
  <si>
    <t>10:30</t>
    <phoneticPr fontId="0" type="noConversion"/>
  </si>
  <si>
    <t>FINAL</t>
    <phoneticPr fontId="0" type="noConversion"/>
  </si>
  <si>
    <t>3 Y 4</t>
    <phoneticPr fontId="0" type="noConversion"/>
  </si>
  <si>
    <t>16:00</t>
    <phoneticPr fontId="0" type="noConversion"/>
  </si>
  <si>
    <t>F</t>
  </si>
  <si>
    <t>17:00</t>
    <phoneticPr fontId="0" type="noConversion"/>
  </si>
  <si>
    <t>TERCERO:</t>
    <phoneticPr fontId="0" type="noConversion"/>
  </si>
  <si>
    <t>SI SE JUEGA TERCER PUESTO MARQUE 1, SI NO DEJE EN BLANCO</t>
    <phoneticPr fontId="0" type="noConversion"/>
  </si>
  <si>
    <t>1</t>
    <phoneticPr fontId="0" type="noConversion"/>
  </si>
  <si>
    <t>SEMI</t>
    <phoneticPr fontId="0" type="noConversion"/>
  </si>
  <si>
    <t>2</t>
    <phoneticPr fontId="0" type="noConversion"/>
  </si>
  <si>
    <t>3</t>
    <phoneticPr fontId="0" type="noConversion"/>
  </si>
  <si>
    <t>4</t>
    <phoneticPr fontId="0" type="noConversion"/>
  </si>
  <si>
    <t>CUARTOS</t>
    <phoneticPr fontId="0" type="noConversion"/>
  </si>
  <si>
    <t>5</t>
    <phoneticPr fontId="0" type="noConversion"/>
  </si>
  <si>
    <t>6</t>
    <phoneticPr fontId="0" type="noConversion"/>
  </si>
  <si>
    <t>7</t>
    <phoneticPr fontId="0" type="noConversion"/>
  </si>
  <si>
    <t>8</t>
    <phoneticPr fontId="0" type="noConversion"/>
  </si>
  <si>
    <t>POSICIONES FINALES</t>
    <phoneticPr fontId="0" type="noConversion"/>
  </si>
  <si>
    <t>5 A 8</t>
    <phoneticPr fontId="0" type="noConversion"/>
  </si>
  <si>
    <t>Match ID</t>
  </si>
  <si>
    <t>Event:</t>
  </si>
  <si>
    <t>Stage:</t>
  </si>
  <si>
    <t>Serv.</t>
  </si>
  <si>
    <t>Y</t>
  </si>
  <si>
    <t>YR1</t>
  </si>
  <si>
    <t>YR2</t>
  </si>
  <si>
    <t>T O</t>
  </si>
  <si>
    <t>Player/Pair A/AB</t>
  </si>
  <si>
    <t>1st</t>
  </si>
  <si>
    <t>Player/Pair X/XY</t>
  </si>
  <si>
    <t>2nd</t>
  </si>
  <si>
    <t>3rd</t>
  </si>
  <si>
    <t>4th</t>
  </si>
  <si>
    <t>5th</t>
  </si>
  <si>
    <t>6th</t>
  </si>
  <si>
    <t>7th</t>
  </si>
  <si>
    <t>Winner:</t>
  </si>
  <si>
    <t>Number:</t>
  </si>
  <si>
    <t>Name:</t>
  </si>
  <si>
    <t>If written report attached please mark here:</t>
  </si>
  <si>
    <t>A/AB SIGNATURE</t>
  </si>
  <si>
    <t>X/XY SIGNATURE</t>
  </si>
  <si>
    <t>Umpire 1:</t>
  </si>
  <si>
    <t>Signature Umpires:</t>
  </si>
  <si>
    <t>Umpire 2:</t>
  </si>
  <si>
    <t>Validation Referee:</t>
  </si>
  <si>
    <t xml:space="preserve">PREMIACIÓN </t>
  </si>
  <si>
    <t>POS</t>
  </si>
  <si>
    <t>CARNET</t>
  </si>
  <si>
    <t>RICARDO MATEO CHAVES LEÓN</t>
  </si>
  <si>
    <t>ESPARZA</t>
  </si>
  <si>
    <t>OWEN CABEZAS HAY</t>
  </si>
  <si>
    <t>CORREDORES</t>
  </si>
  <si>
    <t>PEDRO RIMOLO VILLAGRA</t>
  </si>
  <si>
    <t>CURRIDABAT</t>
  </si>
  <si>
    <t>LUIS MANUEL GARCÍA ARAYA</t>
  </si>
  <si>
    <t>KEVIN HERNÁNDEZ LÁSCAREZ</t>
  </si>
  <si>
    <t>CCDR SAN JOSÉ</t>
  </si>
  <si>
    <t>ITAMAR JAFET QUIRÓS VARGAS</t>
  </si>
  <si>
    <t xml:space="preserve">EMANUEL UMAÑA RODRIGUEZ </t>
  </si>
  <si>
    <t>EZEQUIEL LEAL CHACÓN</t>
  </si>
  <si>
    <t>EMANUEL MATAMOROS RIVERA</t>
  </si>
  <si>
    <t>SANTA ANA</t>
  </si>
  <si>
    <t>GAEL SOLÍS VÁSQUEZ</t>
  </si>
  <si>
    <t>GAEL ROMERO LEÓN</t>
  </si>
  <si>
    <t>ESCAZÚ</t>
  </si>
  <si>
    <t>SALOMON MUÑOZ MOYA</t>
  </si>
  <si>
    <t>GUARCO</t>
  </si>
  <si>
    <t>FABIAN ANGULO BRENES</t>
  </si>
  <si>
    <t>CCDR SANTA CRUZ</t>
  </si>
  <si>
    <t>U9 MASCULINO</t>
  </si>
  <si>
    <t>SORTEO LLAVE U9 MASCULINO</t>
  </si>
  <si>
    <t>CARNE</t>
  </si>
  <si>
    <t>JIM LUKA JIMÉNEZ DE LEÓN</t>
  </si>
  <si>
    <t>LIAM SAMUEL VINDAS MONGE</t>
  </si>
  <si>
    <t>ASERRÍ</t>
  </si>
  <si>
    <t>MOISÉS LEÓN RODRÍGUEZ</t>
  </si>
  <si>
    <t>SANTO DOMINGO</t>
  </si>
  <si>
    <t>LUCAS DAVID JIMENEZ MC CURDY</t>
  </si>
  <si>
    <t>SAN CARLOS</t>
  </si>
  <si>
    <t>BYRON</t>
  </si>
  <si>
    <t>ESCAZU</t>
  </si>
  <si>
    <t>DANIEL SÁNCHEZ WONG</t>
  </si>
  <si>
    <t>ATENAS</t>
  </si>
  <si>
    <t>Julián Rodríguez Benavides</t>
  </si>
  <si>
    <t>Elias Rosales Lundberg</t>
  </si>
  <si>
    <t>Santiago Ardanaz</t>
  </si>
  <si>
    <t>Emiliano Espinoza Piedra</t>
  </si>
  <si>
    <t>A</t>
  </si>
  <si>
    <t>Felipe Quiros Alvarado</t>
  </si>
  <si>
    <t>OREAMUNOT3 AMETROTEME</t>
  </si>
  <si>
    <t>MATHIAS HAY GRANADOS</t>
  </si>
  <si>
    <t>DIEGO VIQUEZ CORDERO</t>
  </si>
  <si>
    <t>ISAAC SABORÍO ANCHÍA</t>
  </si>
  <si>
    <t>LEANDRO CORTES SALAS</t>
  </si>
  <si>
    <t>AARON VARGAS LEDEZMA</t>
  </si>
  <si>
    <t>GONZALO ARAYA VILLALOBOS</t>
  </si>
  <si>
    <t>BENJAMÍN QUIRÓS BALTODANO</t>
  </si>
  <si>
    <t>ROY SAMUEL ZAMORA SANCHEZ</t>
  </si>
  <si>
    <t>UNA</t>
  </si>
  <si>
    <t>ADRIANO SALAS GÓMEZ</t>
  </si>
  <si>
    <t>LUIS EDUARDO ROLDAN CALDERÓN</t>
  </si>
  <si>
    <t>THIAGO DIAZ SEQUEIRA</t>
  </si>
  <si>
    <t>ISAAC ESPINOZA GAMBOA</t>
  </si>
  <si>
    <t>Cristofher Andrey Esquivel Solis</t>
  </si>
  <si>
    <t>UCR</t>
  </si>
  <si>
    <t>Jose Pablo Alfaro Rojas</t>
  </si>
  <si>
    <t>TIBÁS</t>
  </si>
  <si>
    <t>ALEX NUÑEZ MENA</t>
  </si>
  <si>
    <t>PÉREZ ZELEDÓN</t>
  </si>
  <si>
    <t>Dahua Ng Ng</t>
  </si>
  <si>
    <t>BELÉN</t>
  </si>
  <si>
    <t>HENRY ACUÑA</t>
  </si>
  <si>
    <t>DESAMPAADOS</t>
  </si>
  <si>
    <t>JUAN PABLO RODRÍGUEZ MEDINA</t>
  </si>
  <si>
    <t>FABIAN ALBERTO GARBANZO ZUÑIGA</t>
  </si>
  <si>
    <t>MORAVIA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</si>
</sst>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/m/yy\ h:mm"/>
    <numFmt numFmtId="165" formatCode="[$-409]d\-mmm\-yy;@"/>
    <numFmt numFmtId="166" formatCode="[$-409]d\-mmm;@"/>
  </numFmts>
  <fonts count="6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indexed="8"/>
      <name val="Aptos Narrow"/>
      <family val="2"/>
      <scheme val="minor"/>
    </font>
    <font>
      <b/>
      <sz val="24"/>
      <color indexed="8"/>
      <name val="Aptos Narrow"/>
      <family val="2"/>
      <scheme val="minor"/>
    </font>
    <font>
      <sz val="18"/>
      <color indexed="8"/>
      <name val="Aptos Narrow"/>
      <family val="2"/>
      <scheme val="minor"/>
    </font>
    <font>
      <sz val="18"/>
      <color rgb="FF000000"/>
      <name val="Times New Roman"/>
      <family val="1"/>
    </font>
    <font>
      <sz val="11"/>
      <color rgb="FF000000"/>
      <name val="Times New Roman"/>
      <family val="1"/>
    </font>
    <font>
      <b/>
      <sz val="13.5"/>
      <name val="MS Sans Serif"/>
      <family val="2"/>
    </font>
    <font>
      <b/>
      <sz val="10"/>
      <name val="MS Sans Serif"/>
      <family val="2"/>
    </font>
    <font>
      <b/>
      <sz val="12"/>
      <name val="MS Sans Serif"/>
      <family val="2"/>
    </font>
    <font>
      <sz val="12"/>
      <name val="MS Sans Serif"/>
      <family val="2"/>
    </font>
    <font>
      <b/>
      <sz val="14"/>
      <name val="MS Sans Serif"/>
      <family val="2"/>
    </font>
    <font>
      <b/>
      <sz val="18"/>
      <color indexed="8"/>
      <name val="Aptos Narrow"/>
      <family val="2"/>
      <scheme val="minor"/>
    </font>
    <font>
      <sz val="14"/>
      <name val="MS Sans Serif"/>
      <family val="2"/>
    </font>
    <font>
      <sz val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sz val="10"/>
      <name val="MS Sans Serif"/>
      <family val="2"/>
    </font>
    <font>
      <sz val="8.5"/>
      <name val="MS Sans Serif"/>
      <family val="2"/>
    </font>
    <font>
      <b/>
      <sz val="11"/>
      <color indexed="8"/>
      <name val="Aptos Narrow"/>
      <family val="2"/>
      <scheme val="minor"/>
    </font>
    <font>
      <b/>
      <u/>
      <sz val="11"/>
      <color indexed="8"/>
      <name val="Aptos Narrow"/>
      <family val="2"/>
      <scheme val="minor"/>
    </font>
    <font>
      <sz val="16"/>
      <name val="MS Sans Serif"/>
      <family val="2"/>
    </font>
    <font>
      <sz val="9"/>
      <name val="Times New Roman"/>
      <family val="1"/>
    </font>
    <font>
      <b/>
      <sz val="20"/>
      <color indexed="9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b/>
      <sz val="9"/>
      <color indexed="9"/>
      <name val="Arial"/>
      <family val="2"/>
    </font>
    <font>
      <b/>
      <sz val="9"/>
      <color indexed="10"/>
      <name val="Arial"/>
      <family val="2"/>
    </font>
    <font>
      <sz val="9"/>
      <color indexed="9"/>
      <name val="Arial"/>
      <family val="2"/>
    </font>
    <font>
      <b/>
      <sz val="15"/>
      <name val="Arial"/>
      <family val="2"/>
    </font>
    <font>
      <sz val="8"/>
      <name val="Franklin Gothic Medium Cond"/>
      <family val="2"/>
    </font>
    <font>
      <sz val="9"/>
      <name val="Franklin Gothic Medium Cond"/>
      <family val="2"/>
    </font>
    <font>
      <sz val="8"/>
      <color indexed="12"/>
      <name val="Franklin Gothic Medium Cond"/>
      <family val="2"/>
    </font>
    <font>
      <sz val="8"/>
      <color indexed="9"/>
      <name val="Franklin Gothic Medium Cond"/>
      <family val="2"/>
    </font>
    <font>
      <b/>
      <sz val="14"/>
      <name val="Arial"/>
      <family val="2"/>
    </font>
    <font>
      <sz val="10"/>
      <name val="Franklin Gothic Medium Cond"/>
      <family val="2"/>
    </font>
    <font>
      <sz val="6"/>
      <name val="Franklin Gothic Medium Cond"/>
      <family val="2"/>
    </font>
    <font>
      <sz val="7"/>
      <name val="Franklin Gothic Medium Cond"/>
      <family val="2"/>
    </font>
    <font>
      <sz val="8"/>
      <name val="Arial"/>
      <family val="2"/>
    </font>
    <font>
      <sz val="8"/>
      <color indexed="10"/>
      <name val="Franklin Gothic Medium Cond"/>
      <family val="2"/>
    </font>
    <font>
      <b/>
      <sz val="9"/>
      <name val="Franklin Gothic Medium Cond"/>
      <family val="2"/>
    </font>
    <font>
      <b/>
      <sz val="8"/>
      <name val="Arial"/>
      <family val="2"/>
    </font>
    <font>
      <b/>
      <sz val="10"/>
      <name val="Franklin Gothic Medium Cond"/>
      <family val="2"/>
    </font>
    <font>
      <sz val="8"/>
      <color indexed="207"/>
      <name val="Franklin Gothic Medium Cond"/>
      <family val="2"/>
    </font>
    <font>
      <b/>
      <sz val="8"/>
      <color indexed="10"/>
      <name val="Franklin Gothic Medium Cond"/>
      <family val="2"/>
    </font>
    <font>
      <b/>
      <sz val="8"/>
      <color indexed="48"/>
      <name val="Franklin Gothic Medium Cond"/>
      <family val="2"/>
    </font>
    <font>
      <sz val="9"/>
      <color indexed="10"/>
      <name val="Franklin Gothic Medium Cond"/>
      <family val="2"/>
    </font>
    <font>
      <b/>
      <sz val="20"/>
      <name val="Arial"/>
      <family val="2"/>
    </font>
    <font>
      <sz val="14"/>
      <name val="Arial"/>
      <family val="2"/>
    </font>
    <font>
      <b/>
      <sz val="10"/>
      <color indexed="10"/>
      <name val="Arial"/>
      <family val="2"/>
    </font>
    <font>
      <b/>
      <sz val="10"/>
      <color indexed="12"/>
      <name val="Arial"/>
      <family val="2"/>
    </font>
    <font>
      <sz val="8"/>
      <name val="Arial Narrow"/>
      <family val="2"/>
    </font>
    <font>
      <b/>
      <sz val="10"/>
      <color indexed="17"/>
      <name val="Comic Sans MS"/>
      <family val="4"/>
    </font>
    <font>
      <b/>
      <sz val="15"/>
      <color indexed="17"/>
      <name val="Comic Sans MS"/>
      <family val="4"/>
    </font>
    <font>
      <b/>
      <sz val="10"/>
      <name val="Arial"/>
      <family val="2"/>
    </font>
    <font>
      <b/>
      <sz val="12"/>
      <color indexed="12"/>
      <name val="Arial"/>
      <family val="2"/>
    </font>
    <font>
      <sz val="24"/>
      <color indexed="17"/>
      <name val="Arial Black"/>
      <family val="2"/>
    </font>
    <font>
      <b/>
      <sz val="24"/>
      <color indexed="17"/>
      <name val="Arial Black"/>
      <family val="2"/>
    </font>
    <font>
      <b/>
      <sz val="25"/>
      <color indexed="17"/>
      <name val="Comic Sans MS"/>
      <family val="4"/>
    </font>
    <font>
      <sz val="6"/>
      <color indexed="23"/>
      <name val="Arial"/>
      <family val="2"/>
    </font>
    <font>
      <b/>
      <sz val="10"/>
      <color indexed="17"/>
      <name val="Arial"/>
      <family val="2"/>
    </font>
    <font>
      <b/>
      <sz val="12"/>
      <color indexed="17"/>
      <name val="Arial"/>
      <family val="2"/>
    </font>
    <font>
      <b/>
      <sz val="18"/>
      <color theme="1"/>
      <name val="Calibri"/>
      <family val="2"/>
    </font>
    <font>
      <sz val="11"/>
      <name val="Calibri"/>
      <family val="2"/>
    </font>
    <font>
      <b/>
      <sz val="14"/>
      <color theme="1"/>
      <name val="Calibri"/>
      <family val="2"/>
    </font>
    <font>
      <sz val="11"/>
      <color theme="1"/>
      <name val="Calibri"/>
      <family val="2"/>
    </font>
    <font>
      <b/>
      <sz val="14"/>
      <color indexed="9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6D6D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AEEF3"/>
        <bgColor rgb="FF000000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14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rgb="FFFFFF00"/>
        <bgColor rgb="FFFFFF00"/>
      </patternFill>
    </fill>
  </fills>
  <borders count="9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thin">
        <color indexed="64"/>
      </right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 count="7">
    <xf numFmtId="0" fontId="0" fillId="0" borderId="0"/>
    <xf numFmtId="0" fontId="3" fillId="0" borderId="0"/>
    <xf numFmtId="0" fontId="3" fillId="0" borderId="0"/>
    <xf numFmtId="0" fontId="23" fillId="0" borderId="0"/>
    <xf numFmtId="0" fontId="15" fillId="0" borderId="0"/>
    <xf numFmtId="0" fontId="15" fillId="0" borderId="0"/>
    <xf numFmtId="0" fontId="1" fillId="0" borderId="0"/>
  </cellStyleXfs>
  <cellXfs count="535">
    <xf numFmtId="0" fontId="0" fillId="0" borderId="0" xfId="0"/>
    <xf numFmtId="0" fontId="3" fillId="0" borderId="0" xfId="1"/>
    <xf numFmtId="0" fontId="3" fillId="0" borderId="2" xfId="1" applyBorder="1"/>
    <xf numFmtId="0" fontId="3" fillId="4" borderId="3" xfId="2" applyFill="1" applyBorder="1"/>
    <xf numFmtId="0" fontId="3" fillId="5" borderId="4" xfId="2" applyFill="1" applyBorder="1"/>
    <xf numFmtId="0" fontId="3" fillId="5" borderId="3" xfId="2" applyFill="1" applyBorder="1"/>
    <xf numFmtId="0" fontId="3" fillId="4" borderId="4" xfId="2" applyFill="1" applyBorder="1"/>
    <xf numFmtId="0" fontId="3" fillId="0" borderId="5" xfId="1" applyBorder="1"/>
    <xf numFmtId="0" fontId="3" fillId="4" borderId="6" xfId="2" applyFill="1" applyBorder="1"/>
    <xf numFmtId="0" fontId="3" fillId="5" borderId="7" xfId="2" applyFill="1" applyBorder="1"/>
    <xf numFmtId="0" fontId="3" fillId="5" borderId="6" xfId="2" applyFill="1" applyBorder="1"/>
    <xf numFmtId="0" fontId="3" fillId="4" borderId="7" xfId="2" applyFill="1" applyBorder="1"/>
    <xf numFmtId="0" fontId="3" fillId="4" borderId="8" xfId="2" applyFill="1" applyBorder="1"/>
    <xf numFmtId="0" fontId="3" fillId="5" borderId="9" xfId="2" applyFill="1" applyBorder="1"/>
    <xf numFmtId="0" fontId="3" fillId="5" borderId="8" xfId="2" applyFill="1" applyBorder="1"/>
    <xf numFmtId="0" fontId="3" fillId="4" borderId="9" xfId="2" applyFill="1" applyBorder="1"/>
    <xf numFmtId="0" fontId="3" fillId="0" borderId="0" xfId="2"/>
    <xf numFmtId="0" fontId="4" fillId="6" borderId="18" xfId="2" applyFont="1" applyFill="1" applyBorder="1"/>
    <xf numFmtId="0" fontId="4" fillId="6" borderId="19" xfId="2" applyFont="1" applyFill="1" applyBorder="1"/>
    <xf numFmtId="0" fontId="4" fillId="6" borderId="20" xfId="2" applyFont="1" applyFill="1" applyBorder="1" applyAlignment="1">
      <alignment horizontal="center"/>
    </xf>
    <xf numFmtId="0" fontId="5" fillId="0" borderId="0" xfId="2" applyFont="1"/>
    <xf numFmtId="1" fontId="6" fillId="0" borderId="12" xfId="2" applyNumberFormat="1" applyFont="1" applyBorder="1" applyAlignment="1">
      <alignment horizontal="left" vertical="top"/>
    </xf>
    <xf numFmtId="0" fontId="6" fillId="0" borderId="13" xfId="2" applyFont="1" applyBorder="1" applyAlignment="1">
      <alignment horizontal="left" vertical="top"/>
    </xf>
    <xf numFmtId="1" fontId="6" fillId="0" borderId="13" xfId="2" applyNumberFormat="1" applyFont="1" applyBorder="1" applyAlignment="1">
      <alignment horizontal="center" vertical="top"/>
    </xf>
    <xf numFmtId="1" fontId="6" fillId="0" borderId="14" xfId="2" applyNumberFormat="1" applyFont="1" applyBorder="1" applyAlignment="1">
      <alignment horizontal="center" vertical="top"/>
    </xf>
    <xf numFmtId="0" fontId="6" fillId="0" borderId="21" xfId="2" applyFont="1" applyBorder="1" applyAlignment="1">
      <alignment horizontal="center" vertical="center"/>
    </xf>
    <xf numFmtId="0" fontId="5" fillId="0" borderId="22" xfId="2" applyFont="1" applyBorder="1"/>
    <xf numFmtId="1" fontId="6" fillId="0" borderId="23" xfId="2" applyNumberFormat="1" applyFont="1" applyBorder="1" applyAlignment="1">
      <alignment horizontal="left" vertical="top"/>
    </xf>
    <xf numFmtId="0" fontId="6" fillId="0" borderId="0" xfId="2" applyFont="1" applyAlignment="1">
      <alignment horizontal="left" vertical="top"/>
    </xf>
    <xf numFmtId="1" fontId="6" fillId="0" borderId="0" xfId="2" applyNumberFormat="1" applyFont="1" applyAlignment="1">
      <alignment horizontal="center" vertical="top"/>
    </xf>
    <xf numFmtId="1" fontId="6" fillId="0" borderId="24" xfId="2" applyNumberFormat="1" applyFont="1" applyBorder="1" applyAlignment="1">
      <alignment horizontal="center" vertical="top"/>
    </xf>
    <xf numFmtId="1" fontId="6" fillId="0" borderId="15" xfId="2" applyNumberFormat="1" applyFont="1" applyBorder="1" applyAlignment="1">
      <alignment horizontal="left" vertical="top"/>
    </xf>
    <xf numFmtId="0" fontId="6" fillId="0" borderId="16" xfId="2" applyFont="1" applyBorder="1" applyAlignment="1">
      <alignment horizontal="left" vertical="top"/>
    </xf>
    <xf numFmtId="1" fontId="6" fillId="0" borderId="16" xfId="2" applyNumberFormat="1" applyFont="1" applyBorder="1" applyAlignment="1">
      <alignment horizontal="center" vertical="top"/>
    </xf>
    <xf numFmtId="1" fontId="6" fillId="0" borderId="17" xfId="2" applyNumberFormat="1" applyFont="1" applyBorder="1" applyAlignment="1">
      <alignment horizontal="center" vertical="top"/>
    </xf>
    <xf numFmtId="1" fontId="6" fillId="7" borderId="12" xfId="2" applyNumberFormat="1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left" vertical="top"/>
    </xf>
    <xf numFmtId="1" fontId="6" fillId="7" borderId="13" xfId="2" applyNumberFormat="1" applyFont="1" applyFill="1" applyBorder="1" applyAlignment="1">
      <alignment horizontal="center" vertical="top"/>
    </xf>
    <xf numFmtId="1" fontId="6" fillId="7" borderId="14" xfId="2" applyNumberFormat="1" applyFont="1" applyFill="1" applyBorder="1" applyAlignment="1">
      <alignment horizontal="center" vertical="top"/>
    </xf>
    <xf numFmtId="0" fontId="6" fillId="7" borderId="21" xfId="2" applyFont="1" applyFill="1" applyBorder="1" applyAlignment="1">
      <alignment horizontal="center" vertical="center"/>
    </xf>
    <xf numFmtId="0" fontId="6" fillId="0" borderId="23" xfId="2" applyFont="1" applyBorder="1" applyAlignment="1">
      <alignment horizontal="left" vertical="top"/>
    </xf>
    <xf numFmtId="0" fontId="6" fillId="0" borderId="0" xfId="2" applyFont="1" applyAlignment="1">
      <alignment horizontal="center" vertical="top"/>
    </xf>
    <xf numFmtId="0" fontId="6" fillId="0" borderId="21" xfId="2" applyFont="1" applyBorder="1" applyAlignment="1">
      <alignment vertical="center"/>
    </xf>
    <xf numFmtId="1" fontId="6" fillId="7" borderId="23" xfId="2" applyNumberFormat="1" applyFont="1" applyFill="1" applyBorder="1" applyAlignment="1">
      <alignment horizontal="left" vertical="top"/>
    </xf>
    <xf numFmtId="0" fontId="6" fillId="7" borderId="0" xfId="2" applyFont="1" applyFill="1" applyAlignment="1">
      <alignment horizontal="left" vertical="top"/>
    </xf>
    <xf numFmtId="1" fontId="6" fillId="7" borderId="0" xfId="2" applyNumberFormat="1" applyFont="1" applyFill="1" applyAlignment="1">
      <alignment horizontal="center" vertical="top"/>
    </xf>
    <xf numFmtId="1" fontId="6" fillId="7" borderId="24" xfId="2" applyNumberFormat="1" applyFont="1" applyFill="1" applyBorder="1" applyAlignment="1">
      <alignment horizontal="center" vertical="top"/>
    </xf>
    <xf numFmtId="0" fontId="6" fillId="0" borderId="25" xfId="2" applyFont="1" applyBorder="1" applyAlignment="1">
      <alignment vertical="center"/>
    </xf>
    <xf numFmtId="1" fontId="6" fillId="7" borderId="15" xfId="2" applyNumberFormat="1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left" vertical="top"/>
    </xf>
    <xf numFmtId="1" fontId="6" fillId="7" borderId="16" xfId="2" applyNumberFormat="1" applyFont="1" applyFill="1" applyBorder="1" applyAlignment="1">
      <alignment horizontal="center" vertical="top"/>
    </xf>
    <xf numFmtId="1" fontId="6" fillId="7" borderId="17" xfId="2" applyNumberFormat="1" applyFont="1" applyFill="1" applyBorder="1" applyAlignment="1">
      <alignment horizontal="center" vertical="top"/>
    </xf>
    <xf numFmtId="0" fontId="6" fillId="0" borderId="15" xfId="2" applyFont="1" applyBorder="1" applyAlignment="1">
      <alignment horizontal="left" vertical="top"/>
    </xf>
    <xf numFmtId="0" fontId="6" fillId="0" borderId="16" xfId="2" applyFont="1" applyBorder="1" applyAlignment="1">
      <alignment horizontal="center" vertical="top"/>
    </xf>
    <xf numFmtId="0" fontId="6" fillId="0" borderId="26" xfId="2" applyFont="1" applyBorder="1" applyAlignment="1">
      <alignment vertical="center"/>
    </xf>
    <xf numFmtId="0" fontId="6" fillId="8" borderId="12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left" vertical="top"/>
    </xf>
    <xf numFmtId="0" fontId="6" fillId="8" borderId="13" xfId="2" applyFont="1" applyFill="1" applyBorder="1" applyAlignment="1">
      <alignment horizontal="center" vertical="top"/>
    </xf>
    <xf numFmtId="0" fontId="6" fillId="9" borderId="21" xfId="2" applyFont="1" applyFill="1" applyBorder="1" applyAlignment="1">
      <alignment vertical="center"/>
    </xf>
    <xf numFmtId="0" fontId="6" fillId="8" borderId="15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left" vertical="top"/>
    </xf>
    <xf numFmtId="0" fontId="6" fillId="8" borderId="16" xfId="2" applyFont="1" applyFill="1" applyBorder="1" applyAlignment="1">
      <alignment horizontal="center" vertical="top"/>
    </xf>
    <xf numFmtId="0" fontId="6" fillId="8" borderId="23" xfId="2" applyFont="1" applyFill="1" applyBorder="1" applyAlignment="1">
      <alignment horizontal="left" vertical="top"/>
    </xf>
    <xf numFmtId="0" fontId="6" fillId="8" borderId="0" xfId="2" applyFont="1" applyFill="1" applyAlignment="1">
      <alignment horizontal="left" vertical="top"/>
    </xf>
    <xf numFmtId="0" fontId="6" fillId="8" borderId="0" xfId="2" applyFont="1" applyFill="1" applyAlignment="1">
      <alignment horizontal="center" vertical="top"/>
    </xf>
    <xf numFmtId="0" fontId="6" fillId="9" borderId="25" xfId="2" applyFont="1" applyFill="1" applyBorder="1" applyAlignment="1">
      <alignment vertical="center"/>
    </xf>
    <xf numFmtId="0" fontId="6" fillId="9" borderId="26" xfId="2" applyFont="1" applyFill="1" applyBorder="1" applyAlignment="1">
      <alignment vertical="center"/>
    </xf>
    <xf numFmtId="0" fontId="6" fillId="0" borderId="24" xfId="2" applyFont="1" applyBorder="1" applyAlignment="1">
      <alignment horizontal="center" vertical="top"/>
    </xf>
    <xf numFmtId="0" fontId="7" fillId="8" borderId="0" xfId="2" applyFont="1" applyFill="1" applyAlignment="1">
      <alignment horizontal="center" vertical="top"/>
    </xf>
    <xf numFmtId="0" fontId="7" fillId="8" borderId="16" xfId="2" applyFont="1" applyFill="1" applyBorder="1" applyAlignment="1">
      <alignment horizontal="center" vertical="top"/>
    </xf>
    <xf numFmtId="0" fontId="7" fillId="0" borderId="0" xfId="2" applyFont="1" applyAlignment="1">
      <alignment horizontal="center" vertical="top"/>
    </xf>
    <xf numFmtId="0" fontId="6" fillId="0" borderId="17" xfId="2" applyFont="1" applyBorder="1" applyAlignment="1">
      <alignment horizontal="center" vertical="top"/>
    </xf>
    <xf numFmtId="0" fontId="7" fillId="0" borderId="16" xfId="2" applyFont="1" applyBorder="1" applyAlignment="1">
      <alignment horizontal="center" vertical="top"/>
    </xf>
    <xf numFmtId="0" fontId="6" fillId="7" borderId="12" xfId="2" applyFont="1" applyFill="1" applyBorder="1" applyAlignment="1">
      <alignment horizontal="left" vertical="top"/>
    </xf>
    <xf numFmtId="0" fontId="6" fillId="7" borderId="13" xfId="2" applyFont="1" applyFill="1" applyBorder="1" applyAlignment="1">
      <alignment horizontal="center" vertical="top"/>
    </xf>
    <xf numFmtId="0" fontId="6" fillId="7" borderId="14" xfId="2" applyFont="1" applyFill="1" applyBorder="1" applyAlignment="1">
      <alignment horizontal="center" vertical="top"/>
    </xf>
    <xf numFmtId="0" fontId="7" fillId="8" borderId="13" xfId="2" applyFont="1" applyFill="1" applyBorder="1" applyAlignment="1">
      <alignment horizontal="center" vertical="top"/>
    </xf>
    <xf numFmtId="0" fontId="6" fillId="7" borderId="23" xfId="2" applyFont="1" applyFill="1" applyBorder="1" applyAlignment="1">
      <alignment horizontal="left" vertical="top"/>
    </xf>
    <xf numFmtId="0" fontId="6" fillId="7" borderId="0" xfId="2" applyFont="1" applyFill="1" applyAlignment="1">
      <alignment horizontal="center" vertical="top"/>
    </xf>
    <xf numFmtId="0" fontId="6" fillId="7" borderId="24" xfId="2" applyFont="1" applyFill="1" applyBorder="1" applyAlignment="1">
      <alignment horizontal="center" vertical="top"/>
    </xf>
    <xf numFmtId="0" fontId="6" fillId="7" borderId="15" xfId="2" applyFont="1" applyFill="1" applyBorder="1" applyAlignment="1">
      <alignment horizontal="left" vertical="top"/>
    </xf>
    <xf numFmtId="0" fontId="6" fillId="7" borderId="16" xfId="2" applyFont="1" applyFill="1" applyBorder="1" applyAlignment="1">
      <alignment horizontal="center" vertical="top"/>
    </xf>
    <xf numFmtId="0" fontId="6" fillId="7" borderId="17" xfId="2" applyFont="1" applyFill="1" applyBorder="1" applyAlignment="1">
      <alignment horizontal="center" vertical="top"/>
    </xf>
    <xf numFmtId="0" fontId="6" fillId="0" borderId="12" xfId="2" applyFont="1" applyBorder="1" applyAlignment="1">
      <alignment horizontal="left" vertical="top"/>
    </xf>
    <xf numFmtId="0" fontId="6" fillId="0" borderId="13" xfId="2" applyFont="1" applyBorder="1" applyAlignment="1">
      <alignment horizontal="center" vertical="top"/>
    </xf>
    <xf numFmtId="0" fontId="6" fillId="0" borderId="14" xfId="2" applyFont="1" applyBorder="1" applyAlignment="1">
      <alignment horizontal="center" vertical="top"/>
    </xf>
    <xf numFmtId="0" fontId="6" fillId="0" borderId="2" xfId="2" applyFont="1" applyBorder="1" applyAlignment="1">
      <alignment horizontal="center" vertical="center"/>
    </xf>
    <xf numFmtId="0" fontId="6" fillId="7" borderId="2" xfId="2" applyFont="1" applyFill="1" applyBorder="1" applyAlignment="1">
      <alignment horizontal="center" vertical="center"/>
    </xf>
    <xf numFmtId="0" fontId="6" fillId="0" borderId="25" xfId="2" applyFont="1" applyBorder="1" applyAlignment="1">
      <alignment horizontal="center" vertical="center"/>
    </xf>
    <xf numFmtId="0" fontId="7" fillId="8" borderId="12" xfId="2" applyFont="1" applyFill="1" applyBorder="1" applyAlignment="1">
      <alignment horizontal="left" vertical="top"/>
    </xf>
    <xf numFmtId="0" fontId="7" fillId="8" borderId="13" xfId="2" applyFont="1" applyFill="1" applyBorder="1" applyAlignment="1">
      <alignment horizontal="left" vertical="top"/>
    </xf>
    <xf numFmtId="0" fontId="7" fillId="8" borderId="23" xfId="2" applyFont="1" applyFill="1" applyBorder="1" applyAlignment="1">
      <alignment horizontal="left" vertical="top"/>
    </xf>
    <xf numFmtId="0" fontId="7" fillId="8" borderId="0" xfId="2" applyFont="1" applyFill="1" applyAlignment="1">
      <alignment horizontal="left" vertical="top"/>
    </xf>
    <xf numFmtId="0" fontId="7" fillId="8" borderId="15" xfId="2" applyFont="1" applyFill="1" applyBorder="1" applyAlignment="1">
      <alignment horizontal="left" vertical="top"/>
    </xf>
    <xf numFmtId="0" fontId="7" fillId="8" borderId="16" xfId="2" applyFont="1" applyFill="1" applyBorder="1" applyAlignment="1">
      <alignment horizontal="left" vertical="top"/>
    </xf>
    <xf numFmtId="0" fontId="7" fillId="0" borderId="23" xfId="2" applyFont="1" applyBorder="1" applyAlignment="1">
      <alignment horizontal="left" vertical="top"/>
    </xf>
    <xf numFmtId="0" fontId="7" fillId="0" borderId="0" xfId="2" applyFont="1" applyAlignment="1">
      <alignment horizontal="left" vertical="top"/>
    </xf>
    <xf numFmtId="0" fontId="7" fillId="0" borderId="15" xfId="2" applyFont="1" applyBorder="1" applyAlignment="1">
      <alignment horizontal="left" vertical="top"/>
    </xf>
    <xf numFmtId="0" fontId="7" fillId="0" borderId="16" xfId="2" applyFont="1" applyBorder="1" applyAlignment="1">
      <alignment horizontal="left" vertical="top"/>
    </xf>
    <xf numFmtId="0" fontId="3" fillId="0" borderId="0" xfId="2" applyAlignment="1">
      <alignment horizontal="center"/>
    </xf>
    <xf numFmtId="0" fontId="8" fillId="0" borderId="0" xfId="2" applyFont="1"/>
    <xf numFmtId="14" fontId="9" fillId="0" borderId="0" xfId="2" applyNumberFormat="1" applyFont="1"/>
    <xf numFmtId="0" fontId="10" fillId="0" borderId="0" xfId="2" applyFont="1"/>
    <xf numFmtId="0" fontId="11" fillId="0" borderId="0" xfId="2" applyFont="1"/>
    <xf numFmtId="0" fontId="12" fillId="0" borderId="0" xfId="2" applyFont="1" applyAlignment="1">
      <alignment horizontal="center"/>
    </xf>
    <xf numFmtId="0" fontId="8" fillId="0" borderId="0" xfId="2" applyFont="1" applyAlignment="1">
      <alignment horizontal="center"/>
    </xf>
    <xf numFmtId="0" fontId="10" fillId="0" borderId="0" xfId="2" applyFont="1" applyAlignment="1">
      <alignment horizontal="center"/>
    </xf>
    <xf numFmtId="0" fontId="13" fillId="10" borderId="0" xfId="2" applyFont="1" applyFill="1" applyAlignment="1">
      <alignment horizontal="center" vertical="center"/>
    </xf>
    <xf numFmtId="0" fontId="14" fillId="0" borderId="0" xfId="2" applyFont="1" applyAlignment="1">
      <alignment horizontal="center"/>
    </xf>
    <xf numFmtId="0" fontId="15" fillId="0" borderId="27" xfId="2" applyFont="1" applyBorder="1"/>
    <xf numFmtId="0" fontId="16" fillId="0" borderId="27" xfId="2" applyFont="1" applyBorder="1" applyAlignment="1">
      <alignment vertical="center"/>
    </xf>
    <xf numFmtId="0" fontId="17" fillId="0" borderId="27" xfId="2" applyFont="1" applyBorder="1" applyAlignment="1">
      <alignment vertical="center"/>
    </xf>
    <xf numFmtId="0" fontId="17" fillId="0" borderId="0" xfId="2" applyFont="1" applyAlignment="1">
      <alignment vertical="center"/>
    </xf>
    <xf numFmtId="0" fontId="18" fillId="0" borderId="27" xfId="2" applyFont="1" applyBorder="1" applyAlignment="1">
      <alignment horizontal="center"/>
    </xf>
    <xf numFmtId="0" fontId="18" fillId="0" borderId="1" xfId="2" applyFont="1" applyBorder="1" applyAlignment="1">
      <alignment horizontal="center"/>
    </xf>
    <xf numFmtId="0" fontId="11" fillId="0" borderId="1" xfId="2" applyFont="1" applyBorder="1" applyAlignment="1">
      <alignment horizontal="center"/>
    </xf>
    <xf numFmtId="0" fontId="11" fillId="0" borderId="28" xfId="2" applyFont="1" applyBorder="1"/>
    <xf numFmtId="0" fontId="19" fillId="0" borderId="27" xfId="2" applyFont="1" applyBorder="1"/>
    <xf numFmtId="0" fontId="11" fillId="0" borderId="27" xfId="2" applyFont="1" applyBorder="1"/>
    <xf numFmtId="0" fontId="11" fillId="0" borderId="29" xfId="2" applyFont="1" applyBorder="1" applyAlignment="1">
      <alignment horizontal="center"/>
    </xf>
    <xf numFmtId="0" fontId="11" fillId="0" borderId="0" xfId="2" applyFont="1" applyAlignment="1">
      <alignment horizontal="center" vertical="center"/>
    </xf>
    <xf numFmtId="0" fontId="3" fillId="0" borderId="0" xfId="2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10" borderId="27" xfId="2" applyFill="1" applyBorder="1"/>
    <xf numFmtId="0" fontId="18" fillId="0" borderId="27" xfId="2" applyFont="1" applyBorder="1"/>
    <xf numFmtId="0" fontId="20" fillId="0" borderId="2" xfId="2" applyFont="1" applyBorder="1" applyAlignment="1">
      <alignment horizontal="center" vertical="center"/>
    </xf>
    <xf numFmtId="0" fontId="3" fillId="0" borderId="26" xfId="2" applyBorder="1" applyAlignment="1">
      <alignment vertical="center"/>
    </xf>
    <xf numFmtId="0" fontId="0" fillId="0" borderId="0" xfId="2" applyFont="1"/>
    <xf numFmtId="0" fontId="0" fillId="0" borderId="27" xfId="2" applyFont="1" applyBorder="1"/>
    <xf numFmtId="0" fontId="12" fillId="0" borderId="0" xfId="2" applyFont="1"/>
    <xf numFmtId="14" fontId="10" fillId="0" borderId="0" xfId="2" applyNumberFormat="1" applyFont="1"/>
    <xf numFmtId="0" fontId="22" fillId="0" borderId="0" xfId="2" applyFont="1" applyAlignment="1">
      <alignment horizontal="center"/>
    </xf>
    <xf numFmtId="0" fontId="17" fillId="0" borderId="27" xfId="2" applyFont="1" applyBorder="1"/>
    <xf numFmtId="0" fontId="0" fillId="0" borderId="27" xfId="2" applyFont="1" applyBorder="1" applyAlignment="1">
      <alignment horizontal="center" vertical="center"/>
    </xf>
    <xf numFmtId="0" fontId="17" fillId="11" borderId="0" xfId="3" applyFont="1" applyFill="1" applyAlignment="1">
      <alignment vertical="center"/>
    </xf>
    <xf numFmtId="0" fontId="17" fillId="0" borderId="0" xfId="3" applyFont="1" applyAlignment="1">
      <alignment vertical="center"/>
    </xf>
    <xf numFmtId="0" fontId="17" fillId="11" borderId="0" xfId="3" applyFont="1" applyFill="1" applyAlignment="1">
      <alignment horizontal="center" vertical="center"/>
    </xf>
    <xf numFmtId="0" fontId="17" fillId="12" borderId="0" xfId="3" applyFont="1" applyFill="1" applyAlignment="1">
      <alignment horizontal="center" vertical="center"/>
    </xf>
    <xf numFmtId="0" fontId="17" fillId="12" borderId="0" xfId="3" applyFont="1" applyFill="1" applyAlignment="1">
      <alignment vertical="center"/>
    </xf>
    <xf numFmtId="0" fontId="24" fillId="13" borderId="34" xfId="3" applyFont="1" applyFill="1" applyBorder="1" applyAlignment="1">
      <alignment vertical="center"/>
    </xf>
    <xf numFmtId="0" fontId="24" fillId="13" borderId="35" xfId="3" applyFont="1" applyFill="1" applyBorder="1" applyAlignment="1">
      <alignment vertical="center"/>
    </xf>
    <xf numFmtId="0" fontId="24" fillId="13" borderId="37" xfId="3" applyFont="1" applyFill="1" applyBorder="1" applyAlignment="1">
      <alignment vertical="center"/>
    </xf>
    <xf numFmtId="0" fontId="24" fillId="13" borderId="38" xfId="3" applyFont="1" applyFill="1" applyBorder="1" applyAlignment="1">
      <alignment vertical="center"/>
    </xf>
    <xf numFmtId="0" fontId="16" fillId="14" borderId="39" xfId="3" applyFont="1" applyFill="1" applyBorder="1" applyAlignment="1">
      <alignment horizontal="center" vertical="center"/>
    </xf>
    <xf numFmtId="0" fontId="26" fillId="0" borderId="40" xfId="3" applyFont="1" applyBorder="1" applyAlignment="1">
      <alignment horizontal="center" vertical="center"/>
    </xf>
    <xf numFmtId="0" fontId="17" fillId="12" borderId="41" xfId="3" applyFont="1" applyFill="1" applyBorder="1" applyAlignment="1">
      <alignment horizontal="center" vertical="center"/>
    </xf>
    <xf numFmtId="0" fontId="16" fillId="0" borderId="13" xfId="3" applyFont="1" applyBorder="1" applyAlignment="1">
      <alignment horizontal="left" vertical="center"/>
    </xf>
    <xf numFmtId="0" fontId="16" fillId="0" borderId="14" xfId="3" applyFont="1" applyBorder="1" applyAlignment="1">
      <alignment horizontal="center" vertical="center"/>
    </xf>
    <xf numFmtId="0" fontId="16" fillId="14" borderId="42" xfId="3" applyFont="1" applyFill="1" applyBorder="1" applyAlignment="1">
      <alignment horizontal="center" vertical="center"/>
    </xf>
    <xf numFmtId="0" fontId="17" fillId="0" borderId="43" xfId="3" applyFont="1" applyBorder="1" applyAlignment="1" applyProtection="1">
      <alignment horizontal="right" vertical="center"/>
      <protection locked="0"/>
    </xf>
    <xf numFmtId="0" fontId="17" fillId="0" borderId="43" xfId="3" applyFont="1" applyBorder="1" applyAlignment="1">
      <alignment vertical="center"/>
    </xf>
    <xf numFmtId="0" fontId="17" fillId="11" borderId="13" xfId="3" applyFont="1" applyFill="1" applyBorder="1" applyAlignment="1">
      <alignment horizontal="center" vertical="center"/>
    </xf>
    <xf numFmtId="0" fontId="27" fillId="15" borderId="43" xfId="3" applyFont="1" applyFill="1" applyBorder="1" applyAlignment="1" applyProtection="1">
      <alignment horizontal="center" vertical="center"/>
      <protection locked="0"/>
    </xf>
    <xf numFmtId="0" fontId="17" fillId="0" borderId="43" xfId="3" applyFont="1" applyBorder="1" applyAlignment="1">
      <alignment horizontal="center" vertical="center"/>
    </xf>
    <xf numFmtId="0" fontId="16" fillId="0" borderId="44" xfId="3" applyFont="1" applyBorder="1" applyAlignment="1">
      <alignment horizontal="center" vertical="center"/>
    </xf>
    <xf numFmtId="0" fontId="17" fillId="0" borderId="6" xfId="3" applyFont="1" applyBorder="1" applyAlignment="1">
      <alignment horizontal="center" vertical="center"/>
    </xf>
    <xf numFmtId="0" fontId="26" fillId="0" borderId="27" xfId="3" applyFont="1" applyBorder="1" applyAlignment="1">
      <alignment horizontal="center" vertical="center"/>
    </xf>
    <xf numFmtId="0" fontId="17" fillId="12" borderId="33" xfId="3" applyFont="1" applyFill="1" applyBorder="1" applyAlignment="1">
      <alignment horizontal="center" vertical="center"/>
    </xf>
    <xf numFmtId="0" fontId="16" fillId="0" borderId="45" xfId="3" applyFont="1" applyBorder="1" applyAlignment="1">
      <alignment horizontal="left" vertical="center"/>
    </xf>
    <xf numFmtId="0" fontId="16" fillId="0" borderId="46" xfId="3" applyFont="1" applyBorder="1" applyAlignment="1">
      <alignment horizontal="center" vertical="center"/>
    </xf>
    <xf numFmtId="0" fontId="17" fillId="11" borderId="35" xfId="3" applyFont="1" applyFill="1" applyBorder="1" applyAlignment="1">
      <alignment vertical="center"/>
    </xf>
    <xf numFmtId="0" fontId="16" fillId="14" borderId="47" xfId="3" applyFont="1" applyFill="1" applyBorder="1" applyAlignment="1">
      <alignment horizontal="center" vertical="center"/>
    </xf>
    <xf numFmtId="0" fontId="16" fillId="14" borderId="48" xfId="3" applyFont="1" applyFill="1" applyBorder="1" applyAlignment="1">
      <alignment horizontal="center" vertical="center"/>
    </xf>
    <xf numFmtId="0" fontId="17" fillId="0" borderId="49" xfId="3" applyFont="1" applyBorder="1" applyAlignment="1" applyProtection="1">
      <alignment horizontal="right" vertical="center"/>
      <protection locked="0"/>
    </xf>
    <xf numFmtId="0" fontId="16" fillId="0" borderId="49" xfId="3" applyFont="1" applyBorder="1" applyAlignment="1">
      <alignment vertical="center"/>
    </xf>
    <xf numFmtId="0" fontId="17" fillId="11" borderId="34" xfId="3" applyFont="1" applyFill="1" applyBorder="1" applyAlignment="1">
      <alignment horizontal="center" vertical="center"/>
    </xf>
    <xf numFmtId="0" fontId="27" fillId="15" borderId="49" xfId="3" applyFont="1" applyFill="1" applyBorder="1" applyAlignment="1" applyProtection="1">
      <alignment horizontal="center" vertical="center"/>
      <protection locked="0"/>
    </xf>
    <xf numFmtId="0" fontId="17" fillId="0" borderId="49" xfId="3" applyFont="1" applyBorder="1" applyAlignment="1">
      <alignment horizontal="center" vertical="center"/>
    </xf>
    <xf numFmtId="0" fontId="16" fillId="0" borderId="50" xfId="3" applyFont="1" applyBorder="1" applyAlignment="1">
      <alignment horizontal="center" vertical="center"/>
    </xf>
    <xf numFmtId="0" fontId="28" fillId="16" borderId="51" xfId="3" applyFont="1" applyFill="1" applyBorder="1" applyAlignment="1">
      <alignment horizontal="left" vertical="center"/>
    </xf>
    <xf numFmtId="0" fontId="28" fillId="16" borderId="52" xfId="3" applyFont="1" applyFill="1" applyBorder="1" applyAlignment="1">
      <alignment horizontal="center" vertical="center"/>
    </xf>
    <xf numFmtId="0" fontId="17" fillId="11" borderId="38" xfId="3" applyFont="1" applyFill="1" applyBorder="1" applyAlignment="1">
      <alignment vertical="center"/>
    </xf>
    <xf numFmtId="0" fontId="27" fillId="17" borderId="47" xfId="3" applyFont="1" applyFill="1" applyBorder="1" applyAlignment="1">
      <alignment horizontal="center" vertical="center"/>
    </xf>
    <xf numFmtId="0" fontId="27" fillId="17" borderId="48" xfId="3" applyFont="1" applyFill="1" applyBorder="1" applyAlignment="1">
      <alignment horizontal="center" vertical="center"/>
    </xf>
    <xf numFmtId="0" fontId="17" fillId="11" borderId="0" xfId="3" applyFont="1" applyFill="1" applyAlignment="1" applyProtection="1">
      <alignment horizontal="center" vertical="center"/>
      <protection locked="0"/>
    </xf>
    <xf numFmtId="0" fontId="28" fillId="16" borderId="45" xfId="3" applyFont="1" applyFill="1" applyBorder="1" applyAlignment="1">
      <alignment horizontal="left" vertical="center"/>
    </xf>
    <xf numFmtId="0" fontId="28" fillId="16" borderId="46" xfId="3" applyFont="1" applyFill="1" applyBorder="1" applyAlignment="1">
      <alignment horizontal="center" vertical="center"/>
    </xf>
    <xf numFmtId="0" fontId="17" fillId="11" borderId="22" xfId="3" applyFont="1" applyFill="1" applyBorder="1" applyAlignment="1">
      <alignment vertical="center"/>
    </xf>
    <xf numFmtId="0" fontId="27" fillId="17" borderId="53" xfId="3" applyFont="1" applyFill="1" applyBorder="1" applyAlignment="1">
      <alignment horizontal="center" vertical="center"/>
    </xf>
    <xf numFmtId="0" fontId="27" fillId="17" borderId="54" xfId="3" applyFont="1" applyFill="1" applyBorder="1" applyAlignment="1">
      <alignment horizontal="center" vertical="center"/>
    </xf>
    <xf numFmtId="0" fontId="17" fillId="0" borderId="55" xfId="3" applyFont="1" applyBorder="1" applyAlignment="1" applyProtection="1">
      <alignment horizontal="right" vertical="center"/>
      <protection locked="0"/>
    </xf>
    <xf numFmtId="0" fontId="16" fillId="0" borderId="55" xfId="3" applyFont="1" applyBorder="1" applyAlignment="1">
      <alignment vertical="center"/>
    </xf>
    <xf numFmtId="0" fontId="17" fillId="11" borderId="56" xfId="3" applyFont="1" applyFill="1" applyBorder="1" applyAlignment="1">
      <alignment horizontal="center" vertical="center"/>
    </xf>
    <xf numFmtId="0" fontId="27" fillId="15" borderId="55" xfId="3" applyFont="1" applyFill="1" applyBorder="1" applyAlignment="1" applyProtection="1">
      <alignment horizontal="center" vertical="center"/>
      <protection locked="0"/>
    </xf>
    <xf numFmtId="0" fontId="17" fillId="0" borderId="55" xfId="3" applyFont="1" applyBorder="1" applyAlignment="1">
      <alignment horizontal="center" vertical="center"/>
    </xf>
    <xf numFmtId="0" fontId="16" fillId="0" borderId="57" xfId="3" applyFont="1" applyBorder="1" applyAlignment="1">
      <alignment horizontal="center" vertical="center"/>
    </xf>
    <xf numFmtId="0" fontId="16" fillId="0" borderId="51" xfId="3" applyFont="1" applyBorder="1" applyAlignment="1">
      <alignment horizontal="left" vertical="center"/>
    </xf>
    <xf numFmtId="0" fontId="16" fillId="0" borderId="52" xfId="3" applyFont="1" applyBorder="1" applyAlignment="1">
      <alignment horizontal="center" vertical="center"/>
    </xf>
    <xf numFmtId="0" fontId="17" fillId="11" borderId="34" xfId="3" applyFont="1" applyFill="1" applyBorder="1" applyAlignment="1">
      <alignment vertical="center"/>
    </xf>
    <xf numFmtId="0" fontId="27" fillId="11" borderId="0" xfId="3" applyFont="1" applyFill="1" applyAlignment="1">
      <alignment horizontal="center" vertical="center"/>
    </xf>
    <xf numFmtId="0" fontId="17" fillId="0" borderId="0" xfId="3" applyFont="1" applyAlignment="1" applyProtection="1">
      <alignment horizontal="right" vertical="center"/>
      <protection locked="0"/>
    </xf>
    <xf numFmtId="0" fontId="16" fillId="0" borderId="0" xfId="3" applyFont="1" applyAlignment="1">
      <alignment vertical="center"/>
    </xf>
    <xf numFmtId="0" fontId="17" fillId="0" borderId="0" xfId="3" applyFont="1" applyAlignment="1">
      <alignment horizontal="center" vertical="center"/>
    </xf>
    <xf numFmtId="0" fontId="27" fillId="11" borderId="0" xfId="3" applyFont="1" applyFill="1" applyAlignment="1" applyProtection="1">
      <alignment horizontal="center" vertical="center"/>
      <protection locked="0"/>
    </xf>
    <xf numFmtId="0" fontId="16" fillId="0" borderId="0" xfId="3" applyFont="1" applyAlignment="1">
      <alignment horizontal="center" vertical="center"/>
    </xf>
    <xf numFmtId="0" fontId="17" fillId="12" borderId="0" xfId="3" applyFont="1" applyFill="1" applyAlignment="1" applyProtection="1">
      <alignment horizontal="center" vertical="center"/>
      <protection locked="0"/>
    </xf>
    <xf numFmtId="0" fontId="27" fillId="0" borderId="0" xfId="3" applyFont="1" applyAlignment="1">
      <alignment horizontal="center" vertical="center"/>
    </xf>
    <xf numFmtId="0" fontId="29" fillId="0" borderId="0" xfId="3" applyFont="1" applyAlignment="1" applyProtection="1">
      <alignment horizontal="right" vertical="center"/>
      <protection locked="0"/>
    </xf>
    <xf numFmtId="0" fontId="27" fillId="0" borderId="0" xfId="3" applyFont="1" applyAlignment="1">
      <alignment vertical="center"/>
    </xf>
    <xf numFmtId="0" fontId="29" fillId="0" borderId="0" xfId="3" applyFont="1" applyAlignment="1">
      <alignment horizontal="center" vertical="center"/>
    </xf>
    <xf numFmtId="0" fontId="27" fillId="0" borderId="0" xfId="3" applyFont="1" applyAlignment="1" applyProtection="1">
      <alignment horizontal="center" vertical="center"/>
      <protection locked="0"/>
    </xf>
    <xf numFmtId="0" fontId="30" fillId="0" borderId="0" xfId="3" applyFont="1" applyAlignment="1">
      <alignment horizontal="center" vertical="center"/>
    </xf>
    <xf numFmtId="0" fontId="16" fillId="14" borderId="58" xfId="3" applyFont="1" applyFill="1" applyBorder="1" applyAlignment="1">
      <alignment horizontal="center" vertical="center"/>
    </xf>
    <xf numFmtId="0" fontId="26" fillId="0" borderId="59" xfId="3" applyFont="1" applyBorder="1" applyAlignment="1">
      <alignment horizontal="center" vertical="center"/>
    </xf>
    <xf numFmtId="0" fontId="17" fillId="12" borderId="60" xfId="3" applyFont="1" applyFill="1" applyBorder="1" applyAlignment="1">
      <alignment horizontal="center" vertical="center"/>
    </xf>
    <xf numFmtId="0" fontId="28" fillId="16" borderId="16" xfId="3" applyFont="1" applyFill="1" applyBorder="1" applyAlignment="1">
      <alignment horizontal="left" vertical="center"/>
    </xf>
    <xf numFmtId="0" fontId="28" fillId="16" borderId="17" xfId="3" applyFont="1" applyFill="1" applyBorder="1" applyAlignment="1">
      <alignment horizontal="center" vertical="center"/>
    </xf>
    <xf numFmtId="0" fontId="29" fillId="13" borderId="39" xfId="3" applyFont="1" applyFill="1" applyBorder="1" applyAlignment="1">
      <alignment horizontal="center" vertical="center"/>
    </xf>
    <xf numFmtId="0" fontId="29" fillId="13" borderId="42" xfId="3" applyFont="1" applyFill="1" applyBorder="1" applyAlignment="1">
      <alignment horizontal="center" vertical="center"/>
    </xf>
    <xf numFmtId="0" fontId="16" fillId="0" borderId="43" xfId="3" applyFont="1" applyBorder="1" applyAlignment="1">
      <alignment vertical="center"/>
    </xf>
    <xf numFmtId="0" fontId="29" fillId="11" borderId="0" xfId="3" applyFont="1" applyFill="1" applyAlignment="1">
      <alignment vertical="center"/>
    </xf>
    <xf numFmtId="0" fontId="29" fillId="13" borderId="47" xfId="3" applyFont="1" applyFill="1" applyBorder="1" applyAlignment="1">
      <alignment horizontal="center" vertical="center"/>
    </xf>
    <xf numFmtId="0" fontId="29" fillId="13" borderId="48" xfId="3" applyFont="1" applyFill="1" applyBorder="1" applyAlignment="1">
      <alignment horizontal="center" vertical="center"/>
    </xf>
    <xf numFmtId="0" fontId="29" fillId="13" borderId="53" xfId="3" applyFont="1" applyFill="1" applyBorder="1" applyAlignment="1">
      <alignment horizontal="center" vertical="center"/>
    </xf>
    <xf numFmtId="0" fontId="29" fillId="13" borderId="54" xfId="3" applyFont="1" applyFill="1" applyBorder="1" applyAlignment="1">
      <alignment horizontal="center" vertical="center"/>
    </xf>
    <xf numFmtId="0" fontId="17" fillId="12" borderId="0" xfId="3" quotePrefix="1" applyFont="1" applyFill="1" applyAlignment="1" applyProtection="1">
      <alignment horizontal="center" vertical="center"/>
      <protection locked="0"/>
    </xf>
    <xf numFmtId="0" fontId="17" fillId="12" borderId="0" xfId="3" applyFont="1" applyFill="1" applyAlignment="1" applyProtection="1">
      <alignment vertical="center"/>
      <protection locked="0"/>
    </xf>
    <xf numFmtId="0" fontId="29" fillId="0" borderId="0" xfId="3" applyFont="1" applyAlignment="1">
      <alignment vertical="center"/>
    </xf>
    <xf numFmtId="0" fontId="31" fillId="0" borderId="0" xfId="4" applyFont="1" applyAlignment="1">
      <alignment horizontal="center" vertical="center"/>
    </xf>
    <xf numFmtId="49" fontId="31" fillId="0" borderId="0" xfId="4" applyNumberFormat="1" applyFont="1" applyAlignment="1">
      <alignment horizontal="center" vertical="center"/>
    </xf>
    <xf numFmtId="0" fontId="32" fillId="0" borderId="0" xfId="4" applyFont="1" applyAlignment="1">
      <alignment vertical="center"/>
    </xf>
    <xf numFmtId="0" fontId="33" fillId="0" borderId="0" xfId="4" applyFont="1" applyAlignment="1">
      <alignment vertical="center"/>
    </xf>
    <xf numFmtId="0" fontId="34" fillId="0" borderId="0" xfId="4" applyFont="1" applyAlignment="1">
      <alignment horizontal="center" vertical="center"/>
    </xf>
    <xf numFmtId="0" fontId="31" fillId="0" borderId="0" xfId="4" applyFont="1" applyAlignment="1">
      <alignment vertical="center"/>
    </xf>
    <xf numFmtId="0" fontId="31" fillId="0" borderId="0" xfId="4" applyFont="1" applyAlignment="1">
      <alignment horizontal="right" vertical="center"/>
    </xf>
    <xf numFmtId="0" fontId="33" fillId="0" borderId="0" xfId="4" applyFont="1" applyAlignment="1">
      <alignment horizontal="center" vertical="center"/>
    </xf>
    <xf numFmtId="0" fontId="31" fillId="19" borderId="34" xfId="4" applyFont="1" applyFill="1" applyBorder="1" applyAlignment="1">
      <alignment vertical="center"/>
    </xf>
    <xf numFmtId="0" fontId="31" fillId="19" borderId="34" xfId="4" applyFont="1" applyFill="1" applyBorder="1" applyAlignment="1">
      <alignment vertical="center" shrinkToFit="1"/>
    </xf>
    <xf numFmtId="0" fontId="38" fillId="19" borderId="35" xfId="4" applyFont="1" applyFill="1" applyBorder="1" applyAlignment="1">
      <alignment horizontal="right" vertical="center"/>
    </xf>
    <xf numFmtId="0" fontId="31" fillId="12" borderId="0" xfId="4" applyFont="1" applyFill="1" applyAlignment="1">
      <alignment vertical="center"/>
    </xf>
    <xf numFmtId="0" fontId="31" fillId="12" borderId="0" xfId="4" applyFont="1" applyFill="1" applyAlignment="1">
      <alignment horizontal="center" vertical="center"/>
    </xf>
    <xf numFmtId="0" fontId="39" fillId="20" borderId="0" xfId="5" applyFont="1" applyFill="1" applyAlignment="1">
      <alignment horizontal="center" vertical="center"/>
    </xf>
    <xf numFmtId="0" fontId="39" fillId="0" borderId="0" xfId="5" applyFont="1" applyAlignment="1">
      <alignment vertical="center"/>
    </xf>
    <xf numFmtId="0" fontId="39" fillId="12" borderId="27" xfId="5" applyFont="1" applyFill="1" applyBorder="1" applyAlignment="1">
      <alignment horizontal="center" vertical="center"/>
    </xf>
    <xf numFmtId="0" fontId="39" fillId="21" borderId="27" xfId="5" applyFont="1" applyFill="1" applyBorder="1" applyAlignment="1">
      <alignment horizontal="center" vertical="center"/>
    </xf>
    <xf numFmtId="0" fontId="39" fillId="16" borderId="0" xfId="5" applyFont="1" applyFill="1" applyAlignment="1">
      <alignment vertical="center"/>
    </xf>
    <xf numFmtId="0" fontId="39" fillId="21" borderId="0" xfId="5" applyFont="1" applyFill="1" applyAlignment="1">
      <alignment vertical="center"/>
    </xf>
    <xf numFmtId="0" fontId="31" fillId="21" borderId="0" xfId="4" applyFont="1" applyFill="1" applyAlignment="1">
      <alignment horizontal="center" vertical="center"/>
    </xf>
    <xf numFmtId="0" fontId="40" fillId="0" borderId="0" xfId="4" applyFont="1" applyAlignment="1">
      <alignment horizontal="center" vertical="center"/>
    </xf>
    <xf numFmtId="0" fontId="38" fillId="0" borderId="22" xfId="4" applyFont="1" applyBorder="1" applyAlignment="1">
      <alignment horizontal="right" vertical="center"/>
    </xf>
    <xf numFmtId="0" fontId="39" fillId="22" borderId="0" xfId="5" applyFont="1" applyFill="1" applyAlignment="1">
      <alignment horizontal="center" vertical="center"/>
    </xf>
    <xf numFmtId="165" fontId="39" fillId="22" borderId="0" xfId="5" applyNumberFormat="1" applyFont="1" applyFill="1" applyAlignment="1">
      <alignment horizontal="center" vertical="center"/>
    </xf>
    <xf numFmtId="1" fontId="39" fillId="22" borderId="0" xfId="5" applyNumberFormat="1" applyFont="1" applyFill="1" applyAlignment="1">
      <alignment horizontal="center" vertical="center"/>
    </xf>
    <xf numFmtId="20" fontId="39" fillId="22" borderId="0" xfId="5" applyNumberFormat="1" applyFont="1" applyFill="1" applyAlignment="1">
      <alignment horizontal="center" vertical="center"/>
    </xf>
    <xf numFmtId="0" fontId="32" fillId="22" borderId="0" xfId="4" applyFont="1" applyFill="1" applyAlignment="1">
      <alignment horizontal="center" vertical="center"/>
    </xf>
    <xf numFmtId="0" fontId="39" fillId="0" borderId="0" xfId="5" applyFont="1" applyAlignment="1">
      <alignment horizontal="center" vertical="center"/>
    </xf>
    <xf numFmtId="1" fontId="39" fillId="12" borderId="27" xfId="5" applyNumberFormat="1" applyFont="1" applyFill="1" applyBorder="1" applyAlignment="1">
      <alignment horizontal="center" vertical="center"/>
    </xf>
    <xf numFmtId="1" fontId="39" fillId="21" borderId="27" xfId="5" applyNumberFormat="1" applyFont="1" applyFill="1" applyBorder="1" applyAlignment="1">
      <alignment horizontal="center" vertical="center"/>
    </xf>
    <xf numFmtId="0" fontId="31" fillId="19" borderId="37" xfId="4" applyFont="1" applyFill="1" applyBorder="1" applyAlignment="1">
      <alignment vertical="center"/>
    </xf>
    <xf numFmtId="0" fontId="38" fillId="19" borderId="38" xfId="4" applyFont="1" applyFill="1" applyBorder="1" applyAlignment="1">
      <alignment horizontal="right" vertical="center"/>
    </xf>
    <xf numFmtId="0" fontId="31" fillId="0" borderId="22" xfId="4" applyFont="1" applyBorder="1" applyAlignment="1">
      <alignment vertical="center"/>
    </xf>
    <xf numFmtId="0" fontId="38" fillId="0" borderId="0" xfId="4" applyFont="1" applyAlignment="1">
      <alignment horizontal="right" vertical="center"/>
    </xf>
    <xf numFmtId="0" fontId="40" fillId="0" borderId="22" xfId="4" applyFont="1" applyBorder="1" applyAlignment="1">
      <alignment horizontal="center" vertical="center"/>
    </xf>
    <xf numFmtId="0" fontId="31" fillId="0" borderId="61" xfId="4" applyFont="1" applyBorder="1" applyAlignment="1">
      <alignment vertical="center"/>
    </xf>
    <xf numFmtId="0" fontId="32" fillId="0" borderId="0" xfId="4" applyFont="1" applyAlignment="1">
      <alignment horizontal="center" vertical="center"/>
    </xf>
    <xf numFmtId="0" fontId="39" fillId="23" borderId="0" xfId="5" applyFont="1" applyFill="1" applyAlignment="1">
      <alignment horizontal="center" vertical="center"/>
    </xf>
    <xf numFmtId="165" fontId="39" fillId="23" borderId="0" xfId="5" applyNumberFormat="1" applyFont="1" applyFill="1" applyAlignment="1">
      <alignment horizontal="center" vertical="center"/>
    </xf>
    <xf numFmtId="1" fontId="39" fillId="23" borderId="0" xfId="5" applyNumberFormat="1" applyFont="1" applyFill="1" applyAlignment="1">
      <alignment horizontal="center" vertical="center"/>
    </xf>
    <xf numFmtId="20" fontId="39" fillId="23" borderId="0" xfId="5" applyNumberFormat="1" applyFont="1" applyFill="1" applyAlignment="1">
      <alignment horizontal="center" vertical="center"/>
    </xf>
    <xf numFmtId="0" fontId="32" fillId="23" borderId="0" xfId="4" applyFont="1" applyFill="1" applyAlignment="1">
      <alignment horizontal="center" vertical="center"/>
    </xf>
    <xf numFmtId="0" fontId="38" fillId="19" borderId="34" xfId="4" applyFont="1" applyFill="1" applyBorder="1" applyAlignment="1">
      <alignment horizontal="right" vertical="center"/>
    </xf>
    <xf numFmtId="0" fontId="39" fillId="16" borderId="0" xfId="5" applyFont="1" applyFill="1" applyAlignment="1">
      <alignment horizontal="center" vertical="center"/>
    </xf>
    <xf numFmtId="165" fontId="39" fillId="16" borderId="0" xfId="5" applyNumberFormat="1" applyFont="1" applyFill="1" applyAlignment="1">
      <alignment horizontal="center" vertical="center"/>
    </xf>
    <xf numFmtId="1" fontId="39" fillId="16" borderId="0" xfId="5" applyNumberFormat="1" applyFont="1" applyFill="1" applyAlignment="1">
      <alignment horizontal="center" vertical="center"/>
    </xf>
    <xf numFmtId="20" fontId="39" fillId="16" borderId="0" xfId="5" applyNumberFormat="1" applyFont="1" applyFill="1" applyAlignment="1">
      <alignment horizontal="center" vertical="center"/>
    </xf>
    <xf numFmtId="0" fontId="32" fillId="16" borderId="0" xfId="4" applyFont="1" applyFill="1" applyAlignment="1">
      <alignment horizontal="center" vertical="center"/>
    </xf>
    <xf numFmtId="0" fontId="41" fillId="0" borderId="0" xfId="4" applyFont="1" applyAlignment="1">
      <alignment horizontal="center" vertical="center"/>
    </xf>
    <xf numFmtId="0" fontId="31" fillId="19" borderId="62" xfId="4" applyFont="1" applyFill="1" applyBorder="1" applyAlignment="1">
      <alignment vertical="center"/>
    </xf>
    <xf numFmtId="0" fontId="31" fillId="19" borderId="63" xfId="4" applyFont="1" applyFill="1" applyBorder="1" applyAlignment="1">
      <alignment vertical="center"/>
    </xf>
    <xf numFmtId="0" fontId="38" fillId="19" borderId="28" xfId="4" applyFont="1" applyFill="1" applyBorder="1" applyAlignment="1">
      <alignment horizontal="right" vertical="center"/>
    </xf>
    <xf numFmtId="0" fontId="31" fillId="19" borderId="37" xfId="4" applyFont="1" applyFill="1" applyBorder="1" applyAlignment="1">
      <alignment vertical="center" shrinkToFit="1"/>
    </xf>
    <xf numFmtId="0" fontId="31" fillId="0" borderId="33" xfId="4" applyFont="1" applyBorder="1" applyAlignment="1">
      <alignment horizontal="center" vertical="center"/>
    </xf>
    <xf numFmtId="0" fontId="31" fillId="0" borderId="35" xfId="4" applyFont="1" applyBorder="1" applyAlignment="1">
      <alignment horizontal="center" vertical="center"/>
    </xf>
    <xf numFmtId="0" fontId="31" fillId="0" borderId="61" xfId="4" applyFont="1" applyBorder="1" applyAlignment="1">
      <alignment horizontal="center" vertical="center"/>
    </xf>
    <xf numFmtId="0" fontId="31" fillId="0" borderId="22" xfId="4" applyFont="1" applyBorder="1" applyAlignment="1">
      <alignment horizontal="center" vertical="center"/>
    </xf>
    <xf numFmtId="0" fontId="31" fillId="0" borderId="36" xfId="4" applyFont="1" applyBorder="1" applyAlignment="1">
      <alignment horizontal="center" vertical="center"/>
    </xf>
    <xf numFmtId="0" fontId="31" fillId="0" borderId="38" xfId="4" applyFont="1" applyBorder="1" applyAlignment="1">
      <alignment horizontal="center" vertical="center"/>
    </xf>
    <xf numFmtId="49" fontId="45" fillId="0" borderId="0" xfId="4" applyNumberFormat="1" applyFont="1" applyAlignment="1">
      <alignment horizontal="center" vertical="center"/>
    </xf>
    <xf numFmtId="0" fontId="46" fillId="0" borderId="0" xfId="4" applyFont="1" applyAlignment="1">
      <alignment horizontal="center" vertical="center"/>
    </xf>
    <xf numFmtId="0" fontId="45" fillId="0" borderId="0" xfId="4" applyFont="1" applyAlignment="1">
      <alignment horizontal="center" vertical="center"/>
    </xf>
    <xf numFmtId="0" fontId="47" fillId="0" borderId="0" xfId="4" applyFont="1" applyAlignment="1">
      <alignment vertical="center"/>
    </xf>
    <xf numFmtId="0" fontId="15" fillId="0" borderId="0" xfId="5" applyAlignment="1">
      <alignment vertical="center"/>
    </xf>
    <xf numFmtId="0" fontId="15" fillId="0" borderId="0" xfId="5" applyAlignment="1">
      <alignment horizontal="center" vertical="center"/>
    </xf>
    <xf numFmtId="0" fontId="48" fillId="0" borderId="0" xfId="5" applyFont="1" applyAlignment="1">
      <alignment vertical="center"/>
    </xf>
    <xf numFmtId="0" fontId="50" fillId="16" borderId="0" xfId="5" applyFont="1" applyFill="1" applyAlignment="1" applyProtection="1">
      <alignment vertical="center"/>
      <protection locked="0"/>
    </xf>
    <xf numFmtId="0" fontId="52" fillId="12" borderId="1" xfId="5" applyFont="1" applyFill="1" applyBorder="1" applyAlignment="1">
      <alignment horizontal="center" vertical="center"/>
    </xf>
    <xf numFmtId="0" fontId="15" fillId="12" borderId="33" xfId="5" applyFill="1" applyBorder="1" applyAlignment="1">
      <alignment horizontal="center" vertical="center"/>
    </xf>
    <xf numFmtId="0" fontId="52" fillId="12" borderId="34" xfId="5" applyFont="1" applyFill="1" applyBorder="1" applyAlignment="1">
      <alignment horizontal="center" vertical="center"/>
    </xf>
    <xf numFmtId="0" fontId="15" fillId="12" borderId="35" xfId="5" applyFill="1" applyBorder="1" applyAlignment="1">
      <alignment horizontal="center" vertical="center"/>
    </xf>
    <xf numFmtId="0" fontId="52" fillId="0" borderId="0" xfId="5" applyFont="1" applyAlignment="1">
      <alignment horizontal="center" vertical="center"/>
    </xf>
    <xf numFmtId="0" fontId="15" fillId="0" borderId="33" xfId="5" applyBorder="1" applyAlignment="1">
      <alignment vertical="center"/>
    </xf>
    <xf numFmtId="0" fontId="15" fillId="0" borderId="34" xfId="5" applyBorder="1" applyAlignment="1">
      <alignment vertical="center"/>
    </xf>
    <xf numFmtId="0" fontId="51" fillId="0" borderId="34" xfId="5" applyFont="1" applyBorder="1" applyAlignment="1">
      <alignment horizontal="center" vertical="center"/>
    </xf>
    <xf numFmtId="0" fontId="15" fillId="0" borderId="34" xfId="5" applyBorder="1" applyAlignment="1">
      <alignment horizontal="right" vertical="center"/>
    </xf>
    <xf numFmtId="0" fontId="53" fillId="0" borderId="27" xfId="5" applyFont="1" applyBorder="1" applyAlignment="1">
      <alignment horizontal="center" vertical="center"/>
    </xf>
    <xf numFmtId="0" fontId="53" fillId="0" borderId="62" xfId="5" applyFont="1" applyBorder="1" applyAlignment="1">
      <alignment horizontal="center" vertical="center"/>
    </xf>
    <xf numFmtId="0" fontId="54" fillId="0" borderId="68" xfId="5" applyFont="1" applyBorder="1" applyAlignment="1">
      <alignment horizontal="center" vertical="center"/>
    </xf>
    <xf numFmtId="0" fontId="39" fillId="12" borderId="69" xfId="5" applyFont="1" applyFill="1" applyBorder="1" applyAlignment="1">
      <alignment horizontal="center" vertical="center"/>
    </xf>
    <xf numFmtId="0" fontId="54" fillId="0" borderId="70" xfId="5" applyFont="1" applyBorder="1" applyAlignment="1">
      <alignment horizontal="center" vertical="center"/>
    </xf>
    <xf numFmtId="0" fontId="53" fillId="0" borderId="28" xfId="5" applyFont="1" applyBorder="1" applyAlignment="1">
      <alignment horizontal="center" vertical="center"/>
    </xf>
    <xf numFmtId="0" fontId="15" fillId="0" borderId="34" xfId="5" applyBorder="1" applyAlignment="1">
      <alignment horizontal="center" vertical="center"/>
    </xf>
    <xf numFmtId="0" fontId="55" fillId="0" borderId="34" xfId="5" applyFont="1" applyBorder="1" applyAlignment="1">
      <alignment horizontal="center" vertical="center"/>
    </xf>
    <xf numFmtId="0" fontId="15" fillId="0" borderId="35" xfId="5" applyBorder="1" applyAlignment="1">
      <alignment vertical="center"/>
    </xf>
    <xf numFmtId="0" fontId="15" fillId="0" borderId="61" xfId="5" applyBorder="1" applyAlignment="1">
      <alignment vertical="center"/>
    </xf>
    <xf numFmtId="0" fontId="51" fillId="0" borderId="0" xfId="5" applyFont="1" applyAlignment="1">
      <alignment horizontal="center" vertical="center"/>
    </xf>
    <xf numFmtId="0" fontId="51" fillId="0" borderId="22" xfId="5" applyFont="1" applyBorder="1" applyAlignment="1">
      <alignment horizontal="center" vertical="center"/>
    </xf>
    <xf numFmtId="0" fontId="54" fillId="0" borderId="71" xfId="5" applyFont="1" applyBorder="1" applyAlignment="1">
      <alignment horizontal="center" vertical="center"/>
    </xf>
    <xf numFmtId="0" fontId="54" fillId="0" borderId="72" xfId="5" applyFont="1" applyBorder="1" applyAlignment="1">
      <alignment horizontal="center" vertical="center"/>
    </xf>
    <xf numFmtId="0" fontId="51" fillId="0" borderId="61" xfId="5" applyFont="1" applyBorder="1" applyAlignment="1">
      <alignment vertical="center"/>
    </xf>
    <xf numFmtId="0" fontId="51" fillId="0" borderId="0" xfId="5" applyFont="1" applyAlignment="1">
      <alignment vertical="center"/>
    </xf>
    <xf numFmtId="0" fontId="15" fillId="0" borderId="22" xfId="5" applyBorder="1" applyAlignment="1">
      <alignment vertical="center"/>
    </xf>
    <xf numFmtId="0" fontId="57" fillId="0" borderId="71" xfId="5" applyFont="1" applyBorder="1" applyAlignment="1">
      <alignment horizontal="center" vertical="center"/>
    </xf>
    <xf numFmtId="0" fontId="51" fillId="0" borderId="34" xfId="5" applyFont="1" applyBorder="1" applyAlignment="1">
      <alignment vertical="center"/>
    </xf>
    <xf numFmtId="0" fontId="58" fillId="0" borderId="73" xfId="5" applyFont="1" applyBorder="1" applyAlignment="1">
      <alignment horizontal="center" vertical="center"/>
    </xf>
    <xf numFmtId="0" fontId="15" fillId="0" borderId="22" xfId="5" applyBorder="1" applyAlignment="1">
      <alignment horizontal="center" vertical="center"/>
    </xf>
    <xf numFmtId="0" fontId="58" fillId="0" borderId="72" xfId="5" applyFont="1" applyBorder="1" applyAlignment="1">
      <alignment horizontal="center" vertical="center"/>
    </xf>
    <xf numFmtId="0" fontId="15" fillId="0" borderId="61" xfId="5" applyBorder="1" applyAlignment="1">
      <alignment horizontal="center" vertical="center"/>
    </xf>
    <xf numFmtId="0" fontId="15" fillId="0" borderId="36" xfId="5" applyBorder="1" applyAlignment="1">
      <alignment vertical="center"/>
    </xf>
    <xf numFmtId="0" fontId="15" fillId="0" borderId="38" xfId="5" applyBorder="1" applyAlignment="1">
      <alignment horizontal="center" vertical="center"/>
    </xf>
    <xf numFmtId="0" fontId="39" fillId="12" borderId="74" xfId="5" applyFont="1" applyFill="1" applyBorder="1" applyAlignment="1">
      <alignment horizontal="center" vertical="center"/>
    </xf>
    <xf numFmtId="0" fontId="58" fillId="0" borderId="75" xfId="5" applyFont="1" applyBorder="1" applyAlignment="1">
      <alignment horizontal="center" vertical="center"/>
    </xf>
    <xf numFmtId="0" fontId="15" fillId="0" borderId="36" xfId="5" applyBorder="1" applyAlignment="1">
      <alignment horizontal="center" vertical="center"/>
    </xf>
    <xf numFmtId="0" fontId="15" fillId="0" borderId="38" xfId="5" applyBorder="1" applyAlignment="1">
      <alignment vertical="center"/>
    </xf>
    <xf numFmtId="0" fontId="60" fillId="0" borderId="0" xfId="5" applyFont="1" applyAlignment="1">
      <alignment vertical="center"/>
    </xf>
    <xf numFmtId="0" fontId="60" fillId="0" borderId="76" xfId="5" applyFont="1" applyBorder="1" applyAlignment="1">
      <alignment horizontal="center" vertical="top"/>
    </xf>
    <xf numFmtId="0" fontId="61" fillId="0" borderId="79" xfId="5" applyFont="1" applyBorder="1" applyAlignment="1">
      <alignment horizontal="center" vertical="center"/>
    </xf>
    <xf numFmtId="0" fontId="39" fillId="0" borderId="63" xfId="5" applyFont="1" applyBorder="1" applyAlignment="1">
      <alignment horizontal="center" vertical="center"/>
    </xf>
    <xf numFmtId="0" fontId="39" fillId="0" borderId="63" xfId="5" applyFont="1" applyBorder="1" applyAlignment="1">
      <alignment vertical="center"/>
    </xf>
    <xf numFmtId="0" fontId="39" fillId="0" borderId="28" xfId="5" applyFont="1" applyBorder="1" applyAlignment="1">
      <alignment horizontal="center" vertical="center"/>
    </xf>
    <xf numFmtId="0" fontId="39" fillId="0" borderId="62" xfId="5" applyFont="1" applyBorder="1" applyAlignment="1">
      <alignment vertical="center"/>
    </xf>
    <xf numFmtId="0" fontId="62" fillId="0" borderId="62" xfId="5" applyFont="1" applyBorder="1" applyAlignment="1">
      <alignment horizontal="center" vertical="center"/>
    </xf>
    <xf numFmtId="0" fontId="62" fillId="0" borderId="28" xfId="5" applyFont="1" applyBorder="1" applyAlignment="1">
      <alignment horizontal="center" vertical="center" shrinkToFit="1"/>
    </xf>
    <xf numFmtId="0" fontId="15" fillId="0" borderId="63" xfId="5" applyBorder="1" applyAlignment="1">
      <alignment horizontal="center" vertical="center"/>
    </xf>
    <xf numFmtId="0" fontId="15" fillId="0" borderId="63" xfId="5" applyBorder="1" applyAlignment="1">
      <alignment vertical="center"/>
    </xf>
    <xf numFmtId="0" fontId="15" fillId="0" borderId="28" xfId="5" applyBorder="1" applyAlignment="1">
      <alignment horizontal="center" vertical="center"/>
    </xf>
    <xf numFmtId="0" fontId="15" fillId="0" borderId="37" xfId="5" applyBorder="1" applyAlignment="1">
      <alignment horizontal="center" vertical="center"/>
    </xf>
    <xf numFmtId="0" fontId="15" fillId="0" borderId="37" xfId="5" applyBorder="1" applyAlignment="1">
      <alignment vertical="center"/>
    </xf>
    <xf numFmtId="0" fontId="1" fillId="0" borderId="0" xfId="6"/>
    <xf numFmtId="0" fontId="65" fillId="26" borderId="87" xfId="6" applyFont="1" applyFill="1" applyBorder="1"/>
    <xf numFmtId="0" fontId="65" fillId="26" borderId="88" xfId="6" applyFont="1" applyFill="1" applyBorder="1"/>
    <xf numFmtId="0" fontId="65" fillId="26" borderId="89" xfId="6" applyFont="1" applyFill="1" applyBorder="1"/>
    <xf numFmtId="0" fontId="66" fillId="0" borderId="90" xfId="6" applyFont="1" applyBorder="1"/>
    <xf numFmtId="0" fontId="66" fillId="0" borderId="91" xfId="6" applyFont="1" applyBorder="1"/>
    <xf numFmtId="0" fontId="66" fillId="0" borderId="92" xfId="6" applyFont="1" applyBorder="1"/>
    <xf numFmtId="0" fontId="66" fillId="0" borderId="93" xfId="6" applyFont="1" applyBorder="1"/>
    <xf numFmtId="0" fontId="66" fillId="0" borderId="94" xfId="6" applyFont="1" applyBorder="1"/>
    <xf numFmtId="0" fontId="66" fillId="0" borderId="95" xfId="6" applyFont="1" applyBorder="1"/>
    <xf numFmtId="0" fontId="15" fillId="0" borderId="0" xfId="5" applyAlignment="1">
      <alignment horizontal="right" vertical="center"/>
    </xf>
    <xf numFmtId="0" fontId="3" fillId="2" borderId="1" xfId="1" applyFill="1" applyBorder="1" applyAlignment="1">
      <alignment horizontal="center"/>
    </xf>
    <xf numFmtId="0" fontId="2" fillId="3" borderId="1" xfId="1" applyFont="1" applyFill="1" applyBorder="1" applyAlignment="1">
      <alignment horizontal="center"/>
    </xf>
    <xf numFmtId="0" fontId="4" fillId="6" borderId="5" xfId="2" applyFont="1" applyFill="1" applyBorder="1" applyAlignment="1">
      <alignment horizontal="center"/>
    </xf>
    <xf numFmtId="0" fontId="4" fillId="6" borderId="10" xfId="2" applyFont="1" applyFill="1" applyBorder="1" applyAlignment="1">
      <alignment horizontal="center"/>
    </xf>
    <xf numFmtId="0" fontId="4" fillId="6" borderId="11" xfId="2" applyFont="1" applyFill="1" applyBorder="1" applyAlignment="1">
      <alignment horizontal="center"/>
    </xf>
    <xf numFmtId="0" fontId="4" fillId="6" borderId="12" xfId="2" applyFont="1" applyFill="1" applyBorder="1" applyAlignment="1">
      <alignment horizontal="center"/>
    </xf>
    <xf numFmtId="0" fontId="4" fillId="6" borderId="13" xfId="2" applyFont="1" applyFill="1" applyBorder="1" applyAlignment="1">
      <alignment horizontal="center"/>
    </xf>
    <xf numFmtId="0" fontId="4" fillId="6" borderId="14" xfId="2" applyFont="1" applyFill="1" applyBorder="1" applyAlignment="1">
      <alignment horizontal="center"/>
    </xf>
    <xf numFmtId="0" fontId="4" fillId="6" borderId="15" xfId="2" applyFont="1" applyFill="1" applyBorder="1" applyAlignment="1">
      <alignment horizontal="center"/>
    </xf>
    <xf numFmtId="0" fontId="4" fillId="6" borderId="16" xfId="2" applyFont="1" applyFill="1" applyBorder="1" applyAlignment="1">
      <alignment horizontal="center"/>
    </xf>
    <xf numFmtId="0" fontId="4" fillId="6" borderId="17" xfId="2" applyFont="1" applyFill="1" applyBorder="1" applyAlignment="1">
      <alignment horizontal="center"/>
    </xf>
    <xf numFmtId="0" fontId="0" fillId="0" borderId="1" xfId="2" applyFont="1" applyBorder="1" applyAlignment="1">
      <alignment horizontal="center" vertical="center"/>
    </xf>
    <xf numFmtId="0" fontId="3" fillId="0" borderId="1" xfId="2" applyBorder="1" applyAlignment="1">
      <alignment horizontal="center" vertical="center"/>
    </xf>
    <xf numFmtId="0" fontId="3" fillId="0" borderId="5" xfId="2" applyBorder="1" applyAlignment="1">
      <alignment horizontal="center" vertical="center"/>
    </xf>
    <xf numFmtId="0" fontId="3" fillId="0" borderId="10" xfId="2" applyBorder="1" applyAlignment="1">
      <alignment horizontal="center" vertical="center"/>
    </xf>
    <xf numFmtId="0" fontId="3" fillId="0" borderId="11" xfId="2" applyBorder="1" applyAlignment="1">
      <alignment horizontal="center" vertical="center"/>
    </xf>
    <xf numFmtId="0" fontId="21" fillId="0" borderId="30" xfId="2" applyFont="1" applyBorder="1" applyAlignment="1">
      <alignment horizontal="center" vertical="center"/>
    </xf>
    <xf numFmtId="0" fontId="21" fillId="0" borderId="31" xfId="2" applyFont="1" applyBorder="1" applyAlignment="1">
      <alignment horizontal="center" vertical="center"/>
    </xf>
    <xf numFmtId="0" fontId="21" fillId="0" borderId="32" xfId="2" applyFont="1" applyBorder="1" applyAlignment="1">
      <alignment horizontal="center" vertical="center"/>
    </xf>
    <xf numFmtId="0" fontId="3" fillId="0" borderId="0" xfId="2" applyAlignment="1">
      <alignment horizontal="center"/>
    </xf>
    <xf numFmtId="0" fontId="3" fillId="0" borderId="13" xfId="2" applyBorder="1" applyAlignment="1">
      <alignment horizontal="center" vertical="center" wrapText="1"/>
    </xf>
    <xf numFmtId="0" fontId="3" fillId="0" borderId="0" xfId="2" applyAlignment="1">
      <alignment horizontal="center" vertical="center" wrapText="1"/>
    </xf>
    <xf numFmtId="0" fontId="11" fillId="0" borderId="1" xfId="2" applyFont="1" applyBorder="1" applyAlignment="1">
      <alignment horizontal="center" vertical="center"/>
    </xf>
    <xf numFmtId="0" fontId="11" fillId="0" borderId="29" xfId="2" applyFont="1" applyBorder="1" applyAlignment="1">
      <alignment horizontal="center" vertical="center"/>
    </xf>
    <xf numFmtId="0" fontId="11" fillId="0" borderId="27" xfId="2" applyFont="1" applyBorder="1" applyAlignment="1">
      <alignment horizontal="center"/>
    </xf>
    <xf numFmtId="0" fontId="0" fillId="0" borderId="27" xfId="2" applyFont="1" applyBorder="1" applyAlignment="1">
      <alignment horizontal="center" vertical="center"/>
    </xf>
    <xf numFmtId="0" fontId="3" fillId="0" borderId="27" xfId="2" applyBorder="1" applyAlignment="1">
      <alignment horizontal="center" vertical="center"/>
    </xf>
    <xf numFmtId="0" fontId="3" fillId="0" borderId="12" xfId="2" applyBorder="1" applyAlignment="1">
      <alignment horizontal="center" vertical="center" wrapText="1"/>
    </xf>
    <xf numFmtId="0" fontId="3" fillId="0" borderId="14" xfId="2" applyBorder="1" applyAlignment="1">
      <alignment horizontal="center" vertical="center" wrapText="1"/>
    </xf>
    <xf numFmtId="0" fontId="3" fillId="0" borderId="23" xfId="2" applyBorder="1" applyAlignment="1">
      <alignment horizontal="center" vertical="center" wrapText="1"/>
    </xf>
    <xf numFmtId="0" fontId="3" fillId="0" borderId="24" xfId="2" applyBorder="1" applyAlignment="1">
      <alignment horizontal="center" vertical="center" wrapText="1"/>
    </xf>
    <xf numFmtId="0" fontId="3" fillId="0" borderId="15" xfId="2" applyBorder="1" applyAlignment="1">
      <alignment horizontal="center" vertical="center" wrapText="1"/>
    </xf>
    <xf numFmtId="0" fontId="3" fillId="0" borderId="17" xfId="2" applyBorder="1" applyAlignment="1">
      <alignment horizontal="center" vertical="center" wrapText="1"/>
    </xf>
    <xf numFmtId="0" fontId="8" fillId="0" borderId="0" xfId="2" applyFont="1" applyAlignment="1">
      <alignment horizontal="center"/>
    </xf>
    <xf numFmtId="0" fontId="17" fillId="11" borderId="0" xfId="3" applyFont="1" applyFill="1" applyAlignment="1">
      <alignment horizontal="center" vertical="center"/>
    </xf>
    <xf numFmtId="0" fontId="67" fillId="13" borderId="33" xfId="3" applyFont="1" applyFill="1" applyBorder="1" applyAlignment="1">
      <alignment horizontal="center" vertical="center"/>
    </xf>
    <xf numFmtId="0" fontId="67" fillId="13" borderId="34" xfId="3" applyFont="1" applyFill="1" applyBorder="1" applyAlignment="1">
      <alignment horizontal="center" vertical="center"/>
    </xf>
    <xf numFmtId="0" fontId="67" fillId="13" borderId="36" xfId="3" applyFont="1" applyFill="1" applyBorder="1" applyAlignment="1">
      <alignment horizontal="center" vertical="center"/>
    </xf>
    <xf numFmtId="0" fontId="67" fillId="13" borderId="37" xfId="3" applyFont="1" applyFill="1" applyBorder="1" applyAlignment="1">
      <alignment horizontal="center" vertical="center"/>
    </xf>
    <xf numFmtId="0" fontId="25" fillId="0" borderId="33" xfId="3" applyFont="1" applyBorder="1" applyAlignment="1">
      <alignment horizontal="center" vertical="center"/>
    </xf>
    <xf numFmtId="0" fontId="25" fillId="0" borderId="34" xfId="3" applyFont="1" applyBorder="1" applyAlignment="1">
      <alignment horizontal="center" vertical="center"/>
    </xf>
    <xf numFmtId="0" fontId="25" fillId="0" borderId="35" xfId="3" applyFont="1" applyBorder="1" applyAlignment="1">
      <alignment horizontal="center" vertical="center"/>
    </xf>
    <xf numFmtId="0" fontId="31" fillId="13" borderId="34" xfId="4" applyFont="1" applyFill="1" applyBorder="1" applyAlignment="1">
      <alignment horizontal="center" vertical="center"/>
    </xf>
    <xf numFmtId="0" fontId="31" fillId="13" borderId="37" xfId="4" applyFont="1" applyFill="1" applyBorder="1" applyAlignment="1">
      <alignment horizontal="center" vertical="center"/>
    </xf>
    <xf numFmtId="0" fontId="44" fillId="0" borderId="1" xfId="4" applyFont="1" applyBorder="1" applyAlignment="1">
      <alignment horizontal="center" vertical="center" textRotation="90"/>
    </xf>
    <xf numFmtId="0" fontId="44" fillId="0" borderId="64" xfId="4" applyFont="1" applyBorder="1" applyAlignment="1">
      <alignment horizontal="center" vertical="center" textRotation="90"/>
    </xf>
    <xf numFmtId="0" fontId="44" fillId="0" borderId="29" xfId="4" applyFont="1" applyBorder="1" applyAlignment="1">
      <alignment horizontal="center" vertical="center" textRotation="90"/>
    </xf>
    <xf numFmtId="0" fontId="31" fillId="0" borderId="1" xfId="4" applyFont="1" applyBorder="1" applyAlignment="1">
      <alignment horizontal="center" vertical="center" textRotation="90"/>
    </xf>
    <xf numFmtId="0" fontId="31" fillId="0" borderId="64" xfId="4" applyFont="1" applyBorder="1" applyAlignment="1">
      <alignment horizontal="center" vertical="center" textRotation="90"/>
    </xf>
    <xf numFmtId="0" fontId="31" fillId="0" borderId="29" xfId="4" applyFont="1" applyBorder="1" applyAlignment="1">
      <alignment horizontal="center" vertical="center" textRotation="90"/>
    </xf>
    <xf numFmtId="0" fontId="41" fillId="0" borderId="0" xfId="4" applyFont="1" applyAlignment="1">
      <alignment horizontal="center" vertical="center"/>
    </xf>
    <xf numFmtId="0" fontId="31" fillId="13" borderId="35" xfId="4" applyFont="1" applyFill="1" applyBorder="1" applyAlignment="1">
      <alignment horizontal="center" vertical="center"/>
    </xf>
    <xf numFmtId="0" fontId="31" fillId="13" borderId="38" xfId="4" applyFont="1" applyFill="1" applyBorder="1" applyAlignment="1">
      <alignment horizontal="center" vertical="center"/>
    </xf>
    <xf numFmtId="0" fontId="42" fillId="16" borderId="33" xfId="4" applyFont="1" applyFill="1" applyBorder="1" applyAlignment="1">
      <alignment horizontal="center" vertical="center" wrapText="1" shrinkToFit="1"/>
    </xf>
    <xf numFmtId="0" fontId="42" fillId="16" borderId="34" xfId="4" applyFont="1" applyFill="1" applyBorder="1" applyAlignment="1">
      <alignment horizontal="center" vertical="center" wrapText="1" shrinkToFit="1"/>
    </xf>
    <xf numFmtId="0" fontId="42" fillId="16" borderId="61" xfId="4" applyFont="1" applyFill="1" applyBorder="1" applyAlignment="1">
      <alignment horizontal="center" vertical="center" wrapText="1" shrinkToFit="1"/>
    </xf>
    <xf numFmtId="0" fontId="42" fillId="16" borderId="0" xfId="4" applyFont="1" applyFill="1" applyAlignment="1">
      <alignment horizontal="center" vertical="center" wrapText="1" shrinkToFit="1"/>
    </xf>
    <xf numFmtId="0" fontId="42" fillId="16" borderId="36" xfId="4" applyFont="1" applyFill="1" applyBorder="1" applyAlignment="1">
      <alignment horizontal="center" vertical="center" wrapText="1" shrinkToFit="1"/>
    </xf>
    <xf numFmtId="0" fontId="42" fillId="16" borderId="37" xfId="4" applyFont="1" applyFill="1" applyBorder="1" applyAlignment="1">
      <alignment horizontal="center" vertical="center" wrapText="1" shrinkToFit="1"/>
    </xf>
    <xf numFmtId="0" fontId="43" fillId="18" borderId="21" xfId="4" applyFont="1" applyFill="1" applyBorder="1" applyAlignment="1">
      <alignment horizontal="center" vertical="center"/>
    </xf>
    <xf numFmtId="0" fontId="43" fillId="18" borderId="25" xfId="4" applyFont="1" applyFill="1" applyBorder="1" applyAlignment="1">
      <alignment horizontal="center" vertical="center"/>
    </xf>
    <xf numFmtId="0" fontId="43" fillId="18" borderId="26" xfId="4" applyFont="1" applyFill="1" applyBorder="1" applyAlignment="1">
      <alignment horizontal="center" vertical="center"/>
    </xf>
    <xf numFmtId="0" fontId="31" fillId="13" borderId="33" xfId="4" applyFont="1" applyFill="1" applyBorder="1" applyAlignment="1">
      <alignment horizontal="center" vertical="center"/>
    </xf>
    <xf numFmtId="0" fontId="31" fillId="13" borderId="36" xfId="4" applyFont="1" applyFill="1" applyBorder="1" applyAlignment="1">
      <alignment horizontal="center" vertical="center"/>
    </xf>
    <xf numFmtId="164" fontId="37" fillId="13" borderId="34" xfId="4" applyNumberFormat="1" applyFont="1" applyFill="1" applyBorder="1" applyAlignment="1">
      <alignment horizontal="center" vertical="center"/>
    </xf>
    <xf numFmtId="164" fontId="37" fillId="13" borderId="37" xfId="4" applyNumberFormat="1" applyFont="1" applyFill="1" applyBorder="1" applyAlignment="1">
      <alignment horizontal="center" vertical="center"/>
    </xf>
    <xf numFmtId="0" fontId="31" fillId="25" borderId="34" xfId="4" applyFont="1" applyFill="1" applyBorder="1" applyAlignment="1">
      <alignment horizontal="center" vertical="center"/>
    </xf>
    <xf numFmtId="0" fontId="31" fillId="25" borderId="37" xfId="4" applyFont="1" applyFill="1" applyBorder="1" applyAlignment="1">
      <alignment horizontal="center" vertical="center"/>
    </xf>
    <xf numFmtId="0" fontId="31" fillId="25" borderId="35" xfId="4" applyFont="1" applyFill="1" applyBorder="1" applyAlignment="1">
      <alignment horizontal="center" vertical="center"/>
    </xf>
    <xf numFmtId="0" fontId="31" fillId="25" borderId="38" xfId="4" applyFont="1" applyFill="1" applyBorder="1" applyAlignment="1">
      <alignment horizontal="center" vertical="center"/>
    </xf>
    <xf numFmtId="0" fontId="40" fillId="0" borderId="0" xfId="4" applyFont="1" applyAlignment="1">
      <alignment horizontal="center" vertical="center"/>
    </xf>
    <xf numFmtId="0" fontId="36" fillId="0" borderId="0" xfId="4" applyFont="1" applyAlignment="1">
      <alignment horizontal="center" vertical="center"/>
    </xf>
    <xf numFmtId="17" fontId="31" fillId="13" borderId="33" xfId="4" quotePrefix="1" applyNumberFormat="1" applyFont="1" applyFill="1" applyBorder="1" applyAlignment="1">
      <alignment horizontal="center" vertical="center"/>
    </xf>
    <xf numFmtId="17" fontId="31" fillId="13" borderId="36" xfId="4" quotePrefix="1" applyNumberFormat="1" applyFont="1" applyFill="1" applyBorder="1" applyAlignment="1">
      <alignment horizontal="center" vertical="center"/>
    </xf>
    <xf numFmtId="49" fontId="31" fillId="13" borderId="34" xfId="4" applyNumberFormat="1" applyFont="1" applyFill="1" applyBorder="1" applyAlignment="1">
      <alignment horizontal="center" vertical="center"/>
    </xf>
    <xf numFmtId="49" fontId="31" fillId="13" borderId="37" xfId="4" applyNumberFormat="1" applyFont="1" applyFill="1" applyBorder="1" applyAlignment="1">
      <alignment horizontal="center" vertical="center"/>
    </xf>
    <xf numFmtId="0" fontId="31" fillId="25" borderId="33" xfId="4" applyFont="1" applyFill="1" applyBorder="1" applyAlignment="1">
      <alignment horizontal="center" vertical="center"/>
    </xf>
    <xf numFmtId="0" fontId="31" fillId="25" borderId="36" xfId="4" applyFont="1" applyFill="1" applyBorder="1" applyAlignment="1">
      <alignment horizontal="center" vertical="center"/>
    </xf>
    <xf numFmtId="164" fontId="37" fillId="25" borderId="34" xfId="4" applyNumberFormat="1" applyFont="1" applyFill="1" applyBorder="1" applyAlignment="1">
      <alignment horizontal="center" vertical="center"/>
    </xf>
    <xf numFmtId="164" fontId="37" fillId="25" borderId="37" xfId="4" applyNumberFormat="1" applyFont="1" applyFill="1" applyBorder="1" applyAlignment="1">
      <alignment horizontal="center" vertical="center"/>
    </xf>
    <xf numFmtId="17" fontId="31" fillId="25" borderId="33" xfId="4" applyNumberFormat="1" applyFont="1" applyFill="1" applyBorder="1" applyAlignment="1">
      <alignment horizontal="center" vertical="center"/>
    </xf>
    <xf numFmtId="17" fontId="31" fillId="25" borderId="36" xfId="4" quotePrefix="1" applyNumberFormat="1" applyFont="1" applyFill="1" applyBorder="1" applyAlignment="1">
      <alignment horizontal="center" vertical="center"/>
    </xf>
    <xf numFmtId="49" fontId="31" fillId="25" borderId="34" xfId="4" applyNumberFormat="1" applyFont="1" applyFill="1" applyBorder="1" applyAlignment="1">
      <alignment horizontal="center" vertical="center"/>
    </xf>
    <xf numFmtId="49" fontId="31" fillId="25" borderId="37" xfId="4" applyNumberFormat="1" applyFont="1" applyFill="1" applyBorder="1" applyAlignment="1">
      <alignment horizontal="center" vertical="center"/>
    </xf>
    <xf numFmtId="0" fontId="31" fillId="19" borderId="34" xfId="4" applyFont="1" applyFill="1" applyBorder="1" applyAlignment="1">
      <alignment horizontal="center" vertical="center"/>
    </xf>
    <xf numFmtId="0" fontId="31" fillId="19" borderId="37" xfId="4" applyFont="1" applyFill="1" applyBorder="1" applyAlignment="1">
      <alignment horizontal="center" vertical="center"/>
    </xf>
    <xf numFmtId="0" fontId="31" fillId="19" borderId="33" xfId="4" applyFont="1" applyFill="1" applyBorder="1" applyAlignment="1">
      <alignment horizontal="center" vertical="center"/>
    </xf>
    <xf numFmtId="0" fontId="31" fillId="19" borderId="36" xfId="4" applyFont="1" applyFill="1" applyBorder="1" applyAlignment="1">
      <alignment horizontal="center" vertical="center"/>
    </xf>
    <xf numFmtId="164" fontId="37" fillId="19" borderId="34" xfId="4" applyNumberFormat="1" applyFont="1" applyFill="1" applyBorder="1" applyAlignment="1">
      <alignment horizontal="center" vertical="center"/>
    </xf>
    <xf numFmtId="164" fontId="37" fillId="19" borderId="37" xfId="4" applyNumberFormat="1" applyFont="1" applyFill="1" applyBorder="1" applyAlignment="1">
      <alignment horizontal="center" vertical="center"/>
    </xf>
    <xf numFmtId="0" fontId="31" fillId="24" borderId="34" xfId="4" applyFont="1" applyFill="1" applyBorder="1" applyAlignment="1">
      <alignment horizontal="center" vertical="center"/>
    </xf>
    <xf numFmtId="0" fontId="31" fillId="24" borderId="37" xfId="4" applyFont="1" applyFill="1" applyBorder="1" applyAlignment="1">
      <alignment horizontal="center" vertical="center"/>
    </xf>
    <xf numFmtId="0" fontId="31" fillId="24" borderId="35" xfId="4" applyFont="1" applyFill="1" applyBorder="1" applyAlignment="1">
      <alignment horizontal="center" vertical="center"/>
    </xf>
    <xf numFmtId="0" fontId="31" fillId="24" borderId="38" xfId="4" applyFont="1" applyFill="1" applyBorder="1" applyAlignment="1">
      <alignment horizontal="center" vertical="center"/>
    </xf>
    <xf numFmtId="0" fontId="31" fillId="0" borderId="0" xfId="4" applyFont="1" applyAlignment="1">
      <alignment horizontal="center" vertical="center"/>
    </xf>
    <xf numFmtId="0" fontId="31" fillId="19" borderId="35" xfId="4" applyFont="1" applyFill="1" applyBorder="1" applyAlignment="1">
      <alignment horizontal="center" vertical="center"/>
    </xf>
    <xf numFmtId="0" fontId="31" fillId="19" borderId="38" xfId="4" applyFont="1" applyFill="1" applyBorder="1" applyAlignment="1">
      <alignment horizontal="center" vertical="center"/>
    </xf>
    <xf numFmtId="17" fontId="31" fillId="19" borderId="33" xfId="4" applyNumberFormat="1" applyFont="1" applyFill="1" applyBorder="1" applyAlignment="1">
      <alignment horizontal="center" vertical="center"/>
    </xf>
    <xf numFmtId="17" fontId="31" fillId="19" borderId="36" xfId="4" quotePrefix="1" applyNumberFormat="1" applyFont="1" applyFill="1" applyBorder="1" applyAlignment="1">
      <alignment horizontal="center" vertical="center"/>
    </xf>
    <xf numFmtId="49" fontId="31" fillId="19" borderId="34" xfId="4" applyNumberFormat="1" applyFont="1" applyFill="1" applyBorder="1" applyAlignment="1">
      <alignment horizontal="center" vertical="center"/>
    </xf>
    <xf numFmtId="49" fontId="31" fillId="19" borderId="37" xfId="4" applyNumberFormat="1" applyFont="1" applyFill="1" applyBorder="1" applyAlignment="1">
      <alignment horizontal="center" vertical="center"/>
    </xf>
    <xf numFmtId="0" fontId="31" fillId="24" borderId="33" xfId="4" applyFont="1" applyFill="1" applyBorder="1" applyAlignment="1">
      <alignment horizontal="center" vertical="center"/>
    </xf>
    <xf numFmtId="0" fontId="31" fillId="24" borderId="36" xfId="4" applyFont="1" applyFill="1" applyBorder="1" applyAlignment="1">
      <alignment horizontal="center" vertical="center"/>
    </xf>
    <xf numFmtId="164" fontId="37" fillId="24" borderId="34" xfId="4" applyNumberFormat="1" applyFont="1" applyFill="1" applyBorder="1" applyAlignment="1">
      <alignment horizontal="center" vertical="center"/>
    </xf>
    <xf numFmtId="164" fontId="37" fillId="24" borderId="37" xfId="4" applyNumberFormat="1" applyFont="1" applyFill="1" applyBorder="1" applyAlignment="1">
      <alignment horizontal="center" vertical="center"/>
    </xf>
    <xf numFmtId="17" fontId="31" fillId="24" borderId="33" xfId="4" applyNumberFormat="1" applyFont="1" applyFill="1" applyBorder="1" applyAlignment="1">
      <alignment horizontal="center" vertical="center"/>
    </xf>
    <xf numFmtId="17" fontId="31" fillId="24" borderId="36" xfId="4" quotePrefix="1" applyNumberFormat="1" applyFont="1" applyFill="1" applyBorder="1" applyAlignment="1">
      <alignment horizontal="center" vertical="center"/>
    </xf>
    <xf numFmtId="49" fontId="31" fillId="24" borderId="34" xfId="4" applyNumberFormat="1" applyFont="1" applyFill="1" applyBorder="1" applyAlignment="1">
      <alignment horizontal="center" vertical="center"/>
    </xf>
    <xf numFmtId="49" fontId="31" fillId="24" borderId="37" xfId="4" applyNumberFormat="1" applyFont="1" applyFill="1" applyBorder="1" applyAlignment="1">
      <alignment horizontal="center" vertical="center"/>
    </xf>
    <xf numFmtId="0" fontId="31" fillId="12" borderId="34" xfId="4" applyFont="1" applyFill="1" applyBorder="1" applyAlignment="1">
      <alignment horizontal="center" vertical="center"/>
    </xf>
    <xf numFmtId="0" fontId="31" fillId="12" borderId="37" xfId="4" applyFont="1" applyFill="1" applyBorder="1" applyAlignment="1">
      <alignment horizontal="center" vertical="center"/>
    </xf>
    <xf numFmtId="0" fontId="31" fillId="12" borderId="33" xfId="4" applyFont="1" applyFill="1" applyBorder="1" applyAlignment="1">
      <alignment horizontal="center" vertical="center"/>
    </xf>
    <xf numFmtId="0" fontId="31" fillId="12" borderId="36" xfId="4" applyFont="1" applyFill="1" applyBorder="1" applyAlignment="1">
      <alignment horizontal="center" vertical="center"/>
    </xf>
    <xf numFmtId="17" fontId="31" fillId="12" borderId="33" xfId="4" applyNumberFormat="1" applyFont="1" applyFill="1" applyBorder="1" applyAlignment="1">
      <alignment horizontal="center" vertical="center"/>
    </xf>
    <xf numFmtId="17" fontId="31" fillId="12" borderId="36" xfId="4" quotePrefix="1" applyNumberFormat="1" applyFont="1" applyFill="1" applyBorder="1" applyAlignment="1">
      <alignment horizontal="center" vertical="center"/>
    </xf>
    <xf numFmtId="49" fontId="31" fillId="12" borderId="34" xfId="4" applyNumberFormat="1" applyFont="1" applyFill="1" applyBorder="1" applyAlignment="1">
      <alignment horizontal="center" vertical="center"/>
    </xf>
    <xf numFmtId="49" fontId="31" fillId="12" borderId="37" xfId="4" applyNumberFormat="1" applyFont="1" applyFill="1" applyBorder="1" applyAlignment="1">
      <alignment horizontal="center" vertical="center"/>
    </xf>
    <xf numFmtId="164" fontId="37" fillId="12" borderId="34" xfId="4" applyNumberFormat="1" applyFont="1" applyFill="1" applyBorder="1" applyAlignment="1">
      <alignment horizontal="center" vertical="center"/>
    </xf>
    <xf numFmtId="164" fontId="37" fillId="12" borderId="37" xfId="4" applyNumberFormat="1" applyFont="1" applyFill="1" applyBorder="1" applyAlignment="1">
      <alignment horizontal="center" vertical="center"/>
    </xf>
    <xf numFmtId="0" fontId="31" fillId="12" borderId="35" xfId="4" applyFont="1" applyFill="1" applyBorder="1" applyAlignment="1">
      <alignment horizontal="center" vertical="center"/>
    </xf>
    <xf numFmtId="0" fontId="31" fillId="12" borderId="38" xfId="4" applyFont="1" applyFill="1" applyBorder="1" applyAlignment="1">
      <alignment horizontal="center" vertical="center"/>
    </xf>
    <xf numFmtId="0" fontId="31" fillId="18" borderId="34" xfId="4" applyFont="1" applyFill="1" applyBorder="1" applyAlignment="1">
      <alignment horizontal="center" vertical="center"/>
    </xf>
    <xf numFmtId="0" fontId="31" fillId="18" borderId="37" xfId="4" applyFont="1" applyFill="1" applyBorder="1" applyAlignment="1">
      <alignment horizontal="center" vertical="center"/>
    </xf>
    <xf numFmtId="0" fontId="31" fillId="18" borderId="35" xfId="4" applyFont="1" applyFill="1" applyBorder="1" applyAlignment="1">
      <alignment horizontal="center" vertical="center"/>
    </xf>
    <xf numFmtId="0" fontId="31" fillId="18" borderId="38" xfId="4" applyFont="1" applyFill="1" applyBorder="1" applyAlignment="1">
      <alignment horizontal="center" vertical="center"/>
    </xf>
    <xf numFmtId="17" fontId="31" fillId="18" borderId="33" xfId="4" applyNumberFormat="1" applyFont="1" applyFill="1" applyBorder="1" applyAlignment="1">
      <alignment horizontal="center" vertical="center"/>
    </xf>
    <xf numFmtId="17" fontId="31" fillId="18" borderId="36" xfId="4" quotePrefix="1" applyNumberFormat="1" applyFont="1" applyFill="1" applyBorder="1" applyAlignment="1">
      <alignment horizontal="center" vertical="center"/>
    </xf>
    <xf numFmtId="49" fontId="31" fillId="18" borderId="34" xfId="4" applyNumberFormat="1" applyFont="1" applyFill="1" applyBorder="1" applyAlignment="1">
      <alignment horizontal="center" vertical="center"/>
    </xf>
    <xf numFmtId="49" fontId="31" fillId="18" borderId="37" xfId="4" applyNumberFormat="1" applyFont="1" applyFill="1" applyBorder="1" applyAlignment="1">
      <alignment horizontal="center" vertical="center"/>
    </xf>
    <xf numFmtId="0" fontId="31" fillId="18" borderId="33" xfId="4" applyFont="1" applyFill="1" applyBorder="1" applyAlignment="1">
      <alignment horizontal="center" vertical="center"/>
    </xf>
    <xf numFmtId="0" fontId="31" fillId="18" borderId="36" xfId="4" applyFont="1" applyFill="1" applyBorder="1" applyAlignment="1">
      <alignment horizontal="center" vertical="center"/>
    </xf>
    <xf numFmtId="164" fontId="37" fillId="18" borderId="34" xfId="4" applyNumberFormat="1" applyFont="1" applyFill="1" applyBorder="1" applyAlignment="1">
      <alignment horizontal="center" vertical="center"/>
    </xf>
    <xf numFmtId="164" fontId="37" fillId="18" borderId="37" xfId="4" applyNumberFormat="1" applyFont="1" applyFill="1" applyBorder="1" applyAlignment="1">
      <alignment horizontal="center" vertical="center"/>
    </xf>
    <xf numFmtId="0" fontId="34" fillId="0" borderId="0" xfId="4" applyFont="1" applyAlignment="1">
      <alignment horizontal="center" vertical="center"/>
    </xf>
    <xf numFmtId="0" fontId="35" fillId="0" borderId="0" xfId="4" applyFont="1" applyAlignment="1">
      <alignment horizontal="center" vertical="center"/>
    </xf>
    <xf numFmtId="0" fontId="15" fillId="12" borderId="36" xfId="5" applyFill="1" applyBorder="1" applyAlignment="1">
      <alignment horizontal="center" vertical="center"/>
    </xf>
    <xf numFmtId="0" fontId="15" fillId="12" borderId="37" xfId="5" applyFill="1" applyBorder="1" applyAlignment="1">
      <alignment horizontal="center" vertical="center"/>
    </xf>
    <xf numFmtId="0" fontId="15" fillId="12" borderId="38" xfId="5" applyFill="1" applyBorder="1" applyAlignment="1">
      <alignment horizontal="center" vertical="center"/>
    </xf>
    <xf numFmtId="0" fontId="62" fillId="0" borderId="80" xfId="5" applyFont="1" applyBorder="1" applyAlignment="1">
      <alignment horizontal="left" vertical="center"/>
    </xf>
    <xf numFmtId="0" fontId="62" fillId="0" borderId="63" xfId="5" applyFont="1" applyBorder="1" applyAlignment="1">
      <alignment horizontal="left" vertical="center"/>
    </xf>
    <xf numFmtId="0" fontId="62" fillId="0" borderId="78" xfId="5" applyFont="1" applyBorder="1" applyAlignment="1">
      <alignment horizontal="left" vertical="center"/>
    </xf>
    <xf numFmtId="0" fontId="17" fillId="12" borderId="62" xfId="5" applyFont="1" applyFill="1" applyBorder="1" applyAlignment="1">
      <alignment horizontal="center" vertical="center"/>
    </xf>
    <xf numFmtId="0" fontId="17" fillId="12" borderId="63" xfId="5" applyFont="1" applyFill="1" applyBorder="1" applyAlignment="1">
      <alignment horizontal="center" vertical="center"/>
    </xf>
    <xf numFmtId="0" fontId="17" fillId="12" borderId="78" xfId="5" applyFont="1" applyFill="1" applyBorder="1" applyAlignment="1">
      <alignment horizontal="center" vertical="center"/>
    </xf>
    <xf numFmtId="0" fontId="15" fillId="12" borderId="5" xfId="5" applyFill="1" applyBorder="1" applyAlignment="1">
      <alignment horizontal="center" vertical="center"/>
    </xf>
    <xf numFmtId="0" fontId="15" fillId="12" borderId="65" xfId="5" applyFill="1" applyBorder="1" applyAlignment="1">
      <alignment horizontal="center" vertical="center"/>
    </xf>
    <xf numFmtId="0" fontId="60" fillId="0" borderId="77" xfId="5" applyFont="1" applyBorder="1" applyAlignment="1">
      <alignment vertical="top"/>
    </xf>
    <xf numFmtId="0" fontId="60" fillId="0" borderId="10" xfId="5" applyFont="1" applyBorder="1" applyAlignment="1">
      <alignment vertical="top"/>
    </xf>
    <xf numFmtId="0" fontId="60" fillId="0" borderId="11" xfId="5" applyFont="1" applyBorder="1" applyAlignment="1">
      <alignment vertical="top"/>
    </xf>
    <xf numFmtId="0" fontId="15" fillId="12" borderId="62" xfId="5" applyFill="1" applyBorder="1" applyAlignment="1">
      <alignment horizontal="center" vertical="center"/>
    </xf>
    <xf numFmtId="0" fontId="15" fillId="12" borderId="63" xfId="5" applyFill="1" applyBorder="1" applyAlignment="1">
      <alignment horizontal="center" vertical="center"/>
    </xf>
    <xf numFmtId="0" fontId="15" fillId="12" borderId="78" xfId="5" applyFill="1" applyBorder="1" applyAlignment="1">
      <alignment horizontal="center" vertical="center"/>
    </xf>
    <xf numFmtId="0" fontId="39" fillId="12" borderId="62" xfId="5" applyFont="1" applyFill="1" applyBorder="1" applyAlignment="1">
      <alignment horizontal="center" vertical="center"/>
    </xf>
    <xf numFmtId="0" fontId="39" fillId="12" borderId="63" xfId="5" applyFont="1" applyFill="1" applyBorder="1" applyAlignment="1">
      <alignment horizontal="center" vertical="center"/>
    </xf>
    <xf numFmtId="0" fontId="39" fillId="12" borderId="28" xfId="5" applyFont="1" applyFill="1" applyBorder="1" applyAlignment="1">
      <alignment horizontal="center" vertical="center"/>
    </xf>
    <xf numFmtId="0" fontId="15" fillId="12" borderId="28" xfId="5" applyFill="1" applyBorder="1" applyAlignment="1">
      <alignment horizontal="center" vertical="center"/>
    </xf>
    <xf numFmtId="0" fontId="51" fillId="0" borderId="67" xfId="5" applyFont="1" applyBorder="1" applyAlignment="1">
      <alignment horizontal="center" vertical="center" shrinkToFit="1"/>
    </xf>
    <xf numFmtId="0" fontId="51" fillId="0" borderId="11" xfId="5" applyFont="1" applyBorder="1" applyAlignment="1">
      <alignment horizontal="center" vertical="center" shrinkToFit="1"/>
    </xf>
    <xf numFmtId="0" fontId="30" fillId="12" borderId="1" xfId="5" applyFont="1" applyFill="1" applyBorder="1" applyAlignment="1">
      <alignment horizontal="center" vertical="center" textRotation="90"/>
    </xf>
    <xf numFmtId="0" fontId="30" fillId="12" borderId="64" xfId="5" applyFont="1" applyFill="1" applyBorder="1" applyAlignment="1">
      <alignment horizontal="center" vertical="center" textRotation="90"/>
    </xf>
    <xf numFmtId="0" fontId="30" fillId="12" borderId="29" xfId="5" applyFont="1" applyFill="1" applyBorder="1" applyAlignment="1">
      <alignment horizontal="center" vertical="center" textRotation="90"/>
    </xf>
    <xf numFmtId="0" fontId="56" fillId="0" borderId="61" xfId="5" applyFont="1" applyBorder="1" applyAlignment="1">
      <alignment horizontal="center" vertical="center" shrinkToFit="1"/>
    </xf>
    <xf numFmtId="0" fontId="56" fillId="0" borderId="0" xfId="5" applyFont="1" applyAlignment="1">
      <alignment horizontal="center" vertical="center" shrinkToFit="1"/>
    </xf>
    <xf numFmtId="0" fontId="56" fillId="0" borderId="22" xfId="5" applyFont="1" applyBorder="1" applyAlignment="1">
      <alignment horizontal="center" vertical="center" shrinkToFit="1"/>
    </xf>
    <xf numFmtId="0" fontId="59" fillId="0" borderId="33" xfId="5" applyFont="1" applyBorder="1" applyAlignment="1">
      <alignment horizontal="center" vertical="center"/>
    </xf>
    <xf numFmtId="0" fontId="59" fillId="0" borderId="34" xfId="5" applyFont="1" applyBorder="1" applyAlignment="1">
      <alignment horizontal="center" vertical="center"/>
    </xf>
    <xf numFmtId="0" fontId="59" fillId="0" borderId="35" xfId="5" applyFont="1" applyBorder="1" applyAlignment="1">
      <alignment horizontal="center" vertical="center"/>
    </xf>
    <xf numFmtId="0" fontId="59" fillId="0" borderId="36" xfId="5" applyFont="1" applyBorder="1" applyAlignment="1">
      <alignment horizontal="center" vertical="center"/>
    </xf>
    <xf numFmtId="0" fontId="59" fillId="0" borderId="37" xfId="5" applyFont="1" applyBorder="1" applyAlignment="1">
      <alignment horizontal="center" vertical="center"/>
    </xf>
    <xf numFmtId="0" fontId="59" fillId="0" borderId="38" xfId="5" applyFont="1" applyBorder="1" applyAlignment="1">
      <alignment horizontal="center" vertical="center"/>
    </xf>
    <xf numFmtId="0" fontId="51" fillId="0" borderId="10" xfId="5" applyFont="1" applyBorder="1" applyAlignment="1">
      <alignment horizontal="center" vertical="center" shrinkToFit="1"/>
    </xf>
    <xf numFmtId="166" fontId="51" fillId="0" borderId="5" xfId="5" applyNumberFormat="1" applyFont="1" applyBorder="1" applyAlignment="1">
      <alignment horizontal="center" vertical="center" shrinkToFit="1"/>
    </xf>
    <xf numFmtId="166" fontId="51" fillId="0" borderId="66" xfId="5" applyNumberFormat="1" applyFont="1" applyBorder="1" applyAlignment="1">
      <alignment horizontal="center" vertical="center" shrinkToFit="1"/>
    </xf>
    <xf numFmtId="20" fontId="51" fillId="0" borderId="67" xfId="5" applyNumberFormat="1" applyFont="1" applyBorder="1" applyAlignment="1">
      <alignment horizontal="center" vertical="center" shrinkToFit="1"/>
    </xf>
    <xf numFmtId="0" fontId="51" fillId="0" borderId="66" xfId="5" applyFont="1" applyBorder="1" applyAlignment="1">
      <alignment horizontal="center" vertical="center" shrinkToFit="1"/>
    </xf>
    <xf numFmtId="0" fontId="35" fillId="0" borderId="10" xfId="5" applyFont="1" applyBorder="1" applyAlignment="1">
      <alignment horizontal="center" vertical="center" shrinkToFit="1"/>
    </xf>
    <xf numFmtId="0" fontId="35" fillId="0" borderId="11" xfId="5" applyFont="1" applyBorder="1" applyAlignment="1">
      <alignment horizontal="center" vertical="center" shrinkToFit="1"/>
    </xf>
    <xf numFmtId="0" fontId="49" fillId="12" borderId="5" xfId="5" applyFont="1" applyFill="1" applyBorder="1" applyAlignment="1">
      <alignment horizontal="center" vertical="center" shrinkToFit="1"/>
    </xf>
    <xf numFmtId="0" fontId="49" fillId="12" borderId="10" xfId="5" applyFont="1" applyFill="1" applyBorder="1" applyAlignment="1">
      <alignment horizontal="center" vertical="center" shrinkToFit="1"/>
    </xf>
    <xf numFmtId="0" fontId="49" fillId="12" borderId="11" xfId="5" applyFont="1" applyFill="1" applyBorder="1" applyAlignment="1">
      <alignment horizontal="center" vertical="center" shrinkToFit="1"/>
    </xf>
    <xf numFmtId="0" fontId="1" fillId="0" borderId="0" xfId="6" applyAlignment="1">
      <alignment horizontal="center"/>
    </xf>
    <xf numFmtId="0" fontId="63" fillId="26" borderId="81" xfId="6" applyFont="1" applyFill="1" applyBorder="1" applyAlignment="1">
      <alignment horizontal="center"/>
    </xf>
    <xf numFmtId="0" fontId="64" fillId="0" borderId="82" xfId="6" applyFont="1" applyBorder="1"/>
    <xf numFmtId="0" fontId="64" fillId="0" borderId="83" xfId="6" applyFont="1" applyBorder="1"/>
    <xf numFmtId="0" fontId="63" fillId="26" borderId="84" xfId="6" applyFont="1" applyFill="1" applyBorder="1" applyAlignment="1">
      <alignment horizontal="center"/>
    </xf>
    <xf numFmtId="0" fontId="63" fillId="26" borderId="85" xfId="6" applyFont="1" applyFill="1" applyBorder="1" applyAlignment="1">
      <alignment horizontal="center"/>
    </xf>
    <xf numFmtId="0" fontId="63" fillId="26" borderId="86" xfId="6" applyFont="1" applyFill="1" applyBorder="1" applyAlignment="1">
      <alignment horizontal="center"/>
    </xf>
  </cellXfs>
  <cellStyles count="7">
    <cellStyle name="Normal" xfId="0" builtinId="0"/>
    <cellStyle name="Normal 2" xfId="6" xr:uid="{F651988E-EB73-4B18-A242-346CB713E3E4}"/>
    <cellStyle name="Normal 2 2" xfId="5" xr:uid="{2A93A548-E225-4440-B9A0-915C31CF1D7B}"/>
    <cellStyle name="Normal 4" xfId="2" xr:uid="{348707C3-432A-450C-B996-7F88D87A4C58}"/>
    <cellStyle name="Normal 7" xfId="1" xr:uid="{723CF031-5CDC-4157-ADD5-A34154896FEA}"/>
    <cellStyle name="Normal_LINZ" xfId="3" xr:uid="{336B547A-3A77-458B-B054-78B95A113756}"/>
    <cellStyle name="Normal_SYOC 2006" xfId="4" xr:uid="{D7867EA3-DB5B-49B8-87A9-0205DF4E58ED}"/>
  </cellStyles>
  <dxfs count="10">
    <dxf>
      <font>
        <condense val="0"/>
        <extend val="0"/>
        <color indexed="10"/>
      </font>
      <fill>
        <patternFill>
          <bgColor indexed="34"/>
        </patternFill>
      </fill>
    </dxf>
    <dxf>
      <font>
        <condense val="0"/>
        <extend val="0"/>
        <color indexed="13"/>
      </font>
    </dxf>
    <dxf>
      <font>
        <condense val="0"/>
        <extend val="0"/>
        <color indexed="9"/>
      </font>
    </dxf>
    <dxf>
      <font>
        <condense val="0"/>
        <extend val="0"/>
        <color indexed="43"/>
      </font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  <dxf>
      <fill>
        <patternFill>
          <bgColor theme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externalLink" Target="externalLinks/externalLink7.xml"/><Relationship Id="rId26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externalLink" Target="externalLinks/externalLink6.xml"/><Relationship Id="rId25" Type="http://schemas.microsoft.com/office/2017/06/relationships/rdRichValue" Target="richData/rdrichvalue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22/10/relationships/richValueRel" Target="richData/richValueRel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23" Type="http://schemas.openxmlformats.org/officeDocument/2006/relationships/sheetMetadata" Target="metadata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8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Relationship Id="rId22" Type="http://schemas.openxmlformats.org/officeDocument/2006/relationships/sharedStrings" Target="sharedStrings.xml"/><Relationship Id="rId27" Type="http://schemas.microsoft.com/office/2017/06/relationships/rdRichValueTypes" Target="richData/rdRichValueTyp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55217</xdr:colOff>
      <xdr:row>4</xdr:row>
      <xdr:rowOff>11043</xdr:rowOff>
    </xdr:from>
    <xdr:to>
      <xdr:col>5</xdr:col>
      <xdr:colOff>782430</xdr:colOff>
      <xdr:row>5</xdr:row>
      <xdr:rowOff>297489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4D6E7D1-8980-4292-8F77-04798407C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98217" y="734391"/>
          <a:ext cx="4305300" cy="48522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342347</xdr:colOff>
      <xdr:row>4</xdr:row>
      <xdr:rowOff>33131</xdr:rowOff>
    </xdr:from>
    <xdr:to>
      <xdr:col>6</xdr:col>
      <xdr:colOff>406951</xdr:colOff>
      <xdr:row>5</xdr:row>
      <xdr:rowOff>319577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4337EEE-81A9-41A4-B299-A84E8DD53A0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347" y="756479"/>
          <a:ext cx="4305300" cy="48522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110436</xdr:colOff>
      <xdr:row>4</xdr:row>
      <xdr:rowOff>38652</xdr:rowOff>
    </xdr:from>
    <xdr:to>
      <xdr:col>6</xdr:col>
      <xdr:colOff>379345</xdr:colOff>
      <xdr:row>5</xdr:row>
      <xdr:rowOff>325098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5595DEC-E417-4D89-8F60-1BF7573D95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53436" y="762000"/>
          <a:ext cx="4305300" cy="48522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427404</xdr:colOff>
      <xdr:row>4</xdr:row>
      <xdr:rowOff>170962</xdr:rowOff>
    </xdr:from>
    <xdr:to>
      <xdr:col>6</xdr:col>
      <xdr:colOff>654050</xdr:colOff>
      <xdr:row>6</xdr:row>
      <xdr:rowOff>8979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79253F-697D-4730-8CF4-70DC653F02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98221" y="891443"/>
          <a:ext cx="4305300" cy="48522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565150</xdr:colOff>
      <xdr:row>0</xdr:row>
      <xdr:rowOff>95250</xdr:rowOff>
    </xdr:from>
    <xdr:to>
      <xdr:col>15</xdr:col>
      <xdr:colOff>203200</xdr:colOff>
      <xdr:row>3</xdr:row>
      <xdr:rowOff>142328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AAF0E8D-3858-4078-9A98-5FDF60062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7100" y="95250"/>
          <a:ext cx="4305300" cy="48522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49</xdr:col>
      <xdr:colOff>88900</xdr:colOff>
      <xdr:row>0</xdr:row>
      <xdr:rowOff>69850</xdr:rowOff>
    </xdr:from>
    <xdr:to>
      <xdr:col>56</xdr:col>
      <xdr:colOff>342526</xdr:colOff>
      <xdr:row>0</xdr:row>
      <xdr:rowOff>555078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98CF5FE1-4A59-4EB4-8B68-8D930773A7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18700" y="69850"/>
          <a:ext cx="4305300" cy="48522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215900</xdr:colOff>
      <xdr:row>21</xdr:row>
      <xdr:rowOff>44450</xdr:rowOff>
    </xdr:from>
    <xdr:to>
      <xdr:col>15</xdr:col>
      <xdr:colOff>177800</xdr:colOff>
      <xdr:row>21</xdr:row>
      <xdr:rowOff>529678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6665C76-2927-4330-97BF-758398BB3D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" y="6445250"/>
          <a:ext cx="4305300" cy="485228"/>
        </a:xfrm>
        <a:prstGeom prst="rect">
          <a:avLst/>
        </a:prstGeom>
      </xdr:spPr>
    </xdr:pic>
    <xdr:clientData/>
  </xdr:twoCellAnchor>
  <xdr:twoCellAnchor editAs="oneCell">
    <xdr:from>
      <xdr:col>2</xdr:col>
      <xdr:colOff>215900</xdr:colOff>
      <xdr:row>1</xdr:row>
      <xdr:rowOff>63500</xdr:rowOff>
    </xdr:from>
    <xdr:to>
      <xdr:col>15</xdr:col>
      <xdr:colOff>177800</xdr:colOff>
      <xdr:row>1</xdr:row>
      <xdr:rowOff>548728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01A17D0-AE3D-4218-88DF-0B5A6B350A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5150" y="387350"/>
          <a:ext cx="4305300" cy="485228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31750</xdr:colOff>
      <xdr:row>6</xdr:row>
      <xdr:rowOff>57150</xdr:rowOff>
    </xdr:from>
    <xdr:to>
      <xdr:col>5</xdr:col>
      <xdr:colOff>1365250</xdr:colOff>
      <xdr:row>8</xdr:row>
      <xdr:rowOff>161378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FEFC05-E8C2-49E8-B3E0-44E82A0826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4400" y="1200150"/>
          <a:ext cx="4305300" cy="48522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doc\40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IJ\BURGOS\indiydob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BURGOS\ACTASind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sony\ABSOLUTO\ACTA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G\yo\Cadete%20con%20f&#243;rmula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TTC%202005%20AUT\LINZ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A\COPAREY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Shared%20Folders\Documents%20and%20Settings\Propietario\Mis%20documentos\ittf\WJC%202006-05%20ESP\SYOC%2020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Eq"/>
      <sheetName val="POR"/>
      <sheetName val="HON"/>
      <sheetName val="EM1"/>
      <sheetName val="EM2"/>
      <sheetName val="EM3"/>
      <sheetName val="EF1"/>
      <sheetName val="EF2"/>
      <sheetName val="pr IM"/>
      <sheetName val="pr IF"/>
      <sheetName val="pr DM"/>
      <sheetName val="pr DF"/>
      <sheetName val="pr DX"/>
      <sheetName val="CUIM"/>
      <sheetName val="CUIF"/>
      <sheetName val="CUDM"/>
      <sheetName val="CUDF"/>
      <sheetName val="CUDX"/>
      <sheetName val="AE"/>
      <sheetName val="E"/>
      <sheetName val="EQF"/>
      <sheetName val="AEF"/>
      <sheetName val="EF"/>
      <sheetName val="AI"/>
      <sheetName val="I"/>
      <sheetName val="Af"/>
      <sheetName val="AIf"/>
      <sheetName val="ADm"/>
      <sheetName val="ACDm"/>
      <sheetName val="ADf"/>
      <sheetName val="ACdfem"/>
      <sheetName val="ADx"/>
      <sheetName val="ACDx"/>
      <sheetName val="Dorsal"/>
      <sheetName val="SOR-IM"/>
      <sheetName val="SOR-IF"/>
      <sheetName val="SOR-DM"/>
      <sheetName val="SOR-DF"/>
      <sheetName val="SOR-DX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1">
          <cell r="A1" t="str">
            <v>ACTA</v>
          </cell>
          <cell r="B1" t="str">
            <v>A</v>
          </cell>
          <cell r="C1" t="str">
            <v>B</v>
          </cell>
          <cell r="D1" t="str">
            <v>U</v>
          </cell>
          <cell r="E1" t="str">
            <v>Fase</v>
          </cell>
          <cell r="F1" t="str">
            <v>Día</v>
          </cell>
          <cell r="G1" t="str">
            <v>Hora</v>
          </cell>
          <cell r="H1" t="str">
            <v>Mesa</v>
          </cell>
          <cell r="I1" t="str">
            <v>Nombre A</v>
          </cell>
          <cell r="J1" t="str">
            <v>COM</v>
          </cell>
          <cell r="K1" t="str">
            <v>Nombre B</v>
          </cell>
          <cell r="L1" t="str">
            <v>COM</v>
          </cell>
          <cell r="M1" t="str">
            <v>Categoría</v>
          </cell>
          <cell r="N1" t="str">
            <v>APELLIDOS Arb.</v>
          </cell>
          <cell r="O1" t="str">
            <v>NOMBRE Arb.</v>
          </cell>
          <cell r="P1" t="str">
            <v>Nº Licencia</v>
          </cell>
        </row>
        <row r="2">
          <cell r="A2">
            <v>1</v>
          </cell>
          <cell r="B2">
            <v>2</v>
          </cell>
          <cell r="C2">
            <v>5</v>
          </cell>
          <cell r="E2" t="str">
            <v>1ª Jornada - Grupo 1</v>
          </cell>
          <cell r="F2">
            <v>27</v>
          </cell>
          <cell r="G2">
            <v>0.6875</v>
          </cell>
          <cell r="H2">
            <v>1</v>
          </cell>
          <cell r="I2" t="str">
            <v>A.D. GASTÉIZ</v>
          </cell>
          <cell r="J2" t="str">
            <v>PVS</v>
          </cell>
          <cell r="K2" t="str">
            <v>C.T.M. CÁRTAMA</v>
          </cell>
          <cell r="L2" t="str">
            <v>AND</v>
          </cell>
          <cell r="M2" t="str">
            <v>Equipos Masculinos Juveniles</v>
          </cell>
        </row>
        <row r="3">
          <cell r="A3">
            <v>2</v>
          </cell>
          <cell r="B3">
            <v>3</v>
          </cell>
          <cell r="C3">
            <v>4</v>
          </cell>
          <cell r="E3" t="str">
            <v>1ª Jornada - Grupo 1</v>
          </cell>
          <cell r="F3">
            <v>27</v>
          </cell>
          <cell r="G3">
            <v>0.6875</v>
          </cell>
          <cell r="H3">
            <v>2</v>
          </cell>
          <cell r="I3" t="str">
            <v>AVILÉS T.M.</v>
          </cell>
          <cell r="J3" t="str">
            <v>AST</v>
          </cell>
          <cell r="K3" t="str">
            <v>C.T.M. GETAFE</v>
          </cell>
          <cell r="L3" t="str">
            <v>MAD</v>
          </cell>
          <cell r="M3" t="str">
            <v>Equipos Masculinos Juveniles</v>
          </cell>
        </row>
        <row r="4">
          <cell r="A4">
            <v>3</v>
          </cell>
          <cell r="B4">
            <v>6</v>
          </cell>
          <cell r="C4">
            <v>9</v>
          </cell>
          <cell r="E4" t="str">
            <v>1ª Jornada - Grupo 2</v>
          </cell>
          <cell r="F4">
            <v>27</v>
          </cell>
          <cell r="G4">
            <v>0.6875</v>
          </cell>
          <cell r="H4">
            <v>3</v>
          </cell>
          <cell r="I4" t="str">
            <v>CLUB NARÓN T.M.</v>
          </cell>
          <cell r="J4" t="str">
            <v>GAL</v>
          </cell>
          <cell r="K4" t="str">
            <v>LUBERRI K.E.</v>
          </cell>
          <cell r="L4" t="str">
            <v>PVS</v>
          </cell>
          <cell r="M4" t="str">
            <v>Equipos Masculinos Juveniles</v>
          </cell>
        </row>
        <row r="5">
          <cell r="A5">
            <v>4</v>
          </cell>
          <cell r="B5">
            <v>7</v>
          </cell>
          <cell r="C5">
            <v>8</v>
          </cell>
          <cell r="E5" t="str">
            <v>1ª Jornada - Grupo 2</v>
          </cell>
          <cell r="F5">
            <v>27</v>
          </cell>
          <cell r="G5">
            <v>0.6875</v>
          </cell>
          <cell r="H5">
            <v>4</v>
          </cell>
          <cell r="I5" t="str">
            <v>C.T.M. MORATALAZ</v>
          </cell>
          <cell r="J5" t="str">
            <v>MAD</v>
          </cell>
          <cell r="K5" t="str">
            <v>A.D. HISPANIDAD</v>
          </cell>
          <cell r="L5" t="str">
            <v>AND</v>
          </cell>
          <cell r="M5" t="str">
            <v>Equipos Masculinos Juveniles</v>
          </cell>
        </row>
        <row r="6">
          <cell r="A6">
            <v>5</v>
          </cell>
          <cell r="B6">
            <v>10</v>
          </cell>
          <cell r="C6">
            <v>13</v>
          </cell>
          <cell r="E6" t="str">
            <v>1ª Jornada - Grupo 3</v>
          </cell>
          <cell r="F6">
            <v>27</v>
          </cell>
          <cell r="G6">
            <v>0.6875</v>
          </cell>
          <cell r="H6">
            <v>5</v>
          </cell>
          <cell r="I6" t="str">
            <v>C.D. ETXADI K.E.</v>
          </cell>
          <cell r="J6" t="str">
            <v>PVS</v>
          </cell>
          <cell r="K6" t="str">
            <v>CAN BERARDO RIPOLLET (SDM)</v>
          </cell>
          <cell r="L6" t="str">
            <v>CAT</v>
          </cell>
          <cell r="M6" t="str">
            <v>Equipos Masculinos Juveniles</v>
          </cell>
        </row>
        <row r="7">
          <cell r="A7">
            <v>6</v>
          </cell>
          <cell r="B7">
            <v>11</v>
          </cell>
          <cell r="C7">
            <v>12</v>
          </cell>
          <cell r="E7" t="str">
            <v>1ª Jornada - Grupo 3</v>
          </cell>
          <cell r="F7">
            <v>27</v>
          </cell>
          <cell r="G7">
            <v>0.6875</v>
          </cell>
          <cell r="H7">
            <v>6</v>
          </cell>
          <cell r="I7" t="str">
            <v>T.M. PUERTOLLANO</v>
          </cell>
          <cell r="J7" t="str">
            <v>CLM</v>
          </cell>
          <cell r="K7" t="str">
            <v>ESCOLA T.M. NARON</v>
          </cell>
          <cell r="L7" t="str">
            <v>GAL</v>
          </cell>
          <cell r="M7" t="str">
            <v>Equipos Masculinos Juveniles</v>
          </cell>
        </row>
        <row r="8">
          <cell r="A8">
            <v>7</v>
          </cell>
          <cell r="B8">
            <v>14</v>
          </cell>
          <cell r="C8">
            <v>17</v>
          </cell>
          <cell r="E8" t="str">
            <v>1ª Jornada - Grupo 4</v>
          </cell>
          <cell r="F8">
            <v>27</v>
          </cell>
          <cell r="G8">
            <v>0.6875</v>
          </cell>
          <cell r="H8">
            <v>7</v>
          </cell>
          <cell r="I8" t="str">
            <v>ECISA ALICANTE T.M.</v>
          </cell>
          <cell r="J8" t="str">
            <v>CVA</v>
          </cell>
          <cell r="K8" t="str">
            <v>E.T.M. TORRELAVEGA</v>
          </cell>
          <cell r="L8" t="str">
            <v>CTB</v>
          </cell>
          <cell r="M8" t="str">
            <v>Equipos Masculinos Juveniles</v>
          </cell>
        </row>
        <row r="9">
          <cell r="A9">
            <v>8</v>
          </cell>
          <cell r="B9">
            <v>15</v>
          </cell>
          <cell r="C9">
            <v>16</v>
          </cell>
          <cell r="E9" t="str">
            <v>1ª Jornada - Grupo 4</v>
          </cell>
          <cell r="F9">
            <v>27</v>
          </cell>
          <cell r="G9">
            <v>0.6875</v>
          </cell>
          <cell r="H9">
            <v>8</v>
          </cell>
          <cell r="I9" t="str">
            <v>DEFENSE T.M.</v>
          </cell>
          <cell r="J9" t="str">
            <v>CNR</v>
          </cell>
          <cell r="K9" t="str">
            <v>E.M. PALOS DE LA FRA.</v>
          </cell>
          <cell r="L9" t="str">
            <v>AND</v>
          </cell>
          <cell r="M9" t="str">
            <v>Equipos Masculinos Juveniles</v>
          </cell>
        </row>
        <row r="10">
          <cell r="A10">
            <v>9</v>
          </cell>
          <cell r="B10">
            <v>18</v>
          </cell>
          <cell r="C10">
            <v>21</v>
          </cell>
          <cell r="E10" t="str">
            <v>1ª Jornada - Grupo 5</v>
          </cell>
          <cell r="F10">
            <v>27</v>
          </cell>
          <cell r="G10">
            <v>0.6875</v>
          </cell>
          <cell r="H10">
            <v>9</v>
          </cell>
          <cell r="I10" t="str">
            <v>LASARTE ORIA K.E.</v>
          </cell>
          <cell r="J10" t="str">
            <v>PVS</v>
          </cell>
          <cell r="K10" t="str">
            <v>C.T.T. TRAMUNTANA</v>
          </cell>
          <cell r="L10" t="str">
            <v>CAT</v>
          </cell>
          <cell r="M10" t="str">
            <v>Equipos Masculinos Juveniles</v>
          </cell>
        </row>
        <row r="11">
          <cell r="A11">
            <v>10</v>
          </cell>
          <cell r="B11">
            <v>19</v>
          </cell>
          <cell r="C11">
            <v>20</v>
          </cell>
          <cell r="E11" t="str">
            <v>1ª Jornada - Grupo 5</v>
          </cell>
          <cell r="F11">
            <v>27</v>
          </cell>
          <cell r="G11">
            <v>0.6875</v>
          </cell>
          <cell r="H11">
            <v>10</v>
          </cell>
          <cell r="I11" t="str">
            <v>CLUB FERROL T.M.</v>
          </cell>
          <cell r="J11" t="str">
            <v>GAL</v>
          </cell>
          <cell r="K11" t="str">
            <v>E.T.M. BURLADA</v>
          </cell>
          <cell r="L11" t="str">
            <v>NAV</v>
          </cell>
          <cell r="M11" t="str">
            <v>Equipos Masculinos Juveniles</v>
          </cell>
        </row>
        <row r="12">
          <cell r="A12">
            <v>11</v>
          </cell>
          <cell r="B12">
            <v>22</v>
          </cell>
          <cell r="C12">
            <v>25</v>
          </cell>
          <cell r="E12" t="str">
            <v>1ª Jornada - Grupo 6</v>
          </cell>
          <cell r="F12">
            <v>27</v>
          </cell>
          <cell r="G12">
            <v>0.6875</v>
          </cell>
          <cell r="H12">
            <v>11</v>
          </cell>
          <cell r="I12" t="str">
            <v>S.S. DE LOS REYES</v>
          </cell>
          <cell r="J12" t="str">
            <v>MAD</v>
          </cell>
          <cell r="K12" t="str">
            <v>A.P.A. SANTA MARIÑA</v>
          </cell>
          <cell r="L12" t="str">
            <v>GAL</v>
          </cell>
          <cell r="M12" t="str">
            <v>Equipos Masculinos Juveniles</v>
          </cell>
        </row>
        <row r="13">
          <cell r="A13">
            <v>12</v>
          </cell>
          <cell r="B13">
            <v>23</v>
          </cell>
          <cell r="C13">
            <v>24</v>
          </cell>
          <cell r="E13" t="str">
            <v>1ª Jornada - Grupo 6</v>
          </cell>
          <cell r="F13">
            <v>27</v>
          </cell>
          <cell r="G13">
            <v>0.6875</v>
          </cell>
          <cell r="H13">
            <v>12</v>
          </cell>
          <cell r="I13" t="str">
            <v>CLUB HUELVA T.M.</v>
          </cell>
          <cell r="J13" t="str">
            <v>AND</v>
          </cell>
          <cell r="K13" t="str">
            <v>CAI SANTIAGO T.M.</v>
          </cell>
          <cell r="L13" t="str">
            <v>ARA</v>
          </cell>
          <cell r="M13" t="str">
            <v>Equipos Masculinos Juveniles</v>
          </cell>
        </row>
        <row r="14">
          <cell r="A14">
            <v>13</v>
          </cell>
          <cell r="B14">
            <v>1</v>
          </cell>
          <cell r="C14">
            <v>5</v>
          </cell>
          <cell r="E14" t="str">
            <v>2ª Jornada - Grupo 1</v>
          </cell>
          <cell r="F14">
            <v>27</v>
          </cell>
          <cell r="G14">
            <v>0.75</v>
          </cell>
          <cell r="H14">
            <v>1</v>
          </cell>
          <cell r="I14" t="str">
            <v>C.T.T. ATENEU 1882</v>
          </cell>
          <cell r="J14" t="str">
            <v>CAT</v>
          </cell>
          <cell r="K14" t="str">
            <v>C.T.M. CÁRTAMA</v>
          </cell>
          <cell r="L14" t="str">
            <v>AND</v>
          </cell>
          <cell r="M14" t="str">
            <v>Equipos Masculinos Juveniles</v>
          </cell>
        </row>
        <row r="15">
          <cell r="A15">
            <v>14</v>
          </cell>
          <cell r="B15">
            <v>2</v>
          </cell>
          <cell r="C15">
            <v>3</v>
          </cell>
          <cell r="E15" t="str">
            <v>2ª Jornada - Grupo 1</v>
          </cell>
          <cell r="F15">
            <v>27</v>
          </cell>
          <cell r="G15">
            <v>0.75</v>
          </cell>
          <cell r="H15">
            <v>2</v>
          </cell>
          <cell r="I15" t="str">
            <v>A.D. GASTÉIZ</v>
          </cell>
          <cell r="J15" t="str">
            <v>PVS</v>
          </cell>
          <cell r="K15" t="str">
            <v>AVILÉS T.M.</v>
          </cell>
          <cell r="L15" t="str">
            <v>AST</v>
          </cell>
          <cell r="M15" t="str">
            <v>Equipos Masculinos Juveniles</v>
          </cell>
        </row>
        <row r="16">
          <cell r="A16">
            <v>15</v>
          </cell>
          <cell r="B16">
            <v>6</v>
          </cell>
          <cell r="C16">
            <v>8</v>
          </cell>
          <cell r="E16" t="str">
            <v>2ª Jornada - Grupo 2</v>
          </cell>
          <cell r="F16">
            <v>27</v>
          </cell>
          <cell r="G16">
            <v>0.75</v>
          </cell>
          <cell r="H16">
            <v>3</v>
          </cell>
          <cell r="I16" t="str">
            <v>CLUB NARÓN T.M.</v>
          </cell>
          <cell r="J16" t="str">
            <v>GAL</v>
          </cell>
          <cell r="K16" t="str">
            <v>A.D. HISPANIDAD</v>
          </cell>
          <cell r="L16" t="str">
            <v>AND</v>
          </cell>
          <cell r="M16" t="str">
            <v>Equipos Masculinos Juveniles</v>
          </cell>
        </row>
        <row r="17">
          <cell r="A17">
            <v>16</v>
          </cell>
          <cell r="B17">
            <v>7</v>
          </cell>
          <cell r="C17">
            <v>9</v>
          </cell>
          <cell r="E17" t="str">
            <v>2ª Jornada - Grupo 2</v>
          </cell>
          <cell r="F17">
            <v>27</v>
          </cell>
          <cell r="G17">
            <v>0.75</v>
          </cell>
          <cell r="H17">
            <v>4</v>
          </cell>
          <cell r="I17" t="str">
            <v>C.T.M. MORATALAZ</v>
          </cell>
          <cell r="J17" t="str">
            <v>MAD</v>
          </cell>
          <cell r="K17" t="str">
            <v>LUBERRI K.E.</v>
          </cell>
          <cell r="L17" t="str">
            <v>PVS</v>
          </cell>
          <cell r="M17" t="str">
            <v>Equipos Masculinos Juveniles</v>
          </cell>
        </row>
        <row r="18">
          <cell r="A18">
            <v>17</v>
          </cell>
          <cell r="B18">
            <v>10</v>
          </cell>
          <cell r="C18">
            <v>12</v>
          </cell>
          <cell r="E18" t="str">
            <v>2ª Jornada - Grupo 3</v>
          </cell>
          <cell r="F18">
            <v>27</v>
          </cell>
          <cell r="G18">
            <v>0.75</v>
          </cell>
          <cell r="H18">
            <v>5</v>
          </cell>
          <cell r="I18" t="str">
            <v>C.D. ETXADI K.E.</v>
          </cell>
          <cell r="J18" t="str">
            <v>PVS</v>
          </cell>
          <cell r="K18" t="str">
            <v>ESCOLA T.M. NARON</v>
          </cell>
          <cell r="L18" t="str">
            <v>GAL</v>
          </cell>
          <cell r="M18" t="str">
            <v>Equipos Masculinos Juveniles</v>
          </cell>
        </row>
        <row r="19">
          <cell r="A19">
            <v>18</v>
          </cell>
          <cell r="B19">
            <v>11</v>
          </cell>
          <cell r="C19">
            <v>13</v>
          </cell>
          <cell r="E19" t="str">
            <v>2ª Jornada - Grupo 3</v>
          </cell>
          <cell r="F19">
            <v>27</v>
          </cell>
          <cell r="G19">
            <v>0.75</v>
          </cell>
          <cell r="H19">
            <v>6</v>
          </cell>
          <cell r="I19" t="str">
            <v>T.M. PUERTOLLANO</v>
          </cell>
          <cell r="J19" t="str">
            <v>CLM</v>
          </cell>
          <cell r="K19" t="str">
            <v>CAN BERARDO RIPOLLET (SDM)</v>
          </cell>
          <cell r="L19" t="str">
            <v>CAT</v>
          </cell>
          <cell r="M19" t="str">
            <v>Equipos Masculinos Juveniles</v>
          </cell>
        </row>
        <row r="20">
          <cell r="A20">
            <v>19</v>
          </cell>
          <cell r="B20">
            <v>14</v>
          </cell>
          <cell r="C20">
            <v>16</v>
          </cell>
          <cell r="E20" t="str">
            <v>2ª Jornada - Grupo 4</v>
          </cell>
          <cell r="F20">
            <v>27</v>
          </cell>
          <cell r="G20">
            <v>0.75</v>
          </cell>
          <cell r="H20">
            <v>7</v>
          </cell>
          <cell r="I20" t="str">
            <v>ECISA ALICANTE T.M.</v>
          </cell>
          <cell r="J20" t="str">
            <v>CVA</v>
          </cell>
          <cell r="K20" t="str">
            <v>E.M. PALOS DE LA FRA.</v>
          </cell>
          <cell r="L20" t="str">
            <v>AND</v>
          </cell>
          <cell r="M20" t="str">
            <v>Equipos Masculinos Juveniles</v>
          </cell>
        </row>
        <row r="21">
          <cell r="A21">
            <v>20</v>
          </cell>
          <cell r="B21">
            <v>15</v>
          </cell>
          <cell r="C21">
            <v>17</v>
          </cell>
          <cell r="E21" t="str">
            <v>2ª Jornada - Grupo 4</v>
          </cell>
          <cell r="F21">
            <v>27</v>
          </cell>
          <cell r="G21">
            <v>0.75</v>
          </cell>
          <cell r="H21">
            <v>8</v>
          </cell>
          <cell r="I21" t="str">
            <v>DEFENSE T.M.</v>
          </cell>
          <cell r="J21" t="str">
            <v>CNR</v>
          </cell>
          <cell r="K21" t="str">
            <v>E.T.M. TORRELAVEGA</v>
          </cell>
          <cell r="L21" t="str">
            <v>CTB</v>
          </cell>
          <cell r="M21" t="str">
            <v>Equipos Masculinos Juveniles</v>
          </cell>
        </row>
        <row r="22">
          <cell r="A22">
            <v>21</v>
          </cell>
          <cell r="B22">
            <v>18</v>
          </cell>
          <cell r="C22">
            <v>20</v>
          </cell>
          <cell r="E22" t="str">
            <v>2ª Jornada - Grupo 5</v>
          </cell>
          <cell r="F22">
            <v>27</v>
          </cell>
          <cell r="G22">
            <v>0.8125</v>
          </cell>
          <cell r="H22">
            <v>3</v>
          </cell>
          <cell r="I22" t="str">
            <v>LASARTE ORIA K.E.</v>
          </cell>
          <cell r="J22" t="str">
            <v>PVS</v>
          </cell>
          <cell r="K22" t="str">
            <v>E.T.M. BURLADA</v>
          </cell>
          <cell r="L22" t="str">
            <v>NAV</v>
          </cell>
          <cell r="M22" t="str">
            <v>Equipos Masculinos Juveniles</v>
          </cell>
        </row>
        <row r="23">
          <cell r="A23">
            <v>22</v>
          </cell>
          <cell r="B23">
            <v>19</v>
          </cell>
          <cell r="C23">
            <v>21</v>
          </cell>
          <cell r="E23" t="str">
            <v>2ª Jornada - Grupo 5</v>
          </cell>
          <cell r="F23">
            <v>27</v>
          </cell>
          <cell r="G23">
            <v>0.8125</v>
          </cell>
          <cell r="H23">
            <v>4</v>
          </cell>
          <cell r="I23" t="str">
            <v>CLUB FERROL T.M.</v>
          </cell>
          <cell r="J23" t="str">
            <v>GAL</v>
          </cell>
          <cell r="K23" t="str">
            <v>C.T.T. TRAMUNTANA</v>
          </cell>
          <cell r="L23" t="str">
            <v>CAT</v>
          </cell>
          <cell r="M23" t="str">
            <v>Equipos Masculinos Juveniles</v>
          </cell>
        </row>
        <row r="24">
          <cell r="A24">
            <v>23</v>
          </cell>
          <cell r="B24">
            <v>22</v>
          </cell>
          <cell r="C24">
            <v>24</v>
          </cell>
          <cell r="E24" t="str">
            <v>2ª Jornada - Grupo 6</v>
          </cell>
          <cell r="F24">
            <v>27</v>
          </cell>
          <cell r="G24">
            <v>0.8125</v>
          </cell>
          <cell r="H24">
            <v>5</v>
          </cell>
          <cell r="I24" t="str">
            <v>S.S. DE LOS REYES</v>
          </cell>
          <cell r="J24" t="str">
            <v>MAD</v>
          </cell>
          <cell r="K24" t="str">
            <v>CAI SANTIAGO T.M.</v>
          </cell>
          <cell r="L24" t="str">
            <v>ARA</v>
          </cell>
          <cell r="M24" t="str">
            <v>Equipos Masculinos Juveniles</v>
          </cell>
        </row>
        <row r="25">
          <cell r="A25">
            <v>24</v>
          </cell>
          <cell r="B25">
            <v>23</v>
          </cell>
          <cell r="C25">
            <v>25</v>
          </cell>
          <cell r="E25" t="str">
            <v>2ª Jornada - Grupo 6</v>
          </cell>
          <cell r="F25">
            <v>27</v>
          </cell>
          <cell r="G25">
            <v>0.8125</v>
          </cell>
          <cell r="H25">
            <v>6</v>
          </cell>
          <cell r="I25" t="str">
            <v>CLUB HUELVA T.M.</v>
          </cell>
          <cell r="J25" t="str">
            <v>AND</v>
          </cell>
          <cell r="K25" t="str">
            <v>A.P.A. SANTA MARIÑA</v>
          </cell>
          <cell r="L25" t="str">
            <v>GAL</v>
          </cell>
          <cell r="M25" t="str">
            <v>Equipos Masculinos Juveniles</v>
          </cell>
        </row>
        <row r="26">
          <cell r="A26">
            <v>25</v>
          </cell>
          <cell r="B26">
            <v>1</v>
          </cell>
          <cell r="C26">
            <v>4</v>
          </cell>
          <cell r="E26" t="str">
            <v>3ª Jornada - Grupo 1</v>
          </cell>
          <cell r="F26">
            <v>27</v>
          </cell>
          <cell r="G26">
            <v>0.8125</v>
          </cell>
          <cell r="H26">
            <v>1</v>
          </cell>
          <cell r="I26" t="str">
            <v>C.T.T. ATENEU 1882</v>
          </cell>
          <cell r="J26" t="str">
            <v>CAT</v>
          </cell>
          <cell r="K26" t="str">
            <v>C.T.M. GETAFE</v>
          </cell>
          <cell r="L26" t="str">
            <v>MAD</v>
          </cell>
          <cell r="M26" t="str">
            <v>Equipos Masculinos Juveniles</v>
          </cell>
        </row>
        <row r="27">
          <cell r="A27">
            <v>26</v>
          </cell>
          <cell r="B27">
            <v>3</v>
          </cell>
          <cell r="C27">
            <v>5</v>
          </cell>
          <cell r="E27" t="str">
            <v>3ª Jornada - Grupo 1</v>
          </cell>
          <cell r="F27">
            <v>27</v>
          </cell>
          <cell r="G27">
            <v>0.8125</v>
          </cell>
          <cell r="H27">
            <v>2</v>
          </cell>
          <cell r="I27" t="str">
            <v>AVILÉS T.M.</v>
          </cell>
          <cell r="J27" t="str">
            <v>AST</v>
          </cell>
          <cell r="K27" t="str">
            <v>C.T.M. CÁRTAMA</v>
          </cell>
          <cell r="L27" t="str">
            <v>AND</v>
          </cell>
          <cell r="M27" t="str">
            <v>Equipos Masculinos Juveniles</v>
          </cell>
        </row>
        <row r="28">
          <cell r="A28">
            <v>27</v>
          </cell>
          <cell r="B28">
            <v>1</v>
          </cell>
          <cell r="C28">
            <v>3</v>
          </cell>
          <cell r="E28" t="str">
            <v>4ª Jornada - Grupo 1</v>
          </cell>
          <cell r="F28">
            <v>28</v>
          </cell>
          <cell r="G28">
            <v>0.375</v>
          </cell>
          <cell r="H28">
            <v>1</v>
          </cell>
          <cell r="I28" t="str">
            <v>C.T.T. ATENEU 1882</v>
          </cell>
          <cell r="J28" t="str">
            <v>CAT</v>
          </cell>
          <cell r="K28" t="str">
            <v>AVILÉS T.M.</v>
          </cell>
          <cell r="L28" t="str">
            <v>AST</v>
          </cell>
          <cell r="M28" t="str">
            <v>Equipos Masculinos Juveniles</v>
          </cell>
        </row>
        <row r="29">
          <cell r="A29">
            <v>28</v>
          </cell>
          <cell r="B29">
            <v>2</v>
          </cell>
          <cell r="C29">
            <v>4</v>
          </cell>
          <cell r="E29" t="str">
            <v>4ª Jornada - Grupo 1</v>
          </cell>
          <cell r="F29">
            <v>28</v>
          </cell>
          <cell r="G29">
            <v>0.375</v>
          </cell>
          <cell r="H29">
            <v>2</v>
          </cell>
          <cell r="I29" t="str">
            <v>A.D. GASTÉIZ</v>
          </cell>
          <cell r="J29" t="str">
            <v>PVS</v>
          </cell>
          <cell r="K29" t="str">
            <v>C.T.M. GETAFE</v>
          </cell>
          <cell r="L29" t="str">
            <v>MAD</v>
          </cell>
          <cell r="M29" t="str">
            <v>Equipos Masculinos Juveniles</v>
          </cell>
        </row>
        <row r="30">
          <cell r="A30">
            <v>29</v>
          </cell>
          <cell r="B30">
            <v>6</v>
          </cell>
          <cell r="C30">
            <v>7</v>
          </cell>
          <cell r="E30" t="str">
            <v>3ª Jornada - Grupo 2</v>
          </cell>
          <cell r="F30">
            <v>28</v>
          </cell>
          <cell r="G30">
            <v>0.375</v>
          </cell>
          <cell r="H30">
            <v>3</v>
          </cell>
          <cell r="I30" t="str">
            <v>CLUB NARÓN T.M.</v>
          </cell>
          <cell r="J30" t="str">
            <v>GAL</v>
          </cell>
          <cell r="K30" t="str">
            <v>C.T.M. MORATALAZ</v>
          </cell>
          <cell r="L30" t="str">
            <v>MAD</v>
          </cell>
          <cell r="M30" t="str">
            <v>Equipos Masculinos Juveniles</v>
          </cell>
        </row>
        <row r="31">
          <cell r="A31">
            <v>30</v>
          </cell>
          <cell r="B31">
            <v>8</v>
          </cell>
          <cell r="C31">
            <v>9</v>
          </cell>
          <cell r="E31" t="str">
            <v>3ª Jornada - Grupo 2</v>
          </cell>
          <cell r="F31">
            <v>28</v>
          </cell>
          <cell r="G31">
            <v>0.375</v>
          </cell>
          <cell r="H31">
            <v>4</v>
          </cell>
          <cell r="I31" t="str">
            <v>A.D. HISPANIDAD</v>
          </cell>
          <cell r="J31" t="str">
            <v>AND</v>
          </cell>
          <cell r="K31" t="str">
            <v>LUBERRI K.E.</v>
          </cell>
          <cell r="L31" t="str">
            <v>PVS</v>
          </cell>
          <cell r="M31" t="str">
            <v>Equipos Masculinos Juveniles</v>
          </cell>
        </row>
        <row r="32">
          <cell r="A32">
            <v>31</v>
          </cell>
          <cell r="B32">
            <v>10</v>
          </cell>
          <cell r="C32">
            <v>11</v>
          </cell>
          <cell r="E32" t="str">
            <v>3ª Jornada - Grupo 3</v>
          </cell>
          <cell r="F32">
            <v>28</v>
          </cell>
          <cell r="G32">
            <v>0.375</v>
          </cell>
          <cell r="H32">
            <v>5</v>
          </cell>
          <cell r="I32" t="str">
            <v>C.D. ETXADI K.E.</v>
          </cell>
          <cell r="J32" t="str">
            <v>PVS</v>
          </cell>
          <cell r="K32" t="str">
            <v>T.M. PUERTOLLANO</v>
          </cell>
          <cell r="L32" t="str">
            <v>CLM</v>
          </cell>
          <cell r="M32" t="str">
            <v>Equipos Masculinos Juveniles</v>
          </cell>
        </row>
        <row r="33">
          <cell r="A33">
            <v>32</v>
          </cell>
          <cell r="B33">
            <v>12</v>
          </cell>
          <cell r="C33">
            <v>13</v>
          </cell>
          <cell r="E33" t="str">
            <v>3ª Jornada - Grupo 3</v>
          </cell>
          <cell r="F33">
            <v>28</v>
          </cell>
          <cell r="G33">
            <v>0.375</v>
          </cell>
          <cell r="H33">
            <v>6</v>
          </cell>
          <cell r="I33" t="str">
            <v>ESCOLA T.M. NARON</v>
          </cell>
          <cell r="J33" t="str">
            <v>GAL</v>
          </cell>
          <cell r="K33" t="str">
            <v>CAN BERARDO RIPOLLET (SDM)</v>
          </cell>
          <cell r="L33" t="str">
            <v>CAT</v>
          </cell>
          <cell r="M33" t="str">
            <v>Equipos Masculinos Juveniles</v>
          </cell>
        </row>
        <row r="34">
          <cell r="A34">
            <v>33</v>
          </cell>
          <cell r="B34">
            <v>14</v>
          </cell>
          <cell r="C34">
            <v>15</v>
          </cell>
          <cell r="E34" t="str">
            <v>3ª Jornada - Grupo 4</v>
          </cell>
          <cell r="F34">
            <v>28</v>
          </cell>
          <cell r="G34">
            <v>0.375</v>
          </cell>
          <cell r="H34">
            <v>7</v>
          </cell>
          <cell r="I34" t="str">
            <v>ECISA ALICANTE T.M.</v>
          </cell>
          <cell r="J34" t="str">
            <v>CVA</v>
          </cell>
          <cell r="K34" t="str">
            <v>DEFENSE T.M.</v>
          </cell>
          <cell r="L34" t="str">
            <v>CNR</v>
          </cell>
          <cell r="M34" t="str">
            <v>Equipos Masculinos Juveniles</v>
          </cell>
        </row>
        <row r="35">
          <cell r="A35">
            <v>34</v>
          </cell>
          <cell r="B35">
            <v>16</v>
          </cell>
          <cell r="C35">
            <v>17</v>
          </cell>
          <cell r="E35" t="str">
            <v>3ª Jornada - Grupo 4</v>
          </cell>
          <cell r="F35">
            <v>28</v>
          </cell>
          <cell r="G35">
            <v>0.375</v>
          </cell>
          <cell r="H35">
            <v>8</v>
          </cell>
          <cell r="I35" t="str">
            <v>E.M. PALOS DE LA FRA.</v>
          </cell>
          <cell r="J35" t="str">
            <v>AND</v>
          </cell>
          <cell r="K35" t="str">
            <v>E.T.M. TORRELAVEGA</v>
          </cell>
          <cell r="L35" t="str">
            <v>CTB</v>
          </cell>
          <cell r="M35" t="str">
            <v>Equipos Masculinos Juveniles</v>
          </cell>
        </row>
        <row r="36">
          <cell r="A36">
            <v>35</v>
          </cell>
          <cell r="B36">
            <v>18</v>
          </cell>
          <cell r="C36">
            <v>19</v>
          </cell>
          <cell r="E36" t="str">
            <v>3ª Jornada - Grupo 5</v>
          </cell>
          <cell r="F36">
            <v>28</v>
          </cell>
          <cell r="G36">
            <v>0.375</v>
          </cell>
          <cell r="H36">
            <v>9</v>
          </cell>
          <cell r="I36" t="str">
            <v>LASARTE ORIA K.E.</v>
          </cell>
          <cell r="J36" t="str">
            <v>PVS</v>
          </cell>
          <cell r="K36" t="str">
            <v>CLUB FERROL T.M.</v>
          </cell>
          <cell r="L36" t="str">
            <v>GAL</v>
          </cell>
          <cell r="M36" t="str">
            <v>Equipos Masculinos Juveniles</v>
          </cell>
        </row>
        <row r="37">
          <cell r="A37">
            <v>36</v>
          </cell>
          <cell r="B37">
            <v>20</v>
          </cell>
          <cell r="C37">
            <v>21</v>
          </cell>
          <cell r="E37" t="str">
            <v>3ª Jornada - Grupo 5</v>
          </cell>
          <cell r="F37">
            <v>28</v>
          </cell>
          <cell r="G37">
            <v>0.375</v>
          </cell>
          <cell r="H37">
            <v>10</v>
          </cell>
          <cell r="I37" t="str">
            <v>E.T.M. BURLADA</v>
          </cell>
          <cell r="J37" t="str">
            <v>NAV</v>
          </cell>
          <cell r="K37" t="str">
            <v>C.T.T. TRAMUNTANA</v>
          </cell>
          <cell r="L37" t="str">
            <v>CAT</v>
          </cell>
          <cell r="M37" t="str">
            <v>Equipos Masculinos Juveniles</v>
          </cell>
        </row>
        <row r="38">
          <cell r="A38">
            <v>37</v>
          </cell>
          <cell r="B38">
            <v>22</v>
          </cell>
          <cell r="C38">
            <v>23</v>
          </cell>
          <cell r="E38" t="str">
            <v>3ª Jornada - Grupo 6</v>
          </cell>
          <cell r="F38">
            <v>28</v>
          </cell>
          <cell r="G38">
            <v>0.375</v>
          </cell>
          <cell r="H38">
            <v>11</v>
          </cell>
          <cell r="I38" t="str">
            <v>S.S. DE LOS REYES</v>
          </cell>
          <cell r="J38" t="str">
            <v>MAD</v>
          </cell>
          <cell r="K38" t="str">
            <v>CLUB HUELVA T.M.</v>
          </cell>
          <cell r="L38" t="str">
            <v>AND</v>
          </cell>
          <cell r="M38" t="str">
            <v>Equipos Masculinos Juveniles</v>
          </cell>
        </row>
        <row r="39">
          <cell r="A39">
            <v>38</v>
          </cell>
          <cell r="B39">
            <v>24</v>
          </cell>
          <cell r="C39">
            <v>25</v>
          </cell>
          <cell r="E39" t="str">
            <v>3ª Jornada - Grupo 6</v>
          </cell>
          <cell r="F39">
            <v>28</v>
          </cell>
          <cell r="G39">
            <v>0.375</v>
          </cell>
          <cell r="H39">
            <v>12</v>
          </cell>
          <cell r="I39" t="str">
            <v>CAI SANTIAGO T.M.</v>
          </cell>
          <cell r="J39" t="str">
            <v>ARA</v>
          </cell>
          <cell r="K39" t="str">
            <v>A.P.A. SANTA MARIÑA</v>
          </cell>
          <cell r="L39" t="str">
            <v>GAL</v>
          </cell>
          <cell r="M39" t="str">
            <v>Equipos Masculinos Juveniles</v>
          </cell>
        </row>
        <row r="40">
          <cell r="A40">
            <v>39</v>
          </cell>
          <cell r="B40">
            <v>1</v>
          </cell>
          <cell r="C40">
            <v>2</v>
          </cell>
          <cell r="E40" t="str">
            <v>5ª Jornada - Grupo 1</v>
          </cell>
          <cell r="F40">
            <v>28</v>
          </cell>
          <cell r="G40">
            <v>0.4375</v>
          </cell>
          <cell r="H40">
            <v>1</v>
          </cell>
          <cell r="I40" t="str">
            <v>C.T.T. ATENEU 1882</v>
          </cell>
          <cell r="J40" t="str">
            <v>CAT</v>
          </cell>
          <cell r="K40" t="str">
            <v>A.D. GASTÉIZ</v>
          </cell>
          <cell r="L40" t="str">
            <v>PVS</v>
          </cell>
          <cell r="M40" t="str">
            <v>Equipos Masculinos Juveniles</v>
          </cell>
        </row>
        <row r="41">
          <cell r="A41">
            <v>40</v>
          </cell>
          <cell r="B41">
            <v>4</v>
          </cell>
          <cell r="C41">
            <v>5</v>
          </cell>
          <cell r="E41" t="str">
            <v>5ª Jornada - Grupo 1</v>
          </cell>
          <cell r="F41">
            <v>28</v>
          </cell>
          <cell r="G41">
            <v>0.4375</v>
          </cell>
          <cell r="H41">
            <v>2</v>
          </cell>
          <cell r="I41" t="str">
            <v>C.T.M. GETAFE</v>
          </cell>
          <cell r="J41" t="str">
            <v>MAD</v>
          </cell>
          <cell r="K41" t="str">
            <v>C.T.M. CÁRTAMA</v>
          </cell>
          <cell r="L41" t="str">
            <v>AND</v>
          </cell>
          <cell r="M41" t="str">
            <v>Equipos Masculinos Juveniles</v>
          </cell>
        </row>
        <row r="42">
          <cell r="A42">
            <v>41</v>
          </cell>
          <cell r="B42">
            <v>27</v>
          </cell>
          <cell r="C42">
            <v>30</v>
          </cell>
          <cell r="E42" t="str">
            <v>1ª Jornada - Grupo A</v>
          </cell>
          <cell r="F42">
            <v>28</v>
          </cell>
          <cell r="G42">
            <v>0.51041666666666663</v>
          </cell>
          <cell r="H42">
            <v>1</v>
          </cell>
          <cell r="I42" t="str">
            <v>A.D.T.M. LEGANÉS</v>
          </cell>
          <cell r="J42" t="str">
            <v>MAD</v>
          </cell>
          <cell r="K42" t="str">
            <v>CLUB HUELVA T.M.</v>
          </cell>
          <cell r="L42" t="str">
            <v>AND</v>
          </cell>
          <cell r="M42" t="str">
            <v>Equipos Masculinos Juveniles</v>
          </cell>
        </row>
        <row r="43">
          <cell r="A43">
            <v>42</v>
          </cell>
          <cell r="B43">
            <v>28</v>
          </cell>
          <cell r="C43">
            <v>29</v>
          </cell>
          <cell r="E43" t="str">
            <v>1ª Jornada - Grupo A</v>
          </cell>
          <cell r="F43">
            <v>28</v>
          </cell>
          <cell r="G43">
            <v>0.51041666666666663</v>
          </cell>
          <cell r="H43">
            <v>2</v>
          </cell>
          <cell r="I43" t="str">
            <v>BADAJOZ T.M.</v>
          </cell>
          <cell r="J43" t="str">
            <v>EXT</v>
          </cell>
          <cell r="K43" t="str">
            <v>DEFENSE T.M.</v>
          </cell>
          <cell r="L43" t="str">
            <v>CNR</v>
          </cell>
          <cell r="M43" t="str">
            <v>Equipos Masculinos Juveniles</v>
          </cell>
        </row>
        <row r="44">
          <cell r="A44">
            <v>43</v>
          </cell>
          <cell r="B44">
            <v>32</v>
          </cell>
          <cell r="C44">
            <v>35</v>
          </cell>
          <cell r="E44" t="str">
            <v>1ª Jornada - Grupo B</v>
          </cell>
          <cell r="F44">
            <v>28</v>
          </cell>
          <cell r="G44">
            <v>0.51041666666666663</v>
          </cell>
          <cell r="H44">
            <v>3</v>
          </cell>
          <cell r="I44" t="str">
            <v>ADA GUADIX LA GENERAL</v>
          </cell>
          <cell r="J44" t="str">
            <v>AND</v>
          </cell>
          <cell r="K44" t="str">
            <v>C.T.T. ATENEU 1882</v>
          </cell>
          <cell r="L44" t="str">
            <v>AND</v>
          </cell>
          <cell r="M44" t="str">
            <v>Equipos Masculinos Juveniles</v>
          </cell>
        </row>
        <row r="45">
          <cell r="A45">
            <v>44</v>
          </cell>
          <cell r="B45">
            <v>33</v>
          </cell>
          <cell r="C45">
            <v>34</v>
          </cell>
          <cell r="E45" t="str">
            <v>1ª Jornada - Grupo B</v>
          </cell>
          <cell r="F45">
            <v>28</v>
          </cell>
          <cell r="G45">
            <v>0.51041666666666663</v>
          </cell>
          <cell r="H45">
            <v>4</v>
          </cell>
          <cell r="I45" t="str">
            <v>UCAM T.M. CARTAGENA</v>
          </cell>
          <cell r="J45" t="str">
            <v>MUR</v>
          </cell>
          <cell r="K45" t="str">
            <v>CLUB NARÓN T.M.</v>
          </cell>
          <cell r="L45" t="str">
            <v>GAL</v>
          </cell>
          <cell r="M45" t="str">
            <v>Equipos Masculinos Juveniles</v>
          </cell>
        </row>
        <row r="46">
          <cell r="A46">
            <v>45</v>
          </cell>
          <cell r="B46">
            <v>37</v>
          </cell>
          <cell r="C46">
            <v>40</v>
          </cell>
          <cell r="E46" t="str">
            <v>1ª Jornada - Grupo C</v>
          </cell>
          <cell r="F46">
            <v>28</v>
          </cell>
          <cell r="G46">
            <v>0.51041666666666663</v>
          </cell>
          <cell r="H46">
            <v>5</v>
          </cell>
          <cell r="I46" t="str">
            <v>CAN BERARDO RIPOLLET (PDM)</v>
          </cell>
          <cell r="J46" t="str">
            <v>CAT</v>
          </cell>
          <cell r="K46" t="str">
            <v>CAN BERARDO RIPOLLET (SDM)</v>
          </cell>
          <cell r="L46" t="str">
            <v>CAT</v>
          </cell>
          <cell r="M46" t="str">
            <v>Equipos Masculinos Juveniles</v>
          </cell>
        </row>
        <row r="47">
          <cell r="A47">
            <v>46</v>
          </cell>
          <cell r="B47">
            <v>38</v>
          </cell>
          <cell r="C47">
            <v>39</v>
          </cell>
          <cell r="E47" t="str">
            <v>1ª Jornada - Grupo C</v>
          </cell>
          <cell r="F47">
            <v>28</v>
          </cell>
          <cell r="G47">
            <v>0.51041666666666663</v>
          </cell>
          <cell r="H47">
            <v>6</v>
          </cell>
          <cell r="I47" t="str">
            <v>MERCANTIL SEVILLA</v>
          </cell>
          <cell r="J47" t="str">
            <v>AND</v>
          </cell>
          <cell r="K47" t="str">
            <v>ECISA ALICANTE T.M.</v>
          </cell>
          <cell r="L47" t="str">
            <v>CVA</v>
          </cell>
          <cell r="M47" t="str">
            <v>Equipos Masculinos Juveniles</v>
          </cell>
        </row>
        <row r="48">
          <cell r="A48">
            <v>47</v>
          </cell>
          <cell r="B48">
            <v>42</v>
          </cell>
          <cell r="C48">
            <v>45</v>
          </cell>
          <cell r="E48" t="str">
            <v>1ª Jornada - Grupo D</v>
          </cell>
          <cell r="F48">
            <v>28</v>
          </cell>
          <cell r="G48">
            <v>0.51041666666666663</v>
          </cell>
          <cell r="H48">
            <v>7</v>
          </cell>
          <cell r="I48" t="str">
            <v>COOP. LAS MARISMAS LEBRIJA</v>
          </cell>
          <cell r="J48" t="str">
            <v>AND</v>
          </cell>
          <cell r="K48" t="str">
            <v>C.T.T. TRAMUNTANA</v>
          </cell>
          <cell r="L48" t="str">
            <v>CAT</v>
          </cell>
          <cell r="M48" t="str">
            <v>Equipos Masculinos Juveniles</v>
          </cell>
        </row>
        <row r="49">
          <cell r="A49">
            <v>48</v>
          </cell>
          <cell r="B49">
            <v>43</v>
          </cell>
          <cell r="C49">
            <v>44</v>
          </cell>
          <cell r="E49" t="str">
            <v>1ª Jornada - Grupo D</v>
          </cell>
          <cell r="F49">
            <v>28</v>
          </cell>
          <cell r="G49">
            <v>0.51041666666666663</v>
          </cell>
          <cell r="H49">
            <v>8</v>
          </cell>
          <cell r="I49" t="str">
            <v>ANTONIO MENDOZA</v>
          </cell>
          <cell r="J49" t="str">
            <v>CTB</v>
          </cell>
          <cell r="K49" t="str">
            <v>C.T.M. GETAFE</v>
          </cell>
          <cell r="L49" t="str">
            <v>MAD</v>
          </cell>
          <cell r="M49" t="str">
            <v>Equipos Masculinos Juveniles</v>
          </cell>
        </row>
        <row r="50">
          <cell r="A50">
            <v>49</v>
          </cell>
          <cell r="B50">
            <v>26</v>
          </cell>
          <cell r="C50">
            <v>30</v>
          </cell>
          <cell r="E50" t="str">
            <v>2ª Jornada - Grupo A</v>
          </cell>
          <cell r="F50">
            <v>28</v>
          </cell>
          <cell r="G50">
            <v>0.66666666666666663</v>
          </cell>
          <cell r="H50">
            <v>1</v>
          </cell>
          <cell r="I50" t="str">
            <v>LA GENERAL GRANADA</v>
          </cell>
          <cell r="J50" t="str">
            <v>AND</v>
          </cell>
          <cell r="K50" t="str">
            <v>CLUB HUELVA T.M.</v>
          </cell>
          <cell r="L50" t="str">
            <v>AND</v>
          </cell>
          <cell r="M50" t="str">
            <v>Equipos Masculinos Juveniles</v>
          </cell>
        </row>
        <row r="51">
          <cell r="A51">
            <v>50</v>
          </cell>
          <cell r="B51">
            <v>27</v>
          </cell>
          <cell r="C51">
            <v>28</v>
          </cell>
          <cell r="E51" t="str">
            <v>2ª Jornada - Grupo A</v>
          </cell>
          <cell r="F51">
            <v>28</v>
          </cell>
          <cell r="G51">
            <v>0.66666666666666663</v>
          </cell>
          <cell r="H51">
            <v>2</v>
          </cell>
          <cell r="I51" t="str">
            <v>A.D.T.M. LEGANÉS</v>
          </cell>
          <cell r="J51" t="str">
            <v>MAD</v>
          </cell>
          <cell r="K51" t="str">
            <v>BADAJOZ T.M.</v>
          </cell>
          <cell r="L51" t="str">
            <v>EXT</v>
          </cell>
          <cell r="M51" t="str">
            <v>Equipos Masculinos Juveniles</v>
          </cell>
        </row>
        <row r="52">
          <cell r="A52">
            <v>51</v>
          </cell>
          <cell r="B52">
            <v>31</v>
          </cell>
          <cell r="C52">
            <v>35</v>
          </cell>
          <cell r="E52" t="str">
            <v>2ª Jornada - Grupo B</v>
          </cell>
          <cell r="F52">
            <v>28</v>
          </cell>
          <cell r="G52">
            <v>0.66666666666666663</v>
          </cell>
          <cell r="H52">
            <v>3</v>
          </cell>
          <cell r="I52" t="str">
            <v>FINQUES BALTRONS CALELLA</v>
          </cell>
          <cell r="J52" t="str">
            <v>CAT</v>
          </cell>
          <cell r="K52" t="str">
            <v>C.T.T. ATENEU 1882</v>
          </cell>
          <cell r="L52" t="str">
            <v>AND</v>
          </cell>
          <cell r="M52" t="str">
            <v>Equipos Masculinos Juveniles</v>
          </cell>
        </row>
        <row r="53">
          <cell r="A53">
            <v>52</v>
          </cell>
          <cell r="B53">
            <v>32</v>
          </cell>
          <cell r="C53">
            <v>33</v>
          </cell>
          <cell r="E53" t="str">
            <v>2ª Jornada - Grupo B</v>
          </cell>
          <cell r="F53">
            <v>28</v>
          </cell>
          <cell r="G53">
            <v>0.66666666666666663</v>
          </cell>
          <cell r="H53">
            <v>4</v>
          </cell>
          <cell r="I53" t="str">
            <v>ADA GUADIX LA GENERAL</v>
          </cell>
          <cell r="J53" t="str">
            <v>AND</v>
          </cell>
          <cell r="K53" t="str">
            <v>UCAM T.M. CARTAGENA</v>
          </cell>
          <cell r="L53" t="str">
            <v>MUR</v>
          </cell>
          <cell r="M53" t="str">
            <v>Equipos Masculinos Juveniles</v>
          </cell>
        </row>
        <row r="54">
          <cell r="A54">
            <v>53</v>
          </cell>
          <cell r="B54">
            <v>36</v>
          </cell>
          <cell r="C54">
            <v>40</v>
          </cell>
          <cell r="E54" t="str">
            <v>2ª Jornada - Grupo C</v>
          </cell>
          <cell r="F54">
            <v>28</v>
          </cell>
          <cell r="G54">
            <v>0.66666666666666663</v>
          </cell>
          <cell r="H54">
            <v>5</v>
          </cell>
          <cell r="I54" t="str">
            <v>CLUB AT. SAN SEBASTIÁN</v>
          </cell>
          <cell r="J54" t="str">
            <v>PVS</v>
          </cell>
          <cell r="K54" t="str">
            <v>CAN BERARDO RIPOLLET (SDM)</v>
          </cell>
          <cell r="L54" t="str">
            <v>CAT</v>
          </cell>
          <cell r="M54" t="str">
            <v>Equipos Masculinos Juveniles</v>
          </cell>
        </row>
        <row r="55">
          <cell r="A55">
            <v>54</v>
          </cell>
          <cell r="B55">
            <v>37</v>
          </cell>
          <cell r="C55">
            <v>38</v>
          </cell>
          <cell r="E55" t="str">
            <v>2ª Jornada - Grupo C</v>
          </cell>
          <cell r="F55">
            <v>28</v>
          </cell>
          <cell r="G55">
            <v>0.66666666666666663</v>
          </cell>
          <cell r="H55">
            <v>6</v>
          </cell>
          <cell r="I55" t="str">
            <v>CAN BERARDO RIPOLLET (PDM)</v>
          </cell>
          <cell r="J55" t="str">
            <v>CAT</v>
          </cell>
          <cell r="K55" t="str">
            <v>MERCANTIL SEVILLA</v>
          </cell>
          <cell r="L55" t="str">
            <v>AND</v>
          </cell>
          <cell r="M55" t="str">
            <v>Equipos Masculinos Juveniles</v>
          </cell>
        </row>
        <row r="56">
          <cell r="A56">
            <v>55</v>
          </cell>
          <cell r="B56">
            <v>41</v>
          </cell>
          <cell r="C56">
            <v>45</v>
          </cell>
          <cell r="E56" t="str">
            <v>2ª Jornada - Grupo D</v>
          </cell>
          <cell r="F56">
            <v>28</v>
          </cell>
          <cell r="G56">
            <v>0.66666666666666663</v>
          </cell>
          <cell r="H56">
            <v>7</v>
          </cell>
          <cell r="I56" t="str">
            <v>SCHOOL ZARAGOZA T.M.</v>
          </cell>
          <cell r="J56" t="str">
            <v>AND</v>
          </cell>
          <cell r="K56" t="str">
            <v>C.T.T. TRAMUNTANA</v>
          </cell>
          <cell r="L56" t="str">
            <v>CAT</v>
          </cell>
          <cell r="M56" t="str">
            <v>Equipos Masculinos Juveniles</v>
          </cell>
        </row>
        <row r="57">
          <cell r="A57">
            <v>56</v>
          </cell>
          <cell r="B57">
            <v>42</v>
          </cell>
          <cell r="C57">
            <v>43</v>
          </cell>
          <cell r="E57" t="str">
            <v>2ª Jornada - Grupo D</v>
          </cell>
          <cell r="F57">
            <v>28</v>
          </cell>
          <cell r="G57">
            <v>0.66666666666666663</v>
          </cell>
          <cell r="H57">
            <v>8</v>
          </cell>
          <cell r="I57" t="str">
            <v>COOP. LAS MARISMAS LEBRIJA</v>
          </cell>
          <cell r="J57" t="str">
            <v>AND</v>
          </cell>
          <cell r="K57" t="str">
            <v>ANTONIO MENDOZA</v>
          </cell>
          <cell r="L57" t="str">
            <v>CTB</v>
          </cell>
          <cell r="M57" t="str">
            <v>Equipos Masculinos Juveniles</v>
          </cell>
        </row>
        <row r="58">
          <cell r="A58">
            <v>57</v>
          </cell>
          <cell r="B58">
            <v>26</v>
          </cell>
          <cell r="C58">
            <v>29</v>
          </cell>
          <cell r="E58" t="str">
            <v>3ª Jornada - Grupo A</v>
          </cell>
          <cell r="F58">
            <v>28</v>
          </cell>
          <cell r="G58">
            <v>0.72916666666666663</v>
          </cell>
          <cell r="H58">
            <v>1</v>
          </cell>
          <cell r="I58" t="str">
            <v>LA GENERAL GRANADA</v>
          </cell>
          <cell r="J58" t="str">
            <v>AND</v>
          </cell>
          <cell r="K58" t="str">
            <v>DEFENSE T.M.</v>
          </cell>
          <cell r="L58" t="str">
            <v>CNR</v>
          </cell>
          <cell r="M58" t="str">
            <v>Equipos Masculinos Juveniles</v>
          </cell>
        </row>
        <row r="59">
          <cell r="A59">
            <v>58</v>
          </cell>
          <cell r="B59">
            <v>28</v>
          </cell>
          <cell r="C59">
            <v>30</v>
          </cell>
          <cell r="E59" t="str">
            <v>3ª Jornada - Grupo A</v>
          </cell>
          <cell r="F59">
            <v>28</v>
          </cell>
          <cell r="G59">
            <v>0.72916666666666663</v>
          </cell>
          <cell r="H59">
            <v>2</v>
          </cell>
          <cell r="I59" t="str">
            <v>BADAJOZ T.M.</v>
          </cell>
          <cell r="J59" t="str">
            <v>EXT</v>
          </cell>
          <cell r="K59" t="str">
            <v>CLUB HUELVA T.M.</v>
          </cell>
          <cell r="L59" t="str">
            <v>AND</v>
          </cell>
          <cell r="M59" t="str">
            <v>Equipos Masculinos Juveniles</v>
          </cell>
        </row>
        <row r="60">
          <cell r="A60">
            <v>59</v>
          </cell>
          <cell r="B60">
            <v>31</v>
          </cell>
          <cell r="C60">
            <v>34</v>
          </cell>
          <cell r="E60" t="str">
            <v>3ª Jornada - Grupo B</v>
          </cell>
          <cell r="F60">
            <v>28</v>
          </cell>
          <cell r="G60">
            <v>0.72916666666666663</v>
          </cell>
          <cell r="H60">
            <v>3</v>
          </cell>
          <cell r="I60" t="str">
            <v>FINQUES BALTRONS CALELLA</v>
          </cell>
          <cell r="J60" t="str">
            <v>CAT</v>
          </cell>
          <cell r="K60" t="str">
            <v>CLUB NARÓN T.M.</v>
          </cell>
          <cell r="L60" t="str">
            <v>GAL</v>
          </cell>
          <cell r="M60" t="str">
            <v>Equipos Masculinos Juveniles</v>
          </cell>
        </row>
        <row r="61">
          <cell r="A61">
            <v>60</v>
          </cell>
          <cell r="B61">
            <v>33</v>
          </cell>
          <cell r="C61">
            <v>35</v>
          </cell>
          <cell r="E61" t="str">
            <v>3ª Jornada - Grupo B</v>
          </cell>
          <cell r="F61">
            <v>28</v>
          </cell>
          <cell r="G61">
            <v>0.72916666666666663</v>
          </cell>
          <cell r="H61">
            <v>4</v>
          </cell>
          <cell r="I61" t="str">
            <v>UCAM T.M. CARTAGENA</v>
          </cell>
          <cell r="J61" t="str">
            <v>MUR</v>
          </cell>
          <cell r="K61" t="str">
            <v>C.T.T. ATENEU 1882</v>
          </cell>
          <cell r="L61" t="str">
            <v>AND</v>
          </cell>
          <cell r="M61" t="str">
            <v>Equipos Masculinos Juveniles</v>
          </cell>
        </row>
        <row r="62">
          <cell r="A62">
            <v>61</v>
          </cell>
          <cell r="B62">
            <v>36</v>
          </cell>
          <cell r="C62">
            <v>39</v>
          </cell>
          <cell r="E62" t="str">
            <v>3ª Jornada - Grupo C</v>
          </cell>
          <cell r="F62">
            <v>28</v>
          </cell>
          <cell r="G62">
            <v>0.72916666666666663</v>
          </cell>
          <cell r="H62">
            <v>5</v>
          </cell>
          <cell r="I62" t="str">
            <v>CLUB AT. SAN SEBASTIÁN</v>
          </cell>
          <cell r="J62" t="str">
            <v>PVS</v>
          </cell>
          <cell r="K62" t="str">
            <v>ECISA ALICANTE T.M.</v>
          </cell>
          <cell r="L62" t="str">
            <v>CVA</v>
          </cell>
          <cell r="M62" t="str">
            <v>Equipos Masculinos Juveniles</v>
          </cell>
        </row>
        <row r="63">
          <cell r="A63">
            <v>62</v>
          </cell>
          <cell r="B63">
            <v>38</v>
          </cell>
          <cell r="C63">
            <v>40</v>
          </cell>
          <cell r="E63" t="str">
            <v>3ª Jornada - Grupo C</v>
          </cell>
          <cell r="F63">
            <v>28</v>
          </cell>
          <cell r="G63">
            <v>0.72916666666666663</v>
          </cell>
          <cell r="H63">
            <v>6</v>
          </cell>
          <cell r="I63" t="str">
            <v>MERCANTIL SEVILLA</v>
          </cell>
          <cell r="J63" t="str">
            <v>AND</v>
          </cell>
          <cell r="K63" t="str">
            <v>CAN BERARDO RIPOLLET (SDM)</v>
          </cell>
          <cell r="L63" t="str">
            <v>CAT</v>
          </cell>
          <cell r="M63" t="str">
            <v>Equipos Masculinos Juveniles</v>
          </cell>
        </row>
        <row r="64">
          <cell r="A64">
            <v>63</v>
          </cell>
          <cell r="B64">
            <v>41</v>
          </cell>
          <cell r="C64">
            <v>44</v>
          </cell>
          <cell r="E64" t="str">
            <v>3ª Jornada - Grupo D</v>
          </cell>
          <cell r="F64">
            <v>28</v>
          </cell>
          <cell r="G64">
            <v>0.72916666666666663</v>
          </cell>
          <cell r="H64">
            <v>7</v>
          </cell>
          <cell r="I64" t="str">
            <v>SCHOOL ZARAGOZA T.M.</v>
          </cell>
          <cell r="J64" t="str">
            <v>AND</v>
          </cell>
          <cell r="K64" t="str">
            <v>C.T.M. GETAFE</v>
          </cell>
          <cell r="L64" t="str">
            <v>MAD</v>
          </cell>
          <cell r="M64" t="str">
            <v>Equipos Masculinos Juveniles</v>
          </cell>
        </row>
        <row r="65">
          <cell r="A65">
            <v>64</v>
          </cell>
          <cell r="B65">
            <v>43</v>
          </cell>
          <cell r="C65">
            <v>45</v>
          </cell>
          <cell r="E65" t="str">
            <v>3ª Jornada - Grupo D</v>
          </cell>
          <cell r="F65">
            <v>28</v>
          </cell>
          <cell r="G65">
            <v>0.72916666666666663</v>
          </cell>
          <cell r="H65">
            <v>8</v>
          </cell>
          <cell r="I65" t="str">
            <v>ANTONIO MENDOZA</v>
          </cell>
          <cell r="J65" t="str">
            <v>CTB</v>
          </cell>
          <cell r="K65" t="str">
            <v>C.T.T. TRAMUNTANA</v>
          </cell>
          <cell r="L65" t="str">
            <v>CAT</v>
          </cell>
          <cell r="M65" t="str">
            <v>Equipos Masculinos Juveniles</v>
          </cell>
        </row>
        <row r="66">
          <cell r="A66">
            <v>65</v>
          </cell>
          <cell r="B66">
            <v>26</v>
          </cell>
          <cell r="C66">
            <v>28</v>
          </cell>
          <cell r="E66" t="str">
            <v>4ª Jornada - Grupo A</v>
          </cell>
          <cell r="F66">
            <v>28</v>
          </cell>
          <cell r="G66">
            <v>0.80208333333333337</v>
          </cell>
          <cell r="H66">
            <v>1</v>
          </cell>
          <cell r="I66" t="str">
            <v>LA GENERAL GRANADA</v>
          </cell>
          <cell r="J66" t="str">
            <v>AND</v>
          </cell>
          <cell r="K66" t="str">
            <v>BADAJOZ T.M.</v>
          </cell>
          <cell r="L66" t="str">
            <v>EXT</v>
          </cell>
          <cell r="M66" t="str">
            <v>Equipos Masculinos Juveniles</v>
          </cell>
        </row>
        <row r="67">
          <cell r="A67">
            <v>66</v>
          </cell>
          <cell r="B67">
            <v>27</v>
          </cell>
          <cell r="C67">
            <v>29</v>
          </cell>
          <cell r="E67" t="str">
            <v>4ª Jornada - Grupo A</v>
          </cell>
          <cell r="F67">
            <v>28</v>
          </cell>
          <cell r="G67">
            <v>0.80208333333333337</v>
          </cell>
          <cell r="H67">
            <v>2</v>
          </cell>
          <cell r="I67" t="str">
            <v>A.D.T.M. LEGANÉS</v>
          </cell>
          <cell r="J67" t="str">
            <v>MAD</v>
          </cell>
          <cell r="K67" t="str">
            <v>DEFENSE T.M.</v>
          </cell>
          <cell r="L67" t="str">
            <v>CNR</v>
          </cell>
          <cell r="M67" t="str">
            <v>Equipos Masculinos Juveniles</v>
          </cell>
        </row>
        <row r="68">
          <cell r="A68">
            <v>67</v>
          </cell>
          <cell r="B68">
            <v>31</v>
          </cell>
          <cell r="C68">
            <v>33</v>
          </cell>
          <cell r="E68" t="str">
            <v>4ª Jornada - Grupo B</v>
          </cell>
          <cell r="F68">
            <v>28</v>
          </cell>
          <cell r="G68">
            <v>0.80208333333333337</v>
          </cell>
          <cell r="H68">
            <v>3</v>
          </cell>
          <cell r="I68" t="str">
            <v>FINQUES BALTRONS CALELLA</v>
          </cell>
          <cell r="J68" t="str">
            <v>CAT</v>
          </cell>
          <cell r="K68" t="str">
            <v>UCAM T.M. CARTAGENA</v>
          </cell>
          <cell r="L68" t="str">
            <v>MUR</v>
          </cell>
          <cell r="M68" t="str">
            <v>Equipos Masculinos Juveniles</v>
          </cell>
        </row>
        <row r="69">
          <cell r="A69">
            <v>68</v>
          </cell>
          <cell r="B69">
            <v>32</v>
          </cell>
          <cell r="C69">
            <v>34</v>
          </cell>
          <cell r="E69" t="str">
            <v>4ª Jornada - Grupo B</v>
          </cell>
          <cell r="F69">
            <v>28</v>
          </cell>
          <cell r="G69">
            <v>0.80208333333333337</v>
          </cell>
          <cell r="H69">
            <v>4</v>
          </cell>
          <cell r="I69" t="str">
            <v>ADA GUADIX LA GENERAL</v>
          </cell>
          <cell r="J69" t="str">
            <v>AND</v>
          </cell>
          <cell r="K69" t="str">
            <v>CLUB NARÓN T.M.</v>
          </cell>
          <cell r="L69" t="str">
            <v>GAL</v>
          </cell>
          <cell r="M69" t="str">
            <v>Equipos Masculinos Juveniles</v>
          </cell>
        </row>
        <row r="70">
          <cell r="A70">
            <v>69</v>
          </cell>
          <cell r="B70">
            <v>36</v>
          </cell>
          <cell r="C70">
            <v>38</v>
          </cell>
          <cell r="E70" t="str">
            <v>4ª Jornada - Grupo C</v>
          </cell>
          <cell r="F70">
            <v>28</v>
          </cell>
          <cell r="G70">
            <v>0.80208333333333337</v>
          </cell>
          <cell r="H70">
            <v>5</v>
          </cell>
          <cell r="I70" t="str">
            <v>CLUB AT. SAN SEBASTIÁN</v>
          </cell>
          <cell r="J70" t="str">
            <v>PVS</v>
          </cell>
          <cell r="K70" t="str">
            <v>MERCANTIL SEVILLA</v>
          </cell>
          <cell r="L70" t="str">
            <v>AND</v>
          </cell>
          <cell r="M70" t="str">
            <v>Equipos Masculinos Juveniles</v>
          </cell>
        </row>
        <row r="71">
          <cell r="A71">
            <v>70</v>
          </cell>
          <cell r="B71">
            <v>37</v>
          </cell>
          <cell r="C71">
            <v>39</v>
          </cell>
          <cell r="E71" t="str">
            <v>4ª Jornada - Grupo C</v>
          </cell>
          <cell r="F71">
            <v>28</v>
          </cell>
          <cell r="G71">
            <v>0.80208333333333337</v>
          </cell>
          <cell r="H71">
            <v>6</v>
          </cell>
          <cell r="I71" t="str">
            <v>CAN BERARDO RIPOLLET (PDM)</v>
          </cell>
          <cell r="J71" t="str">
            <v>CAT</v>
          </cell>
          <cell r="K71" t="str">
            <v>ECISA ALICANTE T.M.</v>
          </cell>
          <cell r="L71" t="str">
            <v>CVA</v>
          </cell>
          <cell r="M71" t="str">
            <v>Equipos Masculinos Juveniles</v>
          </cell>
        </row>
        <row r="72">
          <cell r="A72">
            <v>71</v>
          </cell>
          <cell r="B72">
            <v>41</v>
          </cell>
          <cell r="C72">
            <v>43</v>
          </cell>
          <cell r="E72" t="str">
            <v>4ª Jornada - Grupo D</v>
          </cell>
          <cell r="F72">
            <v>28</v>
          </cell>
          <cell r="G72">
            <v>0.80208333333333337</v>
          </cell>
          <cell r="H72">
            <v>7</v>
          </cell>
          <cell r="I72" t="str">
            <v>SCHOOL ZARAGOZA T.M.</v>
          </cell>
          <cell r="J72" t="str">
            <v>AND</v>
          </cell>
          <cell r="K72" t="str">
            <v>ANTONIO MENDOZA</v>
          </cell>
          <cell r="L72" t="str">
            <v>CTB</v>
          </cell>
          <cell r="M72" t="str">
            <v>Equipos Masculinos Juveniles</v>
          </cell>
        </row>
        <row r="73">
          <cell r="A73">
            <v>72</v>
          </cell>
          <cell r="B73">
            <v>42</v>
          </cell>
          <cell r="C73">
            <v>44</v>
          </cell>
          <cell r="E73" t="str">
            <v>4ª Jornada - Grupo D</v>
          </cell>
          <cell r="F73">
            <v>28</v>
          </cell>
          <cell r="G73">
            <v>0.80208333333333337</v>
          </cell>
          <cell r="H73">
            <v>8</v>
          </cell>
          <cell r="I73" t="str">
            <v>COOP. LAS MARISMAS LEBRIJA</v>
          </cell>
          <cell r="J73" t="str">
            <v>AND</v>
          </cell>
          <cell r="K73" t="str">
            <v>C.T.M. GETAFE</v>
          </cell>
          <cell r="L73" t="str">
            <v>MAD</v>
          </cell>
          <cell r="M73" t="str">
            <v>Equipos Masculinos Juveniles</v>
          </cell>
        </row>
        <row r="74">
          <cell r="A74">
            <v>73</v>
          </cell>
          <cell r="B74">
            <v>26</v>
          </cell>
          <cell r="C74">
            <v>27</v>
          </cell>
          <cell r="E74" t="str">
            <v>5ª Jornada - Grupo A</v>
          </cell>
          <cell r="F74">
            <v>29</v>
          </cell>
          <cell r="G74">
            <v>0.375</v>
          </cell>
          <cell r="H74">
            <v>5</v>
          </cell>
          <cell r="I74" t="str">
            <v>LA GENERAL GRANADA</v>
          </cell>
          <cell r="J74" t="str">
            <v>AND</v>
          </cell>
          <cell r="K74" t="str">
            <v>A.D.T.M. LEGANÉS</v>
          </cell>
          <cell r="L74" t="str">
            <v>MAD</v>
          </cell>
          <cell r="M74" t="str">
            <v>Equipos Masculinos Juveniles</v>
          </cell>
        </row>
        <row r="75">
          <cell r="A75">
            <v>74</v>
          </cell>
          <cell r="B75">
            <v>29</v>
          </cell>
          <cell r="C75">
            <v>30</v>
          </cell>
          <cell r="E75" t="str">
            <v>5ª Jornada - Grupo A</v>
          </cell>
          <cell r="F75">
            <v>29</v>
          </cell>
          <cell r="G75">
            <v>0.375</v>
          </cell>
          <cell r="H75">
            <v>6</v>
          </cell>
          <cell r="I75" t="str">
            <v>DEFENSE T.M.</v>
          </cell>
          <cell r="J75" t="str">
            <v>CNR</v>
          </cell>
          <cell r="K75" t="str">
            <v>CLUB HUELVA T.M.</v>
          </cell>
          <cell r="L75" t="str">
            <v>AND</v>
          </cell>
          <cell r="M75" t="str">
            <v>Equipos Masculinos Juveniles</v>
          </cell>
        </row>
        <row r="76">
          <cell r="A76">
            <v>75</v>
          </cell>
          <cell r="B76">
            <v>31</v>
          </cell>
          <cell r="C76">
            <v>32</v>
          </cell>
          <cell r="E76" t="str">
            <v>5ª Jornada - Grupo B</v>
          </cell>
          <cell r="F76">
            <v>29</v>
          </cell>
          <cell r="G76">
            <v>0.375</v>
          </cell>
          <cell r="H76">
            <v>7</v>
          </cell>
          <cell r="I76" t="str">
            <v>FINQUES BALTRONS CALELLA</v>
          </cell>
          <cell r="J76" t="str">
            <v>CAT</v>
          </cell>
          <cell r="K76" t="str">
            <v>ADA GUADIX LA GENERAL</v>
          </cell>
          <cell r="L76" t="str">
            <v>AND</v>
          </cell>
          <cell r="M76" t="str">
            <v>Equipos Masculinos Juveniles</v>
          </cell>
        </row>
        <row r="77">
          <cell r="A77">
            <v>76</v>
          </cell>
          <cell r="B77">
            <v>34</v>
          </cell>
          <cell r="C77">
            <v>35</v>
          </cell>
          <cell r="E77" t="str">
            <v>5ª Jornada - Grupo B</v>
          </cell>
          <cell r="F77">
            <v>29</v>
          </cell>
          <cell r="G77">
            <v>0.375</v>
          </cell>
          <cell r="H77">
            <v>8</v>
          </cell>
          <cell r="I77" t="str">
            <v>CLUB NARÓN T.M.</v>
          </cell>
          <cell r="J77" t="str">
            <v>GAL</v>
          </cell>
          <cell r="K77" t="str">
            <v>C.T.T. ATENEU 1882</v>
          </cell>
          <cell r="L77" t="str">
            <v>AND</v>
          </cell>
          <cell r="M77" t="str">
            <v>Equipos Masculinos Juveniles</v>
          </cell>
        </row>
        <row r="78">
          <cell r="A78">
            <v>77</v>
          </cell>
          <cell r="B78">
            <v>36</v>
          </cell>
          <cell r="C78">
            <v>37</v>
          </cell>
          <cell r="E78" t="str">
            <v>5ª Jornada - Grupo C</v>
          </cell>
          <cell r="F78">
            <v>29</v>
          </cell>
          <cell r="G78">
            <v>0.375</v>
          </cell>
          <cell r="H78">
            <v>9</v>
          </cell>
          <cell r="I78" t="str">
            <v>CLUB AT. SAN SEBASTIÁN</v>
          </cell>
          <cell r="J78" t="str">
            <v>PVS</v>
          </cell>
          <cell r="K78" t="str">
            <v>CAN BERARDO RIPOLLET (PDM)</v>
          </cell>
          <cell r="L78" t="str">
            <v>CAT</v>
          </cell>
          <cell r="M78" t="str">
            <v>Equipos Masculinos Juveniles</v>
          </cell>
        </row>
        <row r="79">
          <cell r="A79">
            <v>78</v>
          </cell>
          <cell r="B79">
            <v>39</v>
          </cell>
          <cell r="C79">
            <v>40</v>
          </cell>
          <cell r="E79" t="str">
            <v>5ª Jornada - Grupo C</v>
          </cell>
          <cell r="F79">
            <v>29</v>
          </cell>
          <cell r="G79">
            <v>0.375</v>
          </cell>
          <cell r="H79">
            <v>10</v>
          </cell>
          <cell r="I79" t="str">
            <v>ECISA ALICANTE T.M.</v>
          </cell>
          <cell r="J79" t="str">
            <v>CVA</v>
          </cell>
          <cell r="K79" t="str">
            <v>CAN BERARDO RIPOLLET (SDM)</v>
          </cell>
          <cell r="L79" t="str">
            <v>CAT</v>
          </cell>
          <cell r="M79" t="str">
            <v>Equipos Masculinos Juveniles</v>
          </cell>
        </row>
        <row r="80">
          <cell r="A80">
            <v>79</v>
          </cell>
          <cell r="B80">
            <v>41</v>
          </cell>
          <cell r="C80">
            <v>42</v>
          </cell>
          <cell r="E80" t="str">
            <v>5ª Jornada - Grupo D</v>
          </cell>
          <cell r="F80">
            <v>29</v>
          </cell>
          <cell r="G80">
            <v>0.375</v>
          </cell>
          <cell r="H80">
            <v>11</v>
          </cell>
          <cell r="I80" t="str">
            <v>SCHOOL ZARAGOZA T.M.</v>
          </cell>
          <cell r="J80" t="str">
            <v>AND</v>
          </cell>
          <cell r="K80" t="str">
            <v>COOP. LAS MARISMAS LEBRIJA</v>
          </cell>
          <cell r="L80" t="str">
            <v>AND</v>
          </cell>
          <cell r="M80" t="str">
            <v>Equipos Masculinos Juveniles</v>
          </cell>
        </row>
        <row r="81">
          <cell r="A81">
            <v>80</v>
          </cell>
          <cell r="B81">
            <v>44</v>
          </cell>
          <cell r="C81">
            <v>45</v>
          </cell>
          <cell r="E81" t="str">
            <v>5ª Jornada - Grupo D</v>
          </cell>
          <cell r="F81">
            <v>29</v>
          </cell>
          <cell r="G81">
            <v>0.375</v>
          </cell>
          <cell r="H81">
            <v>12</v>
          </cell>
          <cell r="I81" t="str">
            <v>C.T.M. GETAFE</v>
          </cell>
          <cell r="J81" t="str">
            <v>MAD</v>
          </cell>
          <cell r="K81" t="str">
            <v>C.T.T. TRAMUNTANA</v>
          </cell>
          <cell r="L81" t="str">
            <v>CAT</v>
          </cell>
          <cell r="M81" t="str">
            <v>Equipos Masculinos Juveniles</v>
          </cell>
        </row>
        <row r="82">
          <cell r="A82">
            <v>81</v>
          </cell>
          <cell r="B82">
            <v>27</v>
          </cell>
          <cell r="C82">
            <v>45</v>
          </cell>
          <cell r="E82" t="str">
            <v>9º al 12º puesto</v>
          </cell>
          <cell r="F82">
            <v>29</v>
          </cell>
          <cell r="G82">
            <v>0.51041666666666663</v>
          </cell>
          <cell r="H82">
            <v>1</v>
          </cell>
          <cell r="I82" t="str">
            <v>A.D.T.M. LEGANÉS</v>
          </cell>
          <cell r="J82" t="str">
            <v>MAD</v>
          </cell>
          <cell r="K82" t="str">
            <v>C.T.T. TRAMUNTANA</v>
          </cell>
          <cell r="L82" t="str">
            <v>CAT</v>
          </cell>
          <cell r="M82" t="str">
            <v>Equipos Masculinos Juveniles</v>
          </cell>
        </row>
        <row r="83">
          <cell r="A83">
            <v>82</v>
          </cell>
          <cell r="B83">
            <v>36</v>
          </cell>
          <cell r="C83">
            <v>33</v>
          </cell>
          <cell r="E83" t="str">
            <v>9º al 12º puesto</v>
          </cell>
          <cell r="F83">
            <v>29</v>
          </cell>
          <cell r="G83">
            <v>0.51041666666666663</v>
          </cell>
          <cell r="H83">
            <v>2</v>
          </cell>
          <cell r="I83" t="str">
            <v>CLUB AT. SAN SEBASTIÁN</v>
          </cell>
          <cell r="J83" t="str">
            <v>PVS</v>
          </cell>
          <cell r="K83" t="str">
            <v>UCAM T.M. CARTAGENA</v>
          </cell>
          <cell r="L83" t="str">
            <v>MUR</v>
          </cell>
          <cell r="M83" t="str">
            <v>Equipos Masculinos Juveniles</v>
          </cell>
        </row>
        <row r="84">
          <cell r="A84">
            <v>83</v>
          </cell>
          <cell r="B84">
            <v>28</v>
          </cell>
          <cell r="C84">
            <v>41</v>
          </cell>
          <cell r="E84" t="str">
            <v>5º al 8º puesto</v>
          </cell>
          <cell r="F84">
            <v>29</v>
          </cell>
          <cell r="G84">
            <v>0.51041666666666663</v>
          </cell>
          <cell r="H84">
            <v>3</v>
          </cell>
          <cell r="I84" t="str">
            <v>BADAJOZ T.M.</v>
          </cell>
          <cell r="J84" t="str">
            <v>EXT</v>
          </cell>
          <cell r="K84" t="str">
            <v>SCHOOL ZARAGOZA T.M.</v>
          </cell>
          <cell r="L84" t="str">
            <v>AND</v>
          </cell>
          <cell r="M84" t="str">
            <v>Equipos Masculinos Juveniles</v>
          </cell>
        </row>
        <row r="85">
          <cell r="A85">
            <v>84</v>
          </cell>
          <cell r="B85">
            <v>38</v>
          </cell>
          <cell r="C85">
            <v>32</v>
          </cell>
          <cell r="E85" t="str">
            <v>5º al 8º puesto</v>
          </cell>
          <cell r="F85">
            <v>29</v>
          </cell>
          <cell r="G85">
            <v>0.51041666666666663</v>
          </cell>
          <cell r="H85">
            <v>4</v>
          </cell>
          <cell r="I85" t="str">
            <v>MERCANTIL SEVILLA</v>
          </cell>
          <cell r="J85" t="str">
            <v>AND</v>
          </cell>
          <cell r="K85" t="str">
            <v>ADA GUADIX LA GENERAL</v>
          </cell>
          <cell r="L85" t="str">
            <v>AND</v>
          </cell>
          <cell r="M85" t="str">
            <v>Equipos Masculinos Juveniles</v>
          </cell>
        </row>
        <row r="86">
          <cell r="A86">
            <v>85</v>
          </cell>
          <cell r="B86">
            <v>26</v>
          </cell>
          <cell r="C86">
            <v>42</v>
          </cell>
          <cell r="E86" t="str">
            <v>Semifinal</v>
          </cell>
          <cell r="F86">
            <v>29</v>
          </cell>
          <cell r="G86">
            <v>0.51041666666666663</v>
          </cell>
          <cell r="H86">
            <v>11</v>
          </cell>
          <cell r="I86" t="str">
            <v>LA GENERAL GRANADA</v>
          </cell>
          <cell r="J86" t="str">
            <v>AND</v>
          </cell>
          <cell r="K86" t="str">
            <v>COOP. LAS MARISMAS LEBRIJA</v>
          </cell>
          <cell r="L86" t="str">
            <v>AND</v>
          </cell>
          <cell r="M86" t="str">
            <v>Equipos Masculinos Juveniles</v>
          </cell>
        </row>
        <row r="87">
          <cell r="A87">
            <v>86</v>
          </cell>
          <cell r="B87">
            <v>37</v>
          </cell>
          <cell r="C87">
            <v>31</v>
          </cell>
          <cell r="E87" t="str">
            <v>Semifinal</v>
          </cell>
          <cell r="F87">
            <v>29</v>
          </cell>
          <cell r="G87">
            <v>0.51041666666666663</v>
          </cell>
          <cell r="H87">
            <v>7</v>
          </cell>
          <cell r="I87" t="str">
            <v>CAN BERARDO RIPOLLET (PDM)</v>
          </cell>
          <cell r="J87" t="str">
            <v>CAT</v>
          </cell>
          <cell r="K87" t="str">
            <v>FINQUES BALTRONS CALELLA</v>
          </cell>
          <cell r="L87" t="str">
            <v>CAT</v>
          </cell>
          <cell r="M87" t="str">
            <v>Equipos Masculinos Juveniles</v>
          </cell>
        </row>
        <row r="88">
          <cell r="A88">
            <v>87</v>
          </cell>
          <cell r="B88">
            <v>45</v>
          </cell>
          <cell r="C88">
            <v>33</v>
          </cell>
          <cell r="E88" t="str">
            <v>11º y 12º puesto</v>
          </cell>
          <cell r="F88">
            <v>29</v>
          </cell>
          <cell r="G88">
            <v>0.82291666666666663</v>
          </cell>
          <cell r="H88">
            <v>1</v>
          </cell>
          <cell r="I88" t="str">
            <v>C.T.T. TRAMUNTANA</v>
          </cell>
          <cell r="J88" t="str">
            <v>CAT</v>
          </cell>
          <cell r="K88" t="str">
            <v>UCAM T.M. CARTAGENA</v>
          </cell>
          <cell r="L88" t="str">
            <v>MUR</v>
          </cell>
          <cell r="M88" t="str">
            <v>Equipos Masculinos Juveniles</v>
          </cell>
        </row>
        <row r="89">
          <cell r="A89">
            <v>88</v>
          </cell>
          <cell r="B89">
            <v>27</v>
          </cell>
          <cell r="C89">
            <v>36</v>
          </cell>
          <cell r="E89" t="str">
            <v>9º y 10º puesto</v>
          </cell>
          <cell r="F89">
            <v>29</v>
          </cell>
          <cell r="G89">
            <v>0.82291666666666663</v>
          </cell>
          <cell r="H89">
            <v>2</v>
          </cell>
          <cell r="I89" t="str">
            <v>A.D.T.M. LEGANÉS</v>
          </cell>
          <cell r="J89" t="str">
            <v>MAD</v>
          </cell>
          <cell r="K89" t="str">
            <v>CLUB AT. SAN SEBASTIÁN</v>
          </cell>
          <cell r="L89" t="str">
            <v>PVS</v>
          </cell>
          <cell r="M89" t="str">
            <v>Equipos Masculinos Juveniles</v>
          </cell>
        </row>
        <row r="90">
          <cell r="A90">
            <v>89</v>
          </cell>
          <cell r="B90">
            <v>41</v>
          </cell>
          <cell r="C90">
            <v>38</v>
          </cell>
          <cell r="E90" t="str">
            <v>7º y 8º puesto</v>
          </cell>
          <cell r="F90">
            <v>29</v>
          </cell>
          <cell r="G90">
            <v>0.82291666666666663</v>
          </cell>
          <cell r="H90">
            <v>3</v>
          </cell>
          <cell r="I90" t="str">
            <v>SCHOOL ZARAGOZA T.M.</v>
          </cell>
          <cell r="J90" t="str">
            <v>AND</v>
          </cell>
          <cell r="K90" t="str">
            <v>MERCANTIL SEVILLA</v>
          </cell>
          <cell r="L90" t="str">
            <v>AND</v>
          </cell>
          <cell r="M90" t="str">
            <v>Equipos Masculinos Juveniles</v>
          </cell>
        </row>
        <row r="91">
          <cell r="A91">
            <v>90</v>
          </cell>
          <cell r="B91">
            <v>28</v>
          </cell>
          <cell r="C91">
            <v>32</v>
          </cell>
          <cell r="E91" t="str">
            <v>5º y 6º puesto</v>
          </cell>
          <cell r="F91">
            <v>29</v>
          </cell>
          <cell r="G91">
            <v>0.82291666666666663</v>
          </cell>
          <cell r="H91">
            <v>4</v>
          </cell>
          <cell r="I91" t="str">
            <v>BADAJOZ T.M.</v>
          </cell>
          <cell r="J91" t="str">
            <v>EXT</v>
          </cell>
          <cell r="K91" t="str">
            <v>ADA GUADIX LA GENERAL</v>
          </cell>
          <cell r="L91" t="str">
            <v>AND</v>
          </cell>
          <cell r="M91" t="str">
            <v>Equipos Masculinos Juveniles</v>
          </cell>
        </row>
        <row r="92">
          <cell r="A92">
            <v>91</v>
          </cell>
          <cell r="B92">
            <v>42</v>
          </cell>
          <cell r="C92">
            <v>37</v>
          </cell>
          <cell r="E92" t="str">
            <v>3º y 4º puesto</v>
          </cell>
          <cell r="F92">
            <v>29</v>
          </cell>
          <cell r="G92">
            <v>0.82291666666666663</v>
          </cell>
          <cell r="H92">
            <v>5</v>
          </cell>
          <cell r="I92" t="str">
            <v>COOP. LAS MARISMAS LEBRIJA</v>
          </cell>
          <cell r="J92" t="str">
            <v>AND</v>
          </cell>
          <cell r="K92" t="str">
            <v>CAN BERARDO RIPOLLET (PDM)</v>
          </cell>
          <cell r="L92" t="str">
            <v>CAT</v>
          </cell>
          <cell r="M92" t="str">
            <v>Equipos Masculinos Juveniles</v>
          </cell>
        </row>
        <row r="93">
          <cell r="A93">
            <v>92</v>
          </cell>
          <cell r="B93">
            <v>26</v>
          </cell>
          <cell r="C93">
            <v>31</v>
          </cell>
          <cell r="E93" t="str">
            <v>FINAL</v>
          </cell>
          <cell r="F93">
            <v>29</v>
          </cell>
          <cell r="G93">
            <v>0.82291666666666663</v>
          </cell>
          <cell r="H93">
            <v>10</v>
          </cell>
          <cell r="I93" t="str">
            <v>LA GENERAL GRANADA</v>
          </cell>
          <cell r="J93" t="str">
            <v>AND</v>
          </cell>
          <cell r="K93" t="str">
            <v>FINQUES BALTRONS CALELLA</v>
          </cell>
          <cell r="L93" t="str">
            <v>CAT</v>
          </cell>
          <cell r="M93" t="str">
            <v>Equipos Masculinos Juveniles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IM"/>
      <sheetName val="IF"/>
      <sheetName val="DM"/>
      <sheetName val="DF"/>
      <sheetName val="DX"/>
      <sheetName val="PIM"/>
      <sheetName val="PIF"/>
      <sheetName val="PDM"/>
      <sheetName val="PDX"/>
      <sheetName val="Actas"/>
      <sheetName val="EMyEF"/>
      <sheetName val="Encuen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  <cell r="G2" t="str">
            <v>LA GENERAL DE GRANADA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  <cell r="G3" t="str">
            <v>C.T.M. PORTUENSE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  <cell r="G4" t="str">
            <v>C.T.M. PORTUENSE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  <cell r="G5" t="str">
            <v>C.T.M. PORTUENSE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  <cell r="G6" t="str">
            <v>LA GENERAL DE GRANADA</v>
          </cell>
        </row>
        <row r="7">
          <cell r="A7">
            <v>107</v>
          </cell>
          <cell r="B7" t="str">
            <v>LI</v>
          </cell>
          <cell r="C7" t="str">
            <v>Qi</v>
          </cell>
          <cell r="D7" t="str">
            <v>AND</v>
          </cell>
          <cell r="E7" t="str">
            <v>LI, Qi</v>
          </cell>
          <cell r="G7" t="str">
            <v>TECH-LUZ LA ZUBIA</v>
          </cell>
        </row>
        <row r="8">
          <cell r="A8">
            <v>108</v>
          </cell>
          <cell r="B8" t="str">
            <v>LIU</v>
          </cell>
          <cell r="C8" t="str">
            <v>Jun Hui</v>
          </cell>
          <cell r="D8" t="str">
            <v>AND</v>
          </cell>
          <cell r="E8" t="str">
            <v>LIU, Jun Hui</v>
          </cell>
          <cell r="G8" t="str">
            <v>CONFECCIONES RUMADI</v>
          </cell>
        </row>
        <row r="9">
          <cell r="A9">
            <v>109</v>
          </cell>
          <cell r="B9" t="str">
            <v>LOZANO</v>
          </cell>
          <cell r="C9" t="str">
            <v>Álvaro</v>
          </cell>
          <cell r="D9" t="str">
            <v>AND</v>
          </cell>
          <cell r="E9" t="str">
            <v>LOZANO, Álvaro</v>
          </cell>
          <cell r="G9" t="str">
            <v>CAJAGRANADA</v>
          </cell>
        </row>
        <row r="10">
          <cell r="A10">
            <v>110</v>
          </cell>
          <cell r="B10" t="str">
            <v>MACHADO</v>
          </cell>
          <cell r="C10" t="str">
            <v>Carlos</v>
          </cell>
          <cell r="D10" t="str">
            <v>AND</v>
          </cell>
          <cell r="E10" t="str">
            <v>MACHADO, Carlos</v>
          </cell>
          <cell r="F10">
            <v>1018</v>
          </cell>
          <cell r="G10" t="str">
            <v>CAJASUR PRIEGO</v>
          </cell>
        </row>
        <row r="11">
          <cell r="A11">
            <v>111</v>
          </cell>
          <cell r="B11" t="str">
            <v>MACHADO</v>
          </cell>
          <cell r="C11" t="str">
            <v>José Luis</v>
          </cell>
          <cell r="D11" t="str">
            <v>AND</v>
          </cell>
          <cell r="E11" t="str">
            <v>MACHADO, José Luis</v>
          </cell>
          <cell r="F11">
            <v>790</v>
          </cell>
          <cell r="G11" t="str">
            <v>CAJASUR PRIEGO</v>
          </cell>
        </row>
        <row r="12">
          <cell r="A12">
            <v>112</v>
          </cell>
          <cell r="B12" t="str">
            <v>MARTÍN</v>
          </cell>
          <cell r="C12" t="str">
            <v>Carlos</v>
          </cell>
          <cell r="D12" t="str">
            <v>AND</v>
          </cell>
          <cell r="E12" t="str">
            <v>MARTÍN, Carlos</v>
          </cell>
          <cell r="G12" t="str">
            <v>CAJAGRANADA</v>
          </cell>
        </row>
        <row r="13">
          <cell r="A13">
            <v>114</v>
          </cell>
          <cell r="B13" t="str">
            <v>MORENO</v>
          </cell>
          <cell r="C13" t="str">
            <v>Pablo</v>
          </cell>
          <cell r="D13" t="str">
            <v>AND</v>
          </cell>
          <cell r="E13" t="str">
            <v>MORENO, Pablo</v>
          </cell>
          <cell r="G13" t="str">
            <v>CAJAGRANADA</v>
          </cell>
        </row>
        <row r="14">
          <cell r="A14">
            <v>115</v>
          </cell>
          <cell r="B14" t="str">
            <v>RADENBACH</v>
          </cell>
          <cell r="C14" t="str">
            <v>Fred</v>
          </cell>
          <cell r="D14" t="str">
            <v>AND</v>
          </cell>
          <cell r="E14" t="str">
            <v>RADENBACH, Fred</v>
          </cell>
          <cell r="G14" t="str">
            <v>TECH-LUZ LA ZUBIA</v>
          </cell>
        </row>
        <row r="15">
          <cell r="A15">
            <v>116</v>
          </cell>
          <cell r="B15" t="str">
            <v>ROSARIO</v>
          </cell>
          <cell r="C15" t="str">
            <v>David</v>
          </cell>
          <cell r="D15" t="str">
            <v>AND</v>
          </cell>
          <cell r="E15" t="str">
            <v>ROSARIO, David</v>
          </cell>
          <cell r="F15">
            <v>669</v>
          </cell>
          <cell r="G15" t="str">
            <v>C.T.M. PORTUENSE</v>
          </cell>
        </row>
        <row r="16">
          <cell r="A16">
            <v>117</v>
          </cell>
          <cell r="B16" t="str">
            <v>RUIZ</v>
          </cell>
          <cell r="C16" t="str">
            <v>Isidro</v>
          </cell>
          <cell r="D16" t="str">
            <v>AND</v>
          </cell>
          <cell r="E16" t="str">
            <v>RUIZ, Isidro</v>
          </cell>
          <cell r="G16" t="str">
            <v>CONFECCIONES RUMADI</v>
          </cell>
        </row>
        <row r="17">
          <cell r="A17">
            <v>118</v>
          </cell>
          <cell r="B17" t="str">
            <v>RUIZ</v>
          </cell>
          <cell r="C17" t="str">
            <v>José Antonio</v>
          </cell>
          <cell r="D17" t="str">
            <v>AND</v>
          </cell>
          <cell r="E17" t="str">
            <v>RUIZ, José Antonio</v>
          </cell>
          <cell r="F17">
            <v>411</v>
          </cell>
          <cell r="G17" t="str">
            <v>CONFECCIONES RUMADI</v>
          </cell>
        </row>
        <row r="18">
          <cell r="A18">
            <v>119</v>
          </cell>
          <cell r="B18" t="str">
            <v>RUIZ</v>
          </cell>
          <cell r="C18" t="str">
            <v>José Manuel</v>
          </cell>
          <cell r="D18" t="str">
            <v>AND</v>
          </cell>
          <cell r="E18" t="str">
            <v>RUIZ, José Manuel</v>
          </cell>
          <cell r="G18" t="str">
            <v>CAJAGRANADA</v>
          </cell>
        </row>
        <row r="19">
          <cell r="A19">
            <v>120</v>
          </cell>
          <cell r="B19" t="str">
            <v>SÁNCHEZ</v>
          </cell>
          <cell r="C19" t="str">
            <v>Víctor</v>
          </cell>
          <cell r="D19" t="str">
            <v>AND</v>
          </cell>
          <cell r="E19" t="str">
            <v>SÁNCHEZ, Víctor</v>
          </cell>
          <cell r="F19">
            <v>984</v>
          </cell>
          <cell r="G19" t="str">
            <v>LA GENERAL DE GRANADA</v>
          </cell>
        </row>
        <row r="20">
          <cell r="A20">
            <v>121</v>
          </cell>
          <cell r="B20" t="str">
            <v>SEVILLA</v>
          </cell>
          <cell r="C20" t="str">
            <v>Juan Bautista</v>
          </cell>
          <cell r="D20" t="str">
            <v>AND</v>
          </cell>
          <cell r="E20" t="str">
            <v>SEVILLA, Juan Bautista</v>
          </cell>
          <cell r="F20">
            <v>774</v>
          </cell>
          <cell r="G20" t="str">
            <v>TECH-LUZ LA ZUBIA</v>
          </cell>
        </row>
        <row r="21">
          <cell r="A21">
            <v>122</v>
          </cell>
          <cell r="B21" t="str">
            <v>TOL</v>
          </cell>
          <cell r="C21" t="str">
            <v>Christian</v>
          </cell>
          <cell r="D21" t="str">
            <v>AND</v>
          </cell>
          <cell r="E21" t="str">
            <v>TOL, Christian</v>
          </cell>
          <cell r="G21" t="str">
            <v>CONFECCIONES RUMADI</v>
          </cell>
        </row>
        <row r="22">
          <cell r="A22">
            <v>123</v>
          </cell>
          <cell r="B22" t="str">
            <v>WAHAB</v>
          </cell>
          <cell r="C22" t="str">
            <v>Ahmed</v>
          </cell>
          <cell r="D22" t="str">
            <v>AND</v>
          </cell>
          <cell r="E22" t="str">
            <v>WAHAB, Ahmed</v>
          </cell>
          <cell r="G22" t="str">
            <v>CAJASUR PRIEGO</v>
          </cell>
        </row>
        <row r="23">
          <cell r="A23">
            <v>124</v>
          </cell>
          <cell r="B23" t="str">
            <v>BEAMONTE</v>
          </cell>
          <cell r="C23" t="str">
            <v>Alfonso</v>
          </cell>
          <cell r="D23" t="str">
            <v>ARA</v>
          </cell>
          <cell r="E23" t="str">
            <v>BEAMONTE, Alfonso</v>
          </cell>
          <cell r="G23" t="str">
            <v>SCHOOL ZARAGOZA</v>
          </cell>
        </row>
        <row r="24">
          <cell r="A24">
            <v>125</v>
          </cell>
          <cell r="B24" t="str">
            <v>CHAN</v>
          </cell>
          <cell r="C24" t="str">
            <v>Koon Wah</v>
          </cell>
          <cell r="D24" t="str">
            <v>ARA</v>
          </cell>
          <cell r="E24" t="str">
            <v>CHAN, Koon Wah</v>
          </cell>
          <cell r="G24" t="str">
            <v>SCHOOL ZARAGOZA</v>
          </cell>
        </row>
        <row r="25">
          <cell r="A25">
            <v>126</v>
          </cell>
          <cell r="B25" t="str">
            <v>GALLEGO</v>
          </cell>
          <cell r="C25" t="str">
            <v>Félix</v>
          </cell>
          <cell r="D25" t="str">
            <v>ARA</v>
          </cell>
          <cell r="E25" t="str">
            <v>GALLEGO, Félix</v>
          </cell>
          <cell r="G25" t="str">
            <v>SCHOOL ZARAGOZA</v>
          </cell>
        </row>
        <row r="26">
          <cell r="A26">
            <v>127</v>
          </cell>
          <cell r="B26" t="str">
            <v>ALFONSO</v>
          </cell>
          <cell r="C26" t="str">
            <v>Salvador</v>
          </cell>
          <cell r="D26" t="str">
            <v>AST</v>
          </cell>
          <cell r="E26" t="str">
            <v>ALFONSO, Salvador</v>
          </cell>
          <cell r="G26" t="str">
            <v>OVIEDO MADRID T.M.</v>
          </cell>
        </row>
        <row r="27">
          <cell r="A27">
            <v>128</v>
          </cell>
          <cell r="B27" t="str">
            <v>BURGOS</v>
          </cell>
          <cell r="C27" t="str">
            <v>Aurelio</v>
          </cell>
          <cell r="D27" t="str">
            <v>AST</v>
          </cell>
          <cell r="E27" t="str">
            <v>BURGOS, Aurelio</v>
          </cell>
          <cell r="G27" t="str">
            <v>OVIEDO MADRID T.M.</v>
          </cell>
        </row>
        <row r="28">
          <cell r="A28">
            <v>131</v>
          </cell>
          <cell r="B28" t="str">
            <v>SUÁREZ</v>
          </cell>
          <cell r="C28" t="str">
            <v>David</v>
          </cell>
          <cell r="D28" t="str">
            <v>AST</v>
          </cell>
          <cell r="E28" t="str">
            <v>SUÁREZ, David</v>
          </cell>
          <cell r="G28" t="str">
            <v>OVIEDO MADRID T.M.</v>
          </cell>
        </row>
        <row r="29">
          <cell r="A29">
            <v>132</v>
          </cell>
          <cell r="B29" t="str">
            <v>GARCÍA</v>
          </cell>
          <cell r="C29" t="str">
            <v>Luis</v>
          </cell>
          <cell r="D29" t="str">
            <v>CYL</v>
          </cell>
          <cell r="E29" t="str">
            <v>GARCÍA, Luis</v>
          </cell>
        </row>
        <row r="30">
          <cell r="A30">
            <v>133</v>
          </cell>
          <cell r="B30" t="str">
            <v>GONZÁLEZ</v>
          </cell>
          <cell r="C30" t="str">
            <v>Jorge</v>
          </cell>
          <cell r="D30" t="str">
            <v>CYL</v>
          </cell>
          <cell r="E30" t="str">
            <v>GONZÁLEZ, Jorge</v>
          </cell>
        </row>
        <row r="31">
          <cell r="A31">
            <v>134</v>
          </cell>
          <cell r="B31" t="str">
            <v>MORA</v>
          </cell>
          <cell r="C31" t="str">
            <v>Javier</v>
          </cell>
          <cell r="D31" t="str">
            <v>CYL</v>
          </cell>
          <cell r="E31" t="str">
            <v>MORA, Javier</v>
          </cell>
        </row>
        <row r="32">
          <cell r="A32">
            <v>135</v>
          </cell>
          <cell r="B32" t="str">
            <v>ZÁRATE</v>
          </cell>
          <cell r="C32" t="str">
            <v>Pablo</v>
          </cell>
          <cell r="D32" t="str">
            <v>CYL</v>
          </cell>
          <cell r="E32" t="str">
            <v>ZÁRATE, Pablo</v>
          </cell>
        </row>
        <row r="33">
          <cell r="A33">
            <v>136</v>
          </cell>
          <cell r="B33" t="str">
            <v>CHEN</v>
          </cell>
          <cell r="C33" t="str">
            <v>Wei</v>
          </cell>
          <cell r="D33" t="str">
            <v>CYL</v>
          </cell>
          <cell r="E33" t="str">
            <v>CHEN, Wei</v>
          </cell>
          <cell r="G33" t="str">
            <v>VALLADOLID T.M.</v>
          </cell>
        </row>
        <row r="34">
          <cell r="A34">
            <v>137</v>
          </cell>
          <cell r="B34" t="str">
            <v>ECHAZARRETA</v>
          </cell>
          <cell r="C34" t="str">
            <v>Sonia</v>
          </cell>
          <cell r="D34" t="str">
            <v>CYL</v>
          </cell>
          <cell r="E34" t="str">
            <v>ECHAZARRETA, Sonia</v>
          </cell>
          <cell r="G34" t="str">
            <v>VALLADOLID T.M.</v>
          </cell>
        </row>
        <row r="35">
          <cell r="A35">
            <v>138</v>
          </cell>
          <cell r="B35" t="str">
            <v>GALLO</v>
          </cell>
          <cell r="C35" t="str">
            <v>Mª Carmen</v>
          </cell>
          <cell r="D35" t="str">
            <v>CYL</v>
          </cell>
          <cell r="E35" t="str">
            <v>GALLO, Mª Carmen</v>
          </cell>
          <cell r="G35" t="str">
            <v>VALLADOLID T.M. (1ª NNAL.)</v>
          </cell>
        </row>
        <row r="36">
          <cell r="A36">
            <v>139</v>
          </cell>
          <cell r="B36" t="str">
            <v>MARTÍN</v>
          </cell>
          <cell r="C36" t="str">
            <v>María</v>
          </cell>
          <cell r="D36" t="str">
            <v>CYL</v>
          </cell>
          <cell r="E36" t="str">
            <v>MARTÍN, María</v>
          </cell>
          <cell r="G36" t="str">
            <v>VALLADOLID T.M. (1ª NNAL.)</v>
          </cell>
        </row>
        <row r="37">
          <cell r="A37">
            <v>140</v>
          </cell>
          <cell r="B37" t="str">
            <v>MATILLA</v>
          </cell>
          <cell r="C37" t="str">
            <v>Irene</v>
          </cell>
          <cell r="D37" t="str">
            <v>CYL</v>
          </cell>
          <cell r="E37" t="str">
            <v>MATILLA, Irene</v>
          </cell>
          <cell r="G37" t="str">
            <v>VALLADOLID T.M. (1ª NNAL.)</v>
          </cell>
        </row>
        <row r="38">
          <cell r="A38">
            <v>141</v>
          </cell>
          <cell r="B38" t="str">
            <v>PANADERO</v>
          </cell>
          <cell r="C38" t="str">
            <v>Gloria</v>
          </cell>
          <cell r="D38" t="str">
            <v>CYL</v>
          </cell>
          <cell r="E38" t="str">
            <v>PANADERO, Gloria</v>
          </cell>
          <cell r="F38">
            <v>634</v>
          </cell>
          <cell r="G38" t="str">
            <v>VALLADOLID T.M.</v>
          </cell>
        </row>
        <row r="39">
          <cell r="A39">
            <v>142</v>
          </cell>
          <cell r="B39" t="str">
            <v>PORTA</v>
          </cell>
          <cell r="C39" t="str">
            <v>Idoia</v>
          </cell>
          <cell r="D39" t="str">
            <v>CYL</v>
          </cell>
          <cell r="E39" t="str">
            <v>PORTA, Idoia</v>
          </cell>
          <cell r="G39" t="str">
            <v>VALLADOLID T.M. (1ª NNAL.)</v>
          </cell>
        </row>
        <row r="40">
          <cell r="A40">
            <v>143</v>
          </cell>
          <cell r="B40" t="str">
            <v>VILÁ</v>
          </cell>
          <cell r="C40" t="str">
            <v>Roser</v>
          </cell>
          <cell r="D40" t="str">
            <v>CYL</v>
          </cell>
          <cell r="E40" t="str">
            <v>VILÁ, Roser</v>
          </cell>
          <cell r="F40">
            <v>892</v>
          </cell>
          <cell r="G40" t="str">
            <v>VALLADOLID T.M.</v>
          </cell>
        </row>
        <row r="41">
          <cell r="A41">
            <v>144</v>
          </cell>
          <cell r="B41" t="str">
            <v>ANDRADE</v>
          </cell>
          <cell r="C41" t="str">
            <v>Josep Lluis</v>
          </cell>
          <cell r="D41" t="str">
            <v>CAT</v>
          </cell>
          <cell r="E41" t="str">
            <v>ANDRADE, Josep Lluis</v>
          </cell>
          <cell r="G41" t="str">
            <v>CAN BERARDO RIPOLLET</v>
          </cell>
        </row>
        <row r="42">
          <cell r="A42">
            <v>145</v>
          </cell>
          <cell r="B42" t="str">
            <v>ARNAU</v>
          </cell>
          <cell r="C42" t="str">
            <v>Miquel</v>
          </cell>
          <cell r="D42" t="str">
            <v>CAT</v>
          </cell>
          <cell r="E42" t="str">
            <v>ARNAU, Miquel</v>
          </cell>
          <cell r="F42">
            <v>413</v>
          </cell>
          <cell r="G42" t="str">
            <v>CAN BERARDO RIPOLLET</v>
          </cell>
        </row>
        <row r="43">
          <cell r="A43">
            <v>146</v>
          </cell>
          <cell r="B43" t="str">
            <v>BACARISAS</v>
          </cell>
          <cell r="C43" t="str">
            <v>Jordi</v>
          </cell>
          <cell r="D43" t="str">
            <v>CAT</v>
          </cell>
          <cell r="E43" t="str">
            <v>BACARISAS, Jordi</v>
          </cell>
          <cell r="F43">
            <v>169</v>
          </cell>
          <cell r="G43" t="str">
            <v>C.T.T. SANT VICENT</v>
          </cell>
        </row>
        <row r="44">
          <cell r="A44">
            <v>147</v>
          </cell>
          <cell r="B44" t="str">
            <v>CANO</v>
          </cell>
          <cell r="C44" t="str">
            <v>Andreu</v>
          </cell>
          <cell r="D44" t="str">
            <v>CAT</v>
          </cell>
          <cell r="E44" t="str">
            <v>CANO, Andreu</v>
          </cell>
          <cell r="G44" t="str">
            <v>CAN BERARDO RIPOLLET</v>
          </cell>
        </row>
        <row r="45">
          <cell r="A45">
            <v>148</v>
          </cell>
          <cell r="B45" t="str">
            <v>CLOTET</v>
          </cell>
          <cell r="C45" t="str">
            <v>Marc</v>
          </cell>
          <cell r="D45" t="str">
            <v>CAT</v>
          </cell>
          <cell r="E45" t="str">
            <v>CLOTET, Marc</v>
          </cell>
          <cell r="F45">
            <v>169</v>
          </cell>
          <cell r="G45" t="str">
            <v>C.T.T. SANT VICENT</v>
          </cell>
        </row>
        <row r="46">
          <cell r="A46">
            <v>149</v>
          </cell>
          <cell r="B46" t="str">
            <v>DURÁN</v>
          </cell>
          <cell r="C46" t="str">
            <v>Marc</v>
          </cell>
          <cell r="D46" t="str">
            <v>CAT</v>
          </cell>
          <cell r="E46" t="str">
            <v>DURÁN, Marc</v>
          </cell>
        </row>
        <row r="47">
          <cell r="A47">
            <v>150</v>
          </cell>
          <cell r="B47" t="str">
            <v>DVORAK</v>
          </cell>
          <cell r="C47" t="str">
            <v>Vladimir</v>
          </cell>
          <cell r="D47" t="str">
            <v>CAT</v>
          </cell>
          <cell r="E47" t="str">
            <v>DVORAK, Vladimir</v>
          </cell>
          <cell r="G47" t="str">
            <v>CAN BERARDO RIPOLLET</v>
          </cell>
        </row>
        <row r="48">
          <cell r="A48">
            <v>151</v>
          </cell>
          <cell r="B48" t="str">
            <v>ESCAMILLA</v>
          </cell>
          <cell r="C48" t="str">
            <v>Eduard</v>
          </cell>
          <cell r="D48" t="str">
            <v>CAT</v>
          </cell>
          <cell r="E48" t="str">
            <v>ESCAMILLA, Eduard</v>
          </cell>
          <cell r="F48">
            <v>543</v>
          </cell>
          <cell r="G48" t="str">
            <v>C.T.T. SANT VICENT</v>
          </cell>
        </row>
        <row r="49">
          <cell r="A49">
            <v>152</v>
          </cell>
          <cell r="B49" t="str">
            <v>FONT</v>
          </cell>
          <cell r="C49" t="str">
            <v>Carles</v>
          </cell>
          <cell r="D49" t="str">
            <v>CAT</v>
          </cell>
          <cell r="E49" t="str">
            <v>FONT, Carles</v>
          </cell>
        </row>
        <row r="50">
          <cell r="A50">
            <v>153</v>
          </cell>
          <cell r="B50" t="str">
            <v>MAMPEL</v>
          </cell>
          <cell r="C50" t="str">
            <v>Ramón</v>
          </cell>
          <cell r="D50" t="str">
            <v>CAT</v>
          </cell>
          <cell r="E50" t="str">
            <v>MAMPEL, Ramón</v>
          </cell>
        </row>
        <row r="51">
          <cell r="A51">
            <v>154</v>
          </cell>
          <cell r="B51" t="str">
            <v>MARTÍNEZ</v>
          </cell>
          <cell r="C51" t="str">
            <v>Iván</v>
          </cell>
          <cell r="D51" t="str">
            <v>CAT</v>
          </cell>
          <cell r="E51" t="str">
            <v>MARTÍNEZ, Iván</v>
          </cell>
          <cell r="F51">
            <v>168</v>
          </cell>
          <cell r="G51" t="str">
            <v>C.T.T. SANT VICENT</v>
          </cell>
        </row>
        <row r="52">
          <cell r="A52">
            <v>156</v>
          </cell>
          <cell r="B52" t="str">
            <v>MASALÓ</v>
          </cell>
          <cell r="C52" t="str">
            <v>Jordi</v>
          </cell>
          <cell r="D52" t="str">
            <v>CAT</v>
          </cell>
          <cell r="E52" t="str">
            <v>MASALÓ, Jordi</v>
          </cell>
          <cell r="G52" t="str">
            <v>C.T.T. TONA SEVA</v>
          </cell>
        </row>
        <row r="53">
          <cell r="A53">
            <v>157</v>
          </cell>
          <cell r="B53" t="str">
            <v>MOLINS</v>
          </cell>
          <cell r="C53" t="str">
            <v>Josep Ignasi</v>
          </cell>
          <cell r="D53" t="str">
            <v>CAT</v>
          </cell>
          <cell r="E53" t="str">
            <v>MOLINS, Josep Ignasi</v>
          </cell>
          <cell r="G53" t="str">
            <v>C.T.T. TONA SEVA</v>
          </cell>
        </row>
        <row r="54">
          <cell r="A54">
            <v>158</v>
          </cell>
          <cell r="B54" t="str">
            <v>MOURZOV</v>
          </cell>
          <cell r="C54" t="str">
            <v>Alexei</v>
          </cell>
          <cell r="D54" t="str">
            <v>CAT</v>
          </cell>
          <cell r="E54" t="str">
            <v>MOURZOV, Alexei</v>
          </cell>
          <cell r="G54" t="str">
            <v>C.E.R. LA ESCALA</v>
          </cell>
        </row>
        <row r="55">
          <cell r="A55">
            <v>159</v>
          </cell>
          <cell r="B55" t="str">
            <v>MOUZIKYNE</v>
          </cell>
          <cell r="C55" t="str">
            <v>Andrei</v>
          </cell>
          <cell r="D55" t="str">
            <v>CAT</v>
          </cell>
          <cell r="E55" t="str">
            <v>MOUZIKYNE, Andrei</v>
          </cell>
          <cell r="G55" t="str">
            <v>C.E.R. LA ESCALA</v>
          </cell>
        </row>
        <row r="56">
          <cell r="A56">
            <v>160</v>
          </cell>
          <cell r="B56" t="str">
            <v>PALÉS</v>
          </cell>
          <cell r="C56" t="str">
            <v>Josep María</v>
          </cell>
          <cell r="D56" t="str">
            <v>CAT</v>
          </cell>
          <cell r="E56" t="str">
            <v>PALÉS, Josep María</v>
          </cell>
          <cell r="F56">
            <v>662</v>
          </cell>
          <cell r="G56" t="str">
            <v>CAN BERARDO RIPOLLET</v>
          </cell>
        </row>
        <row r="57">
          <cell r="A57">
            <v>161</v>
          </cell>
          <cell r="B57" t="str">
            <v>PIELLA</v>
          </cell>
          <cell r="C57" t="str">
            <v>Jordi</v>
          </cell>
          <cell r="D57" t="str">
            <v>CAT</v>
          </cell>
          <cell r="E57" t="str">
            <v>PIELLA, Jordi</v>
          </cell>
          <cell r="F57">
            <v>545</v>
          </cell>
          <cell r="G57" t="str">
            <v>C.E.R. LA ESCALA</v>
          </cell>
        </row>
        <row r="58">
          <cell r="A58">
            <v>162</v>
          </cell>
          <cell r="B58" t="str">
            <v>TORRENS</v>
          </cell>
          <cell r="C58" t="str">
            <v>Gerard</v>
          </cell>
          <cell r="D58" t="str">
            <v>CAT</v>
          </cell>
          <cell r="E58" t="str">
            <v>TORRENS, Gerard</v>
          </cell>
        </row>
        <row r="59">
          <cell r="A59">
            <v>163</v>
          </cell>
          <cell r="B59" t="str">
            <v>ALMAGRO</v>
          </cell>
          <cell r="C59" t="str">
            <v>Meritxell</v>
          </cell>
          <cell r="D59" t="str">
            <v>CAT</v>
          </cell>
          <cell r="E59" t="str">
            <v>ALMAGRO, Meritxell</v>
          </cell>
          <cell r="F59">
            <v>482</v>
          </cell>
          <cell r="G59" t="str">
            <v>K 100 SOCKS CALELLA</v>
          </cell>
        </row>
        <row r="60">
          <cell r="A60">
            <v>164</v>
          </cell>
          <cell r="B60" t="str">
            <v>ARNAU</v>
          </cell>
          <cell r="C60" t="str">
            <v>Elisabet</v>
          </cell>
          <cell r="D60" t="str">
            <v>CAT</v>
          </cell>
          <cell r="E60" t="str">
            <v>ARNAU, Elisabet</v>
          </cell>
          <cell r="F60">
            <v>773</v>
          </cell>
          <cell r="G60" t="str">
            <v>FINQUES RIPOLLET</v>
          </cell>
        </row>
        <row r="61">
          <cell r="A61">
            <v>165</v>
          </cell>
          <cell r="B61" t="str">
            <v>BOSCH</v>
          </cell>
          <cell r="C61" t="str">
            <v>Julia</v>
          </cell>
          <cell r="D61" t="str">
            <v>CAT</v>
          </cell>
          <cell r="E61" t="str">
            <v>BOSCH, Julia</v>
          </cell>
          <cell r="F61">
            <v>207</v>
          </cell>
          <cell r="G61" t="str">
            <v>CLUB NATACIÓN MATARÓ</v>
          </cell>
        </row>
        <row r="62">
          <cell r="A62">
            <v>166</v>
          </cell>
          <cell r="B62" t="str">
            <v>BOVER</v>
          </cell>
          <cell r="C62" t="str">
            <v>Montse</v>
          </cell>
          <cell r="D62" t="str">
            <v>CAT</v>
          </cell>
          <cell r="E62" t="str">
            <v>BOVER, Montse</v>
          </cell>
          <cell r="G62" t="str">
            <v>FOTOPRIX VIC T.T.</v>
          </cell>
        </row>
        <row r="63">
          <cell r="A63">
            <v>167</v>
          </cell>
          <cell r="B63" t="str">
            <v>DVORAK</v>
          </cell>
          <cell r="C63" t="str">
            <v>Galia</v>
          </cell>
          <cell r="D63" t="str">
            <v>CAT</v>
          </cell>
          <cell r="E63" t="str">
            <v>DVORAK, Galia</v>
          </cell>
          <cell r="F63">
            <v>252</v>
          </cell>
          <cell r="G63" t="str">
            <v>CLUB NATACIÓN MATARÓ</v>
          </cell>
        </row>
        <row r="64">
          <cell r="A64">
            <v>168</v>
          </cell>
          <cell r="B64" t="str">
            <v>HERNÁNDEZ</v>
          </cell>
          <cell r="C64" t="str">
            <v>Jéssica</v>
          </cell>
          <cell r="D64" t="str">
            <v>CAT</v>
          </cell>
          <cell r="E64" t="str">
            <v>HERNÁNDEZ, Jéssica</v>
          </cell>
          <cell r="F64">
            <v>733</v>
          </cell>
          <cell r="G64" t="str">
            <v>CLUB NATACIÓN MATARÓ</v>
          </cell>
        </row>
        <row r="65">
          <cell r="A65">
            <v>169</v>
          </cell>
          <cell r="B65" t="str">
            <v>JURADO</v>
          </cell>
          <cell r="C65" t="str">
            <v>Miriea</v>
          </cell>
          <cell r="D65" t="str">
            <v>CAT</v>
          </cell>
          <cell r="E65" t="str">
            <v>JURADO, Miriea</v>
          </cell>
          <cell r="F65">
            <v>219</v>
          </cell>
          <cell r="G65" t="str">
            <v>FINQUES RIPOLLET</v>
          </cell>
        </row>
        <row r="66">
          <cell r="A66">
            <v>170</v>
          </cell>
          <cell r="B66" t="str">
            <v>KHASSANOVA</v>
          </cell>
          <cell r="C66" t="str">
            <v>Flora</v>
          </cell>
          <cell r="D66" t="str">
            <v>CAT</v>
          </cell>
          <cell r="E66" t="str">
            <v>KHASSANOVA, Flora</v>
          </cell>
          <cell r="G66" t="str">
            <v>CLUB NATACIÓN MATARÓ</v>
          </cell>
        </row>
        <row r="67">
          <cell r="A67">
            <v>171</v>
          </cell>
          <cell r="B67" t="str">
            <v>KOMRAKOVA</v>
          </cell>
          <cell r="C67" t="str">
            <v>Elena</v>
          </cell>
          <cell r="D67" t="str">
            <v>CAT</v>
          </cell>
          <cell r="E67" t="str">
            <v>KOMRAKOVA, Elena</v>
          </cell>
          <cell r="G67" t="str">
            <v>BAGÁ PETROCAT</v>
          </cell>
        </row>
        <row r="68">
          <cell r="A68">
            <v>172</v>
          </cell>
          <cell r="B68" t="str">
            <v>KONOVALOVA</v>
          </cell>
          <cell r="C68" t="str">
            <v>Natalia</v>
          </cell>
          <cell r="D68" t="str">
            <v>CAT</v>
          </cell>
          <cell r="E68" t="str">
            <v>KONOVALOVA, Natalia</v>
          </cell>
          <cell r="G68" t="str">
            <v>K 100 SOCKS CALELLA</v>
          </cell>
        </row>
        <row r="69">
          <cell r="A69">
            <v>174</v>
          </cell>
          <cell r="B69" t="str">
            <v>MORERA</v>
          </cell>
          <cell r="C69" t="str">
            <v>Mercé</v>
          </cell>
          <cell r="D69" t="str">
            <v>CAT</v>
          </cell>
          <cell r="E69" t="str">
            <v>MORERA, Mercé</v>
          </cell>
          <cell r="G69" t="str">
            <v>FOTOPRIX VIC T.T.</v>
          </cell>
        </row>
        <row r="70">
          <cell r="A70">
            <v>175</v>
          </cell>
          <cell r="B70" t="str">
            <v>NIKOLOVA</v>
          </cell>
          <cell r="C70" t="str">
            <v>Milena</v>
          </cell>
          <cell r="D70" t="str">
            <v>CAT</v>
          </cell>
          <cell r="E70" t="str">
            <v>NIKOLOVA, Milena</v>
          </cell>
          <cell r="G70" t="str">
            <v>FINQUES RIPOLLET</v>
          </cell>
        </row>
        <row r="71">
          <cell r="A71">
            <v>176</v>
          </cell>
          <cell r="B71" t="str">
            <v>PETROVA</v>
          </cell>
          <cell r="C71" t="str">
            <v>Detelina</v>
          </cell>
          <cell r="D71" t="str">
            <v>CAT</v>
          </cell>
          <cell r="E71" t="str">
            <v>PETROVA, Detelina</v>
          </cell>
          <cell r="G71" t="str">
            <v>FOTOPRIX VIC T.T.</v>
          </cell>
        </row>
        <row r="72">
          <cell r="A72">
            <v>177</v>
          </cell>
          <cell r="B72" t="str">
            <v>PUIG</v>
          </cell>
          <cell r="C72" t="str">
            <v>Tania</v>
          </cell>
          <cell r="D72" t="str">
            <v>CAT</v>
          </cell>
          <cell r="E72" t="str">
            <v>PUIG, Tania</v>
          </cell>
          <cell r="F72">
            <v>389</v>
          </cell>
          <cell r="G72" t="str">
            <v>K 100 SOCKS CALELLA</v>
          </cell>
        </row>
        <row r="73">
          <cell r="A73">
            <v>178</v>
          </cell>
          <cell r="B73" t="str">
            <v>RAMÍREZ</v>
          </cell>
          <cell r="C73" t="str">
            <v>Sara</v>
          </cell>
          <cell r="D73" t="str">
            <v>CAT</v>
          </cell>
          <cell r="E73" t="str">
            <v>RAMÍREZ, Sara</v>
          </cell>
          <cell r="F73">
            <v>146</v>
          </cell>
          <cell r="G73" t="str">
            <v>FINQUES RIPOLLET</v>
          </cell>
        </row>
        <row r="74">
          <cell r="A74">
            <v>179</v>
          </cell>
          <cell r="B74" t="str">
            <v>RODRÍGUEZ</v>
          </cell>
          <cell r="C74" t="str">
            <v>Jéssica</v>
          </cell>
          <cell r="D74" t="str">
            <v>CAT</v>
          </cell>
          <cell r="E74" t="str">
            <v>RODRÍGUEZ, Jéssica</v>
          </cell>
          <cell r="F74">
            <v>133</v>
          </cell>
          <cell r="G74" t="str">
            <v>BAGÁ PETROCAT</v>
          </cell>
        </row>
        <row r="75">
          <cell r="A75">
            <v>180</v>
          </cell>
          <cell r="B75" t="str">
            <v>RODRÍGUEZ</v>
          </cell>
          <cell r="C75" t="str">
            <v>Patricia</v>
          </cell>
          <cell r="D75" t="str">
            <v>CAT</v>
          </cell>
          <cell r="E75" t="str">
            <v>RODRÍGUEZ, Patricia</v>
          </cell>
          <cell r="F75">
            <v>250</v>
          </cell>
          <cell r="G75" t="str">
            <v>BAGÁ PETROCAT</v>
          </cell>
        </row>
        <row r="76">
          <cell r="A76">
            <v>181</v>
          </cell>
          <cell r="B76" t="str">
            <v>SERRES</v>
          </cell>
          <cell r="C76" t="str">
            <v>María</v>
          </cell>
          <cell r="D76" t="str">
            <v>CAT</v>
          </cell>
          <cell r="E76" t="str">
            <v>SERRES, María</v>
          </cell>
          <cell r="F76">
            <v>143</v>
          </cell>
          <cell r="G76" t="str">
            <v>CLUB NATACIÓN MATARÓ</v>
          </cell>
        </row>
        <row r="77">
          <cell r="A77">
            <v>182</v>
          </cell>
          <cell r="B77" t="str">
            <v>XIE</v>
          </cell>
          <cell r="C77" t="str">
            <v>Jing</v>
          </cell>
          <cell r="D77" t="str">
            <v>CAT</v>
          </cell>
          <cell r="E77" t="str">
            <v>XIE, Jing</v>
          </cell>
          <cell r="G77" t="str">
            <v>FOTOPRIX VIC T.T.</v>
          </cell>
        </row>
        <row r="78">
          <cell r="A78">
            <v>183</v>
          </cell>
          <cell r="B78" t="str">
            <v>YLLA-CATALÁ</v>
          </cell>
          <cell r="C78" t="str">
            <v>Marta</v>
          </cell>
          <cell r="D78" t="str">
            <v>CAT</v>
          </cell>
          <cell r="E78" t="str">
            <v>YLLA-CATALÁ, Marta</v>
          </cell>
          <cell r="F78">
            <v>743</v>
          </cell>
          <cell r="G78" t="str">
            <v>FOTOPRIX VIC T.T.</v>
          </cell>
        </row>
        <row r="79">
          <cell r="A79">
            <v>184</v>
          </cell>
          <cell r="B79" t="str">
            <v>KOULAGINA</v>
          </cell>
          <cell r="C79" t="str">
            <v>Katia</v>
          </cell>
          <cell r="D79" t="str">
            <v>VAL</v>
          </cell>
          <cell r="E79" t="str">
            <v>KOULAGINA, Katia</v>
          </cell>
          <cell r="G79" t="str">
            <v>C.T.T. MEDITERRÁNEO</v>
          </cell>
        </row>
        <row r="80">
          <cell r="A80">
            <v>185</v>
          </cell>
          <cell r="B80" t="str">
            <v>MANSERGAS</v>
          </cell>
          <cell r="C80" t="str">
            <v>Carla</v>
          </cell>
          <cell r="D80" t="str">
            <v>VAL</v>
          </cell>
          <cell r="E80" t="str">
            <v>MANSERGAS, Carla</v>
          </cell>
          <cell r="F80">
            <v>228</v>
          </cell>
          <cell r="G80" t="str">
            <v>C.T.T. MEDITERRÁNEO</v>
          </cell>
        </row>
        <row r="81">
          <cell r="A81">
            <v>186</v>
          </cell>
          <cell r="B81" t="str">
            <v>SAVU</v>
          </cell>
          <cell r="C81" t="str">
            <v>Simona</v>
          </cell>
          <cell r="D81" t="str">
            <v>VAL</v>
          </cell>
          <cell r="E81" t="str">
            <v>SAVU, Simona</v>
          </cell>
          <cell r="G81" t="str">
            <v>C.T.T. MEDITERRÁNEO</v>
          </cell>
        </row>
        <row r="82">
          <cell r="A82">
            <v>187</v>
          </cell>
          <cell r="B82" t="str">
            <v>SEMPERE</v>
          </cell>
          <cell r="C82" t="str">
            <v>Elvira</v>
          </cell>
          <cell r="D82" t="str">
            <v>VAL</v>
          </cell>
          <cell r="E82" t="str">
            <v>SEMPERE, Elvira</v>
          </cell>
          <cell r="F82">
            <v>475</v>
          </cell>
          <cell r="G82" t="str">
            <v>C.T.T. MEDITERRÁNEO</v>
          </cell>
        </row>
        <row r="83">
          <cell r="A83">
            <v>188</v>
          </cell>
          <cell r="B83" t="str">
            <v>SILLA</v>
          </cell>
          <cell r="C83" t="str">
            <v>Carmen</v>
          </cell>
          <cell r="D83" t="str">
            <v>VAL</v>
          </cell>
          <cell r="E83" t="str">
            <v>SILLA, Carmen</v>
          </cell>
          <cell r="G83" t="str">
            <v>C.T.T. MEDITERRÁNEO</v>
          </cell>
        </row>
        <row r="84">
          <cell r="A84">
            <v>189</v>
          </cell>
          <cell r="B84" t="str">
            <v>ENSEÑAT</v>
          </cell>
          <cell r="C84" t="str">
            <v>Jacobo</v>
          </cell>
          <cell r="D84" t="str">
            <v>GAL</v>
          </cell>
          <cell r="E84" t="str">
            <v>ENSEÑAT, Jacobo</v>
          </cell>
          <cell r="G84" t="str">
            <v>ARTEAL</v>
          </cell>
        </row>
        <row r="85">
          <cell r="A85">
            <v>190</v>
          </cell>
          <cell r="B85" t="str">
            <v>ENSEÑAT</v>
          </cell>
          <cell r="C85" t="str">
            <v>Juan</v>
          </cell>
          <cell r="D85" t="str">
            <v>GAL</v>
          </cell>
          <cell r="E85" t="str">
            <v>ENSEÑAT, Juan</v>
          </cell>
          <cell r="G85" t="str">
            <v>ARTEAL</v>
          </cell>
        </row>
        <row r="86">
          <cell r="A86">
            <v>191</v>
          </cell>
          <cell r="B86" t="str">
            <v>FERNÁNDEZ</v>
          </cell>
          <cell r="C86" t="str">
            <v>José</v>
          </cell>
          <cell r="D86" t="str">
            <v>GAL</v>
          </cell>
          <cell r="E86" t="str">
            <v>FERNÁNDEZ, José</v>
          </cell>
          <cell r="G86" t="str">
            <v>ARTEAL</v>
          </cell>
        </row>
        <row r="87">
          <cell r="A87">
            <v>192</v>
          </cell>
          <cell r="B87" t="str">
            <v>PASTUR</v>
          </cell>
          <cell r="C87" t="str">
            <v>Pedro</v>
          </cell>
          <cell r="D87" t="str">
            <v>GAL</v>
          </cell>
          <cell r="E87" t="str">
            <v>PASTUR, Pedro</v>
          </cell>
          <cell r="G87" t="str">
            <v>ARTEAL</v>
          </cell>
        </row>
        <row r="88">
          <cell r="A88">
            <v>194</v>
          </cell>
          <cell r="B88" t="str">
            <v>BULBUC</v>
          </cell>
          <cell r="C88" t="str">
            <v>Theodor</v>
          </cell>
          <cell r="D88" t="str">
            <v>MUR</v>
          </cell>
          <cell r="E88" t="str">
            <v>BULBUC, Theodor</v>
          </cell>
          <cell r="G88" t="str">
            <v>UCAM TM CARTAGENA</v>
          </cell>
        </row>
        <row r="89">
          <cell r="A89">
            <v>195</v>
          </cell>
          <cell r="B89" t="str">
            <v>CABEZAS</v>
          </cell>
          <cell r="C89" t="str">
            <v>Beinier</v>
          </cell>
          <cell r="D89" t="str">
            <v>MUR</v>
          </cell>
          <cell r="E89" t="str">
            <v>CABEZAS, Beinier</v>
          </cell>
          <cell r="G89" t="str">
            <v>UCAM TM CARTAGENA</v>
          </cell>
        </row>
        <row r="90">
          <cell r="A90">
            <v>196</v>
          </cell>
          <cell r="B90" t="str">
            <v>GALLEGO</v>
          </cell>
          <cell r="C90" t="str">
            <v>Óscar</v>
          </cell>
          <cell r="D90" t="str">
            <v>MUR</v>
          </cell>
          <cell r="E90" t="str">
            <v>GALLEGO, Óscar</v>
          </cell>
          <cell r="G90" t="str">
            <v>UCAM TM CARTAGENA</v>
          </cell>
        </row>
        <row r="91">
          <cell r="A91">
            <v>200</v>
          </cell>
          <cell r="B91" t="str">
            <v>SAURA</v>
          </cell>
          <cell r="C91" t="str">
            <v>Raúl</v>
          </cell>
          <cell r="D91" t="str">
            <v>MUR</v>
          </cell>
          <cell r="E91" t="str">
            <v>SAURA, Raúl</v>
          </cell>
          <cell r="G91" t="str">
            <v>UCAM TM CARTAGENA</v>
          </cell>
        </row>
        <row r="92">
          <cell r="A92">
            <v>202</v>
          </cell>
          <cell r="B92" t="str">
            <v>ANTELO</v>
          </cell>
          <cell r="C92" t="str">
            <v>Elia</v>
          </cell>
          <cell r="D92" t="str">
            <v>MUR</v>
          </cell>
          <cell r="E92" t="str">
            <v>ANTELO, Elia</v>
          </cell>
          <cell r="G92" t="str">
            <v>MARNYS CARTAGENA</v>
          </cell>
        </row>
        <row r="93">
          <cell r="A93">
            <v>203</v>
          </cell>
          <cell r="B93" t="str">
            <v>ANTELO</v>
          </cell>
          <cell r="C93" t="str">
            <v>María</v>
          </cell>
          <cell r="D93" t="str">
            <v>MUR</v>
          </cell>
          <cell r="E93" t="str">
            <v>ANTELO, María</v>
          </cell>
          <cell r="G93" t="str">
            <v>MARNYS CARTAGENA</v>
          </cell>
        </row>
        <row r="94">
          <cell r="A94">
            <v>204</v>
          </cell>
          <cell r="B94" t="str">
            <v>BAKHTINA</v>
          </cell>
          <cell r="C94" t="str">
            <v>Svetlana</v>
          </cell>
          <cell r="D94" t="str">
            <v>MUR</v>
          </cell>
          <cell r="E94" t="str">
            <v>BAKHTINA, Svetlana</v>
          </cell>
          <cell r="G94" t="str">
            <v>RELESA GALVAME CARTAGENA</v>
          </cell>
        </row>
        <row r="95">
          <cell r="A95">
            <v>205</v>
          </cell>
          <cell r="B95" t="str">
            <v>CIOSU</v>
          </cell>
          <cell r="C95" t="str">
            <v>Emilia</v>
          </cell>
          <cell r="D95" t="str">
            <v>MUR</v>
          </cell>
          <cell r="E95" t="str">
            <v>CIOSU, Emilia</v>
          </cell>
          <cell r="G95" t="str">
            <v>RELESA GALVAME CARTAGENA</v>
          </cell>
        </row>
        <row r="96">
          <cell r="A96">
            <v>206</v>
          </cell>
          <cell r="B96" t="str">
            <v>LI</v>
          </cell>
          <cell r="C96" t="str">
            <v>Yuan Yuan</v>
          </cell>
          <cell r="D96" t="str">
            <v>MUR</v>
          </cell>
          <cell r="E96" t="str">
            <v>LI, Yuan Yuan</v>
          </cell>
          <cell r="G96" t="str">
            <v>RELESA GALVAME CARTAGENA</v>
          </cell>
        </row>
        <row r="97">
          <cell r="A97">
            <v>207</v>
          </cell>
          <cell r="B97" t="str">
            <v>LOZANO</v>
          </cell>
          <cell r="C97" t="str">
            <v>Isabel</v>
          </cell>
          <cell r="D97" t="str">
            <v>MUR</v>
          </cell>
          <cell r="E97" t="str">
            <v>LOZANO, Isabel</v>
          </cell>
          <cell r="F97">
            <v>237</v>
          </cell>
          <cell r="G97" t="str">
            <v>MARNYS CARTAGENA</v>
          </cell>
        </row>
        <row r="98">
          <cell r="A98">
            <v>208</v>
          </cell>
          <cell r="B98" t="str">
            <v>NÚÑEZ</v>
          </cell>
          <cell r="C98" t="str">
            <v>Vanessa</v>
          </cell>
          <cell r="D98" t="str">
            <v>MUR</v>
          </cell>
          <cell r="E98" t="str">
            <v>NÚÑEZ, Vanessa</v>
          </cell>
        </row>
        <row r="99">
          <cell r="A99">
            <v>209</v>
          </cell>
          <cell r="B99" t="str">
            <v>PÉREZ</v>
          </cell>
          <cell r="C99" t="str">
            <v>Sara</v>
          </cell>
          <cell r="D99" t="str">
            <v>MUR</v>
          </cell>
          <cell r="E99" t="str">
            <v>PÉREZ, Sara</v>
          </cell>
          <cell r="F99">
            <v>782</v>
          </cell>
          <cell r="G99" t="str">
            <v>RELESA GALVAME CARTAGENA</v>
          </cell>
        </row>
        <row r="100">
          <cell r="A100">
            <v>210</v>
          </cell>
          <cell r="B100" t="str">
            <v>VILLADA</v>
          </cell>
          <cell r="C100" t="str">
            <v>Jénnifer</v>
          </cell>
          <cell r="D100" t="str">
            <v>MUR</v>
          </cell>
          <cell r="E100" t="str">
            <v>VILLADA, Jénnifer</v>
          </cell>
          <cell r="F100">
            <v>302</v>
          </cell>
          <cell r="G100" t="str">
            <v>MARNYS CARTAGENA</v>
          </cell>
        </row>
        <row r="101">
          <cell r="A101">
            <v>211</v>
          </cell>
          <cell r="B101" t="str">
            <v>CALVO</v>
          </cell>
          <cell r="C101" t="str">
            <v>Luis</v>
          </cell>
          <cell r="D101" t="str">
            <v>CNR</v>
          </cell>
          <cell r="E101" t="str">
            <v>CALVO, Luis</v>
          </cell>
        </row>
        <row r="102">
          <cell r="A102">
            <v>212</v>
          </cell>
          <cell r="B102" t="str">
            <v>CARNEROS</v>
          </cell>
          <cell r="C102" t="str">
            <v>Alfredo</v>
          </cell>
          <cell r="D102" t="str">
            <v>IND</v>
          </cell>
          <cell r="E102" t="str">
            <v>CARNEROS, Alfredo</v>
          </cell>
        </row>
        <row r="103">
          <cell r="A103">
            <v>213</v>
          </cell>
          <cell r="B103" t="str">
            <v>CAYMEL</v>
          </cell>
          <cell r="C103" t="str">
            <v>Ismael</v>
          </cell>
          <cell r="D103" t="str">
            <v>VAL</v>
          </cell>
          <cell r="E103" t="str">
            <v>CAYMEL, Ismael</v>
          </cell>
        </row>
        <row r="104">
          <cell r="A104">
            <v>214</v>
          </cell>
          <cell r="B104" t="str">
            <v>TORRES</v>
          </cell>
          <cell r="C104" t="str">
            <v>Daniel</v>
          </cell>
          <cell r="D104" t="str">
            <v>IND</v>
          </cell>
          <cell r="E104" t="str">
            <v>TORRES, Daniel</v>
          </cell>
          <cell r="F104">
            <v>818</v>
          </cell>
        </row>
        <row r="105">
          <cell r="A105">
            <v>215</v>
          </cell>
          <cell r="B105" t="str">
            <v>EMILIANOV</v>
          </cell>
          <cell r="C105" t="str">
            <v>Alexei</v>
          </cell>
          <cell r="D105" t="str">
            <v>PVS</v>
          </cell>
          <cell r="E105" t="str">
            <v>EMILIANOV, Alexei</v>
          </cell>
          <cell r="G105" t="str">
            <v>LEKA ENEA</v>
          </cell>
        </row>
        <row r="106">
          <cell r="A106">
            <v>216</v>
          </cell>
          <cell r="B106" t="str">
            <v>MARTÍNEZ</v>
          </cell>
          <cell r="C106" t="str">
            <v>Íker</v>
          </cell>
          <cell r="D106" t="str">
            <v>PVS</v>
          </cell>
          <cell r="E106" t="str">
            <v>MARTÍNEZ, Íker</v>
          </cell>
          <cell r="G106" t="str">
            <v>LEKA ENEA</v>
          </cell>
        </row>
        <row r="107">
          <cell r="A107">
            <v>217</v>
          </cell>
          <cell r="B107" t="str">
            <v>OMOTARA</v>
          </cell>
          <cell r="C107" t="str">
            <v>Titus</v>
          </cell>
          <cell r="D107" t="str">
            <v>PVS</v>
          </cell>
          <cell r="E107" t="str">
            <v>OMOTARA, Titus</v>
          </cell>
          <cell r="G107" t="str">
            <v>LEKA ENEA</v>
          </cell>
        </row>
        <row r="108">
          <cell r="A108">
            <v>218</v>
          </cell>
          <cell r="B108" t="str">
            <v>RODRÍGUEZ</v>
          </cell>
          <cell r="C108" t="str">
            <v>Sergio</v>
          </cell>
          <cell r="D108" t="str">
            <v>PVS</v>
          </cell>
          <cell r="E108" t="str">
            <v>RODRÍGUEZ, Sergio</v>
          </cell>
          <cell r="G108" t="str">
            <v>LEKA ENEA</v>
          </cell>
        </row>
        <row r="109">
          <cell r="A109">
            <v>219</v>
          </cell>
          <cell r="B109" t="str">
            <v>SANTAMARTA</v>
          </cell>
          <cell r="C109" t="str">
            <v>Víctor</v>
          </cell>
          <cell r="D109" t="str">
            <v>PVS</v>
          </cell>
          <cell r="E109" t="str">
            <v>SANTAMARTA, Víctor</v>
          </cell>
          <cell r="G109" t="str">
            <v>LEKA ENEA</v>
          </cell>
        </row>
        <row r="110">
          <cell r="A110">
            <v>220</v>
          </cell>
          <cell r="B110" t="str">
            <v>MALOV</v>
          </cell>
          <cell r="C110" t="str">
            <v>Valeri</v>
          </cell>
          <cell r="D110" t="str">
            <v>CAT</v>
          </cell>
          <cell r="E110" t="str">
            <v>MALOV, Valeri</v>
          </cell>
          <cell r="G110" t="str">
            <v>C.T.T. TONA SEVA</v>
          </cell>
        </row>
        <row r="111">
          <cell r="A111">
            <v>221</v>
          </cell>
          <cell r="B111" t="str">
            <v>GONZÁLEZ</v>
          </cell>
          <cell r="C111" t="str">
            <v>Félix</v>
          </cell>
          <cell r="D111" t="str">
            <v>AST</v>
          </cell>
          <cell r="E111" t="str">
            <v>GONZÁLEZ, Félix</v>
          </cell>
          <cell r="G111" t="str">
            <v>OVIEDO MADRID T.M.</v>
          </cell>
        </row>
        <row r="112">
          <cell r="A112">
            <v>222</v>
          </cell>
          <cell r="B112" t="str">
            <v>BURGOS</v>
          </cell>
          <cell r="C112" t="str">
            <v>Emilio</v>
          </cell>
          <cell r="D112" t="str">
            <v>AST</v>
          </cell>
          <cell r="E112" t="str">
            <v>BURGOS, Emilio</v>
          </cell>
          <cell r="G112" t="str">
            <v>OVIEDO MADRID T.M.</v>
          </cell>
        </row>
        <row r="113">
          <cell r="A113">
            <v>223</v>
          </cell>
          <cell r="B113" t="str">
            <v>NAVARRO</v>
          </cell>
          <cell r="C113" t="str">
            <v>Pere</v>
          </cell>
          <cell r="D113" t="str">
            <v>CAT</v>
          </cell>
          <cell r="E113" t="str">
            <v>NAVARRO, Pere</v>
          </cell>
        </row>
        <row r="114">
          <cell r="A114">
            <v>224</v>
          </cell>
          <cell r="B114" t="str">
            <v>MARTÍNEZ</v>
          </cell>
          <cell r="C114" t="str">
            <v>Luis</v>
          </cell>
          <cell r="D114" t="str">
            <v>MAD</v>
          </cell>
          <cell r="E114" t="str">
            <v>MARTÍNEZ, Luis</v>
          </cell>
        </row>
        <row r="115">
          <cell r="A115">
            <v>225</v>
          </cell>
          <cell r="B115" t="str">
            <v>PRADES</v>
          </cell>
          <cell r="C115" t="str">
            <v>Alba</v>
          </cell>
          <cell r="D115" t="str">
            <v>IND</v>
          </cell>
          <cell r="E115" t="str">
            <v>PRADES, Alba</v>
          </cell>
        </row>
        <row r="116">
          <cell r="A116">
            <v>226</v>
          </cell>
          <cell r="B116" t="str">
            <v>KAZANTSEV</v>
          </cell>
          <cell r="C116" t="str">
            <v>Maxim</v>
          </cell>
          <cell r="D116" t="str">
            <v>GAL</v>
          </cell>
          <cell r="E116" t="str">
            <v>KAZANTSEV, Maxim</v>
          </cell>
          <cell r="G116" t="str">
            <v>ARTEAL</v>
          </cell>
        </row>
        <row r="117">
          <cell r="A117">
            <v>227</v>
          </cell>
          <cell r="B117" t="str">
            <v>BLANCO</v>
          </cell>
          <cell r="C117" t="str">
            <v>Roberto</v>
          </cell>
          <cell r="D117" t="str">
            <v>GAL</v>
          </cell>
          <cell r="E117" t="str">
            <v>BLANCO, Roberto</v>
          </cell>
        </row>
        <row r="118">
          <cell r="A118">
            <v>228</v>
          </cell>
          <cell r="B118" t="str">
            <v>MACHADO</v>
          </cell>
          <cell r="C118" t="str">
            <v>Miguel Ángel</v>
          </cell>
          <cell r="D118" t="str">
            <v>AND</v>
          </cell>
          <cell r="E118" t="str">
            <v>MACHADO, Miguel Ángel</v>
          </cell>
        </row>
        <row r="119">
          <cell r="A119">
            <v>229</v>
          </cell>
          <cell r="B119" t="str">
            <v>IZQUIERDO</v>
          </cell>
          <cell r="C119" t="str">
            <v>Alberto</v>
          </cell>
          <cell r="D119" t="str">
            <v>CYL</v>
          </cell>
          <cell r="E119" t="str">
            <v>IZQUIERDO, Alberto</v>
          </cell>
        </row>
        <row r="120">
          <cell r="A120">
            <v>230</v>
          </cell>
          <cell r="B120" t="str">
            <v>GUILLÉN</v>
          </cell>
          <cell r="C120" t="str">
            <v>César</v>
          </cell>
          <cell r="D120" t="str">
            <v>CYL</v>
          </cell>
          <cell r="E120" t="str">
            <v>GUILLÉN, César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"/>
      <sheetName val="Hoja2"/>
      <sheetName val="Actas"/>
      <sheetName val="Dorsal"/>
    </sheetNames>
    <sheetDataSet>
      <sheetData sheetId="0" refreshError="1">
        <row r="2">
          <cell r="A2">
            <v>101</v>
          </cell>
          <cell r="B2" t="str">
            <v>CASARES</v>
          </cell>
          <cell r="C2" t="str">
            <v>Roberto</v>
          </cell>
          <cell r="D2" t="str">
            <v>AND</v>
          </cell>
          <cell r="E2" t="str">
            <v>CASARES, Roberto</v>
          </cell>
          <cell r="F2">
            <v>855</v>
          </cell>
        </row>
        <row r="3">
          <cell r="A3">
            <v>102</v>
          </cell>
          <cell r="B3" t="str">
            <v>CIBANTOS</v>
          </cell>
          <cell r="C3" t="str">
            <v>A. Mateo</v>
          </cell>
          <cell r="D3" t="str">
            <v>AND</v>
          </cell>
          <cell r="E3" t="str">
            <v>CIBANTOS, A. Mateo</v>
          </cell>
          <cell r="F3">
            <v>754</v>
          </cell>
        </row>
        <row r="4">
          <cell r="A4">
            <v>103</v>
          </cell>
          <cell r="B4" t="str">
            <v>DELGADO</v>
          </cell>
          <cell r="C4" t="str">
            <v>J. Enrique</v>
          </cell>
          <cell r="D4" t="str">
            <v>AND</v>
          </cell>
          <cell r="E4" t="str">
            <v>DELGADO, J. Enrique</v>
          </cell>
        </row>
        <row r="5">
          <cell r="A5">
            <v>104</v>
          </cell>
          <cell r="B5" t="str">
            <v>GAMBRA</v>
          </cell>
          <cell r="C5" t="str">
            <v>Jorge</v>
          </cell>
          <cell r="D5" t="str">
            <v>AND</v>
          </cell>
          <cell r="E5" t="str">
            <v>GAMBRA, Jorge</v>
          </cell>
          <cell r="F5">
            <v>851</v>
          </cell>
        </row>
        <row r="6">
          <cell r="A6">
            <v>105</v>
          </cell>
          <cell r="B6" t="str">
            <v>HE</v>
          </cell>
          <cell r="C6" t="str">
            <v>Zhi Wen</v>
          </cell>
          <cell r="D6" t="str">
            <v>AND</v>
          </cell>
          <cell r="E6" t="str">
            <v>HE, Zhi Wen</v>
          </cell>
        </row>
        <row r="7">
          <cell r="A7">
            <v>106</v>
          </cell>
        </row>
        <row r="8">
          <cell r="A8">
            <v>107</v>
          </cell>
          <cell r="B8" t="str">
            <v>LI</v>
          </cell>
          <cell r="C8" t="str">
            <v>Qi</v>
          </cell>
          <cell r="D8" t="str">
            <v>AND</v>
          </cell>
          <cell r="E8" t="str">
            <v>LI, Qi</v>
          </cell>
        </row>
        <row r="9">
          <cell r="A9">
            <v>108</v>
          </cell>
          <cell r="B9" t="str">
            <v>LIU</v>
          </cell>
          <cell r="C9" t="str">
            <v>Jun Hui</v>
          </cell>
          <cell r="D9" t="str">
            <v>AND</v>
          </cell>
          <cell r="E9" t="str">
            <v>LIU, Jun Hui</v>
          </cell>
        </row>
        <row r="10">
          <cell r="A10">
            <v>109</v>
          </cell>
          <cell r="B10" t="str">
            <v>LOZANO</v>
          </cell>
          <cell r="C10" t="str">
            <v>Álvaro</v>
          </cell>
          <cell r="D10" t="str">
            <v>AND</v>
          </cell>
          <cell r="E10" t="str">
            <v>LOZANO, Álvaro</v>
          </cell>
        </row>
        <row r="11">
          <cell r="A11">
            <v>110</v>
          </cell>
          <cell r="B11" t="str">
            <v>MACHADO</v>
          </cell>
          <cell r="C11" t="str">
            <v>Carlos</v>
          </cell>
          <cell r="D11" t="str">
            <v>AND</v>
          </cell>
          <cell r="E11" t="str">
            <v>MACHADO, Carlos</v>
          </cell>
          <cell r="F11">
            <v>1018</v>
          </cell>
        </row>
        <row r="12">
          <cell r="A12">
            <v>111</v>
          </cell>
          <cell r="B12" t="str">
            <v>MACHADO</v>
          </cell>
          <cell r="C12" t="str">
            <v>José Luis</v>
          </cell>
          <cell r="D12" t="str">
            <v>AND</v>
          </cell>
          <cell r="E12" t="str">
            <v>MACHADO, José Luis</v>
          </cell>
          <cell r="F12">
            <v>790</v>
          </cell>
        </row>
        <row r="13">
          <cell r="A13">
            <v>112</v>
          </cell>
          <cell r="B13" t="str">
            <v>MARTÍN</v>
          </cell>
          <cell r="C13" t="str">
            <v>Carlos</v>
          </cell>
          <cell r="D13" t="str">
            <v>AND</v>
          </cell>
          <cell r="E13" t="str">
            <v>MARTÍN, Carlos</v>
          </cell>
        </row>
        <row r="14">
          <cell r="A14">
            <v>113</v>
          </cell>
        </row>
        <row r="15">
          <cell r="A15">
            <v>114</v>
          </cell>
          <cell r="B15" t="str">
            <v>MORENO</v>
          </cell>
          <cell r="C15" t="str">
            <v>Pablo</v>
          </cell>
          <cell r="D15" t="str">
            <v>AND</v>
          </cell>
          <cell r="E15" t="str">
            <v>MORENO, Pablo</v>
          </cell>
        </row>
        <row r="16">
          <cell r="A16">
            <v>115</v>
          </cell>
          <cell r="B16" t="str">
            <v>RADENBACH</v>
          </cell>
          <cell r="C16" t="str">
            <v>Fred</v>
          </cell>
          <cell r="D16" t="str">
            <v>AND</v>
          </cell>
          <cell r="E16" t="str">
            <v>RADENBACH, Fred</v>
          </cell>
        </row>
        <row r="17">
          <cell r="A17">
            <v>116</v>
          </cell>
          <cell r="B17" t="str">
            <v>ROSARIO</v>
          </cell>
          <cell r="C17" t="str">
            <v>David</v>
          </cell>
          <cell r="D17" t="str">
            <v>AND</v>
          </cell>
          <cell r="E17" t="str">
            <v>ROSARIO, David</v>
          </cell>
          <cell r="F17">
            <v>669</v>
          </cell>
        </row>
        <row r="18">
          <cell r="A18">
            <v>117</v>
          </cell>
          <cell r="B18" t="str">
            <v>RUIZ</v>
          </cell>
          <cell r="C18" t="str">
            <v>Isidro</v>
          </cell>
          <cell r="D18" t="str">
            <v>AND</v>
          </cell>
          <cell r="E18" t="str">
            <v>RUIZ, Isidro</v>
          </cell>
        </row>
        <row r="19">
          <cell r="A19">
            <v>118</v>
          </cell>
          <cell r="B19" t="str">
            <v>RUIZ</v>
          </cell>
          <cell r="C19" t="str">
            <v>José Antonio</v>
          </cell>
          <cell r="D19" t="str">
            <v>AND</v>
          </cell>
          <cell r="E19" t="str">
            <v>RUIZ, José Antonio</v>
          </cell>
          <cell r="F19">
            <v>411</v>
          </cell>
        </row>
        <row r="20">
          <cell r="A20">
            <v>119</v>
          </cell>
          <cell r="B20" t="str">
            <v>RUIZ</v>
          </cell>
          <cell r="C20" t="str">
            <v>José Manuel</v>
          </cell>
          <cell r="D20" t="str">
            <v>AND</v>
          </cell>
          <cell r="E20" t="str">
            <v>RUIZ, José Manuel</v>
          </cell>
        </row>
        <row r="21">
          <cell r="A21">
            <v>120</v>
          </cell>
          <cell r="B21" t="str">
            <v>SÁNCHEZ</v>
          </cell>
          <cell r="C21" t="str">
            <v>Víctor</v>
          </cell>
          <cell r="D21" t="str">
            <v>AND</v>
          </cell>
          <cell r="E21" t="str">
            <v>SÁNCHEZ, Víctor</v>
          </cell>
          <cell r="F21">
            <v>984</v>
          </cell>
        </row>
        <row r="22">
          <cell r="A22">
            <v>121</v>
          </cell>
          <cell r="B22" t="str">
            <v>SEVILLA</v>
          </cell>
          <cell r="C22" t="str">
            <v>Juan Bautista</v>
          </cell>
          <cell r="D22" t="str">
            <v>AND</v>
          </cell>
          <cell r="E22" t="str">
            <v>SEVILLA, Juan Bautista</v>
          </cell>
          <cell r="F22">
            <v>774</v>
          </cell>
        </row>
        <row r="23">
          <cell r="A23">
            <v>122</v>
          </cell>
          <cell r="B23" t="str">
            <v>TOL</v>
          </cell>
          <cell r="C23" t="str">
            <v>Christian</v>
          </cell>
          <cell r="D23" t="str">
            <v>AND</v>
          </cell>
          <cell r="E23" t="str">
            <v>TOL, Christian</v>
          </cell>
        </row>
        <row r="24">
          <cell r="A24">
            <v>123</v>
          </cell>
          <cell r="B24" t="str">
            <v>WAHAB</v>
          </cell>
          <cell r="C24" t="str">
            <v>Ahmed</v>
          </cell>
          <cell r="D24" t="str">
            <v>AND</v>
          </cell>
          <cell r="E24" t="str">
            <v>WAHAB, Ahmed</v>
          </cell>
        </row>
        <row r="25">
          <cell r="A25">
            <v>124</v>
          </cell>
          <cell r="B25" t="str">
            <v>BEAMONTE</v>
          </cell>
          <cell r="C25" t="str">
            <v>Alfonso</v>
          </cell>
          <cell r="D25" t="str">
            <v>ARA</v>
          </cell>
          <cell r="E25" t="str">
            <v>BEAMONTE, Alfonso</v>
          </cell>
        </row>
        <row r="26">
          <cell r="A26">
            <v>125</v>
          </cell>
          <cell r="B26" t="str">
            <v>CHAN</v>
          </cell>
          <cell r="C26" t="str">
            <v>Koon Wah</v>
          </cell>
          <cell r="D26" t="str">
            <v>ARA</v>
          </cell>
          <cell r="E26" t="str">
            <v>CHAN, Koon Wah</v>
          </cell>
        </row>
        <row r="27">
          <cell r="A27">
            <v>126</v>
          </cell>
          <cell r="B27" t="str">
            <v>GALLEGO</v>
          </cell>
          <cell r="C27" t="str">
            <v>Félix</v>
          </cell>
          <cell r="D27" t="str">
            <v>ARA</v>
          </cell>
          <cell r="E27" t="str">
            <v>GALLEGO, Félix</v>
          </cell>
        </row>
        <row r="28">
          <cell r="A28">
            <v>127</v>
          </cell>
          <cell r="B28" t="str">
            <v>ALFONSO</v>
          </cell>
          <cell r="C28" t="str">
            <v>Salvador</v>
          </cell>
          <cell r="D28" t="str">
            <v>AST</v>
          </cell>
          <cell r="E28" t="str">
            <v>ALFONSO, Salvador</v>
          </cell>
        </row>
        <row r="29">
          <cell r="A29">
            <v>128</v>
          </cell>
          <cell r="B29" t="str">
            <v>BURGOS</v>
          </cell>
          <cell r="C29" t="str">
            <v>Aurelio</v>
          </cell>
          <cell r="D29" t="str">
            <v>AST</v>
          </cell>
          <cell r="E29" t="str">
            <v>BURGOS, Aurelio</v>
          </cell>
        </row>
        <row r="30">
          <cell r="A30">
            <v>129</v>
          </cell>
        </row>
        <row r="31">
          <cell r="A31">
            <v>130</v>
          </cell>
        </row>
        <row r="32">
          <cell r="A32">
            <v>131</v>
          </cell>
          <cell r="B32" t="str">
            <v>SUÁREZ</v>
          </cell>
          <cell r="C32" t="str">
            <v>David</v>
          </cell>
          <cell r="D32" t="str">
            <v>AST</v>
          </cell>
          <cell r="E32" t="str">
            <v>SUÁREZ, David</v>
          </cell>
        </row>
        <row r="33">
          <cell r="A33">
            <v>132</v>
          </cell>
          <cell r="B33" t="str">
            <v>GARCÍA</v>
          </cell>
          <cell r="C33" t="str">
            <v>Luis</v>
          </cell>
          <cell r="D33" t="str">
            <v>CYL</v>
          </cell>
          <cell r="E33" t="str">
            <v>GARCÍA, Luis</v>
          </cell>
        </row>
        <row r="34">
          <cell r="A34">
            <v>133</v>
          </cell>
          <cell r="B34" t="str">
            <v>GONZÁLEZ</v>
          </cell>
          <cell r="C34" t="str">
            <v>Jorge</v>
          </cell>
          <cell r="D34" t="str">
            <v>CYL</v>
          </cell>
          <cell r="E34" t="str">
            <v>GONZÁLEZ, Jorge</v>
          </cell>
        </row>
        <row r="35">
          <cell r="A35">
            <v>134</v>
          </cell>
          <cell r="B35" t="str">
            <v>MORA</v>
          </cell>
          <cell r="C35" t="str">
            <v>Javier</v>
          </cell>
          <cell r="D35" t="str">
            <v>CYL</v>
          </cell>
          <cell r="E35" t="str">
            <v>MORA, Javier</v>
          </cell>
        </row>
        <row r="36">
          <cell r="A36">
            <v>135</v>
          </cell>
          <cell r="B36" t="str">
            <v>ZÁRATE</v>
          </cell>
          <cell r="C36" t="str">
            <v>Pablo</v>
          </cell>
          <cell r="D36" t="str">
            <v>CYL</v>
          </cell>
          <cell r="E36" t="str">
            <v>ZÁRATE, Pablo</v>
          </cell>
        </row>
        <row r="37">
          <cell r="A37">
            <v>136</v>
          </cell>
          <cell r="B37" t="str">
            <v>CHEN</v>
          </cell>
          <cell r="C37" t="str">
            <v>Wei</v>
          </cell>
          <cell r="D37" t="str">
            <v>CYL</v>
          </cell>
          <cell r="E37" t="str">
            <v>CHEN, Wei</v>
          </cell>
        </row>
        <row r="38">
          <cell r="A38">
            <v>137</v>
          </cell>
          <cell r="B38" t="str">
            <v>ECHAZARRETA</v>
          </cell>
          <cell r="C38" t="str">
            <v>Sonia</v>
          </cell>
          <cell r="D38" t="str">
            <v>CYL</v>
          </cell>
          <cell r="E38" t="str">
            <v>ECHAZARRETA, Sonia</v>
          </cell>
        </row>
        <row r="39">
          <cell r="A39">
            <v>138</v>
          </cell>
          <cell r="B39" t="str">
            <v>GALLO</v>
          </cell>
          <cell r="C39" t="str">
            <v>Mª Carmen</v>
          </cell>
          <cell r="D39" t="str">
            <v>CYL</v>
          </cell>
          <cell r="E39" t="str">
            <v>GALLO, Mª Carmen</v>
          </cell>
        </row>
        <row r="40">
          <cell r="A40">
            <v>139</v>
          </cell>
          <cell r="B40" t="str">
            <v>MARTÍN</v>
          </cell>
          <cell r="C40" t="str">
            <v>María</v>
          </cell>
          <cell r="D40" t="str">
            <v>CYL</v>
          </cell>
          <cell r="E40" t="str">
            <v>MARTÍN, María</v>
          </cell>
        </row>
        <row r="41">
          <cell r="A41">
            <v>140</v>
          </cell>
          <cell r="B41" t="str">
            <v>MATILLA</v>
          </cell>
          <cell r="C41" t="str">
            <v>Irene</v>
          </cell>
          <cell r="D41" t="str">
            <v>CYL</v>
          </cell>
          <cell r="E41" t="str">
            <v>MATILLA, Irene</v>
          </cell>
        </row>
        <row r="42">
          <cell r="A42">
            <v>141</v>
          </cell>
          <cell r="B42" t="str">
            <v>PANADERO</v>
          </cell>
          <cell r="C42" t="str">
            <v>Gloria</v>
          </cell>
          <cell r="D42" t="str">
            <v>CYL</v>
          </cell>
          <cell r="E42" t="str">
            <v>PANADERO, Gloria</v>
          </cell>
          <cell r="F42">
            <v>634</v>
          </cell>
        </row>
        <row r="43">
          <cell r="A43">
            <v>142</v>
          </cell>
          <cell r="B43" t="str">
            <v>PORTA</v>
          </cell>
          <cell r="C43" t="str">
            <v>Idoia</v>
          </cell>
          <cell r="D43" t="str">
            <v>CYL</v>
          </cell>
          <cell r="E43" t="str">
            <v>PORTA, Idoia</v>
          </cell>
        </row>
        <row r="44">
          <cell r="A44">
            <v>143</v>
          </cell>
          <cell r="B44" t="str">
            <v>VILÁ</v>
          </cell>
          <cell r="C44" t="str">
            <v>Roser</v>
          </cell>
          <cell r="D44" t="str">
            <v>CYL</v>
          </cell>
          <cell r="E44" t="str">
            <v>VILÁ, Roser</v>
          </cell>
          <cell r="F44">
            <v>892</v>
          </cell>
        </row>
        <row r="45">
          <cell r="A45">
            <v>144</v>
          </cell>
          <cell r="B45" t="str">
            <v>ANDRADE</v>
          </cell>
          <cell r="C45" t="str">
            <v>Josep Lluis</v>
          </cell>
          <cell r="D45" t="str">
            <v>CAT</v>
          </cell>
          <cell r="E45" t="str">
            <v>ANDRADE, Josep Lluis</v>
          </cell>
        </row>
        <row r="46">
          <cell r="A46">
            <v>145</v>
          </cell>
          <cell r="B46" t="str">
            <v>ARNAU</v>
          </cell>
          <cell r="C46" t="str">
            <v>Miquel</v>
          </cell>
          <cell r="D46" t="str">
            <v>CAT</v>
          </cell>
          <cell r="E46" t="str">
            <v>ARNAU, Miquel</v>
          </cell>
          <cell r="F46">
            <v>413</v>
          </cell>
        </row>
        <row r="47">
          <cell r="A47">
            <v>146</v>
          </cell>
          <cell r="B47" t="str">
            <v>BACARISAS</v>
          </cell>
          <cell r="C47" t="str">
            <v>Jordi</v>
          </cell>
          <cell r="D47" t="str">
            <v>CAT</v>
          </cell>
          <cell r="E47" t="str">
            <v>BACARISAS, Jordi</v>
          </cell>
          <cell r="F47">
            <v>169</v>
          </cell>
        </row>
        <row r="48">
          <cell r="A48">
            <v>147</v>
          </cell>
          <cell r="B48" t="str">
            <v>CANO</v>
          </cell>
          <cell r="C48" t="str">
            <v>Andreu</v>
          </cell>
          <cell r="D48" t="str">
            <v>CAT</v>
          </cell>
          <cell r="E48" t="str">
            <v>CANO, Andreu</v>
          </cell>
        </row>
        <row r="49">
          <cell r="A49">
            <v>148</v>
          </cell>
          <cell r="B49" t="str">
            <v>CLOTET</v>
          </cell>
          <cell r="C49" t="str">
            <v>Marc</v>
          </cell>
          <cell r="D49" t="str">
            <v>CAT</v>
          </cell>
          <cell r="E49" t="str">
            <v>CLOTET, Marc</v>
          </cell>
          <cell r="F49">
            <v>169</v>
          </cell>
        </row>
        <row r="50">
          <cell r="A50">
            <v>149</v>
          </cell>
          <cell r="B50" t="str">
            <v>DURÁN</v>
          </cell>
          <cell r="C50" t="str">
            <v>Marc</v>
          </cell>
          <cell r="D50" t="str">
            <v>CAT</v>
          </cell>
          <cell r="E50" t="str">
            <v>DURÁN, Marc</v>
          </cell>
        </row>
        <row r="51">
          <cell r="A51">
            <v>150</v>
          </cell>
          <cell r="B51" t="str">
            <v>DVORAK</v>
          </cell>
          <cell r="C51" t="str">
            <v>Vladimir</v>
          </cell>
          <cell r="D51" t="str">
            <v>CAT</v>
          </cell>
          <cell r="E51" t="str">
            <v>DVORAK, Vladimir</v>
          </cell>
        </row>
        <row r="52">
          <cell r="A52">
            <v>151</v>
          </cell>
          <cell r="B52" t="str">
            <v>ESCAMILLA</v>
          </cell>
          <cell r="C52" t="str">
            <v>Eduard</v>
          </cell>
          <cell r="D52" t="str">
            <v>CAT</v>
          </cell>
          <cell r="E52" t="str">
            <v>ESCAMILLA, Eduard</v>
          </cell>
          <cell r="F52">
            <v>543</v>
          </cell>
        </row>
        <row r="53">
          <cell r="A53">
            <v>152</v>
          </cell>
          <cell r="B53" t="str">
            <v>FONT</v>
          </cell>
          <cell r="C53" t="str">
            <v>Carles</v>
          </cell>
          <cell r="D53" t="str">
            <v>CAT</v>
          </cell>
          <cell r="E53" t="str">
            <v>FONT, Carles</v>
          </cell>
        </row>
        <row r="54">
          <cell r="A54">
            <v>153</v>
          </cell>
          <cell r="B54" t="str">
            <v>MAMPEL</v>
          </cell>
          <cell r="C54" t="str">
            <v>Ramón</v>
          </cell>
          <cell r="D54" t="str">
            <v>CAT</v>
          </cell>
          <cell r="E54" t="str">
            <v>MAMPEL, Ramón</v>
          </cell>
        </row>
        <row r="55">
          <cell r="A55">
            <v>154</v>
          </cell>
          <cell r="B55" t="str">
            <v>MARTÍNEZ</v>
          </cell>
          <cell r="C55" t="str">
            <v>Iván</v>
          </cell>
          <cell r="D55" t="str">
            <v>CAT</v>
          </cell>
          <cell r="E55" t="str">
            <v>MARTÍNEZ, Iván</v>
          </cell>
          <cell r="F55">
            <v>168</v>
          </cell>
        </row>
        <row r="56">
          <cell r="A56">
            <v>155</v>
          </cell>
          <cell r="D56" t="str">
            <v>CAT</v>
          </cell>
        </row>
        <row r="57">
          <cell r="A57">
            <v>156</v>
          </cell>
          <cell r="B57" t="str">
            <v>MASALÓ</v>
          </cell>
          <cell r="C57" t="str">
            <v>Jordi</v>
          </cell>
          <cell r="D57" t="str">
            <v>CAT</v>
          </cell>
          <cell r="E57" t="str">
            <v>MASALÓ, Jordi</v>
          </cell>
        </row>
        <row r="58">
          <cell r="A58">
            <v>157</v>
          </cell>
          <cell r="B58" t="str">
            <v>MOLINS</v>
          </cell>
          <cell r="C58" t="str">
            <v>Josep Ignasi</v>
          </cell>
          <cell r="D58" t="str">
            <v>CAT</v>
          </cell>
          <cell r="E58" t="str">
            <v>MOLINS, Josep Ignasi</v>
          </cell>
        </row>
        <row r="59">
          <cell r="A59">
            <v>158</v>
          </cell>
          <cell r="B59" t="str">
            <v>MOURZOV</v>
          </cell>
          <cell r="C59" t="str">
            <v>Alexei</v>
          </cell>
          <cell r="D59" t="str">
            <v>CAT</v>
          </cell>
          <cell r="E59" t="str">
            <v>MOURZOV, Alexei</v>
          </cell>
        </row>
        <row r="60">
          <cell r="A60">
            <v>159</v>
          </cell>
          <cell r="B60" t="str">
            <v>MOUZIKYNE</v>
          </cell>
          <cell r="C60" t="str">
            <v>Andrei</v>
          </cell>
          <cell r="D60" t="str">
            <v>CAT</v>
          </cell>
          <cell r="E60" t="str">
            <v>MOUZIKYNE, Andrei</v>
          </cell>
        </row>
        <row r="61">
          <cell r="A61">
            <v>160</v>
          </cell>
          <cell r="B61" t="str">
            <v>PALÉS</v>
          </cell>
          <cell r="C61" t="str">
            <v>Josep María</v>
          </cell>
          <cell r="D61" t="str">
            <v>CAT</v>
          </cell>
          <cell r="E61" t="str">
            <v>PALÉS, Josep María</v>
          </cell>
          <cell r="F61">
            <v>662</v>
          </cell>
        </row>
        <row r="62">
          <cell r="A62">
            <v>161</v>
          </cell>
          <cell r="B62" t="str">
            <v>PIELLA</v>
          </cell>
          <cell r="C62" t="str">
            <v>Jordi</v>
          </cell>
          <cell r="D62" t="str">
            <v>CAT</v>
          </cell>
          <cell r="E62" t="str">
            <v>PIELLA, Jordi</v>
          </cell>
          <cell r="F62">
            <v>545</v>
          </cell>
        </row>
        <row r="63">
          <cell r="A63">
            <v>162</v>
          </cell>
          <cell r="B63" t="str">
            <v>TORRENS</v>
          </cell>
          <cell r="C63" t="str">
            <v>Gerard</v>
          </cell>
          <cell r="D63" t="str">
            <v>CAT</v>
          </cell>
          <cell r="E63" t="str">
            <v>TORRENS, Gerard</v>
          </cell>
        </row>
        <row r="64">
          <cell r="A64">
            <v>163</v>
          </cell>
          <cell r="B64" t="str">
            <v>ALMAGRO</v>
          </cell>
          <cell r="C64" t="str">
            <v>Meritxell</v>
          </cell>
          <cell r="D64" t="str">
            <v>CAT</v>
          </cell>
          <cell r="E64" t="str">
            <v>ALMAGRO, Meritxell</v>
          </cell>
          <cell r="F64">
            <v>482</v>
          </cell>
        </row>
        <row r="65">
          <cell r="A65">
            <v>164</v>
          </cell>
          <cell r="B65" t="str">
            <v>ARNAU</v>
          </cell>
          <cell r="C65" t="str">
            <v>Elisabet</v>
          </cell>
          <cell r="D65" t="str">
            <v>CAT</v>
          </cell>
          <cell r="E65" t="str">
            <v>ARNAU, Elisabet</v>
          </cell>
          <cell r="F65">
            <v>773</v>
          </cell>
        </row>
        <row r="66">
          <cell r="A66">
            <v>165</v>
          </cell>
          <cell r="B66" t="str">
            <v>BOSCH</v>
          </cell>
          <cell r="C66" t="str">
            <v>Julia</v>
          </cell>
          <cell r="D66" t="str">
            <v>CAT</v>
          </cell>
          <cell r="E66" t="str">
            <v>BOSCH, Julia</v>
          </cell>
          <cell r="F66">
            <v>207</v>
          </cell>
        </row>
        <row r="67">
          <cell r="A67">
            <v>166</v>
          </cell>
          <cell r="B67" t="str">
            <v>BOVER</v>
          </cell>
          <cell r="C67" t="str">
            <v>Montse</v>
          </cell>
          <cell r="D67" t="str">
            <v>CAT</v>
          </cell>
          <cell r="E67" t="str">
            <v>BOVER, Montse</v>
          </cell>
        </row>
        <row r="68">
          <cell r="A68">
            <v>167</v>
          </cell>
          <cell r="B68" t="str">
            <v>DVORAK</v>
          </cell>
          <cell r="C68" t="str">
            <v>Galia</v>
          </cell>
          <cell r="D68" t="str">
            <v>CAT</v>
          </cell>
          <cell r="E68" t="str">
            <v>DVORAK, Galia</v>
          </cell>
          <cell r="F68">
            <v>252</v>
          </cell>
        </row>
        <row r="69">
          <cell r="A69">
            <v>168</v>
          </cell>
          <cell r="B69" t="str">
            <v>HERNÁNDEZ</v>
          </cell>
          <cell r="C69" t="str">
            <v>Jéssica</v>
          </cell>
          <cell r="D69" t="str">
            <v>CAT</v>
          </cell>
          <cell r="E69" t="str">
            <v>HERNÁNDEZ, Jéssica</v>
          </cell>
          <cell r="F69">
            <v>733</v>
          </cell>
        </row>
        <row r="70">
          <cell r="A70">
            <v>169</v>
          </cell>
          <cell r="B70" t="str">
            <v>JURADO</v>
          </cell>
          <cell r="C70" t="str">
            <v>Miriea</v>
          </cell>
          <cell r="D70" t="str">
            <v>CAT</v>
          </cell>
          <cell r="E70" t="str">
            <v>JURADO, Miriea</v>
          </cell>
          <cell r="F70">
            <v>219</v>
          </cell>
        </row>
        <row r="71">
          <cell r="A71">
            <v>170</v>
          </cell>
          <cell r="B71" t="str">
            <v>KHASSANOVA</v>
          </cell>
          <cell r="C71" t="str">
            <v>Flora</v>
          </cell>
          <cell r="D71" t="str">
            <v>CAT</v>
          </cell>
          <cell r="E71" t="str">
            <v>KHASSANOVA, Flora</v>
          </cell>
        </row>
        <row r="72">
          <cell r="A72">
            <v>171</v>
          </cell>
          <cell r="B72" t="str">
            <v>KOMRAKOVA</v>
          </cell>
          <cell r="C72" t="str">
            <v>Elena</v>
          </cell>
          <cell r="D72" t="str">
            <v>CAT</v>
          </cell>
          <cell r="E72" t="str">
            <v>KOMRAKOVA, Elena</v>
          </cell>
        </row>
        <row r="73">
          <cell r="A73">
            <v>172</v>
          </cell>
          <cell r="B73" t="str">
            <v>KONOVALOVA</v>
          </cell>
          <cell r="C73" t="str">
            <v>Natalia</v>
          </cell>
          <cell r="D73" t="str">
            <v>CAT</v>
          </cell>
          <cell r="E73" t="str">
            <v>KONOVALOVA, Natalia</v>
          </cell>
        </row>
        <row r="74">
          <cell r="A74">
            <v>173</v>
          </cell>
          <cell r="D74" t="str">
            <v>CAT</v>
          </cell>
        </row>
        <row r="75">
          <cell r="A75">
            <v>174</v>
          </cell>
          <cell r="B75" t="str">
            <v>MORERA</v>
          </cell>
          <cell r="C75" t="str">
            <v>Mercé</v>
          </cell>
          <cell r="D75" t="str">
            <v>CAT</v>
          </cell>
          <cell r="E75" t="str">
            <v>MORERA, Mercé</v>
          </cell>
        </row>
        <row r="76">
          <cell r="A76">
            <v>175</v>
          </cell>
          <cell r="B76" t="str">
            <v>NIKOLOVA</v>
          </cell>
          <cell r="C76" t="str">
            <v>Milena</v>
          </cell>
          <cell r="D76" t="str">
            <v>CAT</v>
          </cell>
          <cell r="E76" t="str">
            <v>NIKOLOVA, Milena</v>
          </cell>
        </row>
        <row r="77">
          <cell r="A77">
            <v>176</v>
          </cell>
          <cell r="B77" t="str">
            <v>PETROVA</v>
          </cell>
          <cell r="C77" t="str">
            <v>Detelina</v>
          </cell>
          <cell r="D77" t="str">
            <v>CAT</v>
          </cell>
          <cell r="E77" t="str">
            <v>PETROVA, Detelina</v>
          </cell>
        </row>
        <row r="78">
          <cell r="A78">
            <v>177</v>
          </cell>
          <cell r="B78" t="str">
            <v>PUIG</v>
          </cell>
          <cell r="C78" t="str">
            <v>Tania</v>
          </cell>
          <cell r="D78" t="str">
            <v>CAT</v>
          </cell>
          <cell r="E78" t="str">
            <v>PUIG, Tania</v>
          </cell>
          <cell r="F78">
            <v>389</v>
          </cell>
        </row>
        <row r="79">
          <cell r="A79">
            <v>178</v>
          </cell>
          <cell r="B79" t="str">
            <v>RAMÍREZ</v>
          </cell>
          <cell r="C79" t="str">
            <v>Sara</v>
          </cell>
          <cell r="D79" t="str">
            <v>CAT</v>
          </cell>
          <cell r="E79" t="str">
            <v>RAMÍREZ, Sara</v>
          </cell>
          <cell r="F79">
            <v>146</v>
          </cell>
        </row>
        <row r="80">
          <cell r="A80">
            <v>179</v>
          </cell>
          <cell r="B80" t="str">
            <v>RODRÍGUEZ</v>
          </cell>
          <cell r="C80" t="str">
            <v>Jéssica</v>
          </cell>
          <cell r="D80" t="str">
            <v>CAT</v>
          </cell>
          <cell r="E80" t="str">
            <v>RODRÍGUEZ, Jéssica</v>
          </cell>
          <cell r="F80">
            <v>133</v>
          </cell>
        </row>
        <row r="81">
          <cell r="A81">
            <v>180</v>
          </cell>
          <cell r="B81" t="str">
            <v>RODRÍGUEZ</v>
          </cell>
          <cell r="C81" t="str">
            <v>Patricia</v>
          </cell>
          <cell r="D81" t="str">
            <v>CAT</v>
          </cell>
          <cell r="E81" t="str">
            <v>RODRÍGUEZ, Patricia</v>
          </cell>
          <cell r="F81">
            <v>250</v>
          </cell>
        </row>
        <row r="82">
          <cell r="A82">
            <v>181</v>
          </cell>
          <cell r="B82" t="str">
            <v>SERRES</v>
          </cell>
          <cell r="C82" t="str">
            <v>María</v>
          </cell>
          <cell r="D82" t="str">
            <v>CAT</v>
          </cell>
          <cell r="E82" t="str">
            <v>SERRES, María</v>
          </cell>
          <cell r="F82">
            <v>143</v>
          </cell>
        </row>
        <row r="83">
          <cell r="A83">
            <v>182</v>
          </cell>
          <cell r="B83" t="str">
            <v>XIE</v>
          </cell>
          <cell r="C83" t="str">
            <v>Jing</v>
          </cell>
          <cell r="D83" t="str">
            <v>CAT</v>
          </cell>
          <cell r="E83" t="str">
            <v>XIE, Jing</v>
          </cell>
        </row>
        <row r="84">
          <cell r="A84">
            <v>183</v>
          </cell>
          <cell r="B84" t="str">
            <v>YLLA-CATALÁ</v>
          </cell>
          <cell r="C84" t="str">
            <v>Marta</v>
          </cell>
          <cell r="D84" t="str">
            <v>CAT</v>
          </cell>
          <cell r="E84" t="str">
            <v>YLLA-CATALÁ, Marta</v>
          </cell>
          <cell r="F84">
            <v>743</v>
          </cell>
        </row>
        <row r="85">
          <cell r="A85">
            <v>184</v>
          </cell>
          <cell r="B85" t="str">
            <v>KOULAGINA</v>
          </cell>
          <cell r="C85" t="str">
            <v>Katia</v>
          </cell>
          <cell r="D85" t="str">
            <v>VAL</v>
          </cell>
          <cell r="E85" t="str">
            <v>KOULAGINA, Katia</v>
          </cell>
        </row>
        <row r="86">
          <cell r="A86">
            <v>185</v>
          </cell>
          <cell r="B86" t="str">
            <v>MANSERGAS</v>
          </cell>
          <cell r="C86" t="str">
            <v>Carla</v>
          </cell>
          <cell r="D86" t="str">
            <v>VAL</v>
          </cell>
          <cell r="E86" t="str">
            <v>MANSERGAS, Carla</v>
          </cell>
          <cell r="F86">
            <v>228</v>
          </cell>
        </row>
        <row r="87">
          <cell r="A87">
            <v>186</v>
          </cell>
          <cell r="B87" t="str">
            <v>SAVU</v>
          </cell>
          <cell r="C87" t="str">
            <v>Simona</v>
          </cell>
          <cell r="D87" t="str">
            <v>VAL</v>
          </cell>
          <cell r="E87" t="str">
            <v>SAVU, Simona</v>
          </cell>
        </row>
        <row r="88">
          <cell r="A88">
            <v>187</v>
          </cell>
          <cell r="B88" t="str">
            <v>SEMPERE</v>
          </cell>
          <cell r="C88" t="str">
            <v>Elvira</v>
          </cell>
          <cell r="D88" t="str">
            <v>VAL</v>
          </cell>
          <cell r="E88" t="str">
            <v>SEMPERE, Elvira</v>
          </cell>
          <cell r="F88">
            <v>475</v>
          </cell>
        </row>
        <row r="89">
          <cell r="A89">
            <v>188</v>
          </cell>
          <cell r="B89" t="str">
            <v>SILLA</v>
          </cell>
          <cell r="C89" t="str">
            <v>Carmen</v>
          </cell>
          <cell r="D89" t="str">
            <v>VAL</v>
          </cell>
          <cell r="E89" t="str">
            <v>SILLA, Carmen</v>
          </cell>
        </row>
        <row r="90">
          <cell r="A90">
            <v>189</v>
          </cell>
          <cell r="B90" t="str">
            <v>ENSEÑAT</v>
          </cell>
          <cell r="C90" t="str">
            <v>Jacobo</v>
          </cell>
          <cell r="D90" t="str">
            <v>GAL</v>
          </cell>
          <cell r="E90" t="str">
            <v>ENSEÑAT, Jacobo</v>
          </cell>
        </row>
        <row r="91">
          <cell r="A91">
            <v>190</v>
          </cell>
          <cell r="B91" t="str">
            <v>ENSEÑAT</v>
          </cell>
          <cell r="C91" t="str">
            <v>Juan</v>
          </cell>
          <cell r="D91" t="str">
            <v>GAL</v>
          </cell>
          <cell r="E91" t="str">
            <v>ENSEÑAT, Juan</v>
          </cell>
        </row>
        <row r="92">
          <cell r="A92">
            <v>191</v>
          </cell>
          <cell r="B92" t="str">
            <v>FERNÁNDEZ</v>
          </cell>
          <cell r="C92" t="str">
            <v>José</v>
          </cell>
          <cell r="D92" t="str">
            <v>GAL</v>
          </cell>
          <cell r="E92" t="str">
            <v>FERNÁNDEZ, José</v>
          </cell>
        </row>
        <row r="93">
          <cell r="A93">
            <v>192</v>
          </cell>
          <cell r="B93" t="str">
            <v>PASTUR</v>
          </cell>
          <cell r="C93" t="str">
            <v>Pedro</v>
          </cell>
          <cell r="D93" t="str">
            <v>GAL</v>
          </cell>
          <cell r="E93" t="str">
            <v>PASTUR, Pedro</v>
          </cell>
        </row>
        <row r="94">
          <cell r="A94">
            <v>193</v>
          </cell>
        </row>
        <row r="95">
          <cell r="A95">
            <v>194</v>
          </cell>
          <cell r="B95" t="str">
            <v>BULBUC</v>
          </cell>
          <cell r="C95" t="str">
            <v>Theodor</v>
          </cell>
          <cell r="D95" t="str">
            <v>MUR</v>
          </cell>
          <cell r="E95" t="str">
            <v>BULBUC, Theodor</v>
          </cell>
        </row>
        <row r="96">
          <cell r="A96">
            <v>195</v>
          </cell>
          <cell r="B96" t="str">
            <v>CABEZAS</v>
          </cell>
          <cell r="C96" t="str">
            <v>Beinier</v>
          </cell>
          <cell r="D96" t="str">
            <v>MUR</v>
          </cell>
          <cell r="E96" t="str">
            <v>CABEZAS, Beinier</v>
          </cell>
        </row>
        <row r="97">
          <cell r="A97">
            <v>196</v>
          </cell>
          <cell r="B97" t="str">
            <v>GALLEGO</v>
          </cell>
          <cell r="C97" t="str">
            <v>Óscar</v>
          </cell>
          <cell r="D97" t="str">
            <v>MUR</v>
          </cell>
          <cell r="E97" t="str">
            <v>GALLEGO, Óscar</v>
          </cell>
        </row>
        <row r="98">
          <cell r="A98">
            <v>197</v>
          </cell>
        </row>
        <row r="99">
          <cell r="A99">
            <v>198</v>
          </cell>
        </row>
        <row r="100">
          <cell r="A100">
            <v>199</v>
          </cell>
        </row>
        <row r="101">
          <cell r="A101">
            <v>200</v>
          </cell>
          <cell r="B101" t="str">
            <v>SAURA</v>
          </cell>
          <cell r="C101" t="str">
            <v>Raúl</v>
          </cell>
          <cell r="D101" t="str">
            <v>MUR</v>
          </cell>
          <cell r="E101" t="str">
            <v>SAURA, Raúl</v>
          </cell>
        </row>
        <row r="102">
          <cell r="A102">
            <v>201</v>
          </cell>
        </row>
        <row r="103">
          <cell r="A103">
            <v>202</v>
          </cell>
          <cell r="B103" t="str">
            <v>ANTELO</v>
          </cell>
          <cell r="C103" t="str">
            <v>Elia</v>
          </cell>
          <cell r="D103" t="str">
            <v>MUR</v>
          </cell>
          <cell r="E103" t="str">
            <v>ANTELO, Elia</v>
          </cell>
        </row>
        <row r="104">
          <cell r="A104">
            <v>203</v>
          </cell>
          <cell r="B104" t="str">
            <v>ANTELO</v>
          </cell>
          <cell r="C104" t="str">
            <v>María</v>
          </cell>
          <cell r="D104" t="str">
            <v>MUR</v>
          </cell>
          <cell r="E104" t="str">
            <v>ANTELO, María</v>
          </cell>
        </row>
        <row r="105">
          <cell r="A105">
            <v>204</v>
          </cell>
          <cell r="B105" t="str">
            <v>BAKHTINA</v>
          </cell>
          <cell r="C105" t="str">
            <v>Svetlana</v>
          </cell>
          <cell r="D105" t="str">
            <v>MUR</v>
          </cell>
          <cell r="E105" t="str">
            <v>BAKHTINA, Svetlana</v>
          </cell>
        </row>
        <row r="106">
          <cell r="A106">
            <v>205</v>
          </cell>
          <cell r="B106" t="str">
            <v>CIOSU</v>
          </cell>
          <cell r="C106" t="str">
            <v>Emilia</v>
          </cell>
          <cell r="D106" t="str">
            <v>MUR</v>
          </cell>
          <cell r="E106" t="str">
            <v>CIOSU, Emilia</v>
          </cell>
        </row>
        <row r="107">
          <cell r="A107">
            <v>206</v>
          </cell>
          <cell r="B107" t="str">
            <v>LI</v>
          </cell>
          <cell r="C107" t="str">
            <v>Yuan Yuan</v>
          </cell>
          <cell r="D107" t="str">
            <v>MUR</v>
          </cell>
          <cell r="E107" t="str">
            <v>LI, Yuan Yuan</v>
          </cell>
        </row>
        <row r="108">
          <cell r="A108">
            <v>207</v>
          </cell>
          <cell r="B108" t="str">
            <v>LOZANO</v>
          </cell>
          <cell r="C108" t="str">
            <v>Isabel</v>
          </cell>
          <cell r="D108" t="str">
            <v>MUR</v>
          </cell>
          <cell r="E108" t="str">
            <v>LOZANO, Isabel</v>
          </cell>
          <cell r="F108">
            <v>237</v>
          </cell>
        </row>
        <row r="109">
          <cell r="A109">
            <v>208</v>
          </cell>
          <cell r="B109" t="str">
            <v>NÚÑEZ</v>
          </cell>
          <cell r="C109" t="str">
            <v>Vanessa</v>
          </cell>
          <cell r="D109" t="str">
            <v>MUR</v>
          </cell>
          <cell r="E109" t="str">
            <v>NÚÑEZ, Vanessa</v>
          </cell>
        </row>
        <row r="110">
          <cell r="A110">
            <v>209</v>
          </cell>
          <cell r="B110" t="str">
            <v>PÉREZ</v>
          </cell>
          <cell r="C110" t="str">
            <v>Sara</v>
          </cell>
          <cell r="D110" t="str">
            <v>MUR</v>
          </cell>
          <cell r="E110" t="str">
            <v>PÉREZ, Sara</v>
          </cell>
          <cell r="F110">
            <v>782</v>
          </cell>
        </row>
        <row r="111">
          <cell r="A111">
            <v>210</v>
          </cell>
          <cell r="B111" t="str">
            <v>VILLADA</v>
          </cell>
          <cell r="C111" t="str">
            <v>Jénnifer</v>
          </cell>
          <cell r="D111" t="str">
            <v>MUR</v>
          </cell>
          <cell r="E111" t="str">
            <v>VILLADA, Jénnifer</v>
          </cell>
          <cell r="F111">
            <v>302</v>
          </cell>
        </row>
        <row r="112">
          <cell r="A112">
            <v>211</v>
          </cell>
          <cell r="B112" t="str">
            <v>CALVO</v>
          </cell>
          <cell r="C112" t="str">
            <v>Luis</v>
          </cell>
          <cell r="D112" t="str">
            <v>CNR</v>
          </cell>
          <cell r="E112" t="str">
            <v>CALVO, Luis</v>
          </cell>
        </row>
        <row r="113">
          <cell r="A113">
            <v>212</v>
          </cell>
          <cell r="B113" t="str">
            <v>CARNEROS</v>
          </cell>
          <cell r="C113" t="str">
            <v>Alfredo</v>
          </cell>
          <cell r="D113" t="str">
            <v>IND</v>
          </cell>
          <cell r="E113" t="str">
            <v>CARNEROS, Alfredo</v>
          </cell>
        </row>
        <row r="114">
          <cell r="A114">
            <v>213</v>
          </cell>
          <cell r="B114" t="str">
            <v>CAYMEL</v>
          </cell>
          <cell r="C114" t="str">
            <v>Ismael</v>
          </cell>
          <cell r="D114" t="str">
            <v>VAL</v>
          </cell>
          <cell r="E114" t="str">
            <v>CAYMEL, Ismael</v>
          </cell>
        </row>
        <row r="115">
          <cell r="A115">
            <v>214</v>
          </cell>
          <cell r="B115" t="str">
            <v>TORRES</v>
          </cell>
          <cell r="C115" t="str">
            <v>Daniel</v>
          </cell>
          <cell r="D115" t="str">
            <v>IND</v>
          </cell>
          <cell r="E115" t="str">
            <v>TORRES, Daniel</v>
          </cell>
          <cell r="F115">
            <v>818</v>
          </cell>
        </row>
        <row r="116">
          <cell r="A116">
            <v>215</v>
          </cell>
          <cell r="B116" t="str">
            <v>EMILIANOV</v>
          </cell>
          <cell r="C116" t="str">
            <v>Alexei</v>
          </cell>
          <cell r="D116" t="str">
            <v>PVS</v>
          </cell>
          <cell r="E116" t="str">
            <v>EMILIANOV, Alexei</v>
          </cell>
        </row>
        <row r="117">
          <cell r="A117">
            <v>216</v>
          </cell>
          <cell r="B117" t="str">
            <v>MARTÍNEZ</v>
          </cell>
          <cell r="C117" t="str">
            <v>Íker</v>
          </cell>
          <cell r="D117" t="str">
            <v>PVS</v>
          </cell>
          <cell r="E117" t="str">
            <v>MARTÍNEZ, Íker</v>
          </cell>
        </row>
        <row r="118">
          <cell r="A118">
            <v>217</v>
          </cell>
          <cell r="B118" t="str">
            <v>OMOTARA</v>
          </cell>
          <cell r="C118" t="str">
            <v>Titus</v>
          </cell>
          <cell r="D118" t="str">
            <v>PVS</v>
          </cell>
          <cell r="E118" t="str">
            <v>OMOTARA, Titus</v>
          </cell>
        </row>
        <row r="119">
          <cell r="A119">
            <v>218</v>
          </cell>
          <cell r="B119" t="str">
            <v>RODRÍGUEZ</v>
          </cell>
          <cell r="C119" t="str">
            <v>Sergio</v>
          </cell>
          <cell r="D119" t="str">
            <v>PVS</v>
          </cell>
          <cell r="E119" t="str">
            <v>RODRÍGUEZ, Sergio</v>
          </cell>
        </row>
        <row r="120">
          <cell r="A120">
            <v>219</v>
          </cell>
          <cell r="B120" t="str">
            <v>SANTAMARTA</v>
          </cell>
          <cell r="C120" t="str">
            <v>Víctor</v>
          </cell>
          <cell r="D120" t="str">
            <v>PVS</v>
          </cell>
          <cell r="E120" t="str">
            <v>SANTAMARTA, Víctor</v>
          </cell>
        </row>
        <row r="121">
          <cell r="A121">
            <v>220</v>
          </cell>
          <cell r="B121" t="str">
            <v>MALOV</v>
          </cell>
          <cell r="C121" t="str">
            <v>Valeri</v>
          </cell>
          <cell r="D121" t="str">
            <v>CAT</v>
          </cell>
          <cell r="E121" t="str">
            <v>MALOV, Valeri</v>
          </cell>
        </row>
        <row r="122">
          <cell r="A122">
            <v>221</v>
          </cell>
          <cell r="B122" t="str">
            <v>GONZÁLEZ</v>
          </cell>
          <cell r="C122" t="str">
            <v>Félix</v>
          </cell>
          <cell r="D122" t="str">
            <v>AST</v>
          </cell>
          <cell r="E122" t="str">
            <v>GONZÁLEZ, Félix</v>
          </cell>
        </row>
        <row r="123">
          <cell r="A123">
            <v>222</v>
          </cell>
          <cell r="B123" t="str">
            <v>BURGOS</v>
          </cell>
          <cell r="C123" t="str">
            <v>Emilio</v>
          </cell>
          <cell r="D123" t="str">
            <v>AST</v>
          </cell>
          <cell r="E123" t="str">
            <v>BURGOS, Emilio</v>
          </cell>
        </row>
        <row r="124">
          <cell r="A124">
            <v>223</v>
          </cell>
          <cell r="B124" t="str">
            <v>NAVARRO</v>
          </cell>
          <cell r="C124" t="str">
            <v>Pere</v>
          </cell>
          <cell r="D124" t="str">
            <v>CAT</v>
          </cell>
          <cell r="E124" t="str">
            <v>NAVARRO, Pere</v>
          </cell>
        </row>
        <row r="125">
          <cell r="A125">
            <v>224</v>
          </cell>
          <cell r="B125" t="str">
            <v>MARTÍNEZ</v>
          </cell>
          <cell r="C125" t="str">
            <v>Luis</v>
          </cell>
          <cell r="D125" t="str">
            <v>MAD</v>
          </cell>
          <cell r="E125" t="str">
            <v>MARTÍNEZ, Luis</v>
          </cell>
        </row>
        <row r="126">
          <cell r="A126">
            <v>225</v>
          </cell>
          <cell r="B126" t="str">
            <v>PRADES</v>
          </cell>
          <cell r="C126" t="str">
            <v>Alba</v>
          </cell>
          <cell r="D126" t="str">
            <v>IND</v>
          </cell>
          <cell r="E126" t="str">
            <v>PRADES, Alba</v>
          </cell>
        </row>
        <row r="127">
          <cell r="A127">
            <v>226</v>
          </cell>
          <cell r="B127" t="str">
            <v>KAZANTSEV</v>
          </cell>
          <cell r="C127" t="str">
            <v>Maxim</v>
          </cell>
          <cell r="D127" t="str">
            <v>GAL</v>
          </cell>
          <cell r="E127" t="str">
            <v>KAZANTSEV, Maxim</v>
          </cell>
        </row>
        <row r="128">
          <cell r="A128">
            <v>227</v>
          </cell>
          <cell r="B128" t="str">
            <v>BLANCO</v>
          </cell>
          <cell r="C128" t="str">
            <v>Roberto</v>
          </cell>
          <cell r="D128" t="str">
            <v>GAL</v>
          </cell>
          <cell r="E128" t="str">
            <v>BLANCO, Roberto</v>
          </cell>
        </row>
        <row r="129">
          <cell r="A129">
            <v>228</v>
          </cell>
          <cell r="B129" t="str">
            <v>MACHADO</v>
          </cell>
          <cell r="C129" t="str">
            <v>Miguel Ángel</v>
          </cell>
          <cell r="D129" t="str">
            <v>AND</v>
          </cell>
          <cell r="E129" t="str">
            <v>MACHADO, Miguel Ángel</v>
          </cell>
        </row>
        <row r="130">
          <cell r="A130">
            <v>229</v>
          </cell>
          <cell r="B130" t="str">
            <v>IZQUIERDO</v>
          </cell>
          <cell r="C130" t="str">
            <v>Alberto</v>
          </cell>
          <cell r="D130" t="str">
            <v>CYL</v>
          </cell>
          <cell r="E130" t="str">
            <v>IZQUIERDO, Alberto</v>
          </cell>
        </row>
        <row r="131">
          <cell r="A131">
            <v>230</v>
          </cell>
          <cell r="B131" t="str">
            <v>GUILLÉN</v>
          </cell>
          <cell r="C131" t="str">
            <v>César</v>
          </cell>
          <cell r="D131" t="str">
            <v>CYL</v>
          </cell>
          <cell r="E131" t="str">
            <v>GUILLÉN, César</v>
          </cell>
        </row>
        <row r="132">
          <cell r="A132">
            <v>231</v>
          </cell>
        </row>
        <row r="133">
          <cell r="A133">
            <v>232</v>
          </cell>
        </row>
        <row r="134">
          <cell r="A134">
            <v>233</v>
          </cell>
        </row>
        <row r="135">
          <cell r="A135">
            <v>234</v>
          </cell>
        </row>
        <row r="136">
          <cell r="A136">
            <v>235</v>
          </cell>
        </row>
        <row r="137">
          <cell r="A137">
            <v>236</v>
          </cell>
        </row>
        <row r="138">
          <cell r="A138">
            <v>237</v>
          </cell>
        </row>
        <row r="139">
          <cell r="A139">
            <v>238</v>
          </cell>
        </row>
        <row r="140">
          <cell r="A140">
            <v>239</v>
          </cell>
        </row>
      </sheetData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orsal"/>
      <sheetName val="ARB"/>
      <sheetName val="IND"/>
      <sheetName val="EQU"/>
      <sheetName val="AE"/>
      <sheetName val="E"/>
      <sheetName val="EQF"/>
      <sheetName val="AEF"/>
      <sheetName val="EF"/>
      <sheetName val="AI"/>
      <sheetName val="I"/>
      <sheetName val="Af"/>
      <sheetName val="If"/>
      <sheetName val="ADm"/>
      <sheetName val="Dm"/>
      <sheetName val="ADf"/>
      <sheetName val="Df"/>
      <sheetName val="ADx"/>
      <sheetName val="Dx"/>
    </sheetNames>
    <sheetDataSet>
      <sheetData sheetId="0" refreshError="1"/>
      <sheetData sheetId="1" refreshError="1"/>
      <sheetData sheetId="2" refreshError="1">
        <row r="1">
          <cell r="A1" t="str">
            <v>Dors.</v>
          </cell>
          <cell r="B1" t="str">
            <v>APELLIDO, Nombre</v>
          </cell>
          <cell r="C1" t="str">
            <v>Cat.</v>
          </cell>
          <cell r="D1" t="str">
            <v>COM</v>
          </cell>
          <cell r="E1" t="str">
            <v>PTS</v>
          </cell>
        </row>
        <row r="2">
          <cell r="A2">
            <v>1</v>
          </cell>
          <cell r="B2" t="str">
            <v>BARRIENTOS, Antonio</v>
          </cell>
          <cell r="C2" t="str">
            <v>M</v>
          </cell>
          <cell r="D2" t="str">
            <v>AND</v>
          </cell>
        </row>
        <row r="3">
          <cell r="A3">
            <v>2</v>
          </cell>
          <cell r="B3" t="str">
            <v>CARBAJO, Fernando</v>
          </cell>
          <cell r="C3" t="str">
            <v>M</v>
          </cell>
          <cell r="D3" t="str">
            <v>AND</v>
          </cell>
          <cell r="F3" t="str">
            <v>BAJA</v>
          </cell>
        </row>
        <row r="4">
          <cell r="A4">
            <v>3</v>
          </cell>
          <cell r="B4" t="str">
            <v>FERNÁNDEZ, José A.</v>
          </cell>
          <cell r="C4" t="str">
            <v>M</v>
          </cell>
          <cell r="D4" t="str">
            <v>AND</v>
          </cell>
        </row>
        <row r="5">
          <cell r="A5">
            <v>4</v>
          </cell>
          <cell r="B5" t="str">
            <v>GALINDO, José M.</v>
          </cell>
          <cell r="C5" t="str">
            <v>M</v>
          </cell>
          <cell r="D5" t="str">
            <v>AND</v>
          </cell>
          <cell r="F5" t="str">
            <v>BAJA</v>
          </cell>
        </row>
        <row r="6">
          <cell r="A6">
            <v>5</v>
          </cell>
          <cell r="B6" t="str">
            <v>GARCÍA, Antonio E.</v>
          </cell>
          <cell r="C6" t="str">
            <v>M</v>
          </cell>
          <cell r="D6" t="str">
            <v>AND</v>
          </cell>
        </row>
        <row r="7">
          <cell r="A7">
            <v>6</v>
          </cell>
          <cell r="B7" t="str">
            <v>GÓMEZ, Juan</v>
          </cell>
          <cell r="C7" t="str">
            <v>M</v>
          </cell>
          <cell r="D7" t="str">
            <v>AND</v>
          </cell>
        </row>
        <row r="8">
          <cell r="A8">
            <v>7</v>
          </cell>
          <cell r="B8" t="str">
            <v>GONZÁLEZ, Carlos</v>
          </cell>
          <cell r="C8" t="str">
            <v>M</v>
          </cell>
          <cell r="D8" t="str">
            <v>AND</v>
          </cell>
        </row>
        <row r="9">
          <cell r="A9">
            <v>8</v>
          </cell>
          <cell r="B9" t="str">
            <v>HERNÁNDEZ, Mario</v>
          </cell>
          <cell r="C9" t="str">
            <v>M</v>
          </cell>
          <cell r="D9" t="str">
            <v>AND</v>
          </cell>
        </row>
        <row r="10">
          <cell r="A10">
            <v>9</v>
          </cell>
          <cell r="B10" t="str">
            <v>HERRERA, Pedro J.</v>
          </cell>
          <cell r="C10" t="str">
            <v>M</v>
          </cell>
          <cell r="D10" t="str">
            <v>AND</v>
          </cell>
        </row>
        <row r="11">
          <cell r="A11">
            <v>10</v>
          </cell>
          <cell r="B11" t="str">
            <v>JIMÉNEZ, Pedro</v>
          </cell>
          <cell r="C11" t="str">
            <v>M</v>
          </cell>
          <cell r="D11" t="str">
            <v>AND</v>
          </cell>
        </row>
        <row r="12">
          <cell r="A12">
            <v>11</v>
          </cell>
          <cell r="B12" t="str">
            <v>LARA, Jesús</v>
          </cell>
          <cell r="C12" t="str">
            <v>M</v>
          </cell>
          <cell r="D12" t="str">
            <v>AND</v>
          </cell>
        </row>
        <row r="13">
          <cell r="A13">
            <v>12</v>
          </cell>
          <cell r="B13" t="str">
            <v>MARTÍN, Francisco</v>
          </cell>
          <cell r="C13" t="str">
            <v>M</v>
          </cell>
          <cell r="D13" t="str">
            <v>AND</v>
          </cell>
        </row>
        <row r="14">
          <cell r="A14">
            <v>13</v>
          </cell>
          <cell r="B14" t="str">
            <v>MORALES, Enrique</v>
          </cell>
          <cell r="C14" t="str">
            <v>M</v>
          </cell>
          <cell r="D14" t="str">
            <v>AND</v>
          </cell>
          <cell r="F14" t="str">
            <v>BAJA</v>
          </cell>
        </row>
        <row r="15">
          <cell r="A15">
            <v>14</v>
          </cell>
          <cell r="B15" t="str">
            <v>MURIEL, David</v>
          </cell>
          <cell r="C15" t="str">
            <v>M</v>
          </cell>
          <cell r="D15" t="str">
            <v>AND</v>
          </cell>
          <cell r="F15" t="str">
            <v>BAJA</v>
          </cell>
        </row>
        <row r="16">
          <cell r="A16">
            <v>15</v>
          </cell>
          <cell r="B16" t="str">
            <v>PÉREZ, Álvaro</v>
          </cell>
          <cell r="C16" t="str">
            <v>M</v>
          </cell>
          <cell r="D16" t="str">
            <v>AND</v>
          </cell>
        </row>
        <row r="17">
          <cell r="A17">
            <v>16</v>
          </cell>
          <cell r="B17" t="str">
            <v>POVEDANO, Manuel</v>
          </cell>
          <cell r="C17" t="str">
            <v>M</v>
          </cell>
          <cell r="D17" t="str">
            <v>AND</v>
          </cell>
        </row>
        <row r="18">
          <cell r="A18">
            <v>17</v>
          </cell>
          <cell r="B18" t="str">
            <v>RAMÍREZ, Antonio</v>
          </cell>
          <cell r="C18" t="str">
            <v>M</v>
          </cell>
          <cell r="D18" t="str">
            <v>AND</v>
          </cell>
        </row>
        <row r="19">
          <cell r="A19">
            <v>18</v>
          </cell>
          <cell r="B19" t="str">
            <v>RAMÍREZ, Manuel</v>
          </cell>
          <cell r="C19" t="str">
            <v>M</v>
          </cell>
          <cell r="D19" t="str">
            <v>AND</v>
          </cell>
        </row>
        <row r="20">
          <cell r="A20">
            <v>19</v>
          </cell>
          <cell r="B20" t="str">
            <v>TEJERO, Adolfo</v>
          </cell>
          <cell r="C20" t="str">
            <v>M</v>
          </cell>
          <cell r="D20" t="str">
            <v>AND</v>
          </cell>
        </row>
        <row r="21">
          <cell r="A21">
            <v>20</v>
          </cell>
          <cell r="B21" t="str">
            <v>ÁLVAREZ, Gloria</v>
          </cell>
          <cell r="C21" t="str">
            <v>F</v>
          </cell>
          <cell r="D21" t="str">
            <v>AND</v>
          </cell>
        </row>
        <row r="22">
          <cell r="A22">
            <v>21</v>
          </cell>
          <cell r="B22" t="str">
            <v>ARCHIDONA, Victoria</v>
          </cell>
          <cell r="C22" t="str">
            <v>F</v>
          </cell>
          <cell r="D22" t="str">
            <v>AND</v>
          </cell>
        </row>
        <row r="23">
          <cell r="A23">
            <v>22</v>
          </cell>
          <cell r="B23" t="str">
            <v>COBOS, Lourdes</v>
          </cell>
          <cell r="C23" t="str">
            <v>F</v>
          </cell>
          <cell r="D23" t="str">
            <v>AND</v>
          </cell>
        </row>
        <row r="24">
          <cell r="A24">
            <v>23</v>
          </cell>
          <cell r="B24" t="str">
            <v>DEL OJO, María</v>
          </cell>
          <cell r="C24" t="str">
            <v>F</v>
          </cell>
          <cell r="D24" t="str">
            <v>AND</v>
          </cell>
        </row>
        <row r="25">
          <cell r="A25">
            <v>24</v>
          </cell>
          <cell r="B25" t="str">
            <v>DÍAZ, Lorena</v>
          </cell>
          <cell r="C25" t="str">
            <v>F</v>
          </cell>
          <cell r="D25" t="str">
            <v>AND</v>
          </cell>
        </row>
        <row r="26">
          <cell r="A26">
            <v>25</v>
          </cell>
          <cell r="B26" t="str">
            <v>FERNÁNDEZ, Jéssica</v>
          </cell>
          <cell r="C26" t="str">
            <v>F</v>
          </cell>
          <cell r="D26" t="str">
            <v>AND</v>
          </cell>
          <cell r="F26" t="str">
            <v>BAJA</v>
          </cell>
        </row>
        <row r="27">
          <cell r="A27">
            <v>26</v>
          </cell>
          <cell r="B27" t="str">
            <v>GARCÍA, Marta</v>
          </cell>
          <cell r="C27" t="str">
            <v>F</v>
          </cell>
          <cell r="D27" t="str">
            <v>AND</v>
          </cell>
        </row>
        <row r="28">
          <cell r="A28">
            <v>27</v>
          </cell>
          <cell r="B28" t="str">
            <v>GARCÍA, Rocío</v>
          </cell>
          <cell r="C28" t="str">
            <v>F</v>
          </cell>
          <cell r="D28" t="str">
            <v>AND</v>
          </cell>
        </row>
        <row r="29">
          <cell r="A29">
            <v>28</v>
          </cell>
          <cell r="B29" t="str">
            <v>LÓPEZ, Cristina</v>
          </cell>
          <cell r="C29" t="str">
            <v>F</v>
          </cell>
          <cell r="D29" t="str">
            <v>AND</v>
          </cell>
        </row>
        <row r="30">
          <cell r="A30">
            <v>29</v>
          </cell>
          <cell r="B30" t="str">
            <v>MATA, Rosa</v>
          </cell>
          <cell r="C30" t="str">
            <v>F</v>
          </cell>
          <cell r="D30" t="str">
            <v>AND</v>
          </cell>
        </row>
        <row r="31">
          <cell r="A31">
            <v>30</v>
          </cell>
          <cell r="B31" t="str">
            <v>MOLINA, Maribel</v>
          </cell>
          <cell r="C31" t="str">
            <v>F</v>
          </cell>
          <cell r="D31" t="str">
            <v>AND</v>
          </cell>
        </row>
        <row r="32">
          <cell r="A32">
            <v>31</v>
          </cell>
          <cell r="B32" t="str">
            <v>MUÑOZ, Carmen</v>
          </cell>
          <cell r="C32" t="str">
            <v>F</v>
          </cell>
          <cell r="D32" t="str">
            <v>AND</v>
          </cell>
        </row>
        <row r="33">
          <cell r="A33">
            <v>32</v>
          </cell>
          <cell r="B33" t="str">
            <v>RAMÍREZ, Dolores</v>
          </cell>
          <cell r="C33" t="str">
            <v>F</v>
          </cell>
          <cell r="D33" t="str">
            <v>AND</v>
          </cell>
        </row>
        <row r="34">
          <cell r="A34">
            <v>33</v>
          </cell>
          <cell r="B34" t="str">
            <v>ROJAS, Ana María</v>
          </cell>
          <cell r="C34" t="str">
            <v>F</v>
          </cell>
          <cell r="D34" t="str">
            <v>AND</v>
          </cell>
        </row>
        <row r="35">
          <cell r="A35">
            <v>34</v>
          </cell>
          <cell r="B35" t="str">
            <v>BENAVIDES, Jesús</v>
          </cell>
          <cell r="C35" t="str">
            <v>M</v>
          </cell>
          <cell r="D35" t="str">
            <v>ARA</v>
          </cell>
        </row>
        <row r="36">
          <cell r="A36">
            <v>35</v>
          </cell>
          <cell r="B36" t="str">
            <v>CARDONA, Jorge</v>
          </cell>
          <cell r="C36" t="str">
            <v>M</v>
          </cell>
          <cell r="D36" t="str">
            <v>ARA</v>
          </cell>
        </row>
        <row r="37">
          <cell r="A37">
            <v>36</v>
          </cell>
          <cell r="B37" t="str">
            <v>ESCUDERO, Ramón</v>
          </cell>
          <cell r="C37" t="str">
            <v>M</v>
          </cell>
          <cell r="D37" t="str">
            <v>ARA</v>
          </cell>
        </row>
        <row r="38">
          <cell r="A38">
            <v>37</v>
          </cell>
          <cell r="B38" t="str">
            <v>FAURA, Pablo</v>
          </cell>
          <cell r="C38" t="str">
            <v>M</v>
          </cell>
          <cell r="D38" t="str">
            <v>ARA</v>
          </cell>
          <cell r="F38" t="str">
            <v>BAJA</v>
          </cell>
        </row>
        <row r="39">
          <cell r="A39">
            <v>38</v>
          </cell>
          <cell r="B39" t="str">
            <v>GÓMEZ-CABRERO, Rubén</v>
          </cell>
          <cell r="C39" t="str">
            <v>M</v>
          </cell>
          <cell r="D39" t="str">
            <v>ARA</v>
          </cell>
        </row>
        <row r="40">
          <cell r="A40">
            <v>39</v>
          </cell>
          <cell r="B40" t="str">
            <v>JOFRE, Guillermo</v>
          </cell>
          <cell r="C40" t="str">
            <v>M</v>
          </cell>
          <cell r="D40" t="str">
            <v>ARA</v>
          </cell>
        </row>
        <row r="41">
          <cell r="A41">
            <v>40</v>
          </cell>
          <cell r="B41" t="str">
            <v>MONREAL, Diego</v>
          </cell>
          <cell r="C41" t="str">
            <v>M</v>
          </cell>
          <cell r="D41" t="str">
            <v>ARA</v>
          </cell>
        </row>
        <row r="42">
          <cell r="A42">
            <v>41</v>
          </cell>
          <cell r="B42" t="str">
            <v>MONTERO, Javier</v>
          </cell>
          <cell r="C42" t="str">
            <v>M</v>
          </cell>
          <cell r="D42" t="str">
            <v>ARA</v>
          </cell>
        </row>
        <row r="43">
          <cell r="A43">
            <v>42</v>
          </cell>
          <cell r="B43" t="str">
            <v>MONTERO, José Ángel</v>
          </cell>
          <cell r="C43" t="str">
            <v>M</v>
          </cell>
          <cell r="D43" t="str">
            <v>ARA</v>
          </cell>
        </row>
        <row r="44">
          <cell r="A44">
            <v>43</v>
          </cell>
          <cell r="B44" t="str">
            <v>NAVARRO, Luis</v>
          </cell>
          <cell r="C44" t="str">
            <v>M</v>
          </cell>
          <cell r="D44" t="str">
            <v>ARA</v>
          </cell>
        </row>
        <row r="45">
          <cell r="A45">
            <v>44</v>
          </cell>
          <cell r="B45" t="str">
            <v>RAMÓN, Jorge</v>
          </cell>
          <cell r="C45" t="str">
            <v>M</v>
          </cell>
          <cell r="D45" t="str">
            <v>ARA</v>
          </cell>
        </row>
        <row r="46">
          <cell r="A46">
            <v>45</v>
          </cell>
          <cell r="B46" t="str">
            <v>GRIMAL, Yara</v>
          </cell>
          <cell r="C46" t="str">
            <v>F</v>
          </cell>
          <cell r="D46" t="str">
            <v>ARA</v>
          </cell>
        </row>
        <row r="47">
          <cell r="A47">
            <v>46</v>
          </cell>
          <cell r="B47" t="str">
            <v>SANTORROMÁN, María</v>
          </cell>
          <cell r="C47" t="str">
            <v>F</v>
          </cell>
          <cell r="D47" t="str">
            <v>ARA</v>
          </cell>
        </row>
        <row r="48">
          <cell r="A48">
            <v>47</v>
          </cell>
          <cell r="B48" t="str">
            <v>MARCOS, Javier</v>
          </cell>
          <cell r="C48" t="str">
            <v>M</v>
          </cell>
          <cell r="D48" t="str">
            <v>AST</v>
          </cell>
        </row>
        <row r="49">
          <cell r="A49">
            <v>48</v>
          </cell>
          <cell r="B49" t="str">
            <v>PÉREZ, David</v>
          </cell>
          <cell r="C49" t="str">
            <v>M</v>
          </cell>
          <cell r="D49" t="str">
            <v>AST</v>
          </cell>
        </row>
        <row r="50">
          <cell r="A50">
            <v>49</v>
          </cell>
          <cell r="B50" t="str">
            <v>POUSADA, Arán</v>
          </cell>
          <cell r="C50" t="str">
            <v>M</v>
          </cell>
          <cell r="D50" t="str">
            <v>AST</v>
          </cell>
        </row>
        <row r="51">
          <cell r="A51">
            <v>50</v>
          </cell>
          <cell r="B51" t="str">
            <v>FDEZ.ALONSO, Marta</v>
          </cell>
          <cell r="C51" t="str">
            <v>F</v>
          </cell>
          <cell r="D51" t="str">
            <v>AST</v>
          </cell>
        </row>
        <row r="52">
          <cell r="A52">
            <v>51</v>
          </cell>
          <cell r="B52" t="str">
            <v>FERNÁNDEZ, Sandra</v>
          </cell>
          <cell r="C52" t="str">
            <v>F</v>
          </cell>
          <cell r="D52" t="str">
            <v>AST</v>
          </cell>
        </row>
        <row r="53">
          <cell r="A53">
            <v>52</v>
          </cell>
          <cell r="B53" t="str">
            <v>MENÉNDEZ, Beatriz</v>
          </cell>
          <cell r="C53" t="str">
            <v>F</v>
          </cell>
          <cell r="D53" t="str">
            <v>AST</v>
          </cell>
        </row>
        <row r="54">
          <cell r="A54">
            <v>53</v>
          </cell>
          <cell r="B54" t="str">
            <v>MORAL, Izaskun</v>
          </cell>
          <cell r="C54" t="str">
            <v>F</v>
          </cell>
          <cell r="D54" t="str">
            <v>AST</v>
          </cell>
        </row>
        <row r="55">
          <cell r="A55">
            <v>54</v>
          </cell>
          <cell r="B55" t="str">
            <v>HOMAR, Miguel A.</v>
          </cell>
          <cell r="C55" t="str">
            <v>M</v>
          </cell>
          <cell r="D55" t="str">
            <v>BAL</v>
          </cell>
          <cell r="F55" t="str">
            <v>BAJA</v>
          </cell>
        </row>
        <row r="56">
          <cell r="A56">
            <v>55</v>
          </cell>
          <cell r="B56" t="str">
            <v>MANGAS, José M.</v>
          </cell>
          <cell r="C56" t="str">
            <v>M</v>
          </cell>
          <cell r="D56" t="str">
            <v>BAL</v>
          </cell>
        </row>
        <row r="57">
          <cell r="A57">
            <v>56</v>
          </cell>
          <cell r="B57" t="str">
            <v>PONS, Antonio</v>
          </cell>
          <cell r="C57" t="str">
            <v>M</v>
          </cell>
          <cell r="D57" t="str">
            <v>BAL</v>
          </cell>
          <cell r="F57" t="str">
            <v>BAJA</v>
          </cell>
        </row>
        <row r="58">
          <cell r="A58">
            <v>57</v>
          </cell>
          <cell r="B58" t="str">
            <v>VIDAL, Gabriel</v>
          </cell>
          <cell r="C58" t="str">
            <v>M</v>
          </cell>
          <cell r="D58" t="str">
            <v>BAL</v>
          </cell>
        </row>
        <row r="59">
          <cell r="A59">
            <v>58</v>
          </cell>
          <cell r="B59" t="str">
            <v>GONZÁLEZ, Eduardo</v>
          </cell>
          <cell r="C59" t="str">
            <v>M</v>
          </cell>
          <cell r="D59" t="str">
            <v>CNR</v>
          </cell>
        </row>
        <row r="60">
          <cell r="A60">
            <v>59</v>
          </cell>
          <cell r="B60" t="str">
            <v>MUÑOZ, Sergio</v>
          </cell>
          <cell r="C60" t="str">
            <v>M</v>
          </cell>
          <cell r="D60" t="str">
            <v>CNR</v>
          </cell>
        </row>
        <row r="61">
          <cell r="A61">
            <v>60</v>
          </cell>
          <cell r="B61" t="str">
            <v>RODRÍGUEZ, David</v>
          </cell>
          <cell r="C61" t="str">
            <v>M</v>
          </cell>
          <cell r="D61" t="str">
            <v>CNR</v>
          </cell>
        </row>
        <row r="62">
          <cell r="A62">
            <v>61</v>
          </cell>
          <cell r="B62" t="str">
            <v>DÍAZ, Sara</v>
          </cell>
          <cell r="C62" t="str">
            <v>F</v>
          </cell>
          <cell r="D62" t="str">
            <v>CNR</v>
          </cell>
        </row>
        <row r="63">
          <cell r="A63">
            <v>62</v>
          </cell>
          <cell r="B63" t="str">
            <v>MARTÍN, Marta</v>
          </cell>
          <cell r="C63" t="str">
            <v>F</v>
          </cell>
          <cell r="D63" t="str">
            <v>CNR</v>
          </cell>
        </row>
        <row r="64">
          <cell r="A64">
            <v>63</v>
          </cell>
          <cell r="B64" t="str">
            <v>PIÑERO, Leyra</v>
          </cell>
          <cell r="C64" t="str">
            <v>F</v>
          </cell>
          <cell r="D64" t="str">
            <v>CNR</v>
          </cell>
        </row>
        <row r="65">
          <cell r="A65">
            <v>64</v>
          </cell>
          <cell r="B65" t="str">
            <v>SANTANA, Lara</v>
          </cell>
          <cell r="C65" t="str">
            <v>F</v>
          </cell>
          <cell r="D65" t="str">
            <v>CNR</v>
          </cell>
          <cell r="F65" t="str">
            <v>BAJA</v>
          </cell>
        </row>
        <row r="66">
          <cell r="A66">
            <v>65</v>
          </cell>
          <cell r="B66" t="str">
            <v>SANTANA, Leticia</v>
          </cell>
          <cell r="C66" t="str">
            <v>F</v>
          </cell>
          <cell r="D66" t="str">
            <v>CNR</v>
          </cell>
        </row>
        <row r="67">
          <cell r="A67">
            <v>66</v>
          </cell>
          <cell r="B67" t="str">
            <v>CHAMORRO, David</v>
          </cell>
          <cell r="C67" t="str">
            <v>M</v>
          </cell>
          <cell r="D67" t="str">
            <v>CTB</v>
          </cell>
          <cell r="F67" t="str">
            <v>BAJA</v>
          </cell>
        </row>
        <row r="68">
          <cell r="A68">
            <v>67</v>
          </cell>
          <cell r="B68" t="str">
            <v>SASIAN, Javier</v>
          </cell>
          <cell r="C68" t="str">
            <v>M</v>
          </cell>
          <cell r="D68" t="str">
            <v>CTB</v>
          </cell>
        </row>
        <row r="69">
          <cell r="A69">
            <v>68</v>
          </cell>
          <cell r="B69" t="str">
            <v>VARELA, Francisco</v>
          </cell>
          <cell r="C69" t="str">
            <v>M</v>
          </cell>
          <cell r="D69" t="str">
            <v>CTB</v>
          </cell>
        </row>
        <row r="70">
          <cell r="A70">
            <v>69</v>
          </cell>
          <cell r="B70" t="str">
            <v>GONZÁLEZ, Jorge</v>
          </cell>
          <cell r="C70" t="str">
            <v>M</v>
          </cell>
          <cell r="D70" t="str">
            <v>CYL</v>
          </cell>
        </row>
        <row r="71">
          <cell r="A71">
            <v>70</v>
          </cell>
          <cell r="B71" t="str">
            <v>GONZÁLEZ, Roberto</v>
          </cell>
          <cell r="C71" t="str">
            <v>M</v>
          </cell>
          <cell r="D71" t="str">
            <v>CYL</v>
          </cell>
        </row>
        <row r="72">
          <cell r="A72">
            <v>71</v>
          </cell>
          <cell r="B72" t="str">
            <v>GUTIÉRREZ, Alberto</v>
          </cell>
          <cell r="C72" t="str">
            <v>M</v>
          </cell>
          <cell r="D72" t="str">
            <v>CYL</v>
          </cell>
        </row>
        <row r="73">
          <cell r="A73">
            <v>72</v>
          </cell>
          <cell r="B73" t="str">
            <v>MORA, Javier</v>
          </cell>
          <cell r="C73" t="str">
            <v>M</v>
          </cell>
          <cell r="D73" t="str">
            <v>CYL</v>
          </cell>
        </row>
        <row r="74">
          <cell r="A74">
            <v>73</v>
          </cell>
          <cell r="B74" t="str">
            <v>ALÁEZ, Carlos</v>
          </cell>
          <cell r="C74" t="str">
            <v>M</v>
          </cell>
          <cell r="D74" t="str">
            <v>CAT</v>
          </cell>
        </row>
        <row r="75">
          <cell r="A75">
            <v>74</v>
          </cell>
          <cell r="B75" t="str">
            <v>ALÁEZ, Jesús</v>
          </cell>
          <cell r="C75" t="str">
            <v>M</v>
          </cell>
          <cell r="D75" t="str">
            <v>CAT</v>
          </cell>
        </row>
        <row r="76">
          <cell r="A76">
            <v>75</v>
          </cell>
          <cell r="B76" t="str">
            <v>ALTARRIBA, Marc</v>
          </cell>
          <cell r="C76" t="str">
            <v>M</v>
          </cell>
          <cell r="D76" t="str">
            <v>CAT</v>
          </cell>
        </row>
        <row r="77">
          <cell r="A77">
            <v>76</v>
          </cell>
          <cell r="B77" t="str">
            <v>ARAQUE, Adrián</v>
          </cell>
          <cell r="C77" t="str">
            <v>M</v>
          </cell>
          <cell r="D77" t="str">
            <v>CAT</v>
          </cell>
        </row>
        <row r="78">
          <cell r="A78">
            <v>77</v>
          </cell>
          <cell r="B78" t="str">
            <v>ARTIGAS, Sergi</v>
          </cell>
          <cell r="C78" t="str">
            <v>M</v>
          </cell>
          <cell r="D78" t="str">
            <v>CAT</v>
          </cell>
        </row>
        <row r="79">
          <cell r="A79">
            <v>78</v>
          </cell>
          <cell r="B79" t="str">
            <v>ASENSIO, Xavier</v>
          </cell>
          <cell r="C79" t="str">
            <v>M</v>
          </cell>
          <cell r="D79" t="str">
            <v>CAT</v>
          </cell>
        </row>
        <row r="80">
          <cell r="A80">
            <v>79</v>
          </cell>
          <cell r="B80" t="str">
            <v>BALLESTER, Sergio</v>
          </cell>
          <cell r="C80" t="str">
            <v>M</v>
          </cell>
          <cell r="D80" t="str">
            <v>CAT</v>
          </cell>
        </row>
        <row r="81">
          <cell r="A81">
            <v>80</v>
          </cell>
          <cell r="B81" t="str">
            <v>BARBA, Albert</v>
          </cell>
          <cell r="C81" t="str">
            <v>M</v>
          </cell>
          <cell r="D81" t="str">
            <v>CAT</v>
          </cell>
        </row>
        <row r="82">
          <cell r="A82">
            <v>81</v>
          </cell>
          <cell r="B82" t="str">
            <v>BECH, Joel</v>
          </cell>
          <cell r="C82" t="str">
            <v>M</v>
          </cell>
          <cell r="D82" t="str">
            <v>CAT</v>
          </cell>
        </row>
        <row r="83">
          <cell r="A83">
            <v>82</v>
          </cell>
          <cell r="B83" t="str">
            <v>BENEDITO, Jordi</v>
          </cell>
          <cell r="C83" t="str">
            <v>M</v>
          </cell>
          <cell r="D83" t="str">
            <v>CAT</v>
          </cell>
          <cell r="F83" t="str">
            <v>BAJA</v>
          </cell>
        </row>
        <row r="84">
          <cell r="A84">
            <v>83</v>
          </cell>
          <cell r="B84" t="str">
            <v>BRUGADA, Ferrán</v>
          </cell>
          <cell r="C84" t="str">
            <v>M</v>
          </cell>
          <cell r="D84" t="str">
            <v>CAT</v>
          </cell>
        </row>
        <row r="85">
          <cell r="A85">
            <v>84</v>
          </cell>
          <cell r="B85" t="str">
            <v>CIVIT, Sergi</v>
          </cell>
          <cell r="C85" t="str">
            <v>M</v>
          </cell>
          <cell r="D85" t="str">
            <v>CAT</v>
          </cell>
        </row>
        <row r="86">
          <cell r="A86">
            <v>85</v>
          </cell>
          <cell r="B86" t="str">
            <v>COLLELL, Guillem</v>
          </cell>
          <cell r="C86" t="str">
            <v>M</v>
          </cell>
          <cell r="D86" t="str">
            <v>CAT</v>
          </cell>
        </row>
        <row r="87">
          <cell r="A87">
            <v>86</v>
          </cell>
          <cell r="B87" t="str">
            <v>COROMINAS, Pau</v>
          </cell>
          <cell r="C87" t="str">
            <v>M</v>
          </cell>
          <cell r="D87" t="str">
            <v>CAT</v>
          </cell>
        </row>
        <row r="88">
          <cell r="A88">
            <v>87</v>
          </cell>
          <cell r="B88" t="str">
            <v>CURRIUS, Pau</v>
          </cell>
          <cell r="C88" t="str">
            <v>M</v>
          </cell>
          <cell r="D88" t="str">
            <v>CAT</v>
          </cell>
        </row>
        <row r="89">
          <cell r="A89">
            <v>88</v>
          </cell>
          <cell r="B89" t="str">
            <v>DURÁN, Marc</v>
          </cell>
          <cell r="C89" t="str">
            <v>M</v>
          </cell>
          <cell r="D89" t="str">
            <v>CAT</v>
          </cell>
        </row>
        <row r="90">
          <cell r="A90">
            <v>89</v>
          </cell>
          <cell r="B90" t="str">
            <v>EXPÓSITO, Juan</v>
          </cell>
          <cell r="C90" t="str">
            <v>M</v>
          </cell>
          <cell r="D90" t="str">
            <v>CAT</v>
          </cell>
        </row>
        <row r="91">
          <cell r="A91">
            <v>90</v>
          </cell>
          <cell r="B91" t="str">
            <v>FLORES, Daniel</v>
          </cell>
          <cell r="C91" t="str">
            <v>M</v>
          </cell>
          <cell r="D91" t="str">
            <v>CAT</v>
          </cell>
        </row>
        <row r="92">
          <cell r="A92">
            <v>91</v>
          </cell>
          <cell r="B92" t="str">
            <v>GARCÍA, Carlos</v>
          </cell>
          <cell r="C92" t="str">
            <v>M</v>
          </cell>
          <cell r="D92" t="str">
            <v>CAT</v>
          </cell>
        </row>
        <row r="93">
          <cell r="A93">
            <v>92</v>
          </cell>
          <cell r="B93" t="str">
            <v>GARRIDO, Joel</v>
          </cell>
          <cell r="C93" t="str">
            <v>M</v>
          </cell>
          <cell r="D93" t="str">
            <v>CAT</v>
          </cell>
        </row>
        <row r="94">
          <cell r="A94">
            <v>93</v>
          </cell>
          <cell r="B94" t="str">
            <v>GAVIN, Jordi</v>
          </cell>
          <cell r="C94" t="str">
            <v>M</v>
          </cell>
          <cell r="D94" t="str">
            <v>CAT</v>
          </cell>
        </row>
        <row r="95">
          <cell r="A95">
            <v>94</v>
          </cell>
          <cell r="B95" t="str">
            <v>GIL, Gerard</v>
          </cell>
          <cell r="C95" t="str">
            <v>M</v>
          </cell>
          <cell r="D95" t="str">
            <v>CAT</v>
          </cell>
        </row>
        <row r="96">
          <cell r="A96">
            <v>95</v>
          </cell>
          <cell r="B96" t="str">
            <v>GIMÉNEZ, Aitor</v>
          </cell>
          <cell r="C96" t="str">
            <v>M</v>
          </cell>
          <cell r="D96" t="str">
            <v>CAT</v>
          </cell>
        </row>
        <row r="97">
          <cell r="A97">
            <v>96</v>
          </cell>
          <cell r="B97" t="str">
            <v>GRACIA, Albert</v>
          </cell>
          <cell r="C97" t="str">
            <v>M</v>
          </cell>
          <cell r="D97" t="str">
            <v>CAT</v>
          </cell>
        </row>
        <row r="98">
          <cell r="A98">
            <v>97</v>
          </cell>
          <cell r="B98" t="str">
            <v>GRAELLS, Jordi</v>
          </cell>
          <cell r="C98" t="str">
            <v>M</v>
          </cell>
          <cell r="D98" t="str">
            <v>CAT</v>
          </cell>
        </row>
        <row r="99">
          <cell r="A99">
            <v>98</v>
          </cell>
          <cell r="B99" t="str">
            <v>GUIMERA, Pau</v>
          </cell>
          <cell r="C99" t="str">
            <v>M</v>
          </cell>
          <cell r="D99" t="str">
            <v>CAT</v>
          </cell>
        </row>
        <row r="100">
          <cell r="A100">
            <v>99</v>
          </cell>
          <cell r="B100" t="str">
            <v>HERNÁNDEZ, Eduard</v>
          </cell>
          <cell r="C100" t="str">
            <v>M</v>
          </cell>
          <cell r="D100" t="str">
            <v>CAT</v>
          </cell>
        </row>
        <row r="101">
          <cell r="A101">
            <v>100</v>
          </cell>
          <cell r="B101" t="str">
            <v>LARI, Marc</v>
          </cell>
          <cell r="C101" t="str">
            <v>M</v>
          </cell>
          <cell r="D101" t="str">
            <v>CAT</v>
          </cell>
        </row>
        <row r="102">
          <cell r="A102">
            <v>101</v>
          </cell>
          <cell r="B102" t="str">
            <v>LONG, Li Yi</v>
          </cell>
          <cell r="C102" t="str">
            <v>M</v>
          </cell>
          <cell r="D102" t="str">
            <v>CAT</v>
          </cell>
        </row>
        <row r="103">
          <cell r="A103">
            <v>102</v>
          </cell>
          <cell r="B103" t="str">
            <v>MANGER, Kilian</v>
          </cell>
          <cell r="C103" t="str">
            <v>M</v>
          </cell>
          <cell r="D103" t="str">
            <v>CAT</v>
          </cell>
        </row>
        <row r="104">
          <cell r="A104">
            <v>103</v>
          </cell>
          <cell r="B104" t="str">
            <v>MENÉNDEZ, Duarte</v>
          </cell>
          <cell r="C104" t="str">
            <v>M</v>
          </cell>
          <cell r="D104" t="str">
            <v>CAT</v>
          </cell>
        </row>
        <row r="105">
          <cell r="A105">
            <v>104</v>
          </cell>
          <cell r="B105" t="str">
            <v>MIMBRERO, Josep</v>
          </cell>
          <cell r="C105" t="str">
            <v>M</v>
          </cell>
          <cell r="D105" t="str">
            <v>CAT</v>
          </cell>
        </row>
        <row r="106">
          <cell r="A106">
            <v>105</v>
          </cell>
          <cell r="B106" t="str">
            <v>MOREGÓ, Joan</v>
          </cell>
          <cell r="C106" t="str">
            <v>M</v>
          </cell>
          <cell r="D106" t="str">
            <v>CAT</v>
          </cell>
        </row>
        <row r="107">
          <cell r="A107">
            <v>106</v>
          </cell>
          <cell r="B107" t="str">
            <v>MORERA, Jordi</v>
          </cell>
          <cell r="C107" t="str">
            <v>M</v>
          </cell>
          <cell r="D107" t="str">
            <v>CAT</v>
          </cell>
        </row>
        <row r="108">
          <cell r="A108">
            <v>107</v>
          </cell>
          <cell r="B108" t="str">
            <v>MUÑOZ, Carlos</v>
          </cell>
          <cell r="C108" t="str">
            <v>M</v>
          </cell>
          <cell r="D108" t="str">
            <v>CAT</v>
          </cell>
        </row>
        <row r="109">
          <cell r="A109">
            <v>108</v>
          </cell>
          <cell r="B109" t="str">
            <v>NIETO, Joan</v>
          </cell>
          <cell r="C109" t="str">
            <v>M</v>
          </cell>
          <cell r="D109" t="str">
            <v>CAT</v>
          </cell>
        </row>
        <row r="110">
          <cell r="A110">
            <v>109</v>
          </cell>
          <cell r="B110" t="str">
            <v>ORTIZ, Bernat</v>
          </cell>
          <cell r="C110" t="str">
            <v>M</v>
          </cell>
          <cell r="D110" t="str">
            <v>CAT</v>
          </cell>
        </row>
        <row r="111">
          <cell r="A111">
            <v>110</v>
          </cell>
          <cell r="B111" t="str">
            <v>PONFERRADA, Sergi</v>
          </cell>
          <cell r="C111" t="str">
            <v>M</v>
          </cell>
          <cell r="D111" t="str">
            <v>CAT</v>
          </cell>
        </row>
        <row r="112">
          <cell r="A112">
            <v>111</v>
          </cell>
          <cell r="B112" t="str">
            <v>PRAT, Ferrán</v>
          </cell>
          <cell r="C112" t="str">
            <v>M</v>
          </cell>
          <cell r="D112" t="str">
            <v>CAT</v>
          </cell>
        </row>
        <row r="113">
          <cell r="A113">
            <v>112</v>
          </cell>
          <cell r="B113" t="str">
            <v>RAMOS, Samuel</v>
          </cell>
          <cell r="C113" t="str">
            <v>M</v>
          </cell>
          <cell r="D113" t="str">
            <v>CAT</v>
          </cell>
        </row>
        <row r="114">
          <cell r="A114">
            <v>113</v>
          </cell>
          <cell r="B114" t="str">
            <v>RODRÍGUEZ, Aleix</v>
          </cell>
          <cell r="C114" t="str">
            <v>M</v>
          </cell>
          <cell r="D114" t="str">
            <v>CAT</v>
          </cell>
        </row>
        <row r="115">
          <cell r="A115">
            <v>114</v>
          </cell>
          <cell r="B115" t="str">
            <v>ROJALS, Enric</v>
          </cell>
          <cell r="C115" t="str">
            <v>M</v>
          </cell>
          <cell r="D115" t="str">
            <v>CAT</v>
          </cell>
        </row>
        <row r="116">
          <cell r="A116">
            <v>115</v>
          </cell>
          <cell r="B116" t="str">
            <v>ROVIRA, Conrad</v>
          </cell>
          <cell r="C116" t="str">
            <v>M</v>
          </cell>
          <cell r="D116" t="str">
            <v>CAT</v>
          </cell>
        </row>
        <row r="117">
          <cell r="A117">
            <v>116</v>
          </cell>
          <cell r="B117" t="str">
            <v>SÁNCHEZ, Marcos</v>
          </cell>
          <cell r="C117" t="str">
            <v>M</v>
          </cell>
          <cell r="D117" t="str">
            <v>CAT</v>
          </cell>
        </row>
        <row r="118">
          <cell r="A118">
            <v>117</v>
          </cell>
          <cell r="B118" t="str">
            <v>SANS, Joan</v>
          </cell>
          <cell r="C118" t="str">
            <v>M</v>
          </cell>
          <cell r="D118" t="str">
            <v>CAT</v>
          </cell>
        </row>
        <row r="119">
          <cell r="A119">
            <v>118</v>
          </cell>
          <cell r="B119" t="str">
            <v>SOLER, Albert</v>
          </cell>
          <cell r="C119" t="str">
            <v>M</v>
          </cell>
          <cell r="D119" t="str">
            <v>CAT</v>
          </cell>
        </row>
        <row r="120">
          <cell r="A120">
            <v>119</v>
          </cell>
          <cell r="B120" t="str">
            <v>SOLER, Lluis</v>
          </cell>
          <cell r="C120" t="str">
            <v>M</v>
          </cell>
          <cell r="D120" t="str">
            <v>CAT</v>
          </cell>
        </row>
        <row r="121">
          <cell r="A121">
            <v>120</v>
          </cell>
          <cell r="B121" t="str">
            <v>SOLER, Sergi</v>
          </cell>
          <cell r="C121" t="str">
            <v>M</v>
          </cell>
          <cell r="D121" t="str">
            <v>CAT</v>
          </cell>
        </row>
        <row r="122">
          <cell r="A122">
            <v>121</v>
          </cell>
          <cell r="B122" t="str">
            <v>VIDAL, Alexandre</v>
          </cell>
          <cell r="C122" t="str">
            <v>M</v>
          </cell>
          <cell r="D122" t="str">
            <v>CAT</v>
          </cell>
        </row>
        <row r="123">
          <cell r="A123">
            <v>122</v>
          </cell>
          <cell r="B123" t="str">
            <v>BADOSA, Anna</v>
          </cell>
          <cell r="C123" t="str">
            <v>F</v>
          </cell>
          <cell r="D123" t="str">
            <v>CAT</v>
          </cell>
        </row>
        <row r="124">
          <cell r="A124">
            <v>123</v>
          </cell>
          <cell r="B124" t="str">
            <v>CARRILLO, Gemma</v>
          </cell>
          <cell r="C124" t="str">
            <v>F</v>
          </cell>
          <cell r="D124" t="str">
            <v>CAT</v>
          </cell>
        </row>
        <row r="125">
          <cell r="A125">
            <v>124</v>
          </cell>
          <cell r="B125" t="str">
            <v>CEJAS, Claudia</v>
          </cell>
          <cell r="C125" t="str">
            <v>F</v>
          </cell>
          <cell r="D125" t="str">
            <v>CAT</v>
          </cell>
        </row>
        <row r="126">
          <cell r="A126">
            <v>125</v>
          </cell>
          <cell r="B126" t="str">
            <v>DE UGARTE, Laura</v>
          </cell>
          <cell r="C126" t="str">
            <v>F</v>
          </cell>
          <cell r="D126" t="str">
            <v>CAT</v>
          </cell>
        </row>
        <row r="127">
          <cell r="A127">
            <v>126</v>
          </cell>
          <cell r="B127" t="str">
            <v>FERNÁNDEZ, Marta</v>
          </cell>
          <cell r="C127" t="str">
            <v>F</v>
          </cell>
          <cell r="D127" t="str">
            <v>CAT</v>
          </cell>
        </row>
        <row r="128">
          <cell r="A128">
            <v>127</v>
          </cell>
          <cell r="B128" t="str">
            <v>GARCÍA, Bárbara</v>
          </cell>
          <cell r="C128" t="str">
            <v>F</v>
          </cell>
          <cell r="D128" t="str">
            <v>CAT</v>
          </cell>
        </row>
        <row r="129">
          <cell r="A129">
            <v>128</v>
          </cell>
          <cell r="B129" t="str">
            <v>GRANADOS, Elisabet</v>
          </cell>
          <cell r="C129" t="str">
            <v>F</v>
          </cell>
          <cell r="D129" t="str">
            <v>CAT</v>
          </cell>
        </row>
        <row r="130">
          <cell r="A130">
            <v>129</v>
          </cell>
          <cell r="B130" t="str">
            <v>GRILLÉ, Pilar</v>
          </cell>
          <cell r="C130" t="str">
            <v>F</v>
          </cell>
          <cell r="D130" t="str">
            <v>CAT</v>
          </cell>
        </row>
        <row r="131">
          <cell r="A131">
            <v>130</v>
          </cell>
          <cell r="B131" t="str">
            <v>GUARCH, Judith</v>
          </cell>
          <cell r="C131" t="str">
            <v>F</v>
          </cell>
          <cell r="D131" t="str">
            <v>CAT</v>
          </cell>
        </row>
        <row r="132">
          <cell r="A132">
            <v>131</v>
          </cell>
          <cell r="B132" t="str">
            <v>MARTÍ, Nuria</v>
          </cell>
          <cell r="C132" t="str">
            <v>F</v>
          </cell>
          <cell r="D132" t="str">
            <v>CAT</v>
          </cell>
        </row>
        <row r="133">
          <cell r="A133">
            <v>132</v>
          </cell>
          <cell r="B133" t="str">
            <v>PARDINILLA, Anna</v>
          </cell>
          <cell r="C133" t="str">
            <v>F</v>
          </cell>
          <cell r="D133" t="str">
            <v>CAT</v>
          </cell>
        </row>
        <row r="134">
          <cell r="A134">
            <v>133</v>
          </cell>
          <cell r="B134" t="str">
            <v>PARDINILLA, Nuria</v>
          </cell>
          <cell r="C134" t="str">
            <v>F</v>
          </cell>
          <cell r="D134" t="str">
            <v>CAT</v>
          </cell>
        </row>
        <row r="135">
          <cell r="A135">
            <v>134</v>
          </cell>
          <cell r="B135" t="str">
            <v>PORTA, Nuria</v>
          </cell>
          <cell r="C135" t="str">
            <v>F</v>
          </cell>
          <cell r="D135" t="str">
            <v>CAT</v>
          </cell>
          <cell r="F135" t="str">
            <v>BAJA</v>
          </cell>
        </row>
        <row r="136">
          <cell r="A136">
            <v>135</v>
          </cell>
          <cell r="B136" t="str">
            <v>RAMÍREZ, Sara</v>
          </cell>
          <cell r="C136" t="str">
            <v>F</v>
          </cell>
          <cell r="D136" t="str">
            <v>CAT</v>
          </cell>
        </row>
        <row r="137">
          <cell r="A137">
            <v>136</v>
          </cell>
          <cell r="B137" t="str">
            <v>ROSELLÓ, Anna</v>
          </cell>
          <cell r="C137" t="str">
            <v>F</v>
          </cell>
          <cell r="D137" t="str">
            <v>CAT</v>
          </cell>
          <cell r="F137" t="str">
            <v>BAJA</v>
          </cell>
        </row>
        <row r="138">
          <cell r="A138">
            <v>137</v>
          </cell>
          <cell r="B138" t="str">
            <v>SANTAOLARIA, Noelia</v>
          </cell>
          <cell r="C138" t="str">
            <v>F</v>
          </cell>
          <cell r="D138" t="str">
            <v>CAT</v>
          </cell>
        </row>
        <row r="139">
          <cell r="A139">
            <v>138</v>
          </cell>
          <cell r="B139" t="str">
            <v>VICO, Cristina</v>
          </cell>
          <cell r="C139" t="str">
            <v>F</v>
          </cell>
          <cell r="D139" t="str">
            <v>CAT</v>
          </cell>
        </row>
        <row r="140">
          <cell r="A140">
            <v>139</v>
          </cell>
          <cell r="B140" t="str">
            <v>ZAMORANO, Marta</v>
          </cell>
          <cell r="C140" t="str">
            <v>F</v>
          </cell>
          <cell r="D140" t="str">
            <v>CAT</v>
          </cell>
        </row>
        <row r="141">
          <cell r="A141">
            <v>140</v>
          </cell>
          <cell r="B141" t="str">
            <v>LEÓN, David</v>
          </cell>
          <cell r="C141" t="str">
            <v>M</v>
          </cell>
          <cell r="D141" t="str">
            <v>CEU</v>
          </cell>
        </row>
        <row r="142">
          <cell r="A142">
            <v>141</v>
          </cell>
          <cell r="B142" t="str">
            <v>ROCHER, Juan M.</v>
          </cell>
          <cell r="C142" t="str">
            <v>M</v>
          </cell>
          <cell r="D142" t="str">
            <v>CEU</v>
          </cell>
        </row>
        <row r="143">
          <cell r="A143">
            <v>142</v>
          </cell>
          <cell r="B143" t="str">
            <v>SOBRINO, Manuel</v>
          </cell>
          <cell r="C143" t="str">
            <v>M</v>
          </cell>
          <cell r="D143" t="str">
            <v>CEU</v>
          </cell>
        </row>
        <row r="144">
          <cell r="A144">
            <v>143</v>
          </cell>
          <cell r="B144" t="str">
            <v>ARIAS, Myriam</v>
          </cell>
          <cell r="C144" t="str">
            <v>F</v>
          </cell>
          <cell r="D144" t="str">
            <v>VAL</v>
          </cell>
        </row>
        <row r="145">
          <cell r="A145">
            <v>144</v>
          </cell>
          <cell r="B145" t="str">
            <v>BASTANTE, Gemma</v>
          </cell>
          <cell r="C145" t="str">
            <v>F</v>
          </cell>
          <cell r="D145" t="str">
            <v>VAL</v>
          </cell>
        </row>
        <row r="146">
          <cell r="A146">
            <v>145</v>
          </cell>
          <cell r="B146" t="str">
            <v>DE ESPAÑA, Aida</v>
          </cell>
          <cell r="C146" t="str">
            <v>F</v>
          </cell>
          <cell r="D146" t="str">
            <v>VAL</v>
          </cell>
        </row>
        <row r="147">
          <cell r="A147">
            <v>146</v>
          </cell>
          <cell r="B147" t="str">
            <v>DE ESPAÑA, Noelia</v>
          </cell>
          <cell r="C147" t="str">
            <v>F</v>
          </cell>
          <cell r="D147" t="str">
            <v>VAL</v>
          </cell>
        </row>
        <row r="148">
          <cell r="A148">
            <v>147</v>
          </cell>
          <cell r="B148" t="str">
            <v>MAINAR, Virginia</v>
          </cell>
          <cell r="C148" t="str">
            <v>F</v>
          </cell>
          <cell r="D148" t="str">
            <v>VAL</v>
          </cell>
        </row>
        <row r="149">
          <cell r="A149">
            <v>148</v>
          </cell>
          <cell r="B149" t="str">
            <v>MARTÍNEZ, Lucía</v>
          </cell>
          <cell r="C149" t="str">
            <v>F</v>
          </cell>
          <cell r="D149" t="str">
            <v>VAL</v>
          </cell>
        </row>
        <row r="150">
          <cell r="A150">
            <v>149</v>
          </cell>
          <cell r="B150" t="str">
            <v>MARTÍNEZ, Raquel</v>
          </cell>
          <cell r="C150" t="str">
            <v>F</v>
          </cell>
          <cell r="D150" t="str">
            <v>VAL</v>
          </cell>
        </row>
        <row r="151">
          <cell r="A151">
            <v>150</v>
          </cell>
          <cell r="B151" t="str">
            <v>MONLEÓN, Sara</v>
          </cell>
          <cell r="C151" t="str">
            <v>F</v>
          </cell>
          <cell r="D151" t="str">
            <v>VAL</v>
          </cell>
        </row>
        <row r="152">
          <cell r="A152">
            <v>151</v>
          </cell>
          <cell r="B152" t="str">
            <v>PÉREZ, Jennyfer</v>
          </cell>
          <cell r="C152" t="str">
            <v>F</v>
          </cell>
          <cell r="D152" t="str">
            <v>VAL</v>
          </cell>
        </row>
        <row r="153">
          <cell r="A153">
            <v>152</v>
          </cell>
          <cell r="B153" t="str">
            <v>PIÑA, Elena</v>
          </cell>
          <cell r="C153" t="str">
            <v>F</v>
          </cell>
          <cell r="D153" t="str">
            <v>VAL</v>
          </cell>
        </row>
        <row r="154">
          <cell r="A154">
            <v>153</v>
          </cell>
          <cell r="B154" t="str">
            <v>SANZ, María</v>
          </cell>
          <cell r="C154" t="str">
            <v>F</v>
          </cell>
          <cell r="D154" t="str">
            <v>VAL</v>
          </cell>
        </row>
        <row r="155">
          <cell r="A155">
            <v>154</v>
          </cell>
          <cell r="B155" t="str">
            <v>DÍAZ, David</v>
          </cell>
          <cell r="C155" t="str">
            <v>M</v>
          </cell>
          <cell r="D155" t="str">
            <v>GAL</v>
          </cell>
        </row>
        <row r="156">
          <cell r="A156">
            <v>155</v>
          </cell>
          <cell r="B156" t="str">
            <v>EXPÓXITO, Adrián</v>
          </cell>
          <cell r="C156" t="str">
            <v>M</v>
          </cell>
          <cell r="D156" t="str">
            <v>GAL</v>
          </cell>
        </row>
        <row r="157">
          <cell r="A157">
            <v>156</v>
          </cell>
          <cell r="B157" t="str">
            <v>LÓPEZ, Rubén</v>
          </cell>
          <cell r="C157" t="str">
            <v>M</v>
          </cell>
          <cell r="D157" t="str">
            <v>GAL</v>
          </cell>
        </row>
        <row r="158">
          <cell r="A158">
            <v>157</v>
          </cell>
          <cell r="B158" t="str">
            <v>NOVO, Diego</v>
          </cell>
          <cell r="C158" t="str">
            <v>M</v>
          </cell>
          <cell r="D158" t="str">
            <v>GAL</v>
          </cell>
        </row>
        <row r="159">
          <cell r="A159">
            <v>158</v>
          </cell>
          <cell r="B159" t="str">
            <v>PIÑEIRO, Efrén</v>
          </cell>
          <cell r="C159" t="str">
            <v>M</v>
          </cell>
          <cell r="D159" t="str">
            <v>GAL</v>
          </cell>
        </row>
        <row r="160">
          <cell r="A160">
            <v>159</v>
          </cell>
          <cell r="B160" t="str">
            <v>PITA, Daniel</v>
          </cell>
          <cell r="C160" t="str">
            <v>M</v>
          </cell>
          <cell r="D160" t="str">
            <v>GAL</v>
          </cell>
        </row>
        <row r="161">
          <cell r="A161">
            <v>160</v>
          </cell>
          <cell r="B161" t="str">
            <v>RDGUEZ.CABO, David</v>
          </cell>
          <cell r="C161" t="str">
            <v>M</v>
          </cell>
          <cell r="D161" t="str">
            <v>GAL</v>
          </cell>
        </row>
        <row r="162">
          <cell r="A162">
            <v>161</v>
          </cell>
          <cell r="B162" t="str">
            <v>VIDAL, Adrián</v>
          </cell>
          <cell r="C162" t="str">
            <v>M</v>
          </cell>
          <cell r="D162" t="str">
            <v>GAL</v>
          </cell>
        </row>
        <row r="163">
          <cell r="A163">
            <v>162</v>
          </cell>
          <cell r="B163" t="str">
            <v>BUENO, Teresa</v>
          </cell>
          <cell r="C163" t="str">
            <v>F</v>
          </cell>
          <cell r="D163" t="str">
            <v>GAL</v>
          </cell>
        </row>
        <row r="164">
          <cell r="A164">
            <v>163</v>
          </cell>
          <cell r="B164" t="str">
            <v>PÉREZ, Silvia</v>
          </cell>
          <cell r="C164" t="str">
            <v>F</v>
          </cell>
          <cell r="D164" t="str">
            <v>GAL</v>
          </cell>
        </row>
        <row r="165">
          <cell r="A165">
            <v>164</v>
          </cell>
          <cell r="B165" t="str">
            <v>PUGA, BELÉN</v>
          </cell>
          <cell r="C165" t="str">
            <v>F</v>
          </cell>
          <cell r="D165" t="str">
            <v>GAL</v>
          </cell>
        </row>
        <row r="166">
          <cell r="A166">
            <v>165</v>
          </cell>
          <cell r="B166" t="str">
            <v>RÍOS, Ana</v>
          </cell>
          <cell r="C166" t="str">
            <v>F</v>
          </cell>
          <cell r="D166" t="str">
            <v>GAL</v>
          </cell>
        </row>
        <row r="167">
          <cell r="A167">
            <v>166</v>
          </cell>
          <cell r="B167" t="str">
            <v>ALCÁNTARA, José Manuel</v>
          </cell>
          <cell r="C167" t="str">
            <v>M</v>
          </cell>
          <cell r="D167" t="str">
            <v>MAD</v>
          </cell>
        </row>
        <row r="168">
          <cell r="A168">
            <v>167</v>
          </cell>
          <cell r="B168" t="str">
            <v>DÍAZ, Jorge</v>
          </cell>
          <cell r="C168" t="str">
            <v>M</v>
          </cell>
          <cell r="D168" t="str">
            <v>MAD</v>
          </cell>
        </row>
        <row r="169">
          <cell r="A169">
            <v>168</v>
          </cell>
          <cell r="B169" t="str">
            <v>FERRER, Nicolás</v>
          </cell>
          <cell r="C169" t="str">
            <v>M</v>
          </cell>
          <cell r="D169" t="str">
            <v>MAD</v>
          </cell>
        </row>
        <row r="170">
          <cell r="A170">
            <v>169</v>
          </cell>
          <cell r="B170" t="str">
            <v>GARCÍA, Javier</v>
          </cell>
          <cell r="C170" t="str">
            <v>M</v>
          </cell>
          <cell r="D170" t="str">
            <v>MAD</v>
          </cell>
        </row>
        <row r="171">
          <cell r="A171">
            <v>170</v>
          </cell>
          <cell r="B171" t="str">
            <v>HERMÓGENES, Jorge</v>
          </cell>
          <cell r="C171" t="str">
            <v>M</v>
          </cell>
          <cell r="D171" t="str">
            <v>MAD</v>
          </cell>
        </row>
        <row r="172">
          <cell r="A172">
            <v>171</v>
          </cell>
          <cell r="B172" t="str">
            <v>NAVARRO, José L.</v>
          </cell>
          <cell r="C172" t="str">
            <v>M</v>
          </cell>
          <cell r="D172" t="str">
            <v>MAD</v>
          </cell>
        </row>
        <row r="173">
          <cell r="A173">
            <v>172</v>
          </cell>
          <cell r="B173" t="str">
            <v>NIKOLAEV, Georgi</v>
          </cell>
          <cell r="C173" t="str">
            <v>M</v>
          </cell>
          <cell r="D173" t="str">
            <v>MAD</v>
          </cell>
        </row>
        <row r="174">
          <cell r="A174">
            <v>173</v>
          </cell>
          <cell r="B174" t="str">
            <v>PARRA, Mario</v>
          </cell>
          <cell r="C174" t="str">
            <v>M</v>
          </cell>
          <cell r="D174" t="str">
            <v>MAD</v>
          </cell>
        </row>
        <row r="175">
          <cell r="A175">
            <v>174</v>
          </cell>
          <cell r="B175" t="str">
            <v>CAUDET, Raquel</v>
          </cell>
          <cell r="C175" t="str">
            <v>F</v>
          </cell>
          <cell r="D175" t="str">
            <v>MAD</v>
          </cell>
        </row>
        <row r="176">
          <cell r="A176">
            <v>175</v>
          </cell>
          <cell r="B176" t="str">
            <v>HUERTA, Rocío</v>
          </cell>
          <cell r="C176" t="str">
            <v>F</v>
          </cell>
          <cell r="D176" t="str">
            <v>MAD</v>
          </cell>
        </row>
        <row r="177">
          <cell r="A177">
            <v>176</v>
          </cell>
          <cell r="B177" t="str">
            <v>RUIZ, Estrella</v>
          </cell>
          <cell r="C177" t="str">
            <v>F</v>
          </cell>
          <cell r="D177" t="str">
            <v>MAD</v>
          </cell>
        </row>
        <row r="178">
          <cell r="A178">
            <v>177</v>
          </cell>
          <cell r="B178" t="str">
            <v>ALEDO, Mario</v>
          </cell>
          <cell r="C178" t="str">
            <v>M</v>
          </cell>
          <cell r="D178" t="str">
            <v>MUR</v>
          </cell>
        </row>
        <row r="179">
          <cell r="A179">
            <v>178</v>
          </cell>
          <cell r="B179" t="str">
            <v>ALIAGA, Ramón</v>
          </cell>
          <cell r="C179" t="str">
            <v>M</v>
          </cell>
          <cell r="D179" t="str">
            <v>MUR</v>
          </cell>
        </row>
        <row r="180">
          <cell r="A180">
            <v>179</v>
          </cell>
          <cell r="B180" t="str">
            <v>BETETA, Carlos</v>
          </cell>
          <cell r="C180" t="str">
            <v>M</v>
          </cell>
          <cell r="D180" t="str">
            <v>MUR</v>
          </cell>
        </row>
        <row r="181">
          <cell r="A181">
            <v>180</v>
          </cell>
          <cell r="B181" t="str">
            <v>JEREZ, Alejandro</v>
          </cell>
          <cell r="C181" t="str">
            <v>M</v>
          </cell>
          <cell r="D181" t="str">
            <v>MUR</v>
          </cell>
        </row>
        <row r="182">
          <cell r="A182">
            <v>181</v>
          </cell>
          <cell r="B182" t="str">
            <v>JEREZ, Manuel</v>
          </cell>
          <cell r="C182" t="str">
            <v>M</v>
          </cell>
          <cell r="D182" t="str">
            <v>MUR</v>
          </cell>
        </row>
        <row r="183">
          <cell r="A183">
            <v>182</v>
          </cell>
          <cell r="B183" t="str">
            <v>MONERRI, Andrés</v>
          </cell>
          <cell r="C183" t="str">
            <v>M</v>
          </cell>
          <cell r="D183" t="str">
            <v>MUR</v>
          </cell>
        </row>
        <row r="184">
          <cell r="A184">
            <v>183</v>
          </cell>
          <cell r="B184" t="str">
            <v>MONTALBAN, José Antonio</v>
          </cell>
          <cell r="C184" t="str">
            <v>M</v>
          </cell>
          <cell r="D184" t="str">
            <v>MUR</v>
          </cell>
        </row>
        <row r="185">
          <cell r="A185">
            <v>184</v>
          </cell>
          <cell r="B185" t="str">
            <v>NAVARRO, Ernesto</v>
          </cell>
          <cell r="C185" t="str">
            <v>M</v>
          </cell>
          <cell r="D185" t="str">
            <v>MUR</v>
          </cell>
        </row>
        <row r="186">
          <cell r="A186">
            <v>185</v>
          </cell>
          <cell r="B186" t="str">
            <v>CARMONA, Olga</v>
          </cell>
          <cell r="C186" t="str">
            <v>F</v>
          </cell>
          <cell r="D186" t="str">
            <v>MUR</v>
          </cell>
        </row>
        <row r="187">
          <cell r="A187">
            <v>186</v>
          </cell>
          <cell r="B187" t="str">
            <v>MONTALBÁN, Clara</v>
          </cell>
          <cell r="C187" t="str">
            <v>F</v>
          </cell>
          <cell r="D187" t="str">
            <v>MUR</v>
          </cell>
        </row>
        <row r="188">
          <cell r="A188">
            <v>187</v>
          </cell>
          <cell r="B188" t="str">
            <v>MONTALBÁN, Patricia</v>
          </cell>
          <cell r="C188" t="str">
            <v>F</v>
          </cell>
          <cell r="D188" t="str">
            <v>MUR</v>
          </cell>
        </row>
        <row r="189">
          <cell r="A189">
            <v>188</v>
          </cell>
          <cell r="B189" t="str">
            <v>ROS, Nuria</v>
          </cell>
          <cell r="C189" t="str">
            <v>F</v>
          </cell>
          <cell r="D189" t="str">
            <v>MUR</v>
          </cell>
        </row>
        <row r="190">
          <cell r="A190">
            <v>189</v>
          </cell>
          <cell r="B190" t="str">
            <v>SOLANO, Bárbara</v>
          </cell>
          <cell r="C190" t="str">
            <v>F</v>
          </cell>
          <cell r="D190" t="str">
            <v>MUR</v>
          </cell>
        </row>
        <row r="191">
          <cell r="A191">
            <v>190</v>
          </cell>
          <cell r="B191" t="str">
            <v>SOLICHERO, Carmen</v>
          </cell>
          <cell r="C191" t="str">
            <v>F</v>
          </cell>
          <cell r="D191" t="str">
            <v>MUR</v>
          </cell>
        </row>
        <row r="192">
          <cell r="A192">
            <v>191</v>
          </cell>
          <cell r="B192" t="str">
            <v>GARCÍA, Íñigo</v>
          </cell>
          <cell r="C192" t="str">
            <v>M</v>
          </cell>
          <cell r="D192" t="str">
            <v>NAV</v>
          </cell>
        </row>
        <row r="193">
          <cell r="A193">
            <v>192</v>
          </cell>
          <cell r="B193" t="str">
            <v>MARZO, Pablo</v>
          </cell>
          <cell r="C193" t="str">
            <v>M</v>
          </cell>
          <cell r="D193" t="str">
            <v>NAV</v>
          </cell>
        </row>
        <row r="194">
          <cell r="A194">
            <v>193</v>
          </cell>
          <cell r="B194" t="str">
            <v>OLLETA, David</v>
          </cell>
          <cell r="C194" t="str">
            <v>M</v>
          </cell>
          <cell r="D194" t="str">
            <v>NAV</v>
          </cell>
        </row>
        <row r="195">
          <cell r="A195">
            <v>194</v>
          </cell>
          <cell r="B195" t="str">
            <v>REDRADO, David</v>
          </cell>
          <cell r="C195" t="str">
            <v>M</v>
          </cell>
          <cell r="D195" t="str">
            <v>NAV</v>
          </cell>
        </row>
        <row r="196">
          <cell r="A196">
            <v>195</v>
          </cell>
          <cell r="B196" t="str">
            <v>VALENZUELA, Mikel</v>
          </cell>
          <cell r="C196" t="str">
            <v>M</v>
          </cell>
          <cell r="D196" t="str">
            <v>NAV</v>
          </cell>
        </row>
        <row r="197">
          <cell r="A197">
            <v>196</v>
          </cell>
          <cell r="B197" t="str">
            <v>CASTAÑEDA, Íñigo</v>
          </cell>
          <cell r="C197" t="str">
            <v>M</v>
          </cell>
          <cell r="D197" t="str">
            <v>PVS</v>
          </cell>
        </row>
        <row r="198">
          <cell r="A198">
            <v>197</v>
          </cell>
          <cell r="B198" t="str">
            <v>DÍEZ, Endika</v>
          </cell>
          <cell r="C198" t="str">
            <v>M</v>
          </cell>
          <cell r="D198" t="str">
            <v>PVS</v>
          </cell>
        </row>
        <row r="199">
          <cell r="A199">
            <v>198</v>
          </cell>
          <cell r="B199" t="str">
            <v>DÍEZ, Erik</v>
          </cell>
          <cell r="C199" t="str">
            <v>M</v>
          </cell>
          <cell r="D199" t="str">
            <v>PVS</v>
          </cell>
        </row>
        <row r="200">
          <cell r="A200">
            <v>199</v>
          </cell>
          <cell r="B200" t="str">
            <v>IRASTORZA, Zuhaitz</v>
          </cell>
          <cell r="C200" t="str">
            <v>M</v>
          </cell>
          <cell r="D200" t="str">
            <v>PVS</v>
          </cell>
        </row>
        <row r="201">
          <cell r="A201">
            <v>200</v>
          </cell>
          <cell r="B201" t="str">
            <v>KALONJE, Uritz</v>
          </cell>
          <cell r="C201" t="str">
            <v>M</v>
          </cell>
          <cell r="D201" t="str">
            <v>PVS</v>
          </cell>
        </row>
        <row r="202">
          <cell r="A202">
            <v>201</v>
          </cell>
          <cell r="B202" t="str">
            <v>MOURIZ, Eder</v>
          </cell>
          <cell r="C202" t="str">
            <v>M</v>
          </cell>
          <cell r="D202" t="str">
            <v>PVS</v>
          </cell>
        </row>
        <row r="203">
          <cell r="A203">
            <v>202</v>
          </cell>
          <cell r="B203" t="str">
            <v>ORIVE, David</v>
          </cell>
          <cell r="C203" t="str">
            <v>M</v>
          </cell>
          <cell r="D203" t="str">
            <v>PVS</v>
          </cell>
        </row>
        <row r="204">
          <cell r="A204">
            <v>203</v>
          </cell>
          <cell r="B204" t="str">
            <v>DVORAK, Galia</v>
          </cell>
          <cell r="C204" t="str">
            <v>F</v>
          </cell>
          <cell r="D204" t="str">
            <v>CAT</v>
          </cell>
        </row>
        <row r="205">
          <cell r="A205">
            <v>204</v>
          </cell>
          <cell r="B205" t="str">
            <v>SALVADOR, Marcus</v>
          </cell>
          <cell r="C205" t="str">
            <v>M</v>
          </cell>
          <cell r="D205" t="str">
            <v>BAL</v>
          </cell>
        </row>
        <row r="206">
          <cell r="A206">
            <v>205</v>
          </cell>
          <cell r="B206" t="str">
            <v>AZCÓN, David</v>
          </cell>
          <cell r="C206" t="str">
            <v>M</v>
          </cell>
          <cell r="D206" t="str">
            <v>CAT</v>
          </cell>
        </row>
        <row r="207">
          <cell r="A207">
            <v>206</v>
          </cell>
          <cell r="B207" t="str">
            <v>BAUTISTA, Jordi</v>
          </cell>
          <cell r="C207" t="str">
            <v>M</v>
          </cell>
          <cell r="D207" t="str">
            <v>CAT</v>
          </cell>
        </row>
        <row r="208">
          <cell r="A208">
            <v>207</v>
          </cell>
          <cell r="B208" t="str">
            <v>GARCÍA, Marc</v>
          </cell>
          <cell r="C208" t="str">
            <v>M</v>
          </cell>
          <cell r="D208" t="str">
            <v>CAT</v>
          </cell>
        </row>
        <row r="209">
          <cell r="A209">
            <v>208</v>
          </cell>
          <cell r="B209" t="str">
            <v>VENTOSA, Arnau</v>
          </cell>
          <cell r="C209" t="str">
            <v>M</v>
          </cell>
          <cell r="D209" t="str">
            <v>CAT</v>
          </cell>
        </row>
        <row r="210">
          <cell r="A210">
            <v>209</v>
          </cell>
          <cell r="B210" t="str">
            <v>MATA, Ana María</v>
          </cell>
          <cell r="C210" t="str">
            <v>F</v>
          </cell>
          <cell r="D210" t="str">
            <v>AND</v>
          </cell>
        </row>
        <row r="211">
          <cell r="A211">
            <v>210</v>
          </cell>
          <cell r="B211" t="str">
            <v>RODRÍGUEZ, Anai</v>
          </cell>
          <cell r="C211" t="str">
            <v>M</v>
          </cell>
          <cell r="D211" t="str">
            <v>NAV</v>
          </cell>
        </row>
        <row r="212">
          <cell r="A212">
            <v>211</v>
          </cell>
          <cell r="B212" t="str">
            <v>REYES, Antonio</v>
          </cell>
          <cell r="C212" t="str">
            <v>M</v>
          </cell>
          <cell r="D212" t="str">
            <v>CEU</v>
          </cell>
        </row>
      </sheetData>
      <sheetData sheetId="3" refreshError="1">
        <row r="1">
          <cell r="A1">
            <v>1</v>
          </cell>
          <cell r="B1" t="str">
            <v>SCHOOL ZARAGOZA T.M.</v>
          </cell>
          <cell r="C1" t="str">
            <v>ARA</v>
          </cell>
          <cell r="D1" t="str">
            <v>MASCULINA</v>
          </cell>
        </row>
        <row r="2">
          <cell r="A2">
            <v>2</v>
          </cell>
          <cell r="B2" t="str">
            <v>FINQUES BALTRONS CALELLA</v>
          </cell>
          <cell r="C2" t="str">
            <v>CAT</v>
          </cell>
          <cell r="D2" t="str">
            <v>MASCULINA</v>
          </cell>
        </row>
        <row r="3">
          <cell r="A3">
            <v>3</v>
          </cell>
          <cell r="B3" t="str">
            <v>CLUB FALCONS SABADELL</v>
          </cell>
          <cell r="C3" t="str">
            <v>CAT</v>
          </cell>
          <cell r="D3" t="str">
            <v>MASCULINA</v>
          </cell>
        </row>
        <row r="4">
          <cell r="A4">
            <v>4</v>
          </cell>
          <cell r="B4" t="str">
            <v>C.E. SANT BARTOMEU</v>
          </cell>
          <cell r="C4" t="str">
            <v>BAL</v>
          </cell>
          <cell r="D4" t="str">
            <v>MASCULINA</v>
          </cell>
        </row>
        <row r="5">
          <cell r="A5">
            <v>5</v>
          </cell>
          <cell r="B5" t="str">
            <v>C.T.M. CEIBE</v>
          </cell>
          <cell r="C5" t="str">
            <v>GAL</v>
          </cell>
          <cell r="D5" t="str">
            <v>MASCULINA</v>
          </cell>
        </row>
        <row r="6">
          <cell r="A6">
            <v>6</v>
          </cell>
          <cell r="B6" t="str">
            <v>A.D. ANTONIO MENDOZA</v>
          </cell>
          <cell r="C6" t="str">
            <v>CTB</v>
          </cell>
          <cell r="D6" t="str">
            <v>MASCULINA</v>
          </cell>
        </row>
        <row r="7">
          <cell r="A7">
            <v>7</v>
          </cell>
          <cell r="B7" t="str">
            <v>C.D. MURCIA EL PALMAR</v>
          </cell>
          <cell r="C7" t="str">
            <v>MUR</v>
          </cell>
          <cell r="D7" t="str">
            <v>MASCULINA</v>
          </cell>
        </row>
        <row r="8">
          <cell r="A8">
            <v>8</v>
          </cell>
          <cell r="B8" t="str">
            <v>T.T. HOSPITALET</v>
          </cell>
          <cell r="C8" t="str">
            <v>CAT</v>
          </cell>
          <cell r="D8" t="str">
            <v>MASCULINA</v>
          </cell>
        </row>
        <row r="9">
          <cell r="A9">
            <v>9</v>
          </cell>
          <cell r="B9" t="str">
            <v>CLUB HUELVA T.M.</v>
          </cell>
          <cell r="C9" t="str">
            <v>AND</v>
          </cell>
          <cell r="D9" t="str">
            <v>MASCULINA</v>
          </cell>
        </row>
        <row r="10">
          <cell r="A10">
            <v>10</v>
          </cell>
          <cell r="B10" t="str">
            <v>C.A.I. SANTIAGO T.M.</v>
          </cell>
          <cell r="C10" t="str">
            <v>ARA</v>
          </cell>
          <cell r="D10" t="str">
            <v>MASCULINA</v>
          </cell>
        </row>
        <row r="11">
          <cell r="A11">
            <v>11</v>
          </cell>
          <cell r="B11" t="str">
            <v>T.T. ELS 8 LA GARRIGA</v>
          </cell>
          <cell r="C11" t="str">
            <v>CAT</v>
          </cell>
          <cell r="D11" t="str">
            <v>MASCULINA</v>
          </cell>
        </row>
        <row r="12">
          <cell r="A12">
            <v>12</v>
          </cell>
          <cell r="B12" t="str">
            <v>CLUB NATACIÓN HELIOS</v>
          </cell>
          <cell r="C12" t="str">
            <v>ARA</v>
          </cell>
          <cell r="D12" t="str">
            <v>MASCULINA</v>
          </cell>
        </row>
        <row r="13">
          <cell r="A13">
            <v>13</v>
          </cell>
          <cell r="B13" t="str">
            <v>CÁRTAMA</v>
          </cell>
          <cell r="C13" t="str">
            <v>AND</v>
          </cell>
          <cell r="D13" t="str">
            <v>MASCULINA</v>
          </cell>
        </row>
        <row r="14">
          <cell r="A14">
            <v>14</v>
          </cell>
          <cell r="B14" t="str">
            <v>CAN BERARDO RIPOLLET SDM</v>
          </cell>
          <cell r="C14" t="str">
            <v>CAT</v>
          </cell>
          <cell r="D14" t="str">
            <v>MASCULINA</v>
          </cell>
        </row>
        <row r="15">
          <cell r="A15">
            <v>15</v>
          </cell>
          <cell r="B15" t="str">
            <v>E.T.M. BURLADA</v>
          </cell>
          <cell r="C15" t="str">
            <v>NAV</v>
          </cell>
          <cell r="D15" t="str">
            <v>MASCULINA</v>
          </cell>
        </row>
        <row r="16">
          <cell r="A16">
            <v>16</v>
          </cell>
          <cell r="B16" t="str">
            <v>CLUB NARÓN TENIS DE MESA</v>
          </cell>
          <cell r="C16" t="str">
            <v>GAL</v>
          </cell>
          <cell r="D16" t="str">
            <v>MASCULINA</v>
          </cell>
        </row>
        <row r="17">
          <cell r="A17">
            <v>17</v>
          </cell>
          <cell r="B17" t="str">
            <v>CLUB NATACIÓN FIGUERES</v>
          </cell>
          <cell r="C17" t="str">
            <v>CAT</v>
          </cell>
          <cell r="D17" t="str">
            <v>MASCULINA</v>
          </cell>
        </row>
        <row r="18">
          <cell r="A18">
            <v>18</v>
          </cell>
          <cell r="B18" t="str">
            <v>ATLÉTICO EASO HERNANI</v>
          </cell>
          <cell r="C18" t="str">
            <v>PVS</v>
          </cell>
          <cell r="D18" t="str">
            <v>MASCULINA</v>
          </cell>
        </row>
        <row r="19">
          <cell r="A19">
            <v>19</v>
          </cell>
          <cell r="B19" t="str">
            <v>C. TENNIS TAULA VILANOVA</v>
          </cell>
          <cell r="C19" t="str">
            <v>CAT</v>
          </cell>
          <cell r="D19" t="str">
            <v>MASCULINA</v>
          </cell>
        </row>
        <row r="20">
          <cell r="A20">
            <v>20</v>
          </cell>
          <cell r="B20" t="str">
            <v>LICEO LA GENERAL</v>
          </cell>
          <cell r="C20" t="str">
            <v>CEU</v>
          </cell>
          <cell r="D20" t="str">
            <v>MASCULINA</v>
          </cell>
        </row>
        <row r="21">
          <cell r="A21">
            <v>21</v>
          </cell>
          <cell r="B21" t="str">
            <v>COLLOSA TENIS DE MESA</v>
          </cell>
          <cell r="C21" t="str">
            <v>CYL</v>
          </cell>
          <cell r="D21" t="str">
            <v>MASCULINA</v>
          </cell>
        </row>
        <row r="22">
          <cell r="A22">
            <v>22</v>
          </cell>
          <cell r="B22" t="str">
            <v>ADELANTADOS LAGUNA</v>
          </cell>
          <cell r="C22" t="str">
            <v>CNR</v>
          </cell>
          <cell r="D22" t="str">
            <v>MASCULINA</v>
          </cell>
        </row>
        <row r="23">
          <cell r="A23">
            <v>23</v>
          </cell>
          <cell r="B23" t="str">
            <v>C.T.T. JOSEP MARÍA PALÉS</v>
          </cell>
          <cell r="C23" t="str">
            <v>CAT</v>
          </cell>
          <cell r="D23" t="str">
            <v>MASCULINA</v>
          </cell>
        </row>
        <row r="24">
          <cell r="A24">
            <v>24</v>
          </cell>
          <cell r="B24" t="str">
            <v>AVILÉS TENIS DE MESA</v>
          </cell>
          <cell r="C24" t="str">
            <v>AST</v>
          </cell>
          <cell r="D24" t="str">
            <v>MASCULINA</v>
          </cell>
        </row>
        <row r="25">
          <cell r="A25">
            <v>25</v>
          </cell>
          <cell r="B25" t="str">
            <v>C.T.T. BAGÁ PETROCAT</v>
          </cell>
          <cell r="C25" t="str">
            <v>CAT</v>
          </cell>
          <cell r="D25" t="str">
            <v>MASCULINA</v>
          </cell>
        </row>
        <row r="26">
          <cell r="A26">
            <v>26</v>
          </cell>
          <cell r="B26" t="str">
            <v>ANDÚJAR LA GENERAL</v>
          </cell>
          <cell r="C26" t="str">
            <v>AND</v>
          </cell>
          <cell r="D26" t="str">
            <v>MASCULINA</v>
          </cell>
        </row>
        <row r="27">
          <cell r="A27">
            <v>27</v>
          </cell>
          <cell r="B27" t="str">
            <v>A.D. GASTÉIZ</v>
          </cell>
          <cell r="C27" t="str">
            <v>PVS</v>
          </cell>
          <cell r="D27" t="str">
            <v>MASCULINA</v>
          </cell>
        </row>
        <row r="28">
          <cell r="A28">
            <v>28</v>
          </cell>
          <cell r="B28" t="str">
            <v>LA GENERAL DE GRANADA</v>
          </cell>
          <cell r="C28" t="str">
            <v>AND</v>
          </cell>
          <cell r="D28" t="str">
            <v>MASCULINA</v>
          </cell>
        </row>
        <row r="29">
          <cell r="A29">
            <v>29</v>
          </cell>
          <cell r="B29" t="str">
            <v>CAN BERARDO RIPOLLET DHM</v>
          </cell>
          <cell r="C29" t="str">
            <v>CAT</v>
          </cell>
          <cell r="D29" t="str">
            <v>MASCULINA</v>
          </cell>
        </row>
        <row r="30">
          <cell r="A30">
            <v>30</v>
          </cell>
          <cell r="B30" t="str">
            <v>ORCASITAS COVIBAR</v>
          </cell>
          <cell r="C30" t="str">
            <v>MAD</v>
          </cell>
          <cell r="D30" t="str">
            <v>MASCULINA</v>
          </cell>
        </row>
        <row r="31">
          <cell r="A31">
            <v>31</v>
          </cell>
          <cell r="B31" t="str">
            <v>MERCANTIL SEVILLA</v>
          </cell>
          <cell r="C31" t="str">
            <v>AND</v>
          </cell>
          <cell r="D31" t="str">
            <v>MASCULINA</v>
          </cell>
        </row>
        <row r="32">
          <cell r="A32">
            <v>32</v>
          </cell>
          <cell r="B32" t="str">
            <v>LEGANÉS</v>
          </cell>
          <cell r="C32" t="str">
            <v>MAD</v>
          </cell>
          <cell r="D32" t="str">
            <v>MASCULINA</v>
          </cell>
        </row>
        <row r="33">
          <cell r="A33">
            <v>33</v>
          </cell>
          <cell r="B33" t="str">
            <v>C.T.T. ATENEU 1882</v>
          </cell>
          <cell r="C33" t="str">
            <v>CAT</v>
          </cell>
          <cell r="D33" t="str">
            <v>MASCULINA</v>
          </cell>
        </row>
        <row r="34">
          <cell r="A34">
            <v>34</v>
          </cell>
          <cell r="B34" t="str">
            <v>LEBRIJA UAGA-COAG</v>
          </cell>
          <cell r="C34" t="str">
            <v>AND</v>
          </cell>
          <cell r="D34" t="str">
            <v>MASCULINA</v>
          </cell>
        </row>
        <row r="35">
          <cell r="A35">
            <v>35</v>
          </cell>
          <cell r="B35" t="str">
            <v>UCAM T.M. CARTAGENA</v>
          </cell>
          <cell r="C35" t="str">
            <v>MUR</v>
          </cell>
          <cell r="D35" t="str">
            <v>MASCULINA</v>
          </cell>
        </row>
        <row r="36">
          <cell r="A36">
            <v>36</v>
          </cell>
          <cell r="B36" t="str">
            <v>T.T. LA PASSIÓ</v>
          </cell>
          <cell r="C36" t="str">
            <v>CAT</v>
          </cell>
          <cell r="D36" t="str">
            <v>MASCULINA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T"/>
      <sheetName val="IN"/>
      <sheetName val="RK"/>
      <sheetName val="EQ"/>
      <sheetName val="IND"/>
      <sheetName val="E 1ª Y 2ª"/>
      <sheetName val="E 3ª"/>
      <sheetName val="IM"/>
      <sheetName val="IF"/>
      <sheetName val="ACT"/>
      <sheetName val="RES"/>
      <sheetName val="ACTAS"/>
      <sheetName val="ACTA EQ"/>
    </sheetNames>
    <sheetDataSet>
      <sheetData sheetId="0"/>
      <sheetData sheetId="1" refreshError="1">
        <row r="3">
          <cell r="A3">
            <v>101</v>
          </cell>
          <cell r="B3" t="str">
            <v>MORENO</v>
          </cell>
          <cell r="C3" t="str">
            <v>ROSARIO</v>
          </cell>
          <cell r="D3" t="str">
            <v>Pablo</v>
          </cell>
          <cell r="E3" t="str">
            <v>M</v>
          </cell>
          <cell r="F3" t="str">
            <v>AND</v>
          </cell>
          <cell r="G3" t="str">
            <v>MORENO, Pablo</v>
          </cell>
          <cell r="H3" t="str">
            <v>ANDALUCÍA</v>
          </cell>
          <cell r="I3">
            <v>1442</v>
          </cell>
        </row>
        <row r="4">
          <cell r="A4">
            <v>102</v>
          </cell>
          <cell r="B4" t="str">
            <v>MARTÍN</v>
          </cell>
          <cell r="C4" t="str">
            <v>VARGAS</v>
          </cell>
          <cell r="D4" t="str">
            <v>Carlos</v>
          </cell>
          <cell r="E4" t="str">
            <v>M</v>
          </cell>
          <cell r="F4" t="str">
            <v>AND</v>
          </cell>
          <cell r="G4" t="str">
            <v>MARTÍN, Carlos</v>
          </cell>
          <cell r="H4" t="str">
            <v>ANDALUCÍA</v>
          </cell>
          <cell r="I4">
            <v>1613</v>
          </cell>
        </row>
        <row r="5">
          <cell r="A5">
            <v>103</v>
          </cell>
          <cell r="B5" t="str">
            <v>MARTÍNEZ</v>
          </cell>
          <cell r="C5" t="str">
            <v>YÉLAMOS</v>
          </cell>
          <cell r="D5" t="str">
            <v>Raúl</v>
          </cell>
          <cell r="E5" t="str">
            <v>M</v>
          </cell>
          <cell r="F5" t="str">
            <v>AND</v>
          </cell>
          <cell r="G5" t="str">
            <v>MARTÍNEZ, Raúl</v>
          </cell>
          <cell r="H5" t="str">
            <v>ANDALUCÍA</v>
          </cell>
          <cell r="I5">
            <v>114</v>
          </cell>
        </row>
        <row r="6">
          <cell r="A6">
            <v>104</v>
          </cell>
          <cell r="B6" t="str">
            <v>ANICETO</v>
          </cell>
          <cell r="C6" t="str">
            <v>MEGÍAS</v>
          </cell>
          <cell r="D6" t="str">
            <v>Carmen</v>
          </cell>
          <cell r="E6" t="str">
            <v>F</v>
          </cell>
          <cell r="F6" t="str">
            <v>AND</v>
          </cell>
          <cell r="G6" t="str">
            <v>ANICETO, Carmen</v>
          </cell>
          <cell r="H6" t="str">
            <v>ANDALUCÍA</v>
          </cell>
          <cell r="I6">
            <v>1100</v>
          </cell>
        </row>
        <row r="7">
          <cell r="A7">
            <v>105</v>
          </cell>
          <cell r="B7" t="str">
            <v>ROLDÁN</v>
          </cell>
          <cell r="C7" t="str">
            <v>PÉREZ</v>
          </cell>
          <cell r="D7" t="str">
            <v>Almudena</v>
          </cell>
          <cell r="E7" t="str">
            <v>F</v>
          </cell>
          <cell r="F7" t="str">
            <v>AND</v>
          </cell>
          <cell r="G7" t="str">
            <v>ROLDÁN, Almudena</v>
          </cell>
          <cell r="H7" t="str">
            <v>ANDALUCÍA</v>
          </cell>
          <cell r="I7">
            <v>772</v>
          </cell>
        </row>
        <row r="8">
          <cell r="A8">
            <v>106</v>
          </cell>
          <cell r="B8" t="str">
            <v>ARCHIDONA</v>
          </cell>
          <cell r="C8" t="str">
            <v>MARTÍN</v>
          </cell>
          <cell r="D8" t="str">
            <v>Victoria</v>
          </cell>
          <cell r="E8" t="str">
            <v>F</v>
          </cell>
          <cell r="F8" t="str">
            <v>AND</v>
          </cell>
          <cell r="G8" t="str">
            <v>ARCHIDONA, Victoria</v>
          </cell>
          <cell r="H8" t="str">
            <v>ANDALUCÍA</v>
          </cell>
          <cell r="I8">
            <v>168</v>
          </cell>
        </row>
        <row r="9">
          <cell r="A9">
            <v>107</v>
          </cell>
          <cell r="B9" t="str">
            <v>GINER</v>
          </cell>
          <cell r="C9" t="str">
            <v>CANTÓN</v>
          </cell>
          <cell r="D9" t="str">
            <v>Francisco</v>
          </cell>
          <cell r="E9" t="str">
            <v>M</v>
          </cell>
          <cell r="F9" t="str">
            <v>ARA</v>
          </cell>
          <cell r="G9" t="str">
            <v>GINER, Francisco</v>
          </cell>
          <cell r="H9" t="str">
            <v>ARAGÓN</v>
          </cell>
        </row>
        <row r="10">
          <cell r="A10">
            <v>108</v>
          </cell>
          <cell r="B10" t="str">
            <v>GINER</v>
          </cell>
          <cell r="C10" t="str">
            <v>CANTÓN</v>
          </cell>
          <cell r="D10" t="str">
            <v>Ricardo</v>
          </cell>
          <cell r="E10" t="str">
            <v>M</v>
          </cell>
          <cell r="F10" t="str">
            <v>ARA</v>
          </cell>
          <cell r="G10" t="str">
            <v>GINER, Ricardo</v>
          </cell>
          <cell r="H10" t="str">
            <v>ARAGÓN</v>
          </cell>
          <cell r="I10">
            <v>50</v>
          </cell>
        </row>
        <row r="11">
          <cell r="A11">
            <v>109</v>
          </cell>
          <cell r="B11" t="str">
            <v>BERMEJO</v>
          </cell>
          <cell r="C11" t="str">
            <v>MAYORAL</v>
          </cell>
          <cell r="D11" t="str">
            <v>Jesús</v>
          </cell>
          <cell r="E11" t="str">
            <v>M</v>
          </cell>
          <cell r="F11" t="str">
            <v>ARA</v>
          </cell>
          <cell r="G11" t="str">
            <v>BERMEJO, Jesús</v>
          </cell>
          <cell r="H11" t="str">
            <v>ARAGÓN</v>
          </cell>
        </row>
        <row r="12">
          <cell r="A12">
            <v>110</v>
          </cell>
          <cell r="B12" t="str">
            <v>AQUILÚE</v>
          </cell>
          <cell r="C12" t="str">
            <v>LACARTE</v>
          </cell>
          <cell r="D12" t="str">
            <v>Lorena</v>
          </cell>
          <cell r="E12" t="str">
            <v>F</v>
          </cell>
          <cell r="F12" t="str">
            <v>ARA</v>
          </cell>
          <cell r="G12" t="str">
            <v>AQUILÚE, Lorena</v>
          </cell>
          <cell r="H12" t="str">
            <v>ARAGÓN</v>
          </cell>
        </row>
        <row r="13">
          <cell r="A13">
            <v>111</v>
          </cell>
          <cell r="B13" t="str">
            <v>MARTÍN</v>
          </cell>
          <cell r="C13" t="str">
            <v>CAMPOS</v>
          </cell>
          <cell r="D13" t="str">
            <v>Virginia</v>
          </cell>
          <cell r="E13" t="str">
            <v>F</v>
          </cell>
          <cell r="F13" t="str">
            <v>ARA</v>
          </cell>
          <cell r="G13" t="str">
            <v>MARTÍN, Virginia</v>
          </cell>
          <cell r="H13" t="str">
            <v>ARAGÓN</v>
          </cell>
        </row>
        <row r="14">
          <cell r="A14">
            <v>112</v>
          </cell>
          <cell r="B14" t="str">
            <v>RAMOS</v>
          </cell>
          <cell r="C14" t="str">
            <v>ROIG</v>
          </cell>
          <cell r="D14" t="str">
            <v>Cristina</v>
          </cell>
          <cell r="E14" t="str">
            <v>F</v>
          </cell>
          <cell r="F14" t="str">
            <v>ARA</v>
          </cell>
          <cell r="G14" t="str">
            <v>RAMOS, Cristina</v>
          </cell>
          <cell r="H14" t="str">
            <v>ARAGÓN</v>
          </cell>
        </row>
        <row r="15">
          <cell r="A15">
            <v>113</v>
          </cell>
          <cell r="B15" t="str">
            <v>BARROSO</v>
          </cell>
          <cell r="C15" t="str">
            <v>REYES</v>
          </cell>
          <cell r="D15" t="str">
            <v>Esteban</v>
          </cell>
          <cell r="E15" t="str">
            <v>M</v>
          </cell>
          <cell r="F15" t="str">
            <v>AST</v>
          </cell>
          <cell r="G15" t="str">
            <v>BARROSO, Esteban</v>
          </cell>
          <cell r="H15" t="str">
            <v>ASTURIAS</v>
          </cell>
        </row>
        <row r="16">
          <cell r="A16">
            <v>114</v>
          </cell>
          <cell r="B16" t="str">
            <v>RODRÍGUEZ</v>
          </cell>
          <cell r="C16" t="str">
            <v>GONZÁLEZ</v>
          </cell>
          <cell r="D16" t="str">
            <v>David</v>
          </cell>
          <cell r="E16" t="str">
            <v>M</v>
          </cell>
          <cell r="F16" t="str">
            <v>AST</v>
          </cell>
          <cell r="G16" t="str">
            <v>RODRÍGUEZ, David</v>
          </cell>
          <cell r="H16" t="str">
            <v>ASTURIAS</v>
          </cell>
        </row>
        <row r="17">
          <cell r="A17">
            <v>115</v>
          </cell>
          <cell r="B17" t="str">
            <v>DE LA ROSA</v>
          </cell>
          <cell r="C17" t="str">
            <v>DE SAA</v>
          </cell>
          <cell r="D17" t="str">
            <v>Jorge</v>
          </cell>
          <cell r="E17" t="str">
            <v>M</v>
          </cell>
          <cell r="F17" t="str">
            <v>AST</v>
          </cell>
          <cell r="G17" t="str">
            <v>DE LA ROSA, Jorge</v>
          </cell>
          <cell r="H17" t="str">
            <v>ASTURIAS</v>
          </cell>
        </row>
        <row r="18">
          <cell r="A18">
            <v>116</v>
          </cell>
          <cell r="B18" t="str">
            <v>REBANAL</v>
          </cell>
          <cell r="C18" t="str">
            <v>SANTISTEBAN</v>
          </cell>
          <cell r="D18" t="str">
            <v>Laura</v>
          </cell>
          <cell r="E18" t="str">
            <v>F</v>
          </cell>
          <cell r="F18" t="str">
            <v>AST</v>
          </cell>
          <cell r="G18" t="str">
            <v>REBANAL, Laura</v>
          </cell>
          <cell r="H18" t="str">
            <v>ASTURIAS</v>
          </cell>
          <cell r="I18">
            <v>39</v>
          </cell>
        </row>
        <row r="19">
          <cell r="A19">
            <v>117</v>
          </cell>
          <cell r="B19" t="str">
            <v>RODRÍGUEZ-URÍA</v>
          </cell>
          <cell r="C19" t="str">
            <v>SUÁREZ</v>
          </cell>
          <cell r="D19" t="str">
            <v>Isabel</v>
          </cell>
          <cell r="E19" t="str">
            <v>F</v>
          </cell>
          <cell r="F19" t="str">
            <v>AST</v>
          </cell>
          <cell r="G19" t="str">
            <v>RODRÍGUEZ-URÍA, Isabel</v>
          </cell>
          <cell r="H19" t="str">
            <v>ASTURIAS</v>
          </cell>
          <cell r="I19">
            <v>50</v>
          </cell>
        </row>
        <row r="20">
          <cell r="A20">
            <v>118</v>
          </cell>
          <cell r="B20" t="str">
            <v>LAGO</v>
          </cell>
          <cell r="C20" t="str">
            <v>MORALES</v>
          </cell>
          <cell r="D20" t="str">
            <v>Tatiana</v>
          </cell>
          <cell r="E20" t="str">
            <v>F</v>
          </cell>
          <cell r="F20" t="str">
            <v>AST</v>
          </cell>
          <cell r="G20" t="str">
            <v>LAGO, Tatiana</v>
          </cell>
          <cell r="H20" t="str">
            <v>ASTURIAS</v>
          </cell>
          <cell r="I20">
            <v>90</v>
          </cell>
        </row>
        <row r="21">
          <cell r="A21">
            <v>119</v>
          </cell>
          <cell r="B21" t="str">
            <v>TALTAVULL</v>
          </cell>
          <cell r="C21" t="str">
            <v>PONS</v>
          </cell>
          <cell r="D21" t="str">
            <v>Jaume</v>
          </cell>
          <cell r="E21" t="str">
            <v>M</v>
          </cell>
          <cell r="F21" t="str">
            <v>BAL</v>
          </cell>
          <cell r="G21" t="str">
            <v>TALTAVULL, Jaume</v>
          </cell>
          <cell r="H21" t="str">
            <v>BALEARES</v>
          </cell>
        </row>
        <row r="22">
          <cell r="A22">
            <v>120</v>
          </cell>
          <cell r="B22" t="str">
            <v>CRESPO</v>
          </cell>
          <cell r="C22" t="str">
            <v>OLIVER</v>
          </cell>
          <cell r="D22" t="str">
            <v>Javier</v>
          </cell>
          <cell r="E22" t="str">
            <v>M</v>
          </cell>
          <cell r="F22" t="str">
            <v>BAL</v>
          </cell>
          <cell r="G22" t="str">
            <v>CRESPO, Javier</v>
          </cell>
          <cell r="H22" t="str">
            <v>BALEARES</v>
          </cell>
        </row>
        <row r="23">
          <cell r="A23">
            <v>121</v>
          </cell>
          <cell r="B23" t="str">
            <v>REDONDO</v>
          </cell>
          <cell r="C23" t="str">
            <v>PALOU</v>
          </cell>
          <cell r="D23" t="str">
            <v>Biel</v>
          </cell>
          <cell r="E23" t="str">
            <v>M</v>
          </cell>
          <cell r="F23" t="str">
            <v>BAL</v>
          </cell>
          <cell r="G23" t="str">
            <v>REDONDO, Biel</v>
          </cell>
          <cell r="H23" t="str">
            <v>BALEARES</v>
          </cell>
        </row>
        <row r="24">
          <cell r="A24">
            <v>122</v>
          </cell>
          <cell r="B24" t="str">
            <v>SÁNCHEZ</v>
          </cell>
          <cell r="C24" t="str">
            <v>ESCANELLAS</v>
          </cell>
          <cell r="D24" t="str">
            <v>Inma</v>
          </cell>
          <cell r="E24" t="str">
            <v>F</v>
          </cell>
          <cell r="F24" t="str">
            <v>BAL</v>
          </cell>
          <cell r="G24" t="str">
            <v>SÁNCHEZ, Inma</v>
          </cell>
          <cell r="H24" t="str">
            <v>BALEARES</v>
          </cell>
        </row>
        <row r="25">
          <cell r="A25">
            <v>123</v>
          </cell>
          <cell r="B25" t="str">
            <v>CUENCA</v>
          </cell>
          <cell r="C25" t="str">
            <v>REINA</v>
          </cell>
          <cell r="D25" t="str">
            <v>María Asunción</v>
          </cell>
          <cell r="E25" t="str">
            <v>F</v>
          </cell>
          <cell r="F25" t="str">
            <v>BAL</v>
          </cell>
          <cell r="G25" t="str">
            <v>CUENCA, María Asunción</v>
          </cell>
          <cell r="H25" t="str">
            <v>BALEARES</v>
          </cell>
        </row>
        <row r="26">
          <cell r="A26">
            <v>124</v>
          </cell>
          <cell r="B26" t="str">
            <v>VALLS</v>
          </cell>
          <cell r="C26" t="str">
            <v>GARI</v>
          </cell>
          <cell r="D26" t="str">
            <v>Margarita</v>
          </cell>
          <cell r="E26" t="str">
            <v>F</v>
          </cell>
          <cell r="F26" t="str">
            <v>BAL</v>
          </cell>
          <cell r="G26" t="str">
            <v>VALLS, Margarita</v>
          </cell>
          <cell r="H26" t="str">
            <v>BALEARES</v>
          </cell>
        </row>
        <row r="27">
          <cell r="A27">
            <v>125</v>
          </cell>
          <cell r="B27" t="str">
            <v>GONZÁLEZ</v>
          </cell>
          <cell r="C27" t="str">
            <v>MARTÍN</v>
          </cell>
          <cell r="D27" t="str">
            <v>Pablo</v>
          </cell>
          <cell r="E27" t="str">
            <v>M</v>
          </cell>
          <cell r="F27" t="str">
            <v>CNR</v>
          </cell>
          <cell r="G27" t="str">
            <v>GONZÁLEZ, Pablo</v>
          </cell>
          <cell r="H27" t="str">
            <v>CANARIAS</v>
          </cell>
        </row>
        <row r="28">
          <cell r="A28">
            <v>126</v>
          </cell>
          <cell r="B28" t="str">
            <v>PIÑERO</v>
          </cell>
          <cell r="C28" t="str">
            <v>DE PAZ</v>
          </cell>
          <cell r="D28" t="str">
            <v>Iván</v>
          </cell>
          <cell r="E28" t="str">
            <v>M</v>
          </cell>
          <cell r="F28" t="str">
            <v>CNR</v>
          </cell>
          <cell r="G28" t="str">
            <v>PIÑERO, Iván</v>
          </cell>
          <cell r="H28" t="str">
            <v>CANARIAS</v>
          </cell>
        </row>
        <row r="29">
          <cell r="A29">
            <v>127</v>
          </cell>
          <cell r="B29" t="str">
            <v>NUEZ</v>
          </cell>
          <cell r="C29" t="str">
            <v>SOSA</v>
          </cell>
          <cell r="D29" t="str">
            <v>José Miguel</v>
          </cell>
          <cell r="E29" t="str">
            <v>M</v>
          </cell>
          <cell r="F29" t="str">
            <v>CNR</v>
          </cell>
          <cell r="G29" t="str">
            <v>NUEZ, José Miguel</v>
          </cell>
          <cell r="H29" t="str">
            <v>CANARIAS</v>
          </cell>
        </row>
        <row r="30">
          <cell r="A30">
            <v>128</v>
          </cell>
          <cell r="B30" t="str">
            <v>MARTÍN</v>
          </cell>
          <cell r="C30" t="str">
            <v>MONTOYA</v>
          </cell>
          <cell r="D30" t="str">
            <v>Itahisa</v>
          </cell>
          <cell r="E30" t="str">
            <v>F</v>
          </cell>
          <cell r="F30" t="str">
            <v>CNR</v>
          </cell>
          <cell r="G30" t="str">
            <v>MARTÍN, Itahisa</v>
          </cell>
          <cell r="H30" t="str">
            <v>CANARIAS</v>
          </cell>
          <cell r="I30">
            <v>609</v>
          </cell>
        </row>
        <row r="31">
          <cell r="A31">
            <v>129</v>
          </cell>
          <cell r="B31" t="str">
            <v>SÁNCHEZ</v>
          </cell>
          <cell r="C31" t="str">
            <v>MONTOYA</v>
          </cell>
          <cell r="D31" t="str">
            <v>Laura</v>
          </cell>
          <cell r="E31" t="str">
            <v>F</v>
          </cell>
          <cell r="F31" t="str">
            <v>CNR</v>
          </cell>
          <cell r="G31" t="str">
            <v>SÁNCHEZ, Laura</v>
          </cell>
          <cell r="H31" t="str">
            <v>CANARIAS</v>
          </cell>
          <cell r="I31">
            <v>606</v>
          </cell>
        </row>
        <row r="32">
          <cell r="A32">
            <v>130</v>
          </cell>
          <cell r="B32" t="str">
            <v>REYES</v>
          </cell>
          <cell r="C32" t="str">
            <v>HERNÁNDEZ</v>
          </cell>
          <cell r="D32" t="str">
            <v>Zahedy</v>
          </cell>
          <cell r="E32" t="str">
            <v>F</v>
          </cell>
          <cell r="F32" t="str">
            <v>CNR</v>
          </cell>
          <cell r="G32" t="str">
            <v>REYES, Zahedy</v>
          </cell>
          <cell r="H32" t="str">
            <v>CANARIAS</v>
          </cell>
        </row>
        <row r="33">
          <cell r="A33">
            <v>131</v>
          </cell>
          <cell r="B33" t="str">
            <v>GARCÍA</v>
          </cell>
          <cell r="C33" t="str">
            <v>CASO</v>
          </cell>
          <cell r="D33" t="str">
            <v>Germán</v>
          </cell>
          <cell r="E33" t="str">
            <v>M</v>
          </cell>
          <cell r="F33" t="str">
            <v>CTB</v>
          </cell>
          <cell r="G33" t="str">
            <v>GARCÍA, Germán</v>
          </cell>
          <cell r="H33" t="str">
            <v>CANTABRIA</v>
          </cell>
          <cell r="I33">
            <v>45</v>
          </cell>
        </row>
        <row r="34">
          <cell r="A34">
            <v>132</v>
          </cell>
          <cell r="B34" t="str">
            <v>IGLESIAS</v>
          </cell>
          <cell r="C34" t="str">
            <v>IGLESIAS</v>
          </cell>
          <cell r="D34" t="str">
            <v>Mario</v>
          </cell>
          <cell r="E34" t="str">
            <v>M</v>
          </cell>
          <cell r="F34" t="str">
            <v>CTB</v>
          </cell>
          <cell r="G34" t="str">
            <v>IGLESIAS, Mario</v>
          </cell>
          <cell r="H34" t="str">
            <v>CANTABRIA</v>
          </cell>
        </row>
        <row r="35">
          <cell r="A35">
            <v>133</v>
          </cell>
          <cell r="B35" t="str">
            <v>GUTIÉRREZ</v>
          </cell>
          <cell r="C35" t="str">
            <v>SANZ-DAZA</v>
          </cell>
          <cell r="D35" t="str">
            <v>Carlos Manuel</v>
          </cell>
          <cell r="E35" t="str">
            <v>M</v>
          </cell>
          <cell r="F35" t="str">
            <v>CTB</v>
          </cell>
          <cell r="G35" t="str">
            <v>GUTIÉRREZ, Carlos Manuel</v>
          </cell>
          <cell r="H35" t="str">
            <v>CANTABRIA</v>
          </cell>
          <cell r="I35">
            <v>25</v>
          </cell>
        </row>
        <row r="36">
          <cell r="A36">
            <v>134</v>
          </cell>
          <cell r="B36" t="str">
            <v>PABLO</v>
          </cell>
          <cell r="C36" t="str">
            <v>ACHUTEGUI</v>
          </cell>
          <cell r="D36" t="str">
            <v>Amaia</v>
          </cell>
          <cell r="E36" t="str">
            <v>F</v>
          </cell>
          <cell r="F36" t="str">
            <v>CTB</v>
          </cell>
          <cell r="G36" t="str">
            <v>PABLO, Amaia</v>
          </cell>
          <cell r="H36" t="str">
            <v>CANTABRIA</v>
          </cell>
        </row>
        <row r="37">
          <cell r="A37">
            <v>135</v>
          </cell>
          <cell r="B37" t="str">
            <v>SÁNCHEZ</v>
          </cell>
          <cell r="C37" t="str">
            <v>SALAS</v>
          </cell>
          <cell r="D37" t="str">
            <v>Ruth</v>
          </cell>
          <cell r="E37" t="str">
            <v>F</v>
          </cell>
          <cell r="F37" t="str">
            <v>CTB</v>
          </cell>
          <cell r="G37" t="str">
            <v>SÁNCHEZ, Ruth</v>
          </cell>
          <cell r="H37" t="str">
            <v>CANTABRIA</v>
          </cell>
        </row>
        <row r="38">
          <cell r="A38">
            <v>136</v>
          </cell>
          <cell r="B38" t="str">
            <v>MONZÓ</v>
          </cell>
          <cell r="C38" t="str">
            <v>MONTERO</v>
          </cell>
          <cell r="D38" t="str">
            <v>Oriol</v>
          </cell>
          <cell r="E38" t="str">
            <v>M</v>
          </cell>
          <cell r="F38" t="str">
            <v>CAT</v>
          </cell>
          <cell r="G38" t="str">
            <v>MONZÓ, Oriol</v>
          </cell>
          <cell r="H38" t="str">
            <v>CATALUÑA</v>
          </cell>
        </row>
        <row r="39">
          <cell r="A39">
            <v>137</v>
          </cell>
          <cell r="B39" t="str">
            <v>NAVARRO</v>
          </cell>
          <cell r="C39" t="str">
            <v>GÁLVEZ</v>
          </cell>
          <cell r="D39" t="str">
            <v>Pere</v>
          </cell>
          <cell r="E39" t="str">
            <v>M</v>
          </cell>
          <cell r="F39" t="str">
            <v>CAT</v>
          </cell>
          <cell r="G39" t="str">
            <v>NAVARRO, Pere</v>
          </cell>
          <cell r="H39" t="str">
            <v>CATALUÑA</v>
          </cell>
          <cell r="I39">
            <v>1458</v>
          </cell>
        </row>
        <row r="40">
          <cell r="A40">
            <v>138</v>
          </cell>
          <cell r="B40" t="str">
            <v>RAMÍREZ</v>
          </cell>
          <cell r="C40" t="str">
            <v>BERMÚDEZ</v>
          </cell>
          <cell r="D40" t="str">
            <v>Jose</v>
          </cell>
          <cell r="E40" t="str">
            <v>M</v>
          </cell>
          <cell r="F40" t="str">
            <v>CAT</v>
          </cell>
          <cell r="G40" t="str">
            <v>RAMÍREZ, Jose</v>
          </cell>
          <cell r="H40" t="str">
            <v>CATALUÑA</v>
          </cell>
          <cell r="I40">
            <v>952</v>
          </cell>
        </row>
        <row r="41">
          <cell r="A41">
            <v>139</v>
          </cell>
          <cell r="B41" t="str">
            <v>RODRÍGUEZ</v>
          </cell>
          <cell r="C41" t="str">
            <v>GALLARDO</v>
          </cell>
          <cell r="D41" t="str">
            <v>Patricia</v>
          </cell>
          <cell r="E41" t="str">
            <v>F</v>
          </cell>
          <cell r="F41" t="str">
            <v>CAT</v>
          </cell>
          <cell r="G41" t="str">
            <v>RODRÍGUEZ, Patricia</v>
          </cell>
          <cell r="H41" t="str">
            <v>CATALUÑA</v>
          </cell>
          <cell r="I41">
            <v>550</v>
          </cell>
        </row>
        <row r="42">
          <cell r="A42">
            <v>140</v>
          </cell>
          <cell r="B42" t="str">
            <v>BADOSA</v>
          </cell>
          <cell r="C42" t="str">
            <v>REPISO</v>
          </cell>
          <cell r="D42" t="str">
            <v>Anna</v>
          </cell>
          <cell r="E42" t="str">
            <v>F</v>
          </cell>
          <cell r="F42" t="str">
            <v>CAT</v>
          </cell>
          <cell r="G42" t="str">
            <v>BADOSA, Anna</v>
          </cell>
          <cell r="H42" t="str">
            <v>CATALUÑA</v>
          </cell>
          <cell r="I42">
            <v>524</v>
          </cell>
        </row>
        <row r="43">
          <cell r="A43">
            <v>141</v>
          </cell>
          <cell r="B43" t="str">
            <v>BADOSA</v>
          </cell>
          <cell r="C43" t="str">
            <v>REPISO</v>
          </cell>
          <cell r="D43" t="str">
            <v>Sonia</v>
          </cell>
          <cell r="E43" t="str">
            <v>F</v>
          </cell>
          <cell r="F43" t="str">
            <v>CAT</v>
          </cell>
          <cell r="G43" t="str">
            <v>BADOSA, Sonia</v>
          </cell>
          <cell r="H43" t="str">
            <v>CATALUÑA</v>
          </cell>
        </row>
        <row r="44">
          <cell r="A44">
            <v>142</v>
          </cell>
          <cell r="B44" t="str">
            <v>HERRERA</v>
          </cell>
          <cell r="C44" t="str">
            <v>RAMÍREZ</v>
          </cell>
          <cell r="D44" t="str">
            <v>Carlos</v>
          </cell>
          <cell r="E44" t="str">
            <v>M</v>
          </cell>
          <cell r="F44" t="str">
            <v>CLM</v>
          </cell>
          <cell r="G44" t="str">
            <v>HERRERA, Carlos</v>
          </cell>
          <cell r="H44" t="str">
            <v>CASTILLA LA MANCHA</v>
          </cell>
        </row>
        <row r="45">
          <cell r="A45">
            <v>143</v>
          </cell>
          <cell r="B45" t="str">
            <v>RUIZ</v>
          </cell>
          <cell r="C45" t="str">
            <v>CALVO</v>
          </cell>
          <cell r="D45" t="str">
            <v>Benjamín</v>
          </cell>
          <cell r="E45" t="str">
            <v>M</v>
          </cell>
          <cell r="F45" t="str">
            <v>CLM</v>
          </cell>
          <cell r="G45" t="str">
            <v>RUIZ, Benjamín</v>
          </cell>
          <cell r="H45" t="str">
            <v>CASTILLA LA MANCHA</v>
          </cell>
        </row>
        <row r="46">
          <cell r="A46">
            <v>144</v>
          </cell>
          <cell r="B46" t="str">
            <v>RAMIRO</v>
          </cell>
          <cell r="C46" t="str">
            <v>MARTÍN</v>
          </cell>
          <cell r="D46" t="str">
            <v>Guillermo</v>
          </cell>
          <cell r="E46" t="str">
            <v>M</v>
          </cell>
          <cell r="F46" t="str">
            <v>CLM</v>
          </cell>
          <cell r="G46" t="str">
            <v>RAMIRO, Guillermo</v>
          </cell>
          <cell r="H46" t="str">
            <v>CASTILLA LA MANCHA</v>
          </cell>
        </row>
        <row r="47">
          <cell r="A47">
            <v>145</v>
          </cell>
          <cell r="B47" t="str">
            <v>AGUILAR</v>
          </cell>
          <cell r="C47" t="str">
            <v>LOZANO</v>
          </cell>
          <cell r="D47" t="str">
            <v>Sara</v>
          </cell>
          <cell r="E47" t="str">
            <v>F</v>
          </cell>
          <cell r="F47" t="str">
            <v>CLM</v>
          </cell>
          <cell r="G47" t="str">
            <v>AGUILAR, Sara</v>
          </cell>
          <cell r="H47" t="str">
            <v>CASTILLA LA MANCHA</v>
          </cell>
        </row>
        <row r="48">
          <cell r="A48">
            <v>146</v>
          </cell>
          <cell r="B48" t="str">
            <v>BENITO</v>
          </cell>
          <cell r="C48" t="str">
            <v>RODRÍGUEZ</v>
          </cell>
          <cell r="D48" t="str">
            <v>Raquel</v>
          </cell>
          <cell r="E48" t="str">
            <v>F</v>
          </cell>
          <cell r="F48" t="str">
            <v>CLM</v>
          </cell>
          <cell r="G48" t="str">
            <v>BENITO, Raquel</v>
          </cell>
          <cell r="H48" t="str">
            <v>CASTILLA LA MANCHA</v>
          </cell>
        </row>
        <row r="49">
          <cell r="A49">
            <v>147</v>
          </cell>
          <cell r="B49" t="str">
            <v>SÁNCHEZ</v>
          </cell>
          <cell r="C49" t="str">
            <v>HERNÁNDEZ</v>
          </cell>
          <cell r="D49" t="str">
            <v>Raquel</v>
          </cell>
          <cell r="E49" t="str">
            <v>F</v>
          </cell>
          <cell r="F49" t="str">
            <v>CLM</v>
          </cell>
          <cell r="G49" t="str">
            <v>SÁNCHEZ, Raquel</v>
          </cell>
          <cell r="H49" t="str">
            <v>CASTILLA LA MANCHA</v>
          </cell>
        </row>
        <row r="50">
          <cell r="A50">
            <v>148</v>
          </cell>
          <cell r="B50" t="str">
            <v xml:space="preserve">GÓMEZ </v>
          </cell>
          <cell r="C50" t="str">
            <v>FERNÁNDEZ</v>
          </cell>
          <cell r="D50" t="str">
            <v>Abraham</v>
          </cell>
          <cell r="E50" t="str">
            <v>M</v>
          </cell>
          <cell r="F50" t="str">
            <v>CYL</v>
          </cell>
          <cell r="G50" t="str">
            <v>GÓMEZ , Abraham</v>
          </cell>
          <cell r="H50" t="str">
            <v>CASTILLA Y LEÓN</v>
          </cell>
        </row>
        <row r="51">
          <cell r="A51">
            <v>149</v>
          </cell>
          <cell r="B51" t="str">
            <v>ZÁRATE</v>
          </cell>
          <cell r="C51" t="str">
            <v>CATÓN</v>
          </cell>
          <cell r="D51" t="str">
            <v>Pablo</v>
          </cell>
          <cell r="E51" t="str">
            <v>M</v>
          </cell>
          <cell r="F51" t="str">
            <v>CYL</v>
          </cell>
          <cell r="G51" t="str">
            <v>ZÁRATE, Pablo</v>
          </cell>
          <cell r="H51" t="str">
            <v>CASTILLA Y LEÓN</v>
          </cell>
          <cell r="I51">
            <v>75</v>
          </cell>
        </row>
        <row r="52">
          <cell r="A52">
            <v>150</v>
          </cell>
          <cell r="B52" t="str">
            <v>ILLERA</v>
          </cell>
          <cell r="C52" t="str">
            <v>LÓPEZ</v>
          </cell>
          <cell r="D52" t="str">
            <v>Rubén</v>
          </cell>
          <cell r="E52" t="str">
            <v>M</v>
          </cell>
          <cell r="F52" t="str">
            <v>CYL</v>
          </cell>
          <cell r="G52" t="str">
            <v>ILLERA, Rubén</v>
          </cell>
          <cell r="H52" t="str">
            <v>CASTILLA Y LEÓN</v>
          </cell>
        </row>
        <row r="53">
          <cell r="A53">
            <v>151</v>
          </cell>
          <cell r="B53" t="str">
            <v>PARDO</v>
          </cell>
          <cell r="C53" t="str">
            <v>ARIAS CAHERO</v>
          </cell>
          <cell r="D53" t="str">
            <v>Lis María</v>
          </cell>
          <cell r="E53" t="str">
            <v>F</v>
          </cell>
          <cell r="F53" t="str">
            <v>CYL</v>
          </cell>
          <cell r="G53" t="str">
            <v>PARDO, Lis María</v>
          </cell>
          <cell r="H53" t="str">
            <v>CASTILLA Y LEÓN</v>
          </cell>
          <cell r="I53">
            <v>113</v>
          </cell>
        </row>
        <row r="54">
          <cell r="A54">
            <v>152</v>
          </cell>
          <cell r="B54" t="str">
            <v>MARTÍN</v>
          </cell>
          <cell r="C54" t="str">
            <v>PRIETO</v>
          </cell>
          <cell r="D54" t="str">
            <v>María</v>
          </cell>
          <cell r="E54" t="str">
            <v>F</v>
          </cell>
          <cell r="F54" t="str">
            <v>CYL</v>
          </cell>
          <cell r="G54" t="str">
            <v>MARTÍN, María</v>
          </cell>
          <cell r="H54" t="str">
            <v>CASTILLA Y LEÓN</v>
          </cell>
          <cell r="I54">
            <v>77</v>
          </cell>
        </row>
        <row r="55">
          <cell r="A55">
            <v>153</v>
          </cell>
          <cell r="B55" t="str">
            <v>GALLO</v>
          </cell>
          <cell r="C55" t="str">
            <v>FONTANILLAS</v>
          </cell>
          <cell r="D55" t="str">
            <v>María del Carmen</v>
          </cell>
          <cell r="E55" t="str">
            <v>F</v>
          </cell>
          <cell r="F55" t="str">
            <v>CYL</v>
          </cell>
          <cell r="G55" t="str">
            <v>GALLO, María del Carmen</v>
          </cell>
          <cell r="H55" t="str">
            <v>CASTILLA Y LEÓN</v>
          </cell>
          <cell r="I55">
            <v>169</v>
          </cell>
        </row>
        <row r="56">
          <cell r="A56">
            <v>154</v>
          </cell>
          <cell r="B56" t="str">
            <v>ROCHER</v>
          </cell>
          <cell r="C56" t="str">
            <v>DORADO</v>
          </cell>
          <cell r="D56" t="str">
            <v>Juan Miguel</v>
          </cell>
          <cell r="E56" t="str">
            <v>M</v>
          </cell>
          <cell r="F56" t="str">
            <v>CEU</v>
          </cell>
          <cell r="G56" t="str">
            <v>ROCHER, Juan Miguel</v>
          </cell>
          <cell r="H56" t="str">
            <v>CEUTA</v>
          </cell>
        </row>
        <row r="57">
          <cell r="A57">
            <v>155</v>
          </cell>
          <cell r="B57" t="str">
            <v>SOBRINO</v>
          </cell>
          <cell r="C57" t="str">
            <v>SERRÁN</v>
          </cell>
          <cell r="D57" t="str">
            <v>Manuel</v>
          </cell>
          <cell r="E57" t="str">
            <v>M</v>
          </cell>
          <cell r="F57" t="str">
            <v>CEU</v>
          </cell>
          <cell r="G57" t="str">
            <v>SOBRINO, Manuel</v>
          </cell>
          <cell r="H57" t="str">
            <v>CEUTA</v>
          </cell>
        </row>
        <row r="58">
          <cell r="A58">
            <v>156</v>
          </cell>
          <cell r="B58" t="str">
            <v>MARISCAL</v>
          </cell>
          <cell r="C58" t="str">
            <v>SÁNCHEZ</v>
          </cell>
          <cell r="D58" t="str">
            <v>José Rubén</v>
          </cell>
          <cell r="E58" t="str">
            <v>M</v>
          </cell>
          <cell r="F58" t="str">
            <v>CEU</v>
          </cell>
          <cell r="G58" t="str">
            <v>MARISCAL, José Rubén</v>
          </cell>
          <cell r="H58" t="str">
            <v>CEUTA</v>
          </cell>
        </row>
        <row r="59">
          <cell r="A59">
            <v>159</v>
          </cell>
          <cell r="B59" t="str">
            <v>BRANCANO</v>
          </cell>
          <cell r="C59" t="str">
            <v>SÁNCHEZ</v>
          </cell>
          <cell r="D59" t="str">
            <v>Alberto</v>
          </cell>
          <cell r="E59" t="str">
            <v>M</v>
          </cell>
          <cell r="F59" t="str">
            <v>EXT</v>
          </cell>
          <cell r="G59" t="str">
            <v>BRANCANO, Alberto</v>
          </cell>
          <cell r="H59" t="str">
            <v>EXTREMADURA</v>
          </cell>
        </row>
        <row r="60">
          <cell r="A60">
            <v>160</v>
          </cell>
          <cell r="B60" t="str">
            <v>MERINO</v>
          </cell>
          <cell r="C60" t="str">
            <v>DELGADO</v>
          </cell>
          <cell r="D60" t="str">
            <v>Pablo</v>
          </cell>
          <cell r="E60" t="str">
            <v>M</v>
          </cell>
          <cell r="F60" t="str">
            <v>EXT</v>
          </cell>
          <cell r="G60" t="str">
            <v>MERINO, Pablo</v>
          </cell>
          <cell r="H60" t="str">
            <v>EXTREMADURA</v>
          </cell>
        </row>
        <row r="61">
          <cell r="A61">
            <v>161</v>
          </cell>
          <cell r="B61" t="str">
            <v>SANTIAGO</v>
          </cell>
          <cell r="C61" t="str">
            <v>CÓRDOVA</v>
          </cell>
          <cell r="D61" t="str">
            <v>Luis</v>
          </cell>
          <cell r="E61" t="str">
            <v>M</v>
          </cell>
          <cell r="F61" t="str">
            <v>EXT</v>
          </cell>
          <cell r="G61" t="str">
            <v>SANTIAGO, Luis</v>
          </cell>
          <cell r="H61" t="str">
            <v>EXTREMADURA</v>
          </cell>
        </row>
        <row r="62">
          <cell r="A62">
            <v>162</v>
          </cell>
          <cell r="B62" t="str">
            <v>CANDELARIO</v>
          </cell>
          <cell r="C62" t="str">
            <v>SANTIAGO</v>
          </cell>
          <cell r="D62" t="str">
            <v>Carmen María</v>
          </cell>
          <cell r="E62" t="str">
            <v>F</v>
          </cell>
          <cell r="F62" t="str">
            <v>EXT</v>
          </cell>
          <cell r="G62" t="str">
            <v>CANDELARIO, Carmen María</v>
          </cell>
          <cell r="H62" t="str">
            <v>EXTREMADURA</v>
          </cell>
        </row>
        <row r="63">
          <cell r="A63">
            <v>163</v>
          </cell>
          <cell r="B63" t="str">
            <v>HIDALGO</v>
          </cell>
          <cell r="C63" t="str">
            <v>BENITEZ</v>
          </cell>
          <cell r="D63" t="str">
            <v>Nieves</v>
          </cell>
          <cell r="E63" t="str">
            <v>F</v>
          </cell>
          <cell r="F63" t="str">
            <v>EXT</v>
          </cell>
          <cell r="G63" t="str">
            <v>HIDALGO, Nieves</v>
          </cell>
          <cell r="H63" t="str">
            <v>EXTREMADURA</v>
          </cell>
        </row>
        <row r="64">
          <cell r="A64">
            <v>164</v>
          </cell>
          <cell r="B64" t="str">
            <v>ESPEJO</v>
          </cell>
          <cell r="C64" t="str">
            <v>MORÁN</v>
          </cell>
          <cell r="D64" t="str">
            <v>María Azahara</v>
          </cell>
          <cell r="E64" t="str">
            <v>F</v>
          </cell>
          <cell r="F64" t="str">
            <v>EXT</v>
          </cell>
          <cell r="G64" t="str">
            <v>ESPEJO, María Azahara</v>
          </cell>
          <cell r="H64" t="str">
            <v>EXTREMADURA</v>
          </cell>
        </row>
        <row r="65">
          <cell r="A65">
            <v>165</v>
          </cell>
          <cell r="B65" t="str">
            <v>CABALEIRO</v>
          </cell>
          <cell r="C65" t="str">
            <v>FERNÁNDEZ</v>
          </cell>
          <cell r="D65" t="str">
            <v>Miguel</v>
          </cell>
          <cell r="E65" t="str">
            <v>M</v>
          </cell>
          <cell r="F65" t="str">
            <v>GAL</v>
          </cell>
          <cell r="G65" t="str">
            <v>CABALEIRO, Miguel</v>
          </cell>
          <cell r="H65" t="str">
            <v>GALICIA</v>
          </cell>
          <cell r="I65">
            <v>87</v>
          </cell>
        </row>
        <row r="66">
          <cell r="A66">
            <v>166</v>
          </cell>
          <cell r="B66" t="str">
            <v>BASANTA</v>
          </cell>
          <cell r="C66" t="str">
            <v>LÓPEZ</v>
          </cell>
          <cell r="D66" t="str">
            <v>Samuel</v>
          </cell>
          <cell r="E66" t="str">
            <v>M</v>
          </cell>
          <cell r="F66" t="str">
            <v>GAL</v>
          </cell>
          <cell r="G66" t="str">
            <v>BASANTA, Samuel</v>
          </cell>
          <cell r="H66" t="str">
            <v>GALICIA</v>
          </cell>
          <cell r="I66">
            <v>168</v>
          </cell>
        </row>
        <row r="67">
          <cell r="A67">
            <v>167</v>
          </cell>
          <cell r="B67" t="str">
            <v>RODRÍGUEZ</v>
          </cell>
          <cell r="C67" t="str">
            <v>PÉREZ</v>
          </cell>
          <cell r="D67" t="str">
            <v>Moisés</v>
          </cell>
          <cell r="E67" t="str">
            <v>M</v>
          </cell>
          <cell r="F67" t="str">
            <v>GAL</v>
          </cell>
          <cell r="G67" t="str">
            <v>RODRÍGUEZ, Moisés</v>
          </cell>
          <cell r="H67" t="str">
            <v>GALICIA</v>
          </cell>
          <cell r="I67">
            <v>50</v>
          </cell>
        </row>
        <row r="68">
          <cell r="A68">
            <v>168</v>
          </cell>
          <cell r="B68" t="str">
            <v>MOREIRA</v>
          </cell>
          <cell r="C68" t="str">
            <v>GARCÍA</v>
          </cell>
          <cell r="D68" t="str">
            <v>Elisa</v>
          </cell>
          <cell r="E68" t="str">
            <v>F</v>
          </cell>
          <cell r="F68" t="str">
            <v>GAL</v>
          </cell>
          <cell r="G68" t="str">
            <v>MOREIRA, Elisa</v>
          </cell>
          <cell r="H68" t="str">
            <v>GALICIA</v>
          </cell>
        </row>
        <row r="69">
          <cell r="A69">
            <v>169</v>
          </cell>
          <cell r="B69" t="str">
            <v>PÉREZ</v>
          </cell>
          <cell r="C69" t="str">
            <v>MORADO</v>
          </cell>
          <cell r="D69" t="str">
            <v>Silvia</v>
          </cell>
          <cell r="E69" t="str">
            <v>F</v>
          </cell>
          <cell r="F69" t="str">
            <v>GAL</v>
          </cell>
          <cell r="G69" t="str">
            <v>PÉREZ, Silvia</v>
          </cell>
          <cell r="H69" t="str">
            <v>GALICIA</v>
          </cell>
          <cell r="I69">
            <v>25</v>
          </cell>
        </row>
        <row r="70">
          <cell r="A70">
            <v>170</v>
          </cell>
          <cell r="B70" t="str">
            <v>RODRÍGUEZ</v>
          </cell>
          <cell r="C70" t="str">
            <v>FERNÁNDEZ</v>
          </cell>
          <cell r="D70" t="str">
            <v>Anai</v>
          </cell>
          <cell r="E70" t="str">
            <v>F</v>
          </cell>
          <cell r="F70" t="str">
            <v>GAL</v>
          </cell>
          <cell r="G70" t="str">
            <v>RODRÍGUEZ, Anai</v>
          </cell>
          <cell r="H70" t="str">
            <v>GALICIA</v>
          </cell>
        </row>
        <row r="71">
          <cell r="A71">
            <v>171</v>
          </cell>
          <cell r="B71" t="str">
            <v>SÁNCHEZ</v>
          </cell>
          <cell r="C71" t="str">
            <v>DELGADO</v>
          </cell>
          <cell r="D71" t="str">
            <v>Javier</v>
          </cell>
          <cell r="E71" t="str">
            <v>M</v>
          </cell>
          <cell r="F71" t="str">
            <v>MAD</v>
          </cell>
          <cell r="G71" t="str">
            <v>SÁNCHEZ, Javier</v>
          </cell>
          <cell r="H71" t="str">
            <v>MADRID</v>
          </cell>
          <cell r="I71">
            <v>126</v>
          </cell>
        </row>
        <row r="72">
          <cell r="A72">
            <v>172</v>
          </cell>
          <cell r="B72" t="str">
            <v>GÓMEZ</v>
          </cell>
          <cell r="C72" t="str">
            <v>FIDALGO</v>
          </cell>
          <cell r="D72" t="str">
            <v>Héctor</v>
          </cell>
          <cell r="E72" t="str">
            <v>M</v>
          </cell>
          <cell r="F72" t="str">
            <v>MAD</v>
          </cell>
          <cell r="G72" t="str">
            <v>GÓMEZ, Héctor</v>
          </cell>
          <cell r="H72" t="str">
            <v>MADRID</v>
          </cell>
          <cell r="I72">
            <v>188</v>
          </cell>
        </row>
        <row r="73">
          <cell r="A73">
            <v>173</v>
          </cell>
          <cell r="B73" t="str">
            <v>MUÑOZ</v>
          </cell>
          <cell r="C73" t="str">
            <v>AGUADO</v>
          </cell>
          <cell r="D73" t="str">
            <v>Marco Antonio</v>
          </cell>
          <cell r="E73" t="str">
            <v>M</v>
          </cell>
          <cell r="F73" t="str">
            <v>MAD</v>
          </cell>
          <cell r="G73" t="str">
            <v>MUÑOZ, Marco Antonio</v>
          </cell>
          <cell r="H73" t="str">
            <v>MADRID</v>
          </cell>
          <cell r="I73">
            <v>238</v>
          </cell>
        </row>
        <row r="74">
          <cell r="A74">
            <v>174</v>
          </cell>
          <cell r="B74" t="str">
            <v>DOMÍNGUEZ</v>
          </cell>
          <cell r="C74" t="str">
            <v>SIRVENT</v>
          </cell>
          <cell r="D74" t="str">
            <v>Natalia</v>
          </cell>
          <cell r="E74" t="str">
            <v>F</v>
          </cell>
          <cell r="F74" t="str">
            <v>MAD</v>
          </cell>
          <cell r="G74" t="str">
            <v>DOMÍNGUEZ, Natalia</v>
          </cell>
          <cell r="H74" t="str">
            <v>MADRID</v>
          </cell>
        </row>
        <row r="75">
          <cell r="A75">
            <v>175</v>
          </cell>
          <cell r="B75" t="str">
            <v>DOMÍNGUEZ</v>
          </cell>
          <cell r="C75" t="str">
            <v>SIRVENT</v>
          </cell>
          <cell r="D75" t="str">
            <v>Laura</v>
          </cell>
          <cell r="E75" t="str">
            <v>F</v>
          </cell>
          <cell r="F75" t="str">
            <v>MAD</v>
          </cell>
          <cell r="G75" t="str">
            <v>DOMÍNGUEZ, Laura</v>
          </cell>
          <cell r="H75" t="str">
            <v>MADRID</v>
          </cell>
        </row>
        <row r="76">
          <cell r="A76">
            <v>176</v>
          </cell>
          <cell r="B76" t="str">
            <v>BALLESTER</v>
          </cell>
          <cell r="C76" t="str">
            <v>FERNÁNDEZ</v>
          </cell>
          <cell r="D76" t="str">
            <v>Antonio</v>
          </cell>
          <cell r="E76" t="str">
            <v>M</v>
          </cell>
          <cell r="F76" t="str">
            <v>MUR</v>
          </cell>
          <cell r="G76" t="str">
            <v>BALLESTER, Antonio</v>
          </cell>
          <cell r="H76" t="str">
            <v>MURCIA</v>
          </cell>
          <cell r="I76">
            <v>106</v>
          </cell>
        </row>
        <row r="77">
          <cell r="A77">
            <v>177</v>
          </cell>
          <cell r="B77" t="str">
            <v>JEREZ</v>
          </cell>
          <cell r="C77" t="str">
            <v>ZAMORA</v>
          </cell>
          <cell r="D77" t="str">
            <v>Manuel</v>
          </cell>
          <cell r="E77" t="str">
            <v>M</v>
          </cell>
          <cell r="F77" t="str">
            <v>MUR</v>
          </cell>
          <cell r="G77" t="str">
            <v>JEREZ, Manuel</v>
          </cell>
          <cell r="H77" t="str">
            <v>MURCIA</v>
          </cell>
          <cell r="I77">
            <v>241</v>
          </cell>
        </row>
        <row r="78">
          <cell r="A78">
            <v>178</v>
          </cell>
          <cell r="B78" t="str">
            <v>ROS</v>
          </cell>
          <cell r="C78" t="str">
            <v>ORTEGA</v>
          </cell>
          <cell r="D78" t="str">
            <v>Francisco Javier</v>
          </cell>
          <cell r="E78" t="str">
            <v>M</v>
          </cell>
          <cell r="F78" t="str">
            <v>MUR</v>
          </cell>
          <cell r="G78" t="str">
            <v>ROS, Francisco Javier</v>
          </cell>
          <cell r="H78" t="str">
            <v>MURCIA</v>
          </cell>
          <cell r="I78">
            <v>65</v>
          </cell>
        </row>
        <row r="79">
          <cell r="A79">
            <v>179</v>
          </cell>
          <cell r="B79" t="str">
            <v>VILLADA</v>
          </cell>
          <cell r="C79" t="str">
            <v>MARTÍNEZ</v>
          </cell>
          <cell r="D79" t="str">
            <v>Jénnifer</v>
          </cell>
          <cell r="E79" t="str">
            <v>F</v>
          </cell>
          <cell r="F79" t="str">
            <v>MUR</v>
          </cell>
          <cell r="G79" t="str">
            <v>VILLADA, Jénnifer</v>
          </cell>
          <cell r="H79" t="str">
            <v>MURCIA</v>
          </cell>
          <cell r="I79">
            <v>1659</v>
          </cell>
        </row>
        <row r="80">
          <cell r="A80">
            <v>180</v>
          </cell>
          <cell r="B80" t="str">
            <v>MONTALBÁN</v>
          </cell>
          <cell r="C80" t="str">
            <v>CONESA</v>
          </cell>
          <cell r="D80" t="str">
            <v>Patricia</v>
          </cell>
          <cell r="E80" t="str">
            <v>F</v>
          </cell>
          <cell r="F80" t="str">
            <v>MUR</v>
          </cell>
          <cell r="G80" t="str">
            <v>MONTALBÁN, Patricia</v>
          </cell>
          <cell r="H80" t="str">
            <v>MURCIA</v>
          </cell>
          <cell r="I80">
            <v>550</v>
          </cell>
        </row>
        <row r="81">
          <cell r="A81">
            <v>181</v>
          </cell>
          <cell r="B81" t="str">
            <v>ROS</v>
          </cell>
          <cell r="C81" t="str">
            <v>ORTEGA</v>
          </cell>
          <cell r="D81" t="str">
            <v>Nuria</v>
          </cell>
          <cell r="E81" t="str">
            <v>F</v>
          </cell>
          <cell r="F81" t="str">
            <v>MUR</v>
          </cell>
          <cell r="G81" t="str">
            <v>ROS, Nuria</v>
          </cell>
          <cell r="H81" t="str">
            <v>MURCIA</v>
          </cell>
          <cell r="I81">
            <v>790</v>
          </cell>
        </row>
        <row r="82">
          <cell r="A82">
            <v>182</v>
          </cell>
          <cell r="B82" t="str">
            <v>EZQUER</v>
          </cell>
          <cell r="C82" t="str">
            <v>TIBERIO</v>
          </cell>
          <cell r="D82" t="str">
            <v>Daniel</v>
          </cell>
          <cell r="E82" t="str">
            <v>M</v>
          </cell>
          <cell r="F82" t="str">
            <v>NAV</v>
          </cell>
          <cell r="G82" t="str">
            <v>EZQUER, Daniel</v>
          </cell>
          <cell r="H82" t="str">
            <v>NAVARRA</v>
          </cell>
        </row>
        <row r="83">
          <cell r="A83">
            <v>183</v>
          </cell>
          <cell r="B83" t="str">
            <v>MARTÍNEZ</v>
          </cell>
          <cell r="C83" t="str">
            <v>IZCO</v>
          </cell>
          <cell r="D83" t="str">
            <v>Carlos</v>
          </cell>
          <cell r="E83" t="str">
            <v>M</v>
          </cell>
          <cell r="F83" t="str">
            <v>NAV</v>
          </cell>
          <cell r="G83" t="str">
            <v>MARTÍNEZ, Carlos</v>
          </cell>
          <cell r="H83" t="str">
            <v>NAVARRA</v>
          </cell>
        </row>
        <row r="84">
          <cell r="A84">
            <v>184</v>
          </cell>
          <cell r="B84" t="str">
            <v>PENG</v>
          </cell>
          <cell r="D84" t="str">
            <v>Yan Song</v>
          </cell>
          <cell r="E84" t="str">
            <v>M</v>
          </cell>
          <cell r="F84" t="str">
            <v>NAV</v>
          </cell>
          <cell r="G84" t="str">
            <v>PENG, Yan Song</v>
          </cell>
          <cell r="H84" t="str">
            <v>NAVARRA</v>
          </cell>
        </row>
        <row r="85">
          <cell r="A85">
            <v>185</v>
          </cell>
          <cell r="B85" t="str">
            <v>ALMENARA</v>
          </cell>
          <cell r="C85" t="str">
            <v>ESCUDERO</v>
          </cell>
          <cell r="D85" t="str">
            <v>Maite</v>
          </cell>
          <cell r="E85" t="str">
            <v>F</v>
          </cell>
          <cell r="F85" t="str">
            <v>NAV</v>
          </cell>
          <cell r="G85" t="str">
            <v>ALMENARA, Maite</v>
          </cell>
          <cell r="H85" t="str">
            <v>NAVARRA</v>
          </cell>
        </row>
        <row r="86">
          <cell r="A86">
            <v>186</v>
          </cell>
          <cell r="B86" t="str">
            <v>SERNA</v>
          </cell>
          <cell r="C86" t="str">
            <v>FERNÁNDEZ</v>
          </cell>
          <cell r="D86" t="str">
            <v>Araceli</v>
          </cell>
          <cell r="E86" t="str">
            <v>F</v>
          </cell>
          <cell r="F86" t="str">
            <v>NAV</v>
          </cell>
          <cell r="G86" t="str">
            <v>SERNA, Araceli</v>
          </cell>
          <cell r="H86" t="str">
            <v>NAVARRA</v>
          </cell>
        </row>
        <row r="87">
          <cell r="A87">
            <v>187</v>
          </cell>
          <cell r="B87" t="str">
            <v>ZUFÍA</v>
          </cell>
          <cell r="C87" t="str">
            <v>ELIZADE</v>
          </cell>
          <cell r="D87" t="str">
            <v>Edurne</v>
          </cell>
          <cell r="E87" t="str">
            <v>F</v>
          </cell>
          <cell r="F87" t="str">
            <v>NAV</v>
          </cell>
          <cell r="G87" t="str">
            <v>ZUFÍA, Edurne</v>
          </cell>
          <cell r="H87" t="str">
            <v>NAVARRA</v>
          </cell>
        </row>
        <row r="88">
          <cell r="A88">
            <v>188</v>
          </cell>
          <cell r="B88" t="str">
            <v>ROJO</v>
          </cell>
          <cell r="C88" t="str">
            <v>DE OLANO</v>
          </cell>
          <cell r="D88" t="str">
            <v>Unai</v>
          </cell>
          <cell r="E88" t="str">
            <v>M</v>
          </cell>
          <cell r="F88" t="str">
            <v>PVS</v>
          </cell>
          <cell r="G88" t="str">
            <v>ROJO, Unai</v>
          </cell>
          <cell r="H88" t="str">
            <v>PAÍS VASCO</v>
          </cell>
          <cell r="I88">
            <v>128</v>
          </cell>
        </row>
        <row r="89">
          <cell r="A89">
            <v>189</v>
          </cell>
          <cell r="B89" t="str">
            <v>MENZADONA</v>
          </cell>
          <cell r="C89" t="str">
            <v>GAROÑA</v>
          </cell>
          <cell r="D89" t="str">
            <v>Yon</v>
          </cell>
          <cell r="E89" t="str">
            <v>M</v>
          </cell>
          <cell r="F89" t="str">
            <v>PVS</v>
          </cell>
          <cell r="G89" t="str">
            <v>MENZADONA, Yon</v>
          </cell>
          <cell r="H89" t="str">
            <v>PAÍS VASCO</v>
          </cell>
        </row>
        <row r="90">
          <cell r="A90">
            <v>190</v>
          </cell>
          <cell r="B90" t="str">
            <v>VALVERDE</v>
          </cell>
          <cell r="C90" t="str">
            <v>JAÚREGUI</v>
          </cell>
          <cell r="D90" t="str">
            <v>Aitor</v>
          </cell>
          <cell r="E90" t="str">
            <v>M</v>
          </cell>
          <cell r="F90" t="str">
            <v>PVS</v>
          </cell>
          <cell r="G90" t="str">
            <v>VALVERDE, Aitor</v>
          </cell>
          <cell r="H90" t="str">
            <v>PAÍS VASCO</v>
          </cell>
          <cell r="I90">
            <v>400</v>
          </cell>
        </row>
        <row r="91">
          <cell r="A91">
            <v>191</v>
          </cell>
          <cell r="B91" t="str">
            <v>URIZANA</v>
          </cell>
          <cell r="C91" t="str">
            <v>VIADAS</v>
          </cell>
          <cell r="D91" t="str">
            <v>Jesús</v>
          </cell>
          <cell r="E91" t="str">
            <v>M</v>
          </cell>
          <cell r="F91" t="str">
            <v>RIO</v>
          </cell>
          <cell r="G91" t="str">
            <v>URIZANA, Jesús</v>
          </cell>
          <cell r="H91" t="str">
            <v>LA RIOJA</v>
          </cell>
        </row>
        <row r="92">
          <cell r="A92">
            <v>192</v>
          </cell>
          <cell r="B92" t="str">
            <v>RUIZ</v>
          </cell>
          <cell r="C92" t="str">
            <v>LORENTE</v>
          </cell>
          <cell r="D92" t="str">
            <v>Mario</v>
          </cell>
          <cell r="E92" t="str">
            <v>M</v>
          </cell>
          <cell r="F92" t="str">
            <v>RIO</v>
          </cell>
          <cell r="G92" t="str">
            <v>RUIZ, Mario</v>
          </cell>
          <cell r="H92" t="str">
            <v>LA RIOJA</v>
          </cell>
        </row>
        <row r="93">
          <cell r="A93">
            <v>193</v>
          </cell>
          <cell r="B93" t="str">
            <v>LEÓN</v>
          </cell>
          <cell r="C93" t="str">
            <v>SANTOS</v>
          </cell>
          <cell r="D93" t="str">
            <v>José Manuel</v>
          </cell>
          <cell r="E93" t="str">
            <v>M</v>
          </cell>
          <cell r="F93" t="str">
            <v>RIO</v>
          </cell>
          <cell r="G93" t="str">
            <v>LEÓN, José Manuel</v>
          </cell>
          <cell r="H93" t="str">
            <v>LA RIOJA</v>
          </cell>
        </row>
        <row r="94">
          <cell r="A94">
            <v>194</v>
          </cell>
          <cell r="B94" t="str">
            <v>SALVA</v>
          </cell>
          <cell r="C94" t="str">
            <v>MARTÍNEZ</v>
          </cell>
          <cell r="D94" t="str">
            <v>Pau</v>
          </cell>
          <cell r="E94" t="str">
            <v>M</v>
          </cell>
          <cell r="F94" t="str">
            <v>VAL</v>
          </cell>
          <cell r="G94" t="str">
            <v>SALVA, Pau</v>
          </cell>
          <cell r="H94" t="str">
            <v>COM. VALENCIANA</v>
          </cell>
          <cell r="I94">
            <v>43</v>
          </cell>
        </row>
        <row r="95">
          <cell r="A95">
            <v>195</v>
          </cell>
          <cell r="B95" t="str">
            <v>PINO</v>
          </cell>
          <cell r="C95" t="str">
            <v>RAMÍREZ</v>
          </cell>
          <cell r="D95" t="str">
            <v>Alejandro</v>
          </cell>
          <cell r="E95" t="str">
            <v>M</v>
          </cell>
          <cell r="F95" t="str">
            <v>VAL</v>
          </cell>
          <cell r="G95" t="str">
            <v>PINO, Alejandro</v>
          </cell>
          <cell r="H95" t="str">
            <v>COM. VALENCIANA</v>
          </cell>
        </row>
        <row r="96">
          <cell r="A96">
            <v>196</v>
          </cell>
          <cell r="B96" t="str">
            <v>VALERO</v>
          </cell>
          <cell r="C96" t="str">
            <v>TUINENBURG</v>
          </cell>
          <cell r="D96" t="str">
            <v>Antonio</v>
          </cell>
          <cell r="E96" t="str">
            <v>M</v>
          </cell>
          <cell r="F96" t="str">
            <v>VAL</v>
          </cell>
          <cell r="G96" t="str">
            <v>VALERO, Antonio</v>
          </cell>
          <cell r="H96" t="str">
            <v>COM. VALENCIANA</v>
          </cell>
        </row>
        <row r="97">
          <cell r="A97">
            <v>197</v>
          </cell>
          <cell r="B97" t="str">
            <v>BASTANTE</v>
          </cell>
          <cell r="C97" t="str">
            <v>GONZÁLEZ</v>
          </cell>
          <cell r="D97" t="str">
            <v>Gemma</v>
          </cell>
          <cell r="E97" t="str">
            <v>F</v>
          </cell>
          <cell r="F97" t="str">
            <v>VAL</v>
          </cell>
          <cell r="G97" t="str">
            <v>BASTANTE, Gemma</v>
          </cell>
          <cell r="H97" t="str">
            <v>COM. VALENCIANA</v>
          </cell>
          <cell r="I97">
            <v>144</v>
          </cell>
        </row>
        <row r="98">
          <cell r="A98">
            <v>198</v>
          </cell>
          <cell r="B98" t="str">
            <v>MARTÍNEZ</v>
          </cell>
          <cell r="C98" t="str">
            <v>GIJÓN</v>
          </cell>
          <cell r="D98" t="str">
            <v>Lucía</v>
          </cell>
          <cell r="E98" t="str">
            <v>F</v>
          </cell>
          <cell r="F98" t="str">
            <v>VAL</v>
          </cell>
          <cell r="G98" t="str">
            <v>MARTÍNEZ, Lucía</v>
          </cell>
          <cell r="H98" t="str">
            <v>COM. VALENCIANA</v>
          </cell>
          <cell r="I98">
            <v>113</v>
          </cell>
        </row>
        <row r="100">
          <cell r="D100" t="str">
            <v>Total Jugadores:</v>
          </cell>
          <cell r="E100">
            <v>54</v>
          </cell>
        </row>
        <row r="101">
          <cell r="D101" t="str">
            <v>Total Jugadoras:</v>
          </cell>
          <cell r="E101">
            <v>42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U18_boys"/>
      <sheetName val="U18_girls"/>
      <sheetName val="ASS"/>
      <sheetName val="TT"/>
      <sheetName val="JB"/>
      <sheetName val="JG"/>
      <sheetName val="JBD"/>
      <sheetName val="JGD"/>
      <sheetName val="JXD"/>
      <sheetName val="JB (PRES)"/>
      <sheetName val="JG (PRES)"/>
      <sheetName val="BT1"/>
      <sheetName val="GT1"/>
      <sheetName val="BT2"/>
      <sheetName val="GT2"/>
      <sheetName val="TEAMS"/>
      <sheetName val="BTDet"/>
      <sheetName val="GTDet"/>
      <sheetName val="JBS2"/>
      <sheetName val="JGS2"/>
      <sheetName val="JBS1"/>
      <sheetName val="JGS1"/>
      <sheetName val="BDko"/>
      <sheetName val="GDko"/>
      <sheetName val="XDko"/>
      <sheetName val="Seeding List"/>
      <sheetName val="DRAW"/>
      <sheetName val="DRAW2"/>
      <sheetName val="Tabla"/>
      <sheetName val="Tabla (2)"/>
      <sheetName val="JBSDraw"/>
      <sheetName val="JGSDraw"/>
      <sheetName val="JBSDraw1"/>
      <sheetName val="JGSDraw1"/>
      <sheetName val="JB (SORTED)"/>
      <sheetName val="JG (SORTED)"/>
      <sheetName val="JBD (SORTED)"/>
      <sheetName val="JBDDraw"/>
      <sheetName val="JGD (SORTED)"/>
      <sheetName val="JGDDraw"/>
      <sheetName val="JXD (SORTED)"/>
      <sheetName val="JXDDraw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1">
          <cell r="A1" t="str">
            <v>Nr</v>
          </cell>
          <cell r="B1" t="str">
            <v>NAME</v>
          </cell>
          <cell r="C1" t="str">
            <v>ASS</v>
          </cell>
          <cell r="D1" t="str">
            <v>Rk Points</v>
          </cell>
        </row>
        <row r="2">
          <cell r="A2">
            <v>1</v>
          </cell>
          <cell r="B2" t="str">
            <v>CARTER Trent</v>
          </cell>
          <cell r="C2" t="str">
            <v>AUS</v>
          </cell>
          <cell r="D2">
            <v>375</v>
          </cell>
          <cell r="E2">
            <v>32762</v>
          </cell>
        </row>
        <row r="3">
          <cell r="A3">
            <v>2</v>
          </cell>
          <cell r="B3" t="str">
            <v>DAVIS Kyle</v>
          </cell>
          <cell r="C3" t="str">
            <v>AUS</v>
          </cell>
          <cell r="D3">
            <v>510</v>
          </cell>
          <cell r="E3">
            <v>32526</v>
          </cell>
        </row>
        <row r="4">
          <cell r="A4">
            <v>3</v>
          </cell>
          <cell r="B4" t="str">
            <v>FRANK Robert</v>
          </cell>
          <cell r="C4" t="str">
            <v>AUS</v>
          </cell>
          <cell r="D4">
            <v>323</v>
          </cell>
          <cell r="E4">
            <v>32895</v>
          </cell>
        </row>
        <row r="5">
          <cell r="A5">
            <v>4</v>
          </cell>
          <cell r="B5" t="str">
            <v>SHIH Andy</v>
          </cell>
          <cell r="C5" t="str">
            <v>AUS</v>
          </cell>
          <cell r="D5">
            <v>335</v>
          </cell>
          <cell r="E5">
            <v>31911</v>
          </cell>
        </row>
        <row r="6">
          <cell r="A6">
            <v>5</v>
          </cell>
          <cell r="B6" t="str">
            <v>FEGERL Stefan</v>
          </cell>
          <cell r="C6" t="str">
            <v>AUT</v>
          </cell>
          <cell r="D6">
            <v>560</v>
          </cell>
          <cell r="E6">
            <v>32398</v>
          </cell>
        </row>
        <row r="7">
          <cell r="A7">
            <v>6</v>
          </cell>
          <cell r="B7" t="str">
            <v>FENG Xiaoquan</v>
          </cell>
          <cell r="C7" t="str">
            <v>AUT</v>
          </cell>
          <cell r="D7">
            <v>974</v>
          </cell>
          <cell r="E7">
            <v>31814</v>
          </cell>
        </row>
        <row r="8">
          <cell r="A8">
            <v>7</v>
          </cell>
          <cell r="B8" t="str">
            <v>KOVAC Boris</v>
          </cell>
          <cell r="C8" t="str">
            <v>AUT</v>
          </cell>
          <cell r="E8">
            <v>32581</v>
          </cell>
        </row>
        <row r="9">
          <cell r="A9">
            <v>8</v>
          </cell>
          <cell r="B9" t="str">
            <v>PROBST Thomas</v>
          </cell>
          <cell r="C9" t="str">
            <v>AUT</v>
          </cell>
          <cell r="D9">
            <v>322</v>
          </cell>
          <cell r="E9">
            <v>32040</v>
          </cell>
        </row>
        <row r="10">
          <cell r="A10">
            <v>9</v>
          </cell>
          <cell r="B10" t="str">
            <v>STORF Martin</v>
          </cell>
          <cell r="C10" t="str">
            <v>AUT</v>
          </cell>
          <cell r="E10">
            <v>32785</v>
          </cell>
        </row>
        <row r="11">
          <cell r="A11">
            <v>10</v>
          </cell>
          <cell r="B11" t="str">
            <v>ULBING Sebastian</v>
          </cell>
          <cell r="C11" t="str">
            <v>AUT</v>
          </cell>
          <cell r="E11">
            <v>31794</v>
          </cell>
        </row>
        <row r="12">
          <cell r="A12">
            <v>11</v>
          </cell>
          <cell r="B12" t="str">
            <v>DAVIDOVICH Dmitry</v>
          </cell>
          <cell r="C12" t="str">
            <v>BLR</v>
          </cell>
          <cell r="D12">
            <v>635</v>
          </cell>
          <cell r="E12">
            <v>31966</v>
          </cell>
        </row>
        <row r="13">
          <cell r="A13">
            <v>12</v>
          </cell>
          <cell r="B13" t="str">
            <v>BALTRUSHKA Dzmitry</v>
          </cell>
          <cell r="C13" t="str">
            <v>BLR</v>
          </cell>
          <cell r="D13">
            <v>560</v>
          </cell>
          <cell r="E13">
            <v>32152</v>
          </cell>
        </row>
        <row r="14">
          <cell r="A14">
            <v>13</v>
          </cell>
          <cell r="B14" t="str">
            <v>BERGAMINI Guilherme</v>
          </cell>
          <cell r="C14" t="str">
            <v>BRA</v>
          </cell>
          <cell r="D14">
            <v>348</v>
          </cell>
          <cell r="E14">
            <v>32354</v>
          </cell>
        </row>
        <row r="15">
          <cell r="A15">
            <v>14</v>
          </cell>
          <cell r="B15" t="str">
            <v>CARVALHO Efraim</v>
          </cell>
          <cell r="C15" t="str">
            <v>BRA</v>
          </cell>
          <cell r="D15">
            <v>673</v>
          </cell>
          <cell r="E15">
            <v>32172</v>
          </cell>
        </row>
        <row r="16">
          <cell r="A16">
            <v>15</v>
          </cell>
          <cell r="B16" t="str">
            <v>KOJIMA Ricardo</v>
          </cell>
          <cell r="C16" t="str">
            <v>BRA</v>
          </cell>
          <cell r="D16">
            <v>485</v>
          </cell>
          <cell r="E16">
            <v>32294</v>
          </cell>
        </row>
        <row r="17">
          <cell r="A17">
            <v>16</v>
          </cell>
          <cell r="B17" t="str">
            <v>MANCINI Eric</v>
          </cell>
          <cell r="C17" t="str">
            <v>BRA</v>
          </cell>
          <cell r="D17">
            <v>300</v>
          </cell>
          <cell r="E17">
            <v>32639</v>
          </cell>
        </row>
        <row r="18">
          <cell r="A18">
            <v>17</v>
          </cell>
          <cell r="B18" t="str">
            <v>GUO Peng</v>
          </cell>
          <cell r="C18" t="str">
            <v>CAN</v>
          </cell>
          <cell r="D18">
            <v>519</v>
          </cell>
          <cell r="E18">
            <v>32067</v>
          </cell>
        </row>
        <row r="19">
          <cell r="A19">
            <v>18</v>
          </cell>
          <cell r="B19" t="str">
            <v>HINSE Pierre-Luc</v>
          </cell>
          <cell r="C19" t="str">
            <v>CAN</v>
          </cell>
          <cell r="D19">
            <v>576</v>
          </cell>
          <cell r="E19">
            <v>32027</v>
          </cell>
        </row>
        <row r="20">
          <cell r="A20">
            <v>19</v>
          </cell>
          <cell r="B20" t="str">
            <v>HO Andre</v>
          </cell>
          <cell r="C20" t="str">
            <v>CAN</v>
          </cell>
          <cell r="E20">
            <v>33705</v>
          </cell>
        </row>
        <row r="21">
          <cell r="A21">
            <v>20</v>
          </cell>
          <cell r="B21" t="str">
            <v>MICHAUD Bryan</v>
          </cell>
          <cell r="C21" t="str">
            <v>CAN</v>
          </cell>
          <cell r="E21">
            <v>33028</v>
          </cell>
        </row>
        <row r="22">
          <cell r="A22">
            <v>21</v>
          </cell>
          <cell r="B22" t="str">
            <v>CARLIER Andres</v>
          </cell>
          <cell r="C22" t="str">
            <v>CHI</v>
          </cell>
          <cell r="D22">
            <v>482</v>
          </cell>
          <cell r="E22">
            <v>32121</v>
          </cell>
        </row>
        <row r="23">
          <cell r="A23">
            <v>22</v>
          </cell>
          <cell r="B23" t="str">
            <v>CORTES Andres</v>
          </cell>
          <cell r="C23" t="str">
            <v>CHI</v>
          </cell>
          <cell r="D23">
            <v>599</v>
          </cell>
          <cell r="E23">
            <v>31991</v>
          </cell>
        </row>
        <row r="24">
          <cell r="A24">
            <v>23</v>
          </cell>
          <cell r="B24" t="str">
            <v>LEVIS Bruno</v>
          </cell>
          <cell r="C24" t="str">
            <v>CHI</v>
          </cell>
          <cell r="D24">
            <v>310</v>
          </cell>
          <cell r="E24">
            <v>32438</v>
          </cell>
        </row>
        <row r="25">
          <cell r="A25">
            <v>24</v>
          </cell>
          <cell r="B25" t="str">
            <v>UBILLA Nicolas</v>
          </cell>
          <cell r="C25" t="str">
            <v>CHI</v>
          </cell>
          <cell r="D25">
            <v>191</v>
          </cell>
          <cell r="E25">
            <v>32325</v>
          </cell>
        </row>
        <row r="26">
          <cell r="A26">
            <v>25</v>
          </cell>
          <cell r="B26" t="str">
            <v>FANG Li</v>
          </cell>
          <cell r="C26" t="str">
            <v>CHN</v>
          </cell>
          <cell r="E26">
            <v>32364</v>
          </cell>
        </row>
        <row r="27">
          <cell r="A27">
            <v>26</v>
          </cell>
          <cell r="B27" t="str">
            <v>LIU Miao</v>
          </cell>
          <cell r="C27" t="str">
            <v>CHN</v>
          </cell>
          <cell r="D27">
            <v>1043</v>
          </cell>
          <cell r="E27">
            <v>33255</v>
          </cell>
        </row>
        <row r="28">
          <cell r="A28">
            <v>27</v>
          </cell>
          <cell r="B28" t="str">
            <v>SHI Lei</v>
          </cell>
          <cell r="C28" t="str">
            <v>CHN</v>
          </cell>
          <cell r="E28">
            <v>32189</v>
          </cell>
        </row>
        <row r="29">
          <cell r="A29">
            <v>28</v>
          </cell>
          <cell r="B29" t="str">
            <v>YANG Ce</v>
          </cell>
          <cell r="C29" t="str">
            <v>CHN</v>
          </cell>
          <cell r="E29">
            <v>32527</v>
          </cell>
        </row>
        <row r="30">
          <cell r="A30">
            <v>29</v>
          </cell>
          <cell r="B30" t="str">
            <v>CHIANG Hung-Chieh</v>
          </cell>
          <cell r="C30" t="str">
            <v>TPE</v>
          </cell>
          <cell r="D30">
            <v>1189</v>
          </cell>
          <cell r="E30">
            <v>32561</v>
          </cell>
        </row>
        <row r="31">
          <cell r="A31">
            <v>30</v>
          </cell>
          <cell r="B31" t="str">
            <v>CHOU Yuan-Chieh</v>
          </cell>
          <cell r="C31" t="str">
            <v>TPE</v>
          </cell>
          <cell r="E31">
            <v>32432</v>
          </cell>
        </row>
        <row r="32">
          <cell r="A32">
            <v>31</v>
          </cell>
          <cell r="B32" t="str">
            <v>HUANG Sheng-Sheng</v>
          </cell>
          <cell r="C32" t="str">
            <v>TPE</v>
          </cell>
          <cell r="D32">
            <v>913</v>
          </cell>
          <cell r="E32">
            <v>32076</v>
          </cell>
        </row>
        <row r="33">
          <cell r="A33">
            <v>32</v>
          </cell>
          <cell r="B33" t="str">
            <v>SHEN Chi-Min</v>
          </cell>
          <cell r="C33" t="str">
            <v>TPE</v>
          </cell>
          <cell r="D33">
            <v>992</v>
          </cell>
          <cell r="E33">
            <v>32199</v>
          </cell>
        </row>
        <row r="34">
          <cell r="A34">
            <v>33</v>
          </cell>
          <cell r="B34" t="str">
            <v>KOLAREK Tomislav</v>
          </cell>
          <cell r="C34" t="str">
            <v>HRV</v>
          </cell>
          <cell r="D34">
            <v>923</v>
          </cell>
          <cell r="E34">
            <v>32414</v>
          </cell>
        </row>
        <row r="35">
          <cell r="A35">
            <v>34</v>
          </cell>
          <cell r="B35" t="str">
            <v>KOVAC Borna</v>
          </cell>
          <cell r="C35" t="str">
            <v>HRV</v>
          </cell>
          <cell r="E35">
            <v>33295</v>
          </cell>
        </row>
        <row r="36">
          <cell r="A36">
            <v>35</v>
          </cell>
          <cell r="B36" t="str">
            <v>JANCARIK Lubomir</v>
          </cell>
          <cell r="C36" t="str">
            <v>CZE</v>
          </cell>
          <cell r="D36">
            <v>814</v>
          </cell>
          <cell r="E36">
            <v>32006</v>
          </cell>
        </row>
        <row r="37">
          <cell r="A37">
            <v>36</v>
          </cell>
          <cell r="B37" t="str">
            <v>SCHWARZER Antonin</v>
          </cell>
          <cell r="C37" t="str">
            <v>CZE</v>
          </cell>
          <cell r="D37">
            <v>548</v>
          </cell>
          <cell r="E37">
            <v>32526</v>
          </cell>
        </row>
        <row r="38">
          <cell r="A38">
            <v>37</v>
          </cell>
          <cell r="B38" t="str">
            <v>EL-SOBKY Mohamed Tarek</v>
          </cell>
          <cell r="C38" t="str">
            <v>EGY</v>
          </cell>
          <cell r="D38">
            <v>364</v>
          </cell>
          <cell r="E38">
            <v>32962</v>
          </cell>
        </row>
        <row r="39">
          <cell r="A39">
            <v>38</v>
          </cell>
          <cell r="B39" t="str">
            <v>SONBOL Islam</v>
          </cell>
          <cell r="C39" t="str">
            <v>EGY</v>
          </cell>
          <cell r="D39">
            <v>578</v>
          </cell>
          <cell r="E39">
            <v>31778</v>
          </cell>
        </row>
        <row r="40">
          <cell r="A40">
            <v>39</v>
          </cell>
          <cell r="B40" t="str">
            <v>ELBEIALI Mohamed</v>
          </cell>
          <cell r="C40" t="str">
            <v>EGY</v>
          </cell>
          <cell r="E40">
            <v>32326</v>
          </cell>
        </row>
        <row r="41">
          <cell r="A41">
            <v>40</v>
          </cell>
          <cell r="B41" t="str">
            <v>SALEH Mohamed Aly</v>
          </cell>
          <cell r="C41" t="str">
            <v>EGY</v>
          </cell>
          <cell r="D41">
            <v>472</v>
          </cell>
          <cell r="E41">
            <v>32366</v>
          </cell>
        </row>
        <row r="42">
          <cell r="A42">
            <v>41</v>
          </cell>
          <cell r="B42" t="str">
            <v>DRINKHALL Paul</v>
          </cell>
          <cell r="C42" t="str">
            <v>ENG</v>
          </cell>
          <cell r="D42">
            <v>840</v>
          </cell>
          <cell r="E42">
            <v>32889</v>
          </cell>
        </row>
        <row r="43">
          <cell r="A43">
            <v>42</v>
          </cell>
          <cell r="B43" t="str">
            <v>KNIGHT Darius</v>
          </cell>
          <cell r="C43" t="str">
            <v>ENG</v>
          </cell>
          <cell r="D43">
            <v>755</v>
          </cell>
          <cell r="E43">
            <v>32926</v>
          </cell>
        </row>
        <row r="44">
          <cell r="A44">
            <v>43</v>
          </cell>
          <cell r="B44" t="str">
            <v>REED Daniel</v>
          </cell>
          <cell r="C44" t="str">
            <v>ENG</v>
          </cell>
          <cell r="D44">
            <v>349</v>
          </cell>
          <cell r="E44">
            <v>32847</v>
          </cell>
        </row>
        <row r="45">
          <cell r="A45">
            <v>44</v>
          </cell>
          <cell r="B45" t="str">
            <v>MARTIN Francisco</v>
          </cell>
          <cell r="C45" t="str">
            <v>ESP</v>
          </cell>
          <cell r="D45">
            <v>582</v>
          </cell>
        </row>
        <row r="46">
          <cell r="A46">
            <v>45</v>
          </cell>
          <cell r="B46" t="str">
            <v>BAUBET Vincent</v>
          </cell>
          <cell r="C46" t="str">
            <v>FRA</v>
          </cell>
          <cell r="D46">
            <v>638</v>
          </cell>
          <cell r="E46">
            <v>32831</v>
          </cell>
        </row>
        <row r="47">
          <cell r="A47">
            <v>46</v>
          </cell>
          <cell r="B47" t="str">
            <v>LEBESSON Emmanuel</v>
          </cell>
          <cell r="C47" t="str">
            <v>FRA</v>
          </cell>
          <cell r="D47">
            <v>874</v>
          </cell>
          <cell r="E47">
            <v>32257</v>
          </cell>
        </row>
        <row r="48">
          <cell r="A48">
            <v>47</v>
          </cell>
          <cell r="B48" t="str">
            <v>MATTENET Adrien</v>
          </cell>
          <cell r="C48" t="str">
            <v>FRA</v>
          </cell>
          <cell r="D48">
            <v>624</v>
          </cell>
          <cell r="E48">
            <v>32065</v>
          </cell>
        </row>
        <row r="49">
          <cell r="A49">
            <v>48</v>
          </cell>
          <cell r="B49" t="str">
            <v>SALIFOU Abdel-Kader</v>
          </cell>
          <cell r="C49" t="str">
            <v>FRA</v>
          </cell>
          <cell r="D49">
            <v>716</v>
          </cell>
          <cell r="E49">
            <v>32849</v>
          </cell>
        </row>
        <row r="50">
          <cell r="A50">
            <v>49</v>
          </cell>
          <cell r="B50" t="str">
            <v>BAUM Patrick</v>
          </cell>
          <cell r="C50" t="str">
            <v>GER</v>
          </cell>
          <cell r="D50">
            <v>1131</v>
          </cell>
          <cell r="E50">
            <v>31951</v>
          </cell>
        </row>
        <row r="51">
          <cell r="A51">
            <v>50</v>
          </cell>
          <cell r="B51" t="str">
            <v>FILUS Ruwen</v>
          </cell>
          <cell r="C51" t="str">
            <v>GER</v>
          </cell>
          <cell r="D51">
            <v>994</v>
          </cell>
          <cell r="E51">
            <v>32187</v>
          </cell>
        </row>
        <row r="52">
          <cell r="A52">
            <v>51</v>
          </cell>
          <cell r="B52" t="str">
            <v>MENGEL Steffen</v>
          </cell>
          <cell r="C52" t="str">
            <v>GER</v>
          </cell>
          <cell r="D52">
            <v>836</v>
          </cell>
          <cell r="E52">
            <v>32357</v>
          </cell>
        </row>
        <row r="53">
          <cell r="A53">
            <v>52</v>
          </cell>
          <cell r="B53" t="str">
            <v>OVTCHAROV Dimitrij</v>
          </cell>
          <cell r="C53" t="str">
            <v>GER</v>
          </cell>
          <cell r="D53">
            <v>1217</v>
          </cell>
          <cell r="E53">
            <v>32388</v>
          </cell>
        </row>
        <row r="54">
          <cell r="A54">
            <v>53</v>
          </cell>
          <cell r="B54" t="str">
            <v>NAGY Krisztian</v>
          </cell>
          <cell r="C54" t="str">
            <v>HUN</v>
          </cell>
          <cell r="D54">
            <v>642</v>
          </cell>
          <cell r="E54">
            <v>32642</v>
          </cell>
        </row>
        <row r="55">
          <cell r="A55">
            <v>54</v>
          </cell>
          <cell r="B55" t="str">
            <v>ZOMBORI David</v>
          </cell>
          <cell r="C55" t="str">
            <v>HUN</v>
          </cell>
          <cell r="D55">
            <v>676</v>
          </cell>
          <cell r="E55">
            <v>32337</v>
          </cell>
        </row>
        <row r="56">
          <cell r="A56">
            <v>55</v>
          </cell>
          <cell r="B56" t="str">
            <v>RAVICHANDRAN Abishek</v>
          </cell>
          <cell r="C56" t="str">
            <v>IND</v>
          </cell>
          <cell r="D56">
            <v>645</v>
          </cell>
          <cell r="E56">
            <v>32140</v>
          </cell>
        </row>
        <row r="57">
          <cell r="A57">
            <v>56</v>
          </cell>
          <cell r="B57" t="str">
            <v>KOPARKAR Aniket Vinayak</v>
          </cell>
          <cell r="C57" t="str">
            <v>IND</v>
          </cell>
          <cell r="D57">
            <v>514</v>
          </cell>
          <cell r="E57">
            <v>32455</v>
          </cell>
        </row>
        <row r="58">
          <cell r="A58">
            <v>57</v>
          </cell>
          <cell r="B58" t="str">
            <v>SARKAR Soumyajit</v>
          </cell>
          <cell r="C58" t="str">
            <v>IND</v>
          </cell>
          <cell r="D58">
            <v>605</v>
          </cell>
          <cell r="E58">
            <v>33243</v>
          </cell>
        </row>
        <row r="59">
          <cell r="A59">
            <v>58</v>
          </cell>
          <cell r="B59" t="str">
            <v>REDINI Alberto</v>
          </cell>
          <cell r="C59" t="str">
            <v>ITA</v>
          </cell>
          <cell r="D59">
            <v>580</v>
          </cell>
          <cell r="E59">
            <v>32365</v>
          </cell>
        </row>
        <row r="60">
          <cell r="A60">
            <v>59</v>
          </cell>
          <cell r="B60" t="str">
            <v>STOYANOV Niagol</v>
          </cell>
          <cell r="C60" t="str">
            <v>ITA</v>
          </cell>
          <cell r="D60">
            <v>831</v>
          </cell>
          <cell r="E60">
            <v>31928</v>
          </cell>
        </row>
        <row r="61">
          <cell r="A61">
            <v>60</v>
          </cell>
          <cell r="B61" t="str">
            <v>KISHIKAWA Seiya</v>
          </cell>
          <cell r="C61" t="str">
            <v>JPN</v>
          </cell>
          <cell r="D61">
            <v>1400</v>
          </cell>
          <cell r="E61">
            <v>31918</v>
          </cell>
        </row>
        <row r="62">
          <cell r="A62">
            <v>61</v>
          </cell>
          <cell r="B62" t="str">
            <v>MIZUTANI Jun</v>
          </cell>
          <cell r="C62" t="str">
            <v>JPN</v>
          </cell>
          <cell r="D62">
            <v>1515</v>
          </cell>
          <cell r="E62">
            <v>32668</v>
          </cell>
        </row>
        <row r="63">
          <cell r="A63">
            <v>62</v>
          </cell>
          <cell r="B63" t="str">
            <v>OYA Hidetoshi</v>
          </cell>
          <cell r="C63" t="str">
            <v>JPN</v>
          </cell>
          <cell r="D63">
            <v>951</v>
          </cell>
          <cell r="E63">
            <v>32365</v>
          </cell>
        </row>
        <row r="64">
          <cell r="A64">
            <v>63</v>
          </cell>
          <cell r="B64" t="str">
            <v>TAKAKIWA Taku</v>
          </cell>
          <cell r="C64" t="str">
            <v>JPN</v>
          </cell>
          <cell r="D64">
            <v>1172</v>
          </cell>
          <cell r="E64">
            <v>32415</v>
          </cell>
        </row>
        <row r="65">
          <cell r="A65">
            <v>64</v>
          </cell>
          <cell r="B65" t="str">
            <v>HAN Ji Min</v>
          </cell>
          <cell r="C65" t="str">
            <v>KOR</v>
          </cell>
          <cell r="D65">
            <v>642</v>
          </cell>
          <cell r="E65">
            <v>32509</v>
          </cell>
        </row>
        <row r="66">
          <cell r="A66">
            <v>65</v>
          </cell>
          <cell r="B66" t="str">
            <v>KANG Dong Hoon</v>
          </cell>
          <cell r="C66" t="str">
            <v>KOR</v>
          </cell>
          <cell r="D66">
            <v>1005</v>
          </cell>
          <cell r="E66">
            <v>32107</v>
          </cell>
        </row>
        <row r="67">
          <cell r="A67">
            <v>66</v>
          </cell>
          <cell r="B67" t="str">
            <v>KIM Gang Woog</v>
          </cell>
          <cell r="C67" t="str">
            <v>KOR</v>
          </cell>
          <cell r="D67">
            <v>564</v>
          </cell>
          <cell r="E67">
            <v>32651</v>
          </cell>
        </row>
        <row r="68">
          <cell r="A68">
            <v>67</v>
          </cell>
          <cell r="B68" t="str">
            <v>LEE Jinkwon</v>
          </cell>
          <cell r="C68" t="str">
            <v>KOR</v>
          </cell>
          <cell r="D68">
            <v>1386</v>
          </cell>
          <cell r="E68">
            <v>32084</v>
          </cell>
        </row>
        <row r="69">
          <cell r="A69">
            <v>68</v>
          </cell>
          <cell r="B69" t="str">
            <v>KINTZELE Laurent</v>
          </cell>
          <cell r="C69" t="str">
            <v>LUX</v>
          </cell>
          <cell r="E69">
            <v>32915</v>
          </cell>
        </row>
        <row r="70">
          <cell r="A70">
            <v>69</v>
          </cell>
          <cell r="B70" t="str">
            <v>MICHELY Gilles</v>
          </cell>
          <cell r="C70" t="str">
            <v>LUX</v>
          </cell>
          <cell r="D70">
            <v>625</v>
          </cell>
          <cell r="E70">
            <v>32451</v>
          </cell>
        </row>
        <row r="71">
          <cell r="A71">
            <v>70</v>
          </cell>
          <cell r="B71" t="str">
            <v>BEDNARKIEWICZ Bartosz</v>
          </cell>
          <cell r="C71" t="str">
            <v>POL</v>
          </cell>
          <cell r="D71">
            <v>491</v>
          </cell>
          <cell r="E71">
            <v>32577</v>
          </cell>
        </row>
        <row r="72">
          <cell r="A72">
            <v>71</v>
          </cell>
          <cell r="B72" t="str">
            <v>MALICKI Szymon</v>
          </cell>
          <cell r="C72" t="str">
            <v>POL</v>
          </cell>
          <cell r="D72">
            <v>711</v>
          </cell>
          <cell r="E72">
            <v>32497</v>
          </cell>
        </row>
        <row r="73">
          <cell r="A73">
            <v>72</v>
          </cell>
          <cell r="B73" t="str">
            <v>SZARMACH Bartosz</v>
          </cell>
          <cell r="C73" t="str">
            <v>POL</v>
          </cell>
          <cell r="D73">
            <v>715</v>
          </cell>
          <cell r="E73">
            <v>32090</v>
          </cell>
        </row>
        <row r="74">
          <cell r="A74">
            <v>73</v>
          </cell>
          <cell r="B74" t="str">
            <v>SZARMACH Karol</v>
          </cell>
          <cell r="C74" t="str">
            <v>POL</v>
          </cell>
          <cell r="D74">
            <v>597</v>
          </cell>
          <cell r="E74">
            <v>32090</v>
          </cell>
        </row>
        <row r="75">
          <cell r="A75">
            <v>74</v>
          </cell>
          <cell r="B75" t="str">
            <v>FREITAS Marcos</v>
          </cell>
          <cell r="C75" t="str">
            <v>POR</v>
          </cell>
          <cell r="D75">
            <v>1098</v>
          </cell>
          <cell r="E75">
            <v>32241</v>
          </cell>
        </row>
        <row r="76">
          <cell r="A76">
            <v>75</v>
          </cell>
          <cell r="B76" t="str">
            <v>GOLOVANOV Stanislav</v>
          </cell>
          <cell r="C76" t="str">
            <v>RUS</v>
          </cell>
          <cell r="D76">
            <v>785</v>
          </cell>
          <cell r="E76">
            <v>32409</v>
          </cell>
        </row>
        <row r="77">
          <cell r="A77">
            <v>76</v>
          </cell>
          <cell r="B77" t="str">
            <v>PAYKOV Mikhail</v>
          </cell>
          <cell r="C77" t="str">
            <v>RUS</v>
          </cell>
          <cell r="D77">
            <v>602</v>
          </cell>
          <cell r="E77">
            <v>32720</v>
          </cell>
        </row>
        <row r="78">
          <cell r="A78">
            <v>77</v>
          </cell>
          <cell r="B78" t="str">
            <v>SKACHKOV Kirill</v>
          </cell>
          <cell r="C78" t="str">
            <v>RUS</v>
          </cell>
          <cell r="D78">
            <v>929</v>
          </cell>
          <cell r="E78">
            <v>31995</v>
          </cell>
        </row>
        <row r="79">
          <cell r="A79">
            <v>78</v>
          </cell>
          <cell r="B79" t="str">
            <v>UTOCHKIN Artem</v>
          </cell>
          <cell r="C79" t="str">
            <v>RUS</v>
          </cell>
          <cell r="D79">
            <v>630</v>
          </cell>
          <cell r="E79">
            <v>32603</v>
          </cell>
        </row>
        <row r="80">
          <cell r="A80">
            <v>79</v>
          </cell>
          <cell r="B80" t="str">
            <v>BORCIC Dorde</v>
          </cell>
          <cell r="C80" t="str">
            <v>SCG</v>
          </cell>
          <cell r="D80">
            <v>416</v>
          </cell>
          <cell r="E80">
            <v>32112</v>
          </cell>
        </row>
        <row r="81">
          <cell r="A81">
            <v>80</v>
          </cell>
          <cell r="B81" t="str">
            <v>GORDIC Uros</v>
          </cell>
          <cell r="C81" t="str">
            <v>SCG</v>
          </cell>
          <cell r="D81">
            <v>448</v>
          </cell>
          <cell r="E81">
            <v>32268</v>
          </cell>
        </row>
        <row r="82">
          <cell r="A82">
            <v>81</v>
          </cell>
          <cell r="B82" t="str">
            <v>JEVTOVIC Marko</v>
          </cell>
          <cell r="C82" t="str">
            <v>SCG</v>
          </cell>
          <cell r="D82">
            <v>887</v>
          </cell>
          <cell r="E82">
            <v>31782</v>
          </cell>
        </row>
        <row r="83">
          <cell r="A83">
            <v>82</v>
          </cell>
          <cell r="B83" t="str">
            <v>PETE Zolt</v>
          </cell>
          <cell r="C83" t="str">
            <v>SCG</v>
          </cell>
          <cell r="D83">
            <v>901</v>
          </cell>
          <cell r="E83">
            <v>32111</v>
          </cell>
        </row>
        <row r="84">
          <cell r="A84">
            <v>83</v>
          </cell>
          <cell r="B84" t="str">
            <v>ABRAHAMS Luke</v>
          </cell>
          <cell r="C84" t="str">
            <v>RSA</v>
          </cell>
          <cell r="D84">
            <v>251</v>
          </cell>
          <cell r="E84">
            <v>32328</v>
          </cell>
        </row>
        <row r="85">
          <cell r="A85">
            <v>84</v>
          </cell>
          <cell r="B85" t="str">
            <v>COGILL Theo</v>
          </cell>
          <cell r="C85" t="str">
            <v>RSA</v>
          </cell>
          <cell r="D85">
            <v>391</v>
          </cell>
          <cell r="E85">
            <v>31831</v>
          </cell>
        </row>
        <row r="86">
          <cell r="A86">
            <v>85</v>
          </cell>
          <cell r="B86" t="str">
            <v>LINGEVELDT Theo</v>
          </cell>
          <cell r="C86" t="str">
            <v>RSA</v>
          </cell>
          <cell r="E86">
            <v>31855</v>
          </cell>
        </row>
        <row r="87">
          <cell r="A87">
            <v>86</v>
          </cell>
          <cell r="B87" t="str">
            <v>AKERSTROM Fabian</v>
          </cell>
          <cell r="C87" t="str">
            <v>SWE</v>
          </cell>
          <cell r="D87">
            <v>732</v>
          </cell>
          <cell r="E87">
            <v>32491</v>
          </cell>
        </row>
        <row r="88">
          <cell r="A88">
            <v>87</v>
          </cell>
          <cell r="B88" t="str">
            <v>RAMSTRAND Tomas</v>
          </cell>
          <cell r="C88" t="str">
            <v>SWE</v>
          </cell>
          <cell r="D88">
            <v>553</v>
          </cell>
          <cell r="E88">
            <v>31796</v>
          </cell>
        </row>
        <row r="89">
          <cell r="A89">
            <v>88</v>
          </cell>
          <cell r="B89" t="str">
            <v>AVCI Safa</v>
          </cell>
          <cell r="C89" t="str">
            <v>TUR</v>
          </cell>
          <cell r="D89">
            <v>800</v>
          </cell>
          <cell r="E89">
            <v>31995</v>
          </cell>
        </row>
        <row r="90">
          <cell r="A90">
            <v>89</v>
          </cell>
          <cell r="B90" t="str">
            <v>DOGAN Hasan</v>
          </cell>
          <cell r="C90" t="str">
            <v>TUR</v>
          </cell>
        </row>
        <row r="91">
          <cell r="A91">
            <v>90</v>
          </cell>
          <cell r="B91" t="str">
            <v>JIANG Pengfei</v>
          </cell>
          <cell r="C91" t="str">
            <v>TUR</v>
          </cell>
          <cell r="D91">
            <v>774</v>
          </cell>
          <cell r="E91">
            <v>32569</v>
          </cell>
        </row>
        <row r="92">
          <cell r="A92">
            <v>91</v>
          </cell>
          <cell r="B92" t="str">
            <v>MENGE Gencay</v>
          </cell>
          <cell r="C92" t="str">
            <v>TUR</v>
          </cell>
          <cell r="D92">
            <v>553</v>
          </cell>
          <cell r="E92">
            <v>32616</v>
          </cell>
        </row>
        <row r="93">
          <cell r="A93">
            <v>92</v>
          </cell>
          <cell r="B93" t="str">
            <v>DIDUKH Viktor</v>
          </cell>
          <cell r="C93" t="str">
            <v>UKR</v>
          </cell>
          <cell r="D93">
            <v>646</v>
          </cell>
          <cell r="E93">
            <v>31800</v>
          </cell>
        </row>
        <row r="94">
          <cell r="A94">
            <v>93</v>
          </cell>
          <cell r="B94" t="str">
            <v>ZHMUDENKO Yaroslav</v>
          </cell>
          <cell r="C94" t="str">
            <v>UKR</v>
          </cell>
          <cell r="D94">
            <v>988</v>
          </cell>
          <cell r="E94">
            <v>32410</v>
          </cell>
        </row>
        <row r="99">
          <cell r="A99" t="str">
            <v xml:space="preserve"> </v>
          </cell>
          <cell r="B99" t="str">
            <v>BYE</v>
          </cell>
          <cell r="C99" t="str">
            <v xml:space="preserve"> </v>
          </cell>
        </row>
      </sheetData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Jug"/>
      <sheetName val="Actas"/>
      <sheetName val="Resul"/>
      <sheetName val="Resum"/>
    </sheetNames>
    <sheetDataSet>
      <sheetData sheetId="0" refreshError="1">
        <row r="2">
          <cell r="A2">
            <v>1</v>
          </cell>
          <cell r="B2" t="str">
            <v>RUIZ</v>
          </cell>
          <cell r="C2" t="str">
            <v>José Manuel</v>
          </cell>
          <cell r="D2" t="str">
            <v>La Raqueta F.A.M.A.</v>
          </cell>
        </row>
        <row r="3">
          <cell r="A3">
            <v>2</v>
          </cell>
          <cell r="B3" t="str">
            <v>ROPERO</v>
          </cell>
          <cell r="C3" t="str">
            <v>Joaquín</v>
          </cell>
          <cell r="D3" t="str">
            <v>La Raqueta F.A.M.A.</v>
          </cell>
        </row>
        <row r="4">
          <cell r="A4">
            <v>3</v>
          </cell>
          <cell r="B4" t="str">
            <v>ROBLES</v>
          </cell>
          <cell r="C4" t="str">
            <v>Manuel</v>
          </cell>
          <cell r="D4" t="str">
            <v>La Raqueta F.A.M.A.</v>
          </cell>
        </row>
        <row r="5">
          <cell r="A5">
            <v>4</v>
          </cell>
          <cell r="B5" t="str">
            <v>VALERA</v>
          </cell>
          <cell r="C5" t="str">
            <v>Álvaro</v>
          </cell>
          <cell r="D5" t="str">
            <v>C.D. Carolina</v>
          </cell>
        </row>
        <row r="6">
          <cell r="A6">
            <v>5</v>
          </cell>
          <cell r="B6" t="str">
            <v>REY</v>
          </cell>
          <cell r="C6" t="str">
            <v>Fco. Javier</v>
          </cell>
          <cell r="D6" t="str">
            <v>C.D. Carolina</v>
          </cell>
        </row>
        <row r="7">
          <cell r="A7">
            <v>6</v>
          </cell>
          <cell r="B7" t="str">
            <v>SANTOS</v>
          </cell>
          <cell r="C7" t="str">
            <v>Emilio</v>
          </cell>
          <cell r="D7" t="str">
            <v>C.D. Carolina</v>
          </cell>
        </row>
        <row r="8">
          <cell r="A8">
            <v>7</v>
          </cell>
          <cell r="B8" t="str">
            <v>MORALES</v>
          </cell>
          <cell r="C8" t="str">
            <v>Jordi</v>
          </cell>
          <cell r="D8" t="str">
            <v>San Rafael</v>
          </cell>
        </row>
        <row r="9">
          <cell r="A9">
            <v>8</v>
          </cell>
          <cell r="B9" t="str">
            <v>SÁNCHEZ</v>
          </cell>
          <cell r="C9" t="str">
            <v>Enrique</v>
          </cell>
          <cell r="D9" t="str">
            <v>San Rafael</v>
          </cell>
        </row>
        <row r="10">
          <cell r="A10">
            <v>9</v>
          </cell>
          <cell r="B10" t="str">
            <v>AGUILAR</v>
          </cell>
          <cell r="C10" t="str">
            <v>Joaquín</v>
          </cell>
          <cell r="D10" t="str">
            <v>San Rafael</v>
          </cell>
        </row>
        <row r="11">
          <cell r="A11">
            <v>10</v>
          </cell>
          <cell r="B11" t="str">
            <v>RODRÍGUEZ</v>
          </cell>
          <cell r="C11" t="str">
            <v>Miguel</v>
          </cell>
          <cell r="D11" t="str">
            <v>Arrayán F.A.M.A.</v>
          </cell>
        </row>
        <row r="12">
          <cell r="A12">
            <v>11</v>
          </cell>
          <cell r="B12" t="str">
            <v>BORJA</v>
          </cell>
          <cell r="C12" t="str">
            <v>Alfonso</v>
          </cell>
          <cell r="D12" t="str">
            <v>Arrayán F.A.M.A.</v>
          </cell>
        </row>
        <row r="13">
          <cell r="A13">
            <v>12</v>
          </cell>
          <cell r="B13" t="str">
            <v>CELAYA</v>
          </cell>
          <cell r="C13" t="str">
            <v>Enrique</v>
          </cell>
          <cell r="D13" t="str">
            <v>Arrayán F.A.M.A.</v>
          </cell>
        </row>
      </sheetData>
      <sheetData sheetId="1"/>
      <sheetData sheetId="2" refreshError="1"/>
      <sheetData sheetId="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R20060501"/>
      <sheetName val="TT"/>
      <sheetName val="JBTMatches"/>
      <sheetName val="JGTMatches"/>
      <sheetName val="CBTMatches"/>
      <sheetName val="CGTMatches"/>
      <sheetName val="JBTDraw"/>
      <sheetName val="JGTDraw"/>
      <sheetName val="CBTDraw"/>
      <sheetName val="CGTDraw"/>
      <sheetName val="COVER"/>
      <sheetName val="Medals"/>
      <sheetName val="Players"/>
      <sheetName val="JBS"/>
      <sheetName val="JGS"/>
      <sheetName val="CBS"/>
      <sheetName val="CGS"/>
      <sheetName val="BD"/>
      <sheetName val="GD"/>
      <sheetName val="JBT"/>
      <sheetName val="JGT"/>
      <sheetName val="JBTPr"/>
      <sheetName val="JGTPr"/>
      <sheetName val="JBTDet"/>
      <sheetName val="JGTDet"/>
      <sheetName val="JBTeams"/>
      <sheetName val="JGTeams"/>
      <sheetName val="CBSDraw"/>
      <sheetName val="CGSDraw"/>
      <sheetName val="BDDraw"/>
      <sheetName val="GDDraw"/>
      <sheetName val="JBSDraw1"/>
      <sheetName val="JGSDraw1"/>
      <sheetName val="CBT"/>
      <sheetName val="CGT"/>
      <sheetName val="CBTDet"/>
      <sheetName val="CGTDet"/>
      <sheetName val="CBTeams"/>
      <sheetName val="CGTeams"/>
      <sheetName val="BDKO"/>
      <sheetName val="GDKO"/>
      <sheetName val="BDPr"/>
      <sheetName val="GDPr"/>
      <sheetName val="JBS-Direct entries"/>
      <sheetName val="JGS-Direct entries"/>
      <sheetName val="JBS2"/>
      <sheetName val="JGS2"/>
      <sheetName val="JBS1"/>
      <sheetName val="JGS1"/>
      <sheetName val="CBSKO"/>
      <sheetName val="CGSKO"/>
      <sheetName val="CBSPr"/>
      <sheetName val="CGSPr"/>
      <sheetName val="FINALS"/>
      <sheetName val="pres"/>
      <sheetName val="JBSDraw2"/>
      <sheetName val="JGSDraw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>
        <row r="4">
          <cell r="B4" t="str">
            <v>TEPLITZKY</v>
          </cell>
          <cell r="C4" t="str">
            <v>Ariel</v>
          </cell>
          <cell r="D4" t="str">
            <v>ARG</v>
          </cell>
          <cell r="E4">
            <v>33912</v>
          </cell>
          <cell r="G4">
            <v>4</v>
          </cell>
          <cell r="H4" t="str">
            <v>TEPLITZKY Ariel</v>
          </cell>
        </row>
        <row r="5">
          <cell r="B5" t="str">
            <v>CODINA</v>
          </cell>
          <cell r="C5" t="str">
            <v>Ana</v>
          </cell>
          <cell r="D5" t="str">
            <v>ARG</v>
          </cell>
          <cell r="E5">
            <v>33262</v>
          </cell>
          <cell r="G5">
            <v>5</v>
          </cell>
          <cell r="H5" t="str">
            <v>CODINA Ana</v>
          </cell>
        </row>
        <row r="6">
          <cell r="B6" t="str">
            <v>FEGERL</v>
          </cell>
          <cell r="C6" t="str">
            <v>Stefan</v>
          </cell>
          <cell r="D6" t="str">
            <v>AUT</v>
          </cell>
          <cell r="E6">
            <v>32398</v>
          </cell>
          <cell r="G6">
            <v>6</v>
          </cell>
          <cell r="H6" t="str">
            <v>FEGERL Stefan</v>
          </cell>
        </row>
        <row r="7">
          <cell r="B7" t="str">
            <v>STORF</v>
          </cell>
          <cell r="C7" t="str">
            <v>Martin</v>
          </cell>
          <cell r="D7" t="str">
            <v>AUT</v>
          </cell>
          <cell r="E7">
            <v>32785</v>
          </cell>
          <cell r="G7">
            <v>7</v>
          </cell>
          <cell r="H7" t="str">
            <v>STORF Martin</v>
          </cell>
        </row>
        <row r="8">
          <cell r="B8" t="str">
            <v>ROGIERS</v>
          </cell>
          <cell r="C8" t="str">
            <v>Benjamin</v>
          </cell>
          <cell r="D8" t="str">
            <v>BEL</v>
          </cell>
          <cell r="E8">
            <v>32805</v>
          </cell>
          <cell r="G8">
            <v>8</v>
          </cell>
          <cell r="H8" t="str">
            <v>ROGIERS Benjamin</v>
          </cell>
        </row>
        <row r="9">
          <cell r="B9" t="str">
            <v>LAGNEAUX</v>
          </cell>
          <cell r="C9" t="str">
            <v>Maxime</v>
          </cell>
          <cell r="D9" t="str">
            <v>BEL</v>
          </cell>
          <cell r="G9">
            <v>9</v>
          </cell>
          <cell r="H9" t="str">
            <v>LAGNEAUX Maxime</v>
          </cell>
        </row>
        <row r="10">
          <cell r="B10" t="str">
            <v>VITTA</v>
          </cell>
          <cell r="C10" t="str">
            <v>Kilomo</v>
          </cell>
          <cell r="D10" t="str">
            <v>BEL</v>
          </cell>
          <cell r="E10">
            <v>32278</v>
          </cell>
          <cell r="G10">
            <v>10</v>
          </cell>
          <cell r="H10" t="str">
            <v>VITTA Kilomo</v>
          </cell>
        </row>
        <row r="11">
          <cell r="B11" t="str">
            <v>DEPUYDT</v>
          </cell>
          <cell r="C11" t="str">
            <v>Robin</v>
          </cell>
          <cell r="D11" t="str">
            <v>BEL</v>
          </cell>
          <cell r="E11">
            <v>32227</v>
          </cell>
          <cell r="G11">
            <v>11</v>
          </cell>
          <cell r="H11" t="str">
            <v>DEPUYDT Robin</v>
          </cell>
        </row>
        <row r="12">
          <cell r="B12" t="str">
            <v>VAN DEN BERG</v>
          </cell>
          <cell r="C12" t="str">
            <v>Kristel</v>
          </cell>
          <cell r="D12" t="str">
            <v>BEL</v>
          </cell>
          <cell r="E12">
            <v>32167</v>
          </cell>
          <cell r="G12">
            <v>12</v>
          </cell>
          <cell r="H12" t="str">
            <v>VAN DEN BERG Kristel</v>
          </cell>
        </row>
        <row r="13">
          <cell r="B13" t="str">
            <v xml:space="preserve">PRINCENT </v>
          </cell>
          <cell r="C13" t="str">
            <v>Johanna</v>
          </cell>
          <cell r="D13" t="str">
            <v>BEL</v>
          </cell>
          <cell r="E13">
            <v>32878</v>
          </cell>
          <cell r="G13">
            <v>13</v>
          </cell>
          <cell r="H13" t="str">
            <v>PRINCENT  Johanna</v>
          </cell>
        </row>
        <row r="14">
          <cell r="B14" t="str">
            <v>VINCI</v>
          </cell>
          <cell r="C14" t="str">
            <v>Gabriella</v>
          </cell>
          <cell r="D14" t="str">
            <v>BEL</v>
          </cell>
          <cell r="E14">
            <v>32848</v>
          </cell>
          <cell r="G14">
            <v>14</v>
          </cell>
          <cell r="H14" t="str">
            <v>VINCI Gabriella</v>
          </cell>
        </row>
        <row r="15">
          <cell r="B15" t="str">
            <v>SCHOULEUR</v>
          </cell>
          <cell r="C15" t="str">
            <v>Charlene</v>
          </cell>
          <cell r="D15" t="str">
            <v>BEL</v>
          </cell>
          <cell r="G15">
            <v>15</v>
          </cell>
          <cell r="H15" t="str">
            <v>SCHOULEUR Charlene</v>
          </cell>
        </row>
        <row r="16">
          <cell r="B16" t="str">
            <v>JEAN</v>
          </cell>
          <cell r="C16" t="str">
            <v>Lauric</v>
          </cell>
          <cell r="D16" t="str">
            <v>BEL</v>
          </cell>
          <cell r="E16">
            <v>33760</v>
          </cell>
          <cell r="G16">
            <v>16</v>
          </cell>
          <cell r="H16" t="str">
            <v>JEAN Lauric</v>
          </cell>
        </row>
        <row r="17">
          <cell r="B17" t="str">
            <v>RENARD</v>
          </cell>
          <cell r="C17" t="str">
            <v>Julien</v>
          </cell>
          <cell r="D17" t="str">
            <v>BEL</v>
          </cell>
          <cell r="G17">
            <v>17</v>
          </cell>
          <cell r="H17" t="str">
            <v>RENARD Julien</v>
          </cell>
        </row>
        <row r="18">
          <cell r="B18" t="str">
            <v>INDEHERBERG</v>
          </cell>
          <cell r="C18" t="str">
            <v>Julien</v>
          </cell>
          <cell r="D18" t="str">
            <v>BEL</v>
          </cell>
          <cell r="G18">
            <v>18</v>
          </cell>
          <cell r="H18" t="str">
            <v>INDEHERBERG Julien</v>
          </cell>
        </row>
        <row r="19">
          <cell r="B19" t="str">
            <v>VAN ROSOMME</v>
          </cell>
          <cell r="C19" t="str">
            <v>Emilien</v>
          </cell>
          <cell r="D19" t="str">
            <v>BEL</v>
          </cell>
          <cell r="G19">
            <v>19</v>
          </cell>
          <cell r="H19" t="str">
            <v>VAN ROSOMME Emilien</v>
          </cell>
        </row>
        <row r="20">
          <cell r="B20" t="str">
            <v>BIERNY</v>
          </cell>
          <cell r="C20" t="str">
            <v>Ludovic</v>
          </cell>
          <cell r="D20" t="str">
            <v>BEL</v>
          </cell>
          <cell r="E20">
            <v>33937</v>
          </cell>
          <cell r="G20">
            <v>20</v>
          </cell>
          <cell r="H20" t="str">
            <v>BIERNY Ludovic</v>
          </cell>
        </row>
        <row r="21">
          <cell r="B21" t="str">
            <v>NUYTINCK</v>
          </cell>
          <cell r="C21" t="str">
            <v>Cedric</v>
          </cell>
          <cell r="D21" t="str">
            <v>BEL</v>
          </cell>
          <cell r="E21">
            <v>33975</v>
          </cell>
          <cell r="G21">
            <v>21</v>
          </cell>
          <cell r="H21" t="str">
            <v>NUYTINCK Cedric</v>
          </cell>
        </row>
        <row r="22">
          <cell r="B22" t="str">
            <v>CHRISTIAN</v>
          </cell>
          <cell r="C22" t="str">
            <v>Lisiane</v>
          </cell>
          <cell r="D22" t="str">
            <v>BEL</v>
          </cell>
          <cell r="G22">
            <v>22</v>
          </cell>
          <cell r="H22" t="str">
            <v>CHRISTIAN Lisiane</v>
          </cell>
        </row>
        <row r="23">
          <cell r="B23" t="str">
            <v>HEINE</v>
          </cell>
          <cell r="C23" t="str">
            <v>Fanny</v>
          </cell>
          <cell r="D23" t="str">
            <v>BEL</v>
          </cell>
          <cell r="G23">
            <v>23</v>
          </cell>
          <cell r="H23" t="str">
            <v>HEINE Fanny</v>
          </cell>
        </row>
        <row r="24">
          <cell r="B24" t="str">
            <v>MANCINI</v>
          </cell>
          <cell r="C24" t="str">
            <v>Eric</v>
          </cell>
          <cell r="D24" t="str">
            <v>BRA</v>
          </cell>
          <cell r="E24">
            <v>32639</v>
          </cell>
          <cell r="G24">
            <v>24</v>
          </cell>
          <cell r="H24" t="str">
            <v>MANCINI Eric</v>
          </cell>
        </row>
        <row r="25">
          <cell r="B25" t="str">
            <v>KOJIMA</v>
          </cell>
          <cell r="C25" t="str">
            <v>Ricardo</v>
          </cell>
          <cell r="D25" t="str">
            <v>BRA</v>
          </cell>
          <cell r="E25">
            <v>32294</v>
          </cell>
          <cell r="G25">
            <v>25</v>
          </cell>
          <cell r="H25" t="str">
            <v>KOJIMA Ricardo</v>
          </cell>
        </row>
        <row r="26">
          <cell r="B26" t="str">
            <v>NONAKA</v>
          </cell>
          <cell r="C26" t="str">
            <v>Mariany</v>
          </cell>
          <cell r="D26" t="str">
            <v>BRA</v>
          </cell>
          <cell r="E26">
            <v>32255</v>
          </cell>
          <cell r="G26">
            <v>26</v>
          </cell>
          <cell r="H26" t="str">
            <v>NONAKA Mariany</v>
          </cell>
        </row>
        <row r="27">
          <cell r="B27" t="str">
            <v>SAKO</v>
          </cell>
          <cell r="C27" t="str">
            <v>Karin</v>
          </cell>
          <cell r="D27" t="str">
            <v>BRA</v>
          </cell>
          <cell r="E27">
            <v>32167</v>
          </cell>
          <cell r="G27">
            <v>27</v>
          </cell>
          <cell r="H27" t="str">
            <v>SAKO Karin</v>
          </cell>
        </row>
        <row r="28">
          <cell r="B28" t="str">
            <v>OLIVARES</v>
          </cell>
          <cell r="C28" t="str">
            <v>Felipe</v>
          </cell>
          <cell r="D28" t="str">
            <v>CHI</v>
          </cell>
          <cell r="E28">
            <v>33684</v>
          </cell>
          <cell r="G28">
            <v>28</v>
          </cell>
          <cell r="H28" t="str">
            <v>OLIVARES Felipe</v>
          </cell>
        </row>
        <row r="29">
          <cell r="B29" t="str">
            <v>CONTRERAS</v>
          </cell>
          <cell r="C29" t="str">
            <v>Matias</v>
          </cell>
          <cell r="D29" t="str">
            <v>CHI</v>
          </cell>
          <cell r="E29">
            <v>33782</v>
          </cell>
          <cell r="G29">
            <v>29</v>
          </cell>
          <cell r="H29" t="str">
            <v>CONTRERAS Matias</v>
          </cell>
        </row>
        <row r="30">
          <cell r="B30" t="str">
            <v>RESTREPO</v>
          </cell>
          <cell r="C30" t="str">
            <v>Juan</v>
          </cell>
          <cell r="D30" t="str">
            <v>COL</v>
          </cell>
          <cell r="E30">
            <v>32937</v>
          </cell>
          <cell r="G30">
            <v>30</v>
          </cell>
          <cell r="H30" t="str">
            <v>RESTREPO Juan</v>
          </cell>
        </row>
        <row r="31">
          <cell r="B31" t="str">
            <v>MEDINA</v>
          </cell>
          <cell r="C31" t="str">
            <v>Paula</v>
          </cell>
          <cell r="D31" t="str">
            <v>COL</v>
          </cell>
          <cell r="E31">
            <v>32610</v>
          </cell>
          <cell r="G31">
            <v>31</v>
          </cell>
          <cell r="H31" t="str">
            <v>MEDINA Paula</v>
          </cell>
        </row>
        <row r="32">
          <cell r="B32" t="str">
            <v>CABALLERO</v>
          </cell>
          <cell r="C32" t="str">
            <v>Carolina</v>
          </cell>
          <cell r="D32" t="str">
            <v>COL</v>
          </cell>
          <cell r="E32">
            <v>32166</v>
          </cell>
          <cell r="G32">
            <v>32</v>
          </cell>
          <cell r="H32" t="str">
            <v>CABALLERO Carolina</v>
          </cell>
        </row>
        <row r="33">
          <cell r="B33" t="str">
            <v>KOLAREK</v>
          </cell>
          <cell r="C33" t="str">
            <v>Tomislav</v>
          </cell>
          <cell r="D33" t="str">
            <v>HRV</v>
          </cell>
          <cell r="G33">
            <v>33</v>
          </cell>
          <cell r="H33" t="str">
            <v>KOLAREK Tomislav</v>
          </cell>
        </row>
        <row r="34">
          <cell r="B34" t="str">
            <v>SLAVIC</v>
          </cell>
          <cell r="C34" t="str">
            <v>Ivan</v>
          </cell>
          <cell r="D34" t="str">
            <v>HRV</v>
          </cell>
          <cell r="G34">
            <v>34</v>
          </cell>
          <cell r="H34" t="str">
            <v>SLAVIC Ivan</v>
          </cell>
        </row>
        <row r="35">
          <cell r="B35" t="str">
            <v>PAUKOVIC</v>
          </cell>
          <cell r="C35" t="str">
            <v>Sanja</v>
          </cell>
          <cell r="D35" t="str">
            <v>HRV</v>
          </cell>
          <cell r="G35">
            <v>35</v>
          </cell>
          <cell r="H35" t="str">
            <v>PAUKOVIC Sanja</v>
          </cell>
        </row>
        <row r="36">
          <cell r="B36" t="str">
            <v>DJURAK</v>
          </cell>
          <cell r="C36" t="str">
            <v>Mirela</v>
          </cell>
          <cell r="D36" t="str">
            <v>HRV</v>
          </cell>
          <cell r="G36">
            <v>36</v>
          </cell>
          <cell r="H36" t="str">
            <v>DJURAK Mirela</v>
          </cell>
        </row>
        <row r="37">
          <cell r="B37" t="str">
            <v>KOVAC</v>
          </cell>
          <cell r="C37" t="str">
            <v>Borna</v>
          </cell>
          <cell r="D37" t="str">
            <v>HRV</v>
          </cell>
          <cell r="G37">
            <v>37</v>
          </cell>
          <cell r="H37" t="str">
            <v>KOVAC Borna</v>
          </cell>
        </row>
        <row r="38">
          <cell r="B38" t="str">
            <v>KOJIC</v>
          </cell>
          <cell r="C38" t="str">
            <v>Frane</v>
          </cell>
          <cell r="D38" t="str">
            <v>HRV</v>
          </cell>
          <cell r="G38">
            <v>38</v>
          </cell>
          <cell r="H38" t="str">
            <v>KOJIC Frane</v>
          </cell>
        </row>
        <row r="39">
          <cell r="B39" t="str">
            <v>FAZLIC</v>
          </cell>
          <cell r="C39" t="str">
            <v>Almasa</v>
          </cell>
          <cell r="D39" t="str">
            <v>HRV</v>
          </cell>
          <cell r="G39">
            <v>39</v>
          </cell>
          <cell r="H39" t="str">
            <v>FAZLIC Almasa</v>
          </cell>
        </row>
        <row r="40">
          <cell r="B40" t="str">
            <v>TOMIC</v>
          </cell>
          <cell r="C40" t="str">
            <v>Mirna</v>
          </cell>
          <cell r="D40" t="str">
            <v>HRV</v>
          </cell>
          <cell r="G40">
            <v>40</v>
          </cell>
          <cell r="H40" t="str">
            <v>TOMIC Mirna</v>
          </cell>
        </row>
        <row r="41">
          <cell r="B41" t="str">
            <v>IVANUSA</v>
          </cell>
          <cell r="C41" t="str">
            <v>Anja</v>
          </cell>
          <cell r="D41" t="str">
            <v>HRV</v>
          </cell>
          <cell r="G41">
            <v>41</v>
          </cell>
          <cell r="H41" t="str">
            <v>IVANUSA Anja</v>
          </cell>
        </row>
        <row r="42">
          <cell r="B42" t="str">
            <v>DRGLEZ</v>
          </cell>
          <cell r="C42" t="str">
            <v>Martina</v>
          </cell>
          <cell r="D42" t="str">
            <v>HRV</v>
          </cell>
          <cell r="G42">
            <v>42</v>
          </cell>
          <cell r="H42" t="str">
            <v>DRGLEZ Martina</v>
          </cell>
        </row>
        <row r="43">
          <cell r="B43" t="str">
            <v>PEREIRA</v>
          </cell>
          <cell r="C43" t="str">
            <v>Andy</v>
          </cell>
          <cell r="D43" t="str">
            <v>CUB</v>
          </cell>
          <cell r="G43">
            <v>43</v>
          </cell>
          <cell r="H43" t="str">
            <v>PEREIRA Andy</v>
          </cell>
        </row>
        <row r="44">
          <cell r="B44" t="str">
            <v>RONDON</v>
          </cell>
          <cell r="C44" t="str">
            <v>Juan Damian</v>
          </cell>
          <cell r="D44" t="str">
            <v>CUB</v>
          </cell>
          <cell r="G44">
            <v>44</v>
          </cell>
          <cell r="H44" t="str">
            <v>RONDON Juan Damian</v>
          </cell>
        </row>
        <row r="45">
          <cell r="B45" t="str">
            <v>PLACEK</v>
          </cell>
          <cell r="C45" t="str">
            <v>Frantisek</v>
          </cell>
          <cell r="D45" t="str">
            <v>CZE</v>
          </cell>
          <cell r="G45">
            <v>45</v>
          </cell>
          <cell r="H45" t="str">
            <v>PLACEK Frantisek</v>
          </cell>
        </row>
        <row r="46">
          <cell r="B46" t="str">
            <v>TREGLER</v>
          </cell>
          <cell r="C46" t="str">
            <v>Tomas</v>
          </cell>
          <cell r="D46" t="str">
            <v>CZE</v>
          </cell>
          <cell r="G46">
            <v>46</v>
          </cell>
          <cell r="H46" t="str">
            <v>TREGLER Tomas</v>
          </cell>
        </row>
        <row r="47">
          <cell r="B47" t="str">
            <v>OBESLO</v>
          </cell>
          <cell r="C47" t="str">
            <v>Michal</v>
          </cell>
          <cell r="D47" t="str">
            <v>CZE</v>
          </cell>
          <cell r="G47">
            <v>47</v>
          </cell>
          <cell r="H47" t="str">
            <v>OBESLO Michal</v>
          </cell>
        </row>
        <row r="48">
          <cell r="B48" t="str">
            <v>SCHWARZER</v>
          </cell>
          <cell r="C48" t="str">
            <v>Antonin</v>
          </cell>
          <cell r="D48" t="str">
            <v>CZE</v>
          </cell>
          <cell r="G48">
            <v>48</v>
          </cell>
          <cell r="H48" t="str">
            <v>SCHWARZER Antonin</v>
          </cell>
        </row>
        <row r="49">
          <cell r="B49" t="str">
            <v>CRHA</v>
          </cell>
          <cell r="C49" t="str">
            <v>Jakub</v>
          </cell>
          <cell r="D49" t="str">
            <v>CZE</v>
          </cell>
          <cell r="G49">
            <v>49</v>
          </cell>
          <cell r="H49" t="str">
            <v>CRHA Jakub</v>
          </cell>
        </row>
        <row r="50">
          <cell r="B50" t="str">
            <v>ROHLIKOVA</v>
          </cell>
          <cell r="C50" t="str">
            <v>Michaela</v>
          </cell>
          <cell r="D50" t="str">
            <v>CZE</v>
          </cell>
          <cell r="G50">
            <v>50</v>
          </cell>
          <cell r="H50" t="str">
            <v>ROHLIKOVA Michaela</v>
          </cell>
        </row>
        <row r="51">
          <cell r="B51" t="str">
            <v>ONDRISKOVA</v>
          </cell>
          <cell r="C51" t="str">
            <v>Kristina</v>
          </cell>
          <cell r="D51" t="str">
            <v>CZE</v>
          </cell>
          <cell r="G51">
            <v>51</v>
          </cell>
          <cell r="H51" t="str">
            <v>ONDRISKOVA Kristina</v>
          </cell>
        </row>
        <row r="52">
          <cell r="B52" t="str">
            <v>MATELOVA</v>
          </cell>
          <cell r="C52" t="str">
            <v>Hanna</v>
          </cell>
          <cell r="D52" t="str">
            <v>CZE</v>
          </cell>
          <cell r="G52">
            <v>52</v>
          </cell>
          <cell r="H52" t="str">
            <v>MATELOVA Hanna</v>
          </cell>
        </row>
        <row r="53">
          <cell r="B53" t="str">
            <v>SAGLOVA</v>
          </cell>
          <cell r="C53" t="str">
            <v>Miroslava</v>
          </cell>
          <cell r="D53" t="str">
            <v>CZE</v>
          </cell>
          <cell r="G53">
            <v>53</v>
          </cell>
          <cell r="H53" t="str">
            <v>SAGLOVA Miroslava</v>
          </cell>
        </row>
        <row r="54">
          <cell r="B54" t="str">
            <v>ZMOLIKOVA</v>
          </cell>
          <cell r="C54" t="str">
            <v>Lucie</v>
          </cell>
          <cell r="D54" t="str">
            <v>CZE</v>
          </cell>
          <cell r="G54">
            <v>54</v>
          </cell>
          <cell r="H54" t="str">
            <v>ZMOLIKOVA Lucie</v>
          </cell>
        </row>
        <row r="55">
          <cell r="B55" t="str">
            <v>HINDERSSON</v>
          </cell>
          <cell r="C55" t="str">
            <v>Mikkel</v>
          </cell>
          <cell r="D55" t="str">
            <v>DEN</v>
          </cell>
          <cell r="E55">
            <v>32961</v>
          </cell>
          <cell r="G55">
            <v>55</v>
          </cell>
          <cell r="H55" t="str">
            <v>HINDERSSON Mikkel</v>
          </cell>
        </row>
        <row r="56">
          <cell r="B56" t="str">
            <v>STERNBERG</v>
          </cell>
          <cell r="C56" t="str">
            <v>Kasper</v>
          </cell>
          <cell r="D56" t="str">
            <v>DEN</v>
          </cell>
          <cell r="E56">
            <v>32565</v>
          </cell>
          <cell r="G56">
            <v>56</v>
          </cell>
          <cell r="H56" t="str">
            <v>STERNBERG Kasper</v>
          </cell>
        </row>
        <row r="57">
          <cell r="B57" t="str">
            <v>RASMUSSEN</v>
          </cell>
          <cell r="C57" t="str">
            <v>Morten</v>
          </cell>
          <cell r="D57" t="str">
            <v>DEN</v>
          </cell>
          <cell r="E57">
            <v>32556</v>
          </cell>
          <cell r="G57">
            <v>57</v>
          </cell>
          <cell r="H57" t="str">
            <v>RASMUSSEN Morten</v>
          </cell>
        </row>
        <row r="58">
          <cell r="B58" t="str">
            <v>SANTOS</v>
          </cell>
          <cell r="C58" t="str">
            <v>Emil</v>
          </cell>
          <cell r="D58" t="str">
            <v>DOM</v>
          </cell>
          <cell r="E58">
            <v>32949</v>
          </cell>
          <cell r="G58">
            <v>58</v>
          </cell>
          <cell r="H58" t="str">
            <v>SANTOS Emil</v>
          </cell>
        </row>
        <row r="59">
          <cell r="B59" t="str">
            <v>VILA</v>
          </cell>
          <cell r="C59" t="str">
            <v>Juan Antonio</v>
          </cell>
          <cell r="D59" t="str">
            <v>DOM</v>
          </cell>
          <cell r="E59">
            <v>32954</v>
          </cell>
          <cell r="G59">
            <v>59</v>
          </cell>
          <cell r="H59" t="str">
            <v>VILA Juan Antonio</v>
          </cell>
        </row>
        <row r="60">
          <cell r="B60" t="str">
            <v>SANTOS</v>
          </cell>
          <cell r="C60" t="str">
            <v>Ercilia</v>
          </cell>
          <cell r="D60" t="str">
            <v>DOM</v>
          </cell>
          <cell r="E60">
            <v>33424</v>
          </cell>
          <cell r="G60">
            <v>60</v>
          </cell>
          <cell r="H60" t="str">
            <v>SANTOS Ercilia</v>
          </cell>
        </row>
        <row r="61">
          <cell r="B61" t="str">
            <v>MARTE</v>
          </cell>
          <cell r="C61" t="str">
            <v>Lucia</v>
          </cell>
          <cell r="D61" t="str">
            <v>DOM</v>
          </cell>
          <cell r="E61">
            <v>33498</v>
          </cell>
          <cell r="G61">
            <v>61</v>
          </cell>
          <cell r="H61" t="str">
            <v>MARTE Lucia</v>
          </cell>
        </row>
        <row r="62">
          <cell r="B62" t="str">
            <v>DONADO</v>
          </cell>
          <cell r="C62" t="str">
            <v>Josue</v>
          </cell>
          <cell r="D62" t="str">
            <v>ESA</v>
          </cell>
          <cell r="E62">
            <v>32906</v>
          </cell>
          <cell r="G62">
            <v>66</v>
          </cell>
          <cell r="H62" t="str">
            <v>DONADO Josue</v>
          </cell>
        </row>
        <row r="63">
          <cell r="B63" t="str">
            <v>MARTINEZ</v>
          </cell>
          <cell r="C63" t="str">
            <v>Mario</v>
          </cell>
          <cell r="D63" t="str">
            <v>ESA</v>
          </cell>
          <cell r="E63">
            <v>32686</v>
          </cell>
          <cell r="G63">
            <v>67</v>
          </cell>
          <cell r="H63" t="str">
            <v>MARTINEZ Mario</v>
          </cell>
        </row>
        <row r="64">
          <cell r="B64" t="str">
            <v>MERINO</v>
          </cell>
          <cell r="C64" t="str">
            <v>Edilberto</v>
          </cell>
          <cell r="D64" t="str">
            <v>ESA</v>
          </cell>
          <cell r="E64">
            <v>33771</v>
          </cell>
          <cell r="G64">
            <v>68</v>
          </cell>
          <cell r="H64" t="str">
            <v>MERINO Edilberto</v>
          </cell>
        </row>
        <row r="65">
          <cell r="B65" t="str">
            <v>DRINKHALL</v>
          </cell>
          <cell r="C65" t="str">
            <v>Paul</v>
          </cell>
          <cell r="D65" t="str">
            <v>ENG</v>
          </cell>
          <cell r="E65">
            <v>32889</v>
          </cell>
          <cell r="G65">
            <v>69</v>
          </cell>
          <cell r="H65" t="str">
            <v>DRINKHALL Paul</v>
          </cell>
        </row>
        <row r="66">
          <cell r="B66" t="str">
            <v>KNIGHT</v>
          </cell>
          <cell r="C66" t="str">
            <v>Darius</v>
          </cell>
          <cell r="D66" t="str">
            <v>ENG</v>
          </cell>
          <cell r="E66">
            <v>32926</v>
          </cell>
          <cell r="G66">
            <v>70</v>
          </cell>
          <cell r="H66" t="str">
            <v>KNIGHT Darius</v>
          </cell>
        </row>
        <row r="67">
          <cell r="B67" t="str">
            <v>YARNALL</v>
          </cell>
          <cell r="C67" t="str">
            <v>Tim</v>
          </cell>
          <cell r="D67" t="str">
            <v>ENG</v>
          </cell>
          <cell r="E67">
            <v>32201</v>
          </cell>
          <cell r="G67">
            <v>71</v>
          </cell>
          <cell r="H67" t="str">
            <v>YARNALL Tim</v>
          </cell>
        </row>
        <row r="68">
          <cell r="B68" t="str">
            <v>MEADS</v>
          </cell>
          <cell r="C68" t="str">
            <v>David</v>
          </cell>
          <cell r="D68" t="str">
            <v>ENG</v>
          </cell>
          <cell r="E68">
            <v>32778</v>
          </cell>
          <cell r="G68">
            <v>72</v>
          </cell>
          <cell r="H68" t="str">
            <v>MEADS David</v>
          </cell>
        </row>
        <row r="69">
          <cell r="B69" t="str">
            <v>SIBLEY</v>
          </cell>
          <cell r="C69" t="str">
            <v>Kelly</v>
          </cell>
          <cell r="D69" t="str">
            <v>ENG</v>
          </cell>
          <cell r="E69">
            <v>32284</v>
          </cell>
          <cell r="G69">
            <v>73</v>
          </cell>
          <cell r="H69" t="str">
            <v>SIBLEY Kelly</v>
          </cell>
        </row>
        <row r="70">
          <cell r="B70" t="str">
            <v>WANG</v>
          </cell>
          <cell r="C70" t="str">
            <v>Sara</v>
          </cell>
          <cell r="D70" t="str">
            <v>ENG</v>
          </cell>
          <cell r="E70">
            <v>32917</v>
          </cell>
          <cell r="G70">
            <v>74</v>
          </cell>
          <cell r="H70" t="str">
            <v>WANG Sara</v>
          </cell>
        </row>
        <row r="71">
          <cell r="B71" t="str">
            <v>EVANS</v>
          </cell>
          <cell r="C71" t="str">
            <v>Gavin</v>
          </cell>
          <cell r="D71" t="str">
            <v>ENG</v>
          </cell>
          <cell r="E71">
            <v>34074</v>
          </cell>
          <cell r="G71">
            <v>75</v>
          </cell>
          <cell r="H71" t="str">
            <v>EVANS Gavin</v>
          </cell>
        </row>
        <row r="72">
          <cell r="B72" t="str">
            <v>EVANS</v>
          </cell>
          <cell r="C72" t="str">
            <v>Myles</v>
          </cell>
          <cell r="D72" t="str">
            <v>ENG</v>
          </cell>
          <cell r="E72">
            <v>33529</v>
          </cell>
          <cell r="G72">
            <v>76</v>
          </cell>
          <cell r="H72" t="str">
            <v>EVANS Myles</v>
          </cell>
        </row>
        <row r="73">
          <cell r="B73" t="str">
            <v>LEBESSON</v>
          </cell>
          <cell r="C73" t="str">
            <v>Emmanuel</v>
          </cell>
          <cell r="D73" t="str">
            <v>FRA</v>
          </cell>
          <cell r="E73">
            <v>32253</v>
          </cell>
          <cell r="G73">
            <v>77</v>
          </cell>
          <cell r="H73" t="str">
            <v>LEBESSON Emmanuel</v>
          </cell>
        </row>
        <row r="74">
          <cell r="B74" t="str">
            <v>BAUBET</v>
          </cell>
          <cell r="C74" t="str">
            <v>Vincent</v>
          </cell>
          <cell r="D74" t="str">
            <v>FRA</v>
          </cell>
          <cell r="E74">
            <v>32831</v>
          </cell>
          <cell r="G74">
            <v>78</v>
          </cell>
          <cell r="H74" t="str">
            <v>BAUBET Vincent</v>
          </cell>
        </row>
        <row r="75">
          <cell r="B75" t="str">
            <v>SAMOUILLAN</v>
          </cell>
          <cell r="C75" t="str">
            <v>Michael</v>
          </cell>
          <cell r="D75" t="str">
            <v>FRA</v>
          </cell>
          <cell r="E75">
            <v>32970</v>
          </cell>
          <cell r="G75">
            <v>79</v>
          </cell>
          <cell r="H75" t="str">
            <v>SAMOUILLAN Michael</v>
          </cell>
        </row>
        <row r="76">
          <cell r="B76" t="str">
            <v>SALIFOU</v>
          </cell>
          <cell r="C76" t="str">
            <v>Abdel-Kader</v>
          </cell>
          <cell r="D76" t="str">
            <v>FRA</v>
          </cell>
          <cell r="E76">
            <v>32849</v>
          </cell>
          <cell r="G76">
            <v>80</v>
          </cell>
          <cell r="H76" t="str">
            <v>SALIFOU Abdel-Kader</v>
          </cell>
        </row>
        <row r="77">
          <cell r="B77" t="str">
            <v>BEZARD</v>
          </cell>
          <cell r="C77" t="str">
            <v>Pierre</v>
          </cell>
          <cell r="D77" t="str">
            <v>FRA</v>
          </cell>
          <cell r="E77">
            <v>33233</v>
          </cell>
          <cell r="G77">
            <v>81</v>
          </cell>
          <cell r="H77" t="str">
            <v>BEZARD Pierre</v>
          </cell>
        </row>
        <row r="78">
          <cell r="B78" t="str">
            <v>DROP</v>
          </cell>
          <cell r="C78" t="str">
            <v>Clement</v>
          </cell>
          <cell r="D78" t="str">
            <v>FRA</v>
          </cell>
          <cell r="E78">
            <v>32985</v>
          </cell>
          <cell r="G78">
            <v>82</v>
          </cell>
          <cell r="H78" t="str">
            <v>DROP Clement</v>
          </cell>
        </row>
        <row r="79">
          <cell r="B79" t="str">
            <v>LASCOLS</v>
          </cell>
          <cell r="C79" t="str">
            <v>Solene</v>
          </cell>
          <cell r="D79" t="str">
            <v>FRA</v>
          </cell>
          <cell r="E79">
            <v>32228</v>
          </cell>
          <cell r="G79">
            <v>83</v>
          </cell>
          <cell r="H79" t="str">
            <v>LASCOLS Solene</v>
          </cell>
        </row>
        <row r="80">
          <cell r="B80" t="str">
            <v>ZANARDI</v>
          </cell>
          <cell r="C80" t="str">
            <v>Marine</v>
          </cell>
          <cell r="D80" t="str">
            <v>FRA</v>
          </cell>
          <cell r="E80">
            <v>32155</v>
          </cell>
          <cell r="G80">
            <v>84</v>
          </cell>
          <cell r="H80" t="str">
            <v>ZANARDI Marine</v>
          </cell>
        </row>
        <row r="81">
          <cell r="B81" t="str">
            <v>SAUL</v>
          </cell>
          <cell r="C81" t="str">
            <v>Penelope</v>
          </cell>
          <cell r="D81" t="str">
            <v>FRA</v>
          </cell>
          <cell r="E81">
            <v>33492</v>
          </cell>
          <cell r="G81">
            <v>85</v>
          </cell>
          <cell r="H81" t="str">
            <v>SAUL Penelope</v>
          </cell>
        </row>
        <row r="82">
          <cell r="B82" t="str">
            <v>LESUEUR</v>
          </cell>
          <cell r="C82" t="str">
            <v>Aude</v>
          </cell>
          <cell r="D82" t="str">
            <v>FRA</v>
          </cell>
          <cell r="E82">
            <v>32737</v>
          </cell>
          <cell r="G82">
            <v>86</v>
          </cell>
          <cell r="H82" t="str">
            <v>LESUEUR Aude</v>
          </cell>
        </row>
        <row r="83">
          <cell r="B83" t="str">
            <v>PEROCHEAU</v>
          </cell>
          <cell r="C83" t="str">
            <v>Laura</v>
          </cell>
          <cell r="D83" t="str">
            <v>FRA</v>
          </cell>
          <cell r="E83">
            <v>33101</v>
          </cell>
          <cell r="G83">
            <v>87</v>
          </cell>
          <cell r="H83" t="str">
            <v>PEROCHEAU Laura</v>
          </cell>
        </row>
        <row r="84">
          <cell r="B84" t="str">
            <v>DESSAINT</v>
          </cell>
          <cell r="C84" t="str">
            <v>Aurore</v>
          </cell>
          <cell r="D84" t="str">
            <v>FRA</v>
          </cell>
          <cell r="E84">
            <v>33493</v>
          </cell>
          <cell r="G84">
            <v>88</v>
          </cell>
          <cell r="H84" t="str">
            <v>DESSAINT Aurore</v>
          </cell>
        </row>
        <row r="85">
          <cell r="B85" t="str">
            <v>JEAN</v>
          </cell>
          <cell r="C85" t="str">
            <v>Gregoire</v>
          </cell>
          <cell r="D85" t="str">
            <v>FRA</v>
          </cell>
          <cell r="E85">
            <v>33856</v>
          </cell>
          <cell r="G85">
            <v>89</v>
          </cell>
          <cell r="H85" t="str">
            <v>JEAN Gregoire</v>
          </cell>
        </row>
        <row r="86">
          <cell r="B86" t="str">
            <v>TRAN VAN THOAN</v>
          </cell>
          <cell r="C86" t="str">
            <v>Thomas</v>
          </cell>
          <cell r="D86" t="str">
            <v>FRA</v>
          </cell>
          <cell r="E86">
            <v>33437</v>
          </cell>
          <cell r="G86">
            <v>90</v>
          </cell>
          <cell r="H86" t="str">
            <v>TRAN VAN THOAN Thomas</v>
          </cell>
        </row>
        <row r="87">
          <cell r="B87" t="str">
            <v>LE BRETON</v>
          </cell>
          <cell r="C87" t="str">
            <v>Thomas</v>
          </cell>
          <cell r="D87" t="str">
            <v>FRA</v>
          </cell>
          <cell r="E87">
            <v>33734</v>
          </cell>
          <cell r="G87">
            <v>91</v>
          </cell>
          <cell r="H87" t="str">
            <v>LE BRETON Thomas</v>
          </cell>
        </row>
        <row r="88">
          <cell r="B88" t="str">
            <v>GRAIZEAU</v>
          </cell>
          <cell r="C88" t="str">
            <v>Sylvain</v>
          </cell>
          <cell r="D88" t="str">
            <v>FRA</v>
          </cell>
          <cell r="E88">
            <v>33657</v>
          </cell>
          <cell r="G88">
            <v>92</v>
          </cell>
          <cell r="H88" t="str">
            <v>GRAIZEAU Sylvain</v>
          </cell>
        </row>
        <row r="89">
          <cell r="B89" t="str">
            <v>LORENTZ</v>
          </cell>
          <cell r="C89" t="str">
            <v>Romain</v>
          </cell>
          <cell r="D89" t="str">
            <v>FRA</v>
          </cell>
          <cell r="E89">
            <v>33977</v>
          </cell>
          <cell r="G89">
            <v>93</v>
          </cell>
          <cell r="H89" t="str">
            <v>LORENTZ Romain</v>
          </cell>
        </row>
        <row r="90">
          <cell r="B90" t="str">
            <v>PAVOT</v>
          </cell>
          <cell r="C90" t="str">
            <v>Marine</v>
          </cell>
          <cell r="D90" t="str">
            <v>FRA</v>
          </cell>
          <cell r="E90">
            <v>33608</v>
          </cell>
          <cell r="G90">
            <v>94</v>
          </cell>
          <cell r="H90" t="str">
            <v>PAVOT Marine</v>
          </cell>
        </row>
        <row r="91">
          <cell r="B91" t="str">
            <v>ABBAT</v>
          </cell>
          <cell r="C91" t="str">
            <v>Alice</v>
          </cell>
          <cell r="D91" t="str">
            <v>FRA</v>
          </cell>
          <cell r="E91">
            <v>33625</v>
          </cell>
          <cell r="G91">
            <v>95</v>
          </cell>
          <cell r="H91" t="str">
            <v>ABBAT Alice</v>
          </cell>
        </row>
        <row r="92">
          <cell r="B92" t="str">
            <v>SCHAEFFER</v>
          </cell>
          <cell r="C92" t="str">
            <v>Stephanie</v>
          </cell>
          <cell r="D92" t="str">
            <v>FRA</v>
          </cell>
          <cell r="E92">
            <v>33942</v>
          </cell>
          <cell r="G92">
            <v>96</v>
          </cell>
          <cell r="H92" t="str">
            <v>SCHAEFFER Stephanie</v>
          </cell>
        </row>
        <row r="93">
          <cell r="B93" t="str">
            <v>LEVEQUE</v>
          </cell>
          <cell r="C93" t="str">
            <v>Anais</v>
          </cell>
          <cell r="D93" t="str">
            <v>FRA</v>
          </cell>
          <cell r="E93">
            <v>34104</v>
          </cell>
          <cell r="G93">
            <v>97</v>
          </cell>
          <cell r="H93" t="str">
            <v>LEVEQUE Anais</v>
          </cell>
        </row>
        <row r="94">
          <cell r="B94" t="str">
            <v>OVTCHAROV</v>
          </cell>
          <cell r="C94" t="str">
            <v>Dimitrij</v>
          </cell>
          <cell r="D94" t="str">
            <v>GER</v>
          </cell>
          <cell r="E94">
            <v>32187</v>
          </cell>
          <cell r="G94">
            <v>98</v>
          </cell>
          <cell r="H94" t="str">
            <v>OVTCHAROV Dimitrij</v>
          </cell>
        </row>
        <row r="95">
          <cell r="B95" t="str">
            <v>FILUS</v>
          </cell>
          <cell r="C95" t="str">
            <v>Ruwen</v>
          </cell>
          <cell r="D95" t="str">
            <v>GER</v>
          </cell>
          <cell r="E95">
            <v>32388</v>
          </cell>
          <cell r="G95">
            <v>99</v>
          </cell>
          <cell r="H95" t="str">
            <v>FILUS Ruwen</v>
          </cell>
        </row>
        <row r="96">
          <cell r="B96" t="str">
            <v>MENGEL</v>
          </cell>
          <cell r="C96" t="str">
            <v>Steffen</v>
          </cell>
          <cell r="D96" t="str">
            <v>GER</v>
          </cell>
          <cell r="E96">
            <v>32388</v>
          </cell>
          <cell r="G96">
            <v>100</v>
          </cell>
          <cell r="H96" t="str">
            <v>MENGEL Steffen</v>
          </cell>
        </row>
        <row r="97">
          <cell r="B97" t="str">
            <v>KURKOWSKI</v>
          </cell>
          <cell r="C97" t="str">
            <v>Jens</v>
          </cell>
          <cell r="D97" t="str">
            <v>GER</v>
          </cell>
          <cell r="E97">
            <v>32223</v>
          </cell>
          <cell r="G97">
            <v>101</v>
          </cell>
          <cell r="H97" t="str">
            <v>KURKOWSKI Jens</v>
          </cell>
        </row>
        <row r="98">
          <cell r="B98" t="str">
            <v>SOLJA</v>
          </cell>
          <cell r="C98" t="str">
            <v>Amelie</v>
          </cell>
          <cell r="D98" t="str">
            <v>GER</v>
          </cell>
          <cell r="E98">
            <v>33145</v>
          </cell>
          <cell r="G98">
            <v>102</v>
          </cell>
          <cell r="H98" t="str">
            <v>SOLJA Amelie</v>
          </cell>
        </row>
        <row r="99">
          <cell r="B99" t="str">
            <v>MATZKE</v>
          </cell>
          <cell r="C99" t="str">
            <v>Laura</v>
          </cell>
          <cell r="D99" t="str">
            <v>GER</v>
          </cell>
          <cell r="E99">
            <v>32446</v>
          </cell>
          <cell r="G99">
            <v>103</v>
          </cell>
          <cell r="H99" t="str">
            <v>MATZKE Laura</v>
          </cell>
        </row>
        <row r="100">
          <cell r="B100" t="str">
            <v>GURZ</v>
          </cell>
          <cell r="C100" t="str">
            <v>Angelina</v>
          </cell>
          <cell r="D100" t="str">
            <v>GER</v>
          </cell>
          <cell r="E100">
            <v>32351</v>
          </cell>
          <cell r="G100">
            <v>104</v>
          </cell>
          <cell r="H100" t="str">
            <v>GURZ Angelina</v>
          </cell>
        </row>
        <row r="101">
          <cell r="B101" t="str">
            <v>ZHAN</v>
          </cell>
          <cell r="C101" t="str">
            <v>Ying-Ni</v>
          </cell>
          <cell r="D101" t="str">
            <v>GER</v>
          </cell>
          <cell r="E101">
            <v>32570</v>
          </cell>
          <cell r="G101">
            <v>105</v>
          </cell>
          <cell r="H101" t="str">
            <v>ZHAN Ying-Ni</v>
          </cell>
        </row>
        <row r="102">
          <cell r="B102" t="str">
            <v>STAHR</v>
          </cell>
          <cell r="C102" t="str">
            <v>Rosalia</v>
          </cell>
          <cell r="D102" t="str">
            <v>GER</v>
          </cell>
          <cell r="E102">
            <v>33132</v>
          </cell>
          <cell r="G102">
            <v>106</v>
          </cell>
          <cell r="H102" t="str">
            <v>STAHR Rosalia</v>
          </cell>
        </row>
        <row r="103">
          <cell r="B103" t="str">
            <v>MICHAJLOVA</v>
          </cell>
          <cell r="C103" t="str">
            <v>Katharina</v>
          </cell>
          <cell r="D103" t="str">
            <v>GER</v>
          </cell>
          <cell r="E103">
            <v>32535</v>
          </cell>
          <cell r="G103">
            <v>107</v>
          </cell>
          <cell r="H103" t="str">
            <v>MICHAJLOVA Katharina</v>
          </cell>
        </row>
        <row r="104">
          <cell r="B104" t="str">
            <v>WALTHER</v>
          </cell>
          <cell r="C104" t="str">
            <v>Ricardo</v>
          </cell>
          <cell r="D104" t="str">
            <v>GER</v>
          </cell>
          <cell r="E104">
            <v>33572</v>
          </cell>
          <cell r="G104">
            <v>108</v>
          </cell>
          <cell r="H104" t="str">
            <v>WALTHER Ricardo</v>
          </cell>
        </row>
        <row r="105">
          <cell r="B105" t="str">
            <v>FRANZISKA</v>
          </cell>
          <cell r="C105" t="str">
            <v>Patrick</v>
          </cell>
          <cell r="D105" t="str">
            <v>GER</v>
          </cell>
          <cell r="E105">
            <v>33766</v>
          </cell>
          <cell r="G105">
            <v>109</v>
          </cell>
          <cell r="H105" t="str">
            <v>FRANZISKA Patrick</v>
          </cell>
        </row>
        <row r="106">
          <cell r="B106" t="str">
            <v>HAGEMANN</v>
          </cell>
          <cell r="C106" t="str">
            <v>Maris</v>
          </cell>
          <cell r="D106" t="str">
            <v>GER</v>
          </cell>
          <cell r="E106">
            <v>33460</v>
          </cell>
          <cell r="G106">
            <v>110</v>
          </cell>
          <cell r="H106" t="str">
            <v>HAGEMANN Maris</v>
          </cell>
        </row>
        <row r="107">
          <cell r="B107" t="str">
            <v>MALESSA</v>
          </cell>
          <cell r="C107" t="str">
            <v>Robin</v>
          </cell>
          <cell r="D107" t="str">
            <v>GER</v>
          </cell>
          <cell r="E107">
            <v>33240</v>
          </cell>
          <cell r="G107">
            <v>111</v>
          </cell>
          <cell r="H107" t="str">
            <v>MALESSA Robin</v>
          </cell>
        </row>
        <row r="108">
          <cell r="B108" t="str">
            <v>SOLJA</v>
          </cell>
          <cell r="C108" t="str">
            <v>Petrissa</v>
          </cell>
          <cell r="D108" t="str">
            <v>GER</v>
          </cell>
          <cell r="E108">
            <v>34404</v>
          </cell>
          <cell r="G108">
            <v>112</v>
          </cell>
          <cell r="H108" t="str">
            <v>SOLJA Petrissa</v>
          </cell>
        </row>
        <row r="109">
          <cell r="B109" t="str">
            <v>MUHLBACH</v>
          </cell>
          <cell r="C109" t="str">
            <v>Kathrin</v>
          </cell>
          <cell r="D109" t="str">
            <v>GER</v>
          </cell>
          <cell r="E109">
            <v>33633</v>
          </cell>
          <cell r="G109">
            <v>113</v>
          </cell>
          <cell r="H109" t="str">
            <v>MUHLBACH Kathrin</v>
          </cell>
        </row>
        <row r="110">
          <cell r="B110" t="str">
            <v>WINTER</v>
          </cell>
          <cell r="C110" t="str">
            <v>Sabine</v>
          </cell>
          <cell r="D110" t="str">
            <v>GER</v>
          </cell>
          <cell r="E110">
            <v>33874</v>
          </cell>
          <cell r="G110">
            <v>114</v>
          </cell>
          <cell r="H110" t="str">
            <v>WINTER Sabine</v>
          </cell>
        </row>
        <row r="111">
          <cell r="B111" t="str">
            <v>KRAPF</v>
          </cell>
          <cell r="C111" t="str">
            <v>Lena</v>
          </cell>
          <cell r="D111" t="str">
            <v>GER</v>
          </cell>
          <cell r="E111">
            <v>33377</v>
          </cell>
          <cell r="G111">
            <v>115</v>
          </cell>
          <cell r="H111" t="str">
            <v>KRAPF Lena</v>
          </cell>
        </row>
        <row r="112">
          <cell r="B112" t="str">
            <v>LI</v>
          </cell>
          <cell r="C112" t="str">
            <v>Chung Him</v>
          </cell>
          <cell r="D112" t="str">
            <v>HKG</v>
          </cell>
          <cell r="E112">
            <v>33304</v>
          </cell>
          <cell r="G112">
            <v>116</v>
          </cell>
          <cell r="H112" t="str">
            <v>LI Chung Him</v>
          </cell>
        </row>
        <row r="113">
          <cell r="B113" t="str">
            <v>CHIU</v>
          </cell>
          <cell r="C113" t="str">
            <v>Chung Hei</v>
          </cell>
          <cell r="D113" t="str">
            <v>HKG</v>
          </cell>
          <cell r="E113">
            <v>34403</v>
          </cell>
          <cell r="G113">
            <v>117</v>
          </cell>
          <cell r="H113" t="str">
            <v>CHIU Chung Hei</v>
          </cell>
        </row>
        <row r="114">
          <cell r="B114" t="str">
            <v>LEE</v>
          </cell>
          <cell r="C114" t="str">
            <v>Ho Ching</v>
          </cell>
          <cell r="D114" t="str">
            <v>HKG</v>
          </cell>
          <cell r="E114">
            <v>33932</v>
          </cell>
          <cell r="G114">
            <v>118</v>
          </cell>
          <cell r="H114" t="str">
            <v>LEE Ho Ching</v>
          </cell>
        </row>
        <row r="115">
          <cell r="B115" t="str">
            <v>NG</v>
          </cell>
          <cell r="C115" t="str">
            <v>Wing Nam</v>
          </cell>
          <cell r="D115" t="str">
            <v>HKG</v>
          </cell>
          <cell r="E115">
            <v>33825</v>
          </cell>
          <cell r="G115">
            <v>119</v>
          </cell>
          <cell r="H115" t="str">
            <v>NG Wing Nam</v>
          </cell>
        </row>
        <row r="116">
          <cell r="B116" t="str">
            <v>NAGY</v>
          </cell>
          <cell r="C116" t="str">
            <v>Krisztian</v>
          </cell>
          <cell r="D116" t="str">
            <v>HUN</v>
          </cell>
          <cell r="E116">
            <v>32642</v>
          </cell>
          <cell r="G116">
            <v>120</v>
          </cell>
          <cell r="H116" t="str">
            <v>NAGY Krisztian</v>
          </cell>
        </row>
        <row r="117">
          <cell r="B117" t="str">
            <v>KRISTON</v>
          </cell>
          <cell r="C117" t="str">
            <v>Daniel</v>
          </cell>
          <cell r="D117" t="str">
            <v>HUN</v>
          </cell>
          <cell r="E117">
            <v>32755</v>
          </cell>
          <cell r="G117">
            <v>121</v>
          </cell>
          <cell r="H117" t="str">
            <v>KRISTON Daniel</v>
          </cell>
        </row>
        <row r="118">
          <cell r="B118" t="str">
            <v>VAJDA</v>
          </cell>
          <cell r="C118" t="str">
            <v>Atilla</v>
          </cell>
          <cell r="D118" t="str">
            <v>HUN</v>
          </cell>
          <cell r="E118">
            <v>32804</v>
          </cell>
          <cell r="G118">
            <v>122</v>
          </cell>
          <cell r="H118" t="str">
            <v>VAJDA Atilla</v>
          </cell>
        </row>
        <row r="119">
          <cell r="B119" t="str">
            <v>SEBESTYEN</v>
          </cell>
          <cell r="C119" t="str">
            <v>Peter</v>
          </cell>
          <cell r="D119" t="str">
            <v>HUN</v>
          </cell>
          <cell r="E119">
            <v>33121</v>
          </cell>
          <cell r="G119">
            <v>123</v>
          </cell>
          <cell r="H119" t="str">
            <v>SEBESTYEN Peter</v>
          </cell>
        </row>
        <row r="120">
          <cell r="B120" t="str">
            <v>LI</v>
          </cell>
          <cell r="C120" t="str">
            <v>Bin</v>
          </cell>
          <cell r="D120" t="str">
            <v>HUN</v>
          </cell>
          <cell r="E120">
            <v>32294</v>
          </cell>
          <cell r="G120">
            <v>124</v>
          </cell>
          <cell r="H120" t="str">
            <v>LI Bin</v>
          </cell>
        </row>
        <row r="121">
          <cell r="B121" t="str">
            <v>PERGEL</v>
          </cell>
          <cell r="C121" t="str">
            <v>Szandra</v>
          </cell>
          <cell r="D121" t="str">
            <v>HUN</v>
          </cell>
          <cell r="E121">
            <v>32501</v>
          </cell>
          <cell r="G121">
            <v>125</v>
          </cell>
          <cell r="H121" t="str">
            <v>PERGEL Szandra</v>
          </cell>
        </row>
        <row r="122">
          <cell r="B122" t="str">
            <v>BARASSO</v>
          </cell>
          <cell r="C122" t="str">
            <v>Barbara</v>
          </cell>
          <cell r="D122" t="str">
            <v>HUN</v>
          </cell>
          <cell r="E122">
            <v>32934</v>
          </cell>
          <cell r="G122">
            <v>126</v>
          </cell>
          <cell r="H122" t="str">
            <v>BARASSO Barbara</v>
          </cell>
        </row>
        <row r="123">
          <cell r="B123" t="str">
            <v>VARGA</v>
          </cell>
          <cell r="C123" t="str">
            <v>Timea</v>
          </cell>
          <cell r="D123" t="str">
            <v>HUN</v>
          </cell>
          <cell r="E123">
            <v>32358</v>
          </cell>
          <cell r="G123">
            <v>127</v>
          </cell>
          <cell r="H123" t="str">
            <v>VARGA Timea</v>
          </cell>
        </row>
        <row r="124">
          <cell r="B124" t="str">
            <v>KOSIBA</v>
          </cell>
          <cell r="C124" t="str">
            <v>Daniel</v>
          </cell>
          <cell r="D124" t="str">
            <v>HUN</v>
          </cell>
          <cell r="E124">
            <v>29862</v>
          </cell>
          <cell r="G124">
            <v>128</v>
          </cell>
          <cell r="H124" t="str">
            <v>KOSIBA Daniel</v>
          </cell>
        </row>
      </sheetData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5EB22-BA2E-4367-BA5C-AD9208454E8D}">
  <sheetPr published="0" codeName="Sheet1">
    <tabColor rgb="FFFF0000"/>
  </sheetPr>
  <dimension ref="B1:P16"/>
  <sheetViews>
    <sheetView zoomScaleNormal="100" workbookViewId="0">
      <selection activeCell="B2" sqref="B2:X16"/>
    </sheetView>
  </sheetViews>
  <sheetFormatPr defaultColWidth="8.85546875" defaultRowHeight="15" x14ac:dyDescent="0.25"/>
  <cols>
    <col min="1" max="16384" width="8.85546875" style="1"/>
  </cols>
  <sheetData>
    <row r="1" spans="2:16" ht="15.75" thickBot="1" x14ac:dyDescent="0.3">
      <c r="C1" s="348" t="s">
        <v>0</v>
      </c>
      <c r="D1" s="348"/>
      <c r="F1" s="349" t="s">
        <v>1</v>
      </c>
      <c r="G1" s="349"/>
      <c r="K1" s="2">
        <v>14</v>
      </c>
      <c r="L1" s="3" t="e" cm="1">
        <f t="array" aca="1" ref="L1" ca="1">VLOOKUP(INDIRECT("'Grupo " &amp; K1 &amp; "'!J18"),INDIRECT("'Grupo " &amp; K1 &amp; "'!B12"):INDIRECT("'Grupo " &amp; K1 &amp; "'!J15"),2,FALSE)</f>
        <v>#REF!</v>
      </c>
      <c r="M1" s="4" t="e" cm="1">
        <f t="array" aca="1" ref="M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#REF!</v>
      </c>
      <c r="O1" s="5" t="e" cm="1">
        <f t="array" aca="1" ref="O1" ca="1">VLOOKUP(IF(INDIRECT("'Grupo " &amp; K1 &amp; "'!J18")=INDIRECT("'Grupo " &amp; K1 &amp; "'!C18"),INDIRECT("'Grupo " &amp; K1 &amp; "'!C19"),INDIRECT("'Grupo " &amp; K1 &amp; "'!C18")),INDIRECT("'Grupo " &amp; K1 &amp; "'!B12"):INDIRECT("'Grupo " &amp; K1 &amp; "'!G15"),2,FALSE)</f>
        <v>#REF!</v>
      </c>
      <c r="P1" s="6" t="e" cm="1">
        <f t="array" aca="1" ref="P1" ca="1">VLOOKUP(INDIRECT("'Grupo " &amp; K1 &amp; "'!J18"),INDIRECT("'Grupo " &amp; K1 &amp; "'!B12"):INDIRECT("'Grupo " &amp; K1 &amp; "'!J15"),2,FALSE)</f>
        <v>#REF!</v>
      </c>
    </row>
    <row r="2" spans="2:16" ht="15.75" thickBot="1" x14ac:dyDescent="0.3">
      <c r="B2" s="7">
        <v>1</v>
      </c>
      <c r="C2" s="3" cm="1">
        <f t="array" aca="1" ref="C2" ca="1">VLOOKUP(INDIRECT("'Grupo " &amp; B2 &amp; "'!J18"),INDIRECT("'Grupo " &amp; B2 &amp; "'!B12"):INDIRECT("'Grupo " &amp; B2 &amp; "'!J15"),2,FALSE)</f>
        <v>4295</v>
      </c>
      <c r="D2" s="4" cm="1">
        <f t="array" aca="1" ref="D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4834</v>
      </c>
      <c r="F2" s="5" cm="1">
        <f t="array" aca="1" ref="F2" ca="1">VLOOKUP(IF(INDIRECT("'Grupo " &amp; B2 &amp; "'!J18")=INDIRECT("'Grupo " &amp; B2 &amp; "'!C18"),INDIRECT("'Grupo " &amp; B2 &amp; "'!C19"),INDIRECT("'Grupo " &amp; B2 &amp; "'!C18")),INDIRECT("'Grupo " &amp; B2 &amp; "'!B12"):INDIRECT("'Grupo " &amp; B2 &amp; "'!G15"),2,FALSE)</f>
        <v>4834</v>
      </c>
      <c r="G2" s="6" cm="1">
        <f t="array" aca="1" ref="G2" ca="1">VLOOKUP(INDIRECT("'Grupo " &amp; B2 &amp; "'!J18"),INDIRECT("'Grupo " &amp; B2 &amp; "'!B12"):INDIRECT("'Grupo " &amp; B2 &amp; "'!J15"),2,FALSE)</f>
        <v>4295</v>
      </c>
      <c r="L2" s="8" t="e" cm="1">
        <f t="array" aca="1" ref="L2" ca="1">VLOOKUP(INDIRECT("'Grupo " &amp; K1 &amp; "'!J20"),INDIRECT("'Grupo " &amp; K1 &amp; "'!B12"):INDIRECT("'Grupo " &amp; K1 &amp; "'!J15"),2,FALSE)</f>
        <v>#REF!</v>
      </c>
      <c r="M2" s="9" t="e" cm="1">
        <f t="array" aca="1" ref="M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#REF!</v>
      </c>
      <c r="O2" s="10" t="e" cm="1">
        <f t="array" aca="1" ref="O2" ca="1">VLOOKUP(IF(INDIRECT("'Grupo " &amp; K1 &amp; "'!J20")=INDIRECT("'Grupo " &amp; K1 &amp; "'!C20"),INDIRECT("'Grupo " &amp; K1 &amp; "'!C21"),INDIRECT("'Grupo " &amp; K1 &amp; "'!C20")),INDIRECT("'Grupo " &amp; K1 &amp; "'!B12"):INDIRECT("'Grupo " &amp; K1 &amp; "'!G15"),2,FALSE)</f>
        <v>#REF!</v>
      </c>
      <c r="P2" s="11" t="e" cm="1">
        <f t="array" aca="1" ref="P2" ca="1">VLOOKUP(INDIRECT("'Grupo " &amp; K1 &amp; "'!J20"),INDIRECT("'Grupo " &amp; K1 &amp; "'!B12"):INDIRECT("'Grupo " &amp; K1 &amp; "'!J15"),2,FALSE)</f>
        <v>#REF!</v>
      </c>
    </row>
    <row r="3" spans="2:16" x14ac:dyDescent="0.25">
      <c r="C3" s="8" cm="1">
        <f t="array" aca="1" ref="C3" ca="1">VLOOKUP(INDIRECT("'Grupo " &amp; B2 &amp; "'!J20"),INDIRECT("'Grupo " &amp; B2 &amp; "'!B12"):INDIRECT("'Grupo " &amp; B2 &amp; "'!J15"),2,FALSE)</f>
        <v>4295</v>
      </c>
      <c r="D3" s="9" cm="1">
        <f t="array" aca="1" ref="D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4718</v>
      </c>
      <c r="F3" s="10" cm="1">
        <f t="array" aca="1" ref="F3" ca="1">VLOOKUP(IF(INDIRECT("'Grupo " &amp; B2 &amp; "'!J20")=INDIRECT("'Grupo " &amp; B2 &amp; "'!C20"),INDIRECT("'Grupo " &amp; B2 &amp; "'!C21"),INDIRECT("'Grupo " &amp; B2 &amp; "'!C20")),INDIRECT("'Grupo " &amp; B2 &amp; "'!B12"):INDIRECT("'Grupo " &amp; B2 &amp; "'!G15"),2,FALSE)</f>
        <v>4718</v>
      </c>
      <c r="G3" s="11" cm="1">
        <f t="array" aca="1" ref="G3" ca="1">VLOOKUP(INDIRECT("'Grupo " &amp; B2 &amp; "'!J20"),INDIRECT("'Grupo " &amp; B2 &amp; "'!B12"):INDIRECT("'Grupo " &amp; B2 &amp; "'!J15"),2,FALSE)</f>
        <v>4295</v>
      </c>
      <c r="L3" s="8" t="e" cm="1">
        <f t="array" aca="1" ref="L3" ca="1">VLOOKUP(INDIRECT("'Grupo " &amp; K1 &amp; "'!J22"),INDIRECT("'Grupo " &amp; K1 &amp; "'!B12"):INDIRECT("'Grupo " &amp; K1 &amp; "'!J15"),2,FALSE)</f>
        <v>#REF!</v>
      </c>
      <c r="M3" s="9" t="e" cm="1">
        <f t="array" aca="1" ref="M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#REF!</v>
      </c>
      <c r="O3" s="10" t="e" cm="1">
        <f t="array" aca="1" ref="O3" ca="1">VLOOKUP(IF(INDIRECT("'Grupo " &amp; K1 &amp; "'!J22")=INDIRECT("'Grupo " &amp; K1 &amp; "'!C22"),INDIRECT("'Grupo " &amp; K1 &amp; "'!C23"),INDIRECT("'Grupo " &amp; K1 &amp; "'!C22")),INDIRECT("'Grupo " &amp; K1 &amp; "'!B12"):INDIRECT("'Grupo " &amp; K1 &amp; "'!G15"),2,FALSE)</f>
        <v>#REF!</v>
      </c>
      <c r="P3" s="11" t="e" cm="1">
        <f t="array" aca="1" ref="P3" ca="1">VLOOKUP(INDIRECT("'Grupo " &amp; K1 &amp; "'!J22"),INDIRECT("'Grupo " &amp; K1 &amp; "'!B12"):INDIRECT("'Grupo " &amp; K1 &amp; "'!J15"),2,FALSE)</f>
        <v>#REF!</v>
      </c>
    </row>
    <row r="4" spans="2:16" ht="15.75" thickBot="1" x14ac:dyDescent="0.3">
      <c r="C4" s="12" cm="1">
        <f t="array" aca="1" ref="C4" ca="1">VLOOKUP(INDIRECT("'Grupo " &amp; B2 &amp; "'!J22"),INDIRECT("'Grupo " &amp; B2 &amp; "'!B12"):INDIRECT("'Grupo " &amp; B2 &amp; "'!J15"),2,FALSE)</f>
        <v>4834</v>
      </c>
      <c r="D4" s="13" cm="1">
        <f t="array" aca="1" ref="D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4718</v>
      </c>
      <c r="F4" s="14" cm="1">
        <f t="array" aca="1" ref="F4" ca="1">VLOOKUP(IF(INDIRECT("'Grupo " &amp; B2 &amp; "'!J22")=INDIRECT("'Grupo " &amp; B2 &amp; "'!C22"),INDIRECT("'Grupo " &amp; B2 &amp; "'!C23"),INDIRECT("'Grupo " &amp; B2 &amp; "'!C22")),INDIRECT("'Grupo " &amp; B2 &amp; "'!B12"):INDIRECT("'Grupo " &amp; B2 &amp; "'!G15"),2,FALSE)</f>
        <v>4718</v>
      </c>
      <c r="G4" s="15" cm="1">
        <f t="array" aca="1" ref="G4" ca="1">VLOOKUP(INDIRECT("'Grupo " &amp; B2 &amp; "'!J22"),INDIRECT("'Grupo " &amp; B2 &amp; "'!B12"):INDIRECT("'Grupo " &amp; B2 &amp; "'!J15"),2,FALSE)</f>
        <v>4834</v>
      </c>
      <c r="L4" s="8" t="e" cm="1">
        <f t="array" aca="1" ref="L4" ca="1">VLOOKUP(INDIRECT("'Grupo " &amp; K1 &amp; "'!J24"),INDIRECT("'Grupo " &amp; K1 &amp; "'!B12"):INDIRECT("'Grupo " &amp; K1 &amp; "'!J15"),2,FALSE)</f>
        <v>#REF!</v>
      </c>
      <c r="M4" s="9" t="e" cm="1">
        <f t="array" aca="1" ref="M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#REF!</v>
      </c>
      <c r="O4" s="10" t="e" cm="1">
        <f t="array" aca="1" ref="O4" ca="1">VLOOKUP(IF(INDIRECT("'Grupo " &amp; K1 &amp; "'!J24")=INDIRECT("'Grupo " &amp; K1 &amp; "'!C24"),INDIRECT("'Grupo " &amp; K1 &amp; "'!C25"),INDIRECT("'Grupo " &amp; K1 &amp; "'!C24")),INDIRECT("'Grupo " &amp; K1 &amp; "'!B12"):INDIRECT("'Grupo " &amp; K1 &amp; "'!G15"),2,FALSE)</f>
        <v>#REF!</v>
      </c>
      <c r="P4" s="11" t="e" cm="1">
        <f t="array" aca="1" ref="P4" ca="1">VLOOKUP(INDIRECT("'Grupo " &amp; K1 &amp; "'!J24"),INDIRECT("'Grupo " &amp; K1 &amp; "'!B12"):INDIRECT("'Grupo " &amp; K1 &amp; "'!J15"),2,FALSE)</f>
        <v>#REF!</v>
      </c>
    </row>
    <row r="5" spans="2:16" ht="15.75" thickBot="1" x14ac:dyDescent="0.3">
      <c r="B5" s="7">
        <f>B2+1</f>
        <v>2</v>
      </c>
      <c r="C5" s="3" cm="1">
        <f t="array" aca="1" ref="C5" ca="1">VLOOKUP(INDIRECT("'Grupo " &amp; B5 &amp; "'!J18"),INDIRECT("'Grupo " &amp; B5 &amp; "'!B12"):INDIRECT("'Grupo " &amp; B5 &amp; "'!J15"),2,FALSE)</f>
        <v>4149</v>
      </c>
      <c r="D5" s="4" cm="1">
        <f t="array" aca="1" ref="D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4700</v>
      </c>
      <c r="F5" s="5" cm="1">
        <f t="array" aca="1" ref="F5" ca="1">VLOOKUP(IF(INDIRECT("'Grupo " &amp; B5 &amp; "'!J18")=INDIRECT("'Grupo " &amp; B5 &amp; "'!C18"),INDIRECT("'Grupo " &amp; B5 &amp; "'!C19"),INDIRECT("'Grupo " &amp; B5 &amp; "'!C18")),INDIRECT("'Grupo " &amp; B5 &amp; "'!B12"):INDIRECT("'Grupo " &amp; B5 &amp; "'!G15"),2,FALSE)</f>
        <v>4700</v>
      </c>
      <c r="G5" s="6" cm="1">
        <f t="array" aca="1" ref="G5" ca="1">VLOOKUP(INDIRECT("'Grupo " &amp; B5 &amp; "'!J18"),INDIRECT("'Grupo " &amp; B5 &amp; "'!B12"):INDIRECT("'Grupo " &amp; B5 &amp; "'!J15"),2,FALSE)</f>
        <v>4149</v>
      </c>
      <c r="L5" s="8" t="e" cm="1">
        <f t="array" aca="1" ref="L5" ca="1">VLOOKUP(INDIRECT("'Grupo " &amp; K1 &amp; "'!J26"),INDIRECT("'Grupo " &amp; K1 &amp; "'!B12"):INDIRECT("'Grupo " &amp; K1 &amp; "'!J15"),2,FALSE)</f>
        <v>#REF!</v>
      </c>
      <c r="M5" s="9" t="e" cm="1">
        <f t="array" aca="1" ref="M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#REF!</v>
      </c>
      <c r="O5" s="10" t="e" cm="1">
        <f t="array" aca="1" ref="O5" ca="1">VLOOKUP(IF(INDIRECT("'Grupo " &amp; K1 &amp; "'!J26")=INDIRECT("'Grupo " &amp; K1 &amp; "'!C26"),INDIRECT("'Grupo " &amp; K1 &amp; "'!C27"),INDIRECT("'Grupo " &amp; K1 &amp; "'!C26")),INDIRECT("'Grupo " &amp; K1 &amp; "'!B12"):INDIRECT("'Grupo " &amp; K1 &amp; "'!G15"),2,FALSE)</f>
        <v>#REF!</v>
      </c>
      <c r="P5" s="11" t="e" cm="1">
        <f t="array" aca="1" ref="P5" ca="1">VLOOKUP(INDIRECT("'Grupo " &amp; K1 &amp; "'!J26"),INDIRECT("'Grupo " &amp; K1 &amp; "'!B12"):INDIRECT("'Grupo " &amp; K1 &amp; "'!J15"),2,FALSE)</f>
        <v>#REF!</v>
      </c>
    </row>
    <row r="6" spans="2:16" ht="15.75" thickBot="1" x14ac:dyDescent="0.3">
      <c r="C6" s="8" cm="1">
        <f t="array" aca="1" ref="C6" ca="1">VLOOKUP(INDIRECT("'Grupo " &amp; B5 &amp; "'!J20"),INDIRECT("'Grupo " &amp; B5 &amp; "'!B12"):INDIRECT("'Grupo " &amp; B5 &amp; "'!J15"),2,FALSE)</f>
        <v>4149</v>
      </c>
      <c r="D6" s="9" cm="1">
        <f t="array" aca="1" ref="D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4250</v>
      </c>
      <c r="F6" s="10" cm="1">
        <f t="array" aca="1" ref="F6" ca="1">VLOOKUP(IF(INDIRECT("'Grupo " &amp; B5 &amp; "'!J20")=INDIRECT("'Grupo " &amp; B5 &amp; "'!C20"),INDIRECT("'Grupo " &amp; B5 &amp; "'!C21"),INDIRECT("'Grupo " &amp; B5 &amp; "'!C20")),INDIRECT("'Grupo " &amp; B5 &amp; "'!B12"):INDIRECT("'Grupo " &amp; B5 &amp; "'!G15"),2,FALSE)</f>
        <v>4250</v>
      </c>
      <c r="G6" s="11" cm="1">
        <f t="array" aca="1" ref="G6" ca="1">VLOOKUP(INDIRECT("'Grupo " &amp; B5 &amp; "'!J20"),INDIRECT("'Grupo " &amp; B5 &amp; "'!B12"):INDIRECT("'Grupo " &amp; B5 &amp; "'!J15"),2,FALSE)</f>
        <v>4149</v>
      </c>
      <c r="L6" s="12" t="e" cm="1">
        <f t="array" aca="1" ref="L6" ca="1">VLOOKUP(INDIRECT("'Grupo " &amp; K1 &amp; "'!J28"),INDIRECT("'Grupo " &amp; K1 &amp; "'!B12"):INDIRECT("'Grupo " &amp; K1 &amp; "'!J15"),2,FALSE)</f>
        <v>#REF!</v>
      </c>
      <c r="M6" s="13" t="e" cm="1">
        <f t="array" aca="1" ref="M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#REF!</v>
      </c>
      <c r="O6" s="14" t="e" cm="1">
        <f t="array" aca="1" ref="O6" ca="1">VLOOKUP(IF(INDIRECT("'Grupo " &amp; K1 &amp; "'!J28")=INDIRECT("'Grupo " &amp; K1 &amp; "'!C28"),INDIRECT("'Grupo " &amp; K1 &amp; "'!C29"),INDIRECT("'Grupo " &amp; K1 &amp; "'!C28")),INDIRECT("'Grupo " &amp; K1 &amp; "'!B12"):INDIRECT("'Grupo " &amp; K1 &amp; "'!G15"),2,FALSE)</f>
        <v>#REF!</v>
      </c>
      <c r="P6" s="15" t="e" cm="1">
        <f t="array" aca="1" ref="P6" ca="1">VLOOKUP(INDIRECT("'Grupo " &amp; K1 &amp; "'!J28"),INDIRECT("'Grupo " &amp; K1 &amp; "'!B12"):INDIRECT("'Grupo " &amp; K1 &amp; "'!J15"),2,FALSE)</f>
        <v>#REF!</v>
      </c>
    </row>
    <row r="7" spans="2:16" ht="15.75" thickBot="1" x14ac:dyDescent="0.3">
      <c r="C7" s="12" cm="1">
        <f t="array" aca="1" ref="C7" ca="1">VLOOKUP(INDIRECT("'Grupo " &amp; B5 &amp; "'!J22"),INDIRECT("'Grupo " &amp; B5 &amp; "'!B12"):INDIRECT("'Grupo " &amp; B5 &amp; "'!J15"),2,FALSE)</f>
        <v>4250</v>
      </c>
      <c r="D7" s="13" cm="1">
        <f t="array" aca="1" ref="D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4700</v>
      </c>
      <c r="F7" s="14" cm="1">
        <f t="array" aca="1" ref="F7" ca="1">VLOOKUP(IF(INDIRECT("'Grupo " &amp; B5 &amp; "'!J22")=INDIRECT("'Grupo " &amp; B5 &amp; "'!C22"),INDIRECT("'Grupo " &amp; B5 &amp; "'!C23"),INDIRECT("'Grupo " &amp; B5 &amp; "'!C22")),INDIRECT("'Grupo " &amp; B5 &amp; "'!B12"):INDIRECT("'Grupo " &amp; B5 &amp; "'!G15"),2,FALSE)</f>
        <v>4700</v>
      </c>
      <c r="G7" s="15" cm="1">
        <f t="array" aca="1" ref="G7" ca="1">VLOOKUP(INDIRECT("'Grupo " &amp; B5 &amp; "'!J22"),INDIRECT("'Grupo " &amp; B5 &amp; "'!B12"):INDIRECT("'Grupo " &amp; B5 &amp; "'!J15"),2,FALSE)</f>
        <v>4250</v>
      </c>
    </row>
    <row r="8" spans="2:16" ht="15.75" thickBot="1" x14ac:dyDescent="0.3">
      <c r="B8" s="7">
        <f>B5+1</f>
        <v>3</v>
      </c>
      <c r="C8" s="3" cm="1">
        <f t="array" aca="1" ref="C8" ca="1">VLOOKUP(INDIRECT("'Grupo " &amp; B8 &amp; "'!J18"),INDIRECT("'Grupo " &amp; B8 &amp; "'!B12"):INDIRECT("'Grupo " &amp; B8 &amp; "'!J15"),2,FALSE)</f>
        <v>4391</v>
      </c>
      <c r="D8" s="4" cm="1">
        <f t="array" aca="1" ref="D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4738</v>
      </c>
      <c r="F8" s="5" cm="1">
        <f t="array" aca="1" ref="F8" ca="1">VLOOKUP(IF(INDIRECT("'Grupo " &amp; B8 &amp; "'!J18")=INDIRECT("'Grupo " &amp; B8 &amp; "'!C18"),INDIRECT("'Grupo " &amp; B8 &amp; "'!C19"),INDIRECT("'Grupo " &amp; B8 &amp; "'!C18")),INDIRECT("'Grupo " &amp; B8 &amp; "'!B12"):INDIRECT("'Grupo " &amp; B8 &amp; "'!G15"),2,FALSE)</f>
        <v>4738</v>
      </c>
      <c r="G8" s="6" cm="1">
        <f t="array" aca="1" ref="G8" ca="1">VLOOKUP(INDIRECT("'Grupo " &amp; B8 &amp; "'!J18"),INDIRECT("'Grupo " &amp; B8 &amp; "'!B12"):INDIRECT("'Grupo " &amp; B8 &amp; "'!J15"),2,FALSE)</f>
        <v>4391</v>
      </c>
    </row>
    <row r="9" spans="2:16" x14ac:dyDescent="0.25">
      <c r="C9" s="8" cm="1">
        <f t="array" aca="1" ref="C9" ca="1">VLOOKUP(INDIRECT("'Grupo " &amp; B8 &amp; "'!J20"),INDIRECT("'Grupo " &amp; B8 &amp; "'!B12"):INDIRECT("'Grupo " &amp; B8 &amp; "'!J15"),2,FALSE)</f>
        <v>4391</v>
      </c>
      <c r="D9" s="9" cm="1">
        <f t="array" aca="1" ref="D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4699</v>
      </c>
      <c r="F9" s="10" cm="1">
        <f t="array" aca="1" ref="F9" ca="1">VLOOKUP(IF(INDIRECT("'Grupo " &amp; B8 &amp; "'!J20")=INDIRECT("'Grupo " &amp; B8 &amp; "'!C20"),INDIRECT("'Grupo " &amp; B8 &amp; "'!C21"),INDIRECT("'Grupo " &amp; B8 &amp; "'!C20")),INDIRECT("'Grupo " &amp; B8 &amp; "'!B12"):INDIRECT("'Grupo " &amp; B8 &amp; "'!G15"),2,FALSE)</f>
        <v>4699</v>
      </c>
      <c r="G9" s="11" cm="1">
        <f t="array" aca="1" ref="G9" ca="1">VLOOKUP(INDIRECT("'Grupo " &amp; B8 &amp; "'!J20"),INDIRECT("'Grupo " &amp; B8 &amp; "'!B12"):INDIRECT("'Grupo " &amp; B8 &amp; "'!J15"),2,FALSE)</f>
        <v>4391</v>
      </c>
    </row>
    <row r="10" spans="2:16" ht="15.75" thickBot="1" x14ac:dyDescent="0.3">
      <c r="C10" s="12" cm="1">
        <f t="array" aca="1" ref="C10" ca="1">VLOOKUP(INDIRECT("'Grupo " &amp; B8 &amp; "'!J22"),INDIRECT("'Grupo " &amp; B8 &amp; "'!B12"):INDIRECT("'Grupo " &amp; B8 &amp; "'!J15"),2,FALSE)</f>
        <v>4699</v>
      </c>
      <c r="D10" s="13" cm="1">
        <f t="array" aca="1" ref="D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4738</v>
      </c>
      <c r="F10" s="14" cm="1">
        <f t="array" aca="1" ref="F10" ca="1">VLOOKUP(IF(INDIRECT("'Grupo " &amp; B8 &amp; "'!J22")=INDIRECT("'Grupo " &amp; B8 &amp; "'!C22"),INDIRECT("'Grupo " &amp; B8 &amp; "'!C23"),INDIRECT("'Grupo " &amp; B8 &amp; "'!C22")),INDIRECT("'Grupo " &amp; B8 &amp; "'!B12"):INDIRECT("'Grupo " &amp; B8 &amp; "'!G15"),2,FALSE)</f>
        <v>4738</v>
      </c>
      <c r="G10" s="15" cm="1">
        <f t="array" aca="1" ref="G10" ca="1">VLOOKUP(INDIRECT("'Grupo " &amp; B8 &amp; "'!J22"),INDIRECT("'Grupo " &amp; B8 &amp; "'!B12"):INDIRECT("'Grupo " &amp; B8 &amp; "'!J15"),2,FALSE)</f>
        <v>4699</v>
      </c>
    </row>
    <row r="11" spans="2:16" ht="15.75" thickBot="1" x14ac:dyDescent="0.3">
      <c r="B11" s="2">
        <v>4</v>
      </c>
      <c r="C11" s="3" cm="1">
        <f t="array" aca="1" ref="C11" ca="1">VLOOKUP(INDIRECT("'Grupo " &amp; B11 &amp; "'!J18"),INDIRECT("'Grupo " &amp; B11 &amp; "'!B12"):INDIRECT("'Grupo " &amp; B11 &amp; "'!J15"),2,FALSE)</f>
        <v>4520</v>
      </c>
      <c r="D11" s="4" cm="1">
        <f t="array" aca="1" ref="D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4867</v>
      </c>
      <c r="F11" s="5" cm="1">
        <f t="array" aca="1" ref="F11" ca="1">VLOOKUP(IF(INDIRECT("'Grupo " &amp; B11 &amp; "'!J18")=INDIRECT("'Grupo " &amp; B11 &amp; "'!C18"),INDIRECT("'Grupo " &amp; B11 &amp; "'!C19"),INDIRECT("'Grupo " &amp; B11 &amp; "'!C18")),INDIRECT("'Grupo " &amp; B11 &amp; "'!B12"):INDIRECT("'Grupo " &amp; B11 &amp; "'!G15"),2,FALSE)</f>
        <v>4867</v>
      </c>
      <c r="G11" s="6" cm="1">
        <f t="array" aca="1" ref="G11" ca="1">VLOOKUP(INDIRECT("'Grupo " &amp; B11 &amp; "'!J18"),INDIRECT("'Grupo " &amp; B11 &amp; "'!B12"):INDIRECT("'Grupo " &amp; B11 &amp; "'!J15"),2,FALSE)</f>
        <v>4520</v>
      </c>
    </row>
    <row r="12" spans="2:16" x14ac:dyDescent="0.25">
      <c r="C12" s="8" cm="1">
        <f t="array" aca="1" ref="C12" ca="1">VLOOKUP(INDIRECT("'Grupo " &amp; B11 &amp; "'!J20"),INDIRECT("'Grupo " &amp; B11 &amp; "'!B12"):INDIRECT("'Grupo " &amp; B11 &amp; "'!J15"),2,FALSE)</f>
        <v>4685</v>
      </c>
      <c r="D12" s="9" cm="1">
        <f t="array" aca="1" ref="D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4871</v>
      </c>
      <c r="F12" s="10" cm="1">
        <f t="array" aca="1" ref="F12" ca="1">VLOOKUP(IF(INDIRECT("'Grupo " &amp; B11 &amp; "'!J20")=INDIRECT("'Grupo " &amp; B11 &amp; "'!C20"),INDIRECT("'Grupo " &amp; B11 &amp; "'!C21"),INDIRECT("'Grupo " &amp; B11 &amp; "'!C20")),INDIRECT("'Grupo " &amp; B11 &amp; "'!B12"):INDIRECT("'Grupo " &amp; B11 &amp; "'!G15"),2,FALSE)</f>
        <v>4871</v>
      </c>
      <c r="G12" s="11" cm="1">
        <f t="array" aca="1" ref="G12" ca="1">VLOOKUP(INDIRECT("'Grupo " &amp; B11 &amp; "'!J20"),INDIRECT("'Grupo " &amp; B11 &amp; "'!B12"):INDIRECT("'Grupo " &amp; B11 &amp; "'!J15"),2,FALSE)</f>
        <v>4685</v>
      </c>
    </row>
    <row r="13" spans="2:16" x14ac:dyDescent="0.25">
      <c r="C13" s="8" cm="1">
        <f t="array" aca="1" ref="C13" ca="1">VLOOKUP(INDIRECT("'Grupo " &amp; B11 &amp; "'!J22"),INDIRECT("'Grupo " &amp; B11 &amp; "'!B12"):INDIRECT("'Grupo " &amp; B11 &amp; "'!J15"),2,FALSE)</f>
        <v>4520</v>
      </c>
      <c r="D13" s="9" cm="1">
        <f t="array" aca="1" ref="D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4685</v>
      </c>
      <c r="F13" s="10" cm="1">
        <f t="array" aca="1" ref="F13" ca="1">VLOOKUP(IF(INDIRECT("'Grupo " &amp; B11 &amp; "'!J22")=INDIRECT("'Grupo " &amp; B11 &amp; "'!C22"),INDIRECT("'Grupo " &amp; B11 &amp; "'!C23"),INDIRECT("'Grupo " &amp; B11 &amp; "'!C22")),INDIRECT("'Grupo " &amp; B11 &amp; "'!B12"):INDIRECT("'Grupo " &amp; B11 &amp; "'!G15"),2,FALSE)</f>
        <v>4685</v>
      </c>
      <c r="G13" s="11" cm="1">
        <f t="array" aca="1" ref="G13" ca="1">VLOOKUP(INDIRECT("'Grupo " &amp; B11 &amp; "'!J22"),INDIRECT("'Grupo " &amp; B11 &amp; "'!B12"):INDIRECT("'Grupo " &amp; B11 &amp; "'!J15"),2,FALSE)</f>
        <v>4520</v>
      </c>
    </row>
    <row r="14" spans="2:16" x14ac:dyDescent="0.25">
      <c r="C14" s="8" cm="1">
        <f t="array" aca="1" ref="C14" ca="1">VLOOKUP(INDIRECT("'Grupo " &amp; B11 &amp; "'!J24"),INDIRECT("'Grupo " &amp; B11 &amp; "'!B12"):INDIRECT("'Grupo " &amp; B11 &amp; "'!J15"),2,FALSE)</f>
        <v>4867</v>
      </c>
      <c r="D14" s="9" cm="1">
        <f t="array" aca="1" ref="D14" ca="1">VLOOKUP(IF(INDIRECT("'Grupo " &amp; B11 &amp; "'!J24")=INDIRECT("'Grupo " &amp; B11 &amp; "'!C24"),INDIRECT("'Grupo " &amp; B11 &amp; "'!C25"),INDIRECT("'Grupo " &amp; B11 &amp; "'!C24")),INDIRECT("'Grupo " &amp; B11 &amp; "'!B12"):INDIRECT("'Grupo " &amp; B11 &amp; "'!G15"),2,FALSE)</f>
        <v>4871</v>
      </c>
      <c r="F14" s="10" cm="1">
        <f t="array" aca="1" ref="F14" ca="1">VLOOKUP(IF(INDIRECT("'Grupo " &amp; B11 &amp; "'!J24")=INDIRECT("'Grupo " &amp; B11 &amp; "'!C24"),INDIRECT("'Grupo " &amp; B11 &amp; "'!C25"),INDIRECT("'Grupo " &amp; B11 &amp; "'!C24")),INDIRECT("'Grupo " &amp; B11 &amp; "'!B12"):INDIRECT("'Grupo " &amp; B11 &amp; "'!G15"),2,FALSE)</f>
        <v>4871</v>
      </c>
      <c r="G14" s="11" cm="1">
        <f t="array" aca="1" ref="G14" ca="1">VLOOKUP(INDIRECT("'Grupo " &amp; B11 &amp; "'!J24"),INDIRECT("'Grupo " &amp; B11 &amp; "'!B12"):INDIRECT("'Grupo " &amp; B11 &amp; "'!J15"),2,FALSE)</f>
        <v>4867</v>
      </c>
    </row>
    <row r="15" spans="2:16" x14ac:dyDescent="0.25">
      <c r="C15" s="8" cm="1">
        <f t="array" aca="1" ref="C15" ca="1">VLOOKUP(INDIRECT("'Grupo " &amp; B11 &amp; "'!J26"),INDIRECT("'Grupo " &amp; B11 &amp; "'!B12"):INDIRECT("'Grupo " &amp; B11 &amp; "'!J15"),2,FALSE)</f>
        <v>4520</v>
      </c>
      <c r="D15" s="9" cm="1">
        <f t="array" aca="1" ref="D15" ca="1">VLOOKUP(IF(INDIRECT("'Grupo " &amp; B11 &amp; "'!J26")=INDIRECT("'Grupo " &amp; B11 &amp; "'!C26"),INDIRECT("'Grupo " &amp; B11 &amp; "'!C27"),INDIRECT("'Grupo " &amp; B11 &amp; "'!C26")),INDIRECT("'Grupo " &amp; B11 &amp; "'!B12"):INDIRECT("'Grupo " &amp; B11 &amp; "'!G15"),2,FALSE)</f>
        <v>4871</v>
      </c>
      <c r="F15" s="10" cm="1">
        <f t="array" aca="1" ref="F15" ca="1">VLOOKUP(IF(INDIRECT("'Grupo " &amp; B11 &amp; "'!J26")=INDIRECT("'Grupo " &amp; B11 &amp; "'!C26"),INDIRECT("'Grupo " &amp; B11 &amp; "'!C27"),INDIRECT("'Grupo " &amp; B11 &amp; "'!C26")),INDIRECT("'Grupo " &amp; B11 &amp; "'!B12"):INDIRECT("'Grupo " &amp; B11 &amp; "'!G15"),2,FALSE)</f>
        <v>4871</v>
      </c>
      <c r="G15" s="11" cm="1">
        <f t="array" aca="1" ref="G15" ca="1">VLOOKUP(INDIRECT("'Grupo " &amp; B11 &amp; "'!J26"),INDIRECT("'Grupo " &amp; B11 &amp; "'!B12"):INDIRECT("'Grupo " &amp; B11 &amp; "'!J15"),2,FALSE)</f>
        <v>4520</v>
      </c>
    </row>
    <row r="16" spans="2:16" ht="15.75" thickBot="1" x14ac:dyDescent="0.3">
      <c r="C16" s="12" cm="1">
        <f t="array" aca="1" ref="C16" ca="1">VLOOKUP(INDIRECT("'Grupo " &amp; B11 &amp; "'!J28"),INDIRECT("'Grupo " &amp; B11 &amp; "'!B12"):INDIRECT("'Grupo " &amp; B11 &amp; "'!J15"),2,FALSE)</f>
        <v>4685</v>
      </c>
      <c r="D16" s="13" cm="1">
        <f t="array" aca="1" ref="D16" ca="1">VLOOKUP(IF(INDIRECT("'Grupo " &amp; B11 &amp; "'!J28")=INDIRECT("'Grupo " &amp; B11 &amp; "'!C28"),INDIRECT("'Grupo " &amp; B11 &amp; "'!C29"),INDIRECT("'Grupo " &amp; B11 &amp; "'!C28")),INDIRECT("'Grupo " &amp; B11 &amp; "'!B12"):INDIRECT("'Grupo " &amp; B11 &amp; "'!G15"),2,FALSE)</f>
        <v>4867</v>
      </c>
      <c r="F16" s="14" cm="1">
        <f t="array" aca="1" ref="F16" ca="1">VLOOKUP(IF(INDIRECT("'Grupo " &amp; B11 &amp; "'!J28")=INDIRECT("'Grupo " &amp; B11 &amp; "'!C28"),INDIRECT("'Grupo " &amp; B11 &amp; "'!C29"),INDIRECT("'Grupo " &amp; B11 &amp; "'!C28")),INDIRECT("'Grupo " &amp; B11 &amp; "'!B12"):INDIRECT("'Grupo " &amp; B11 &amp; "'!G15"),2,FALSE)</f>
        <v>4867</v>
      </c>
      <c r="G16" s="15" cm="1">
        <f t="array" aca="1" ref="G16" ca="1">VLOOKUP(INDIRECT("'Grupo " &amp; B11 &amp; "'!J28"),INDIRECT("'Grupo " &amp; B11 &amp; "'!B12"):INDIRECT("'Grupo " &amp; B11 &amp; "'!J15"),2,FALSE)</f>
        <v>4685</v>
      </c>
    </row>
  </sheetData>
  <mergeCells count="2">
    <mergeCell ref="C1:D1"/>
    <mergeCell ref="F1:G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6D06-D22D-4901-9AE5-A0E86611A797}">
  <dimension ref="A1:E44"/>
  <sheetViews>
    <sheetView tabSelected="1" workbookViewId="0">
      <selection activeCell="A2" sqref="A2:E44"/>
    </sheetView>
  </sheetViews>
  <sheetFormatPr defaultRowHeight="15" x14ac:dyDescent="0.25"/>
  <cols>
    <col min="1" max="1" width="8" bestFit="1" customWidth="1"/>
    <col min="2" max="2" width="7" bestFit="1" customWidth="1"/>
    <col min="3" max="3" width="34.5703125" bestFit="1" customWidth="1"/>
    <col min="4" max="4" width="27" bestFit="1" customWidth="1"/>
    <col min="5" max="5" width="8.28515625" bestFit="1" customWidth="1"/>
    <col min="7" max="7" width="16" bestFit="1" customWidth="1"/>
  </cols>
  <sheetData>
    <row r="1" spans="1:5" x14ac:dyDescent="0.25">
      <c r="A1" t="s">
        <v>21</v>
      </c>
      <c r="B1" t="s">
        <v>170</v>
      </c>
      <c r="C1" t="s">
        <v>5</v>
      </c>
      <c r="D1" t="s">
        <v>6</v>
      </c>
      <c r="E1" t="s">
        <v>8</v>
      </c>
    </row>
    <row r="2" spans="1:5" x14ac:dyDescent="0.25">
      <c r="A2">
        <v>1</v>
      </c>
      <c r="B2">
        <v>4295</v>
      </c>
      <c r="C2" t="s">
        <v>147</v>
      </c>
      <c r="D2" t="s">
        <v>148</v>
      </c>
      <c r="E2">
        <v>720</v>
      </c>
    </row>
    <row r="3" spans="1:5" x14ac:dyDescent="0.25">
      <c r="A3">
        <v>2</v>
      </c>
      <c r="B3">
        <v>4149</v>
      </c>
      <c r="C3" t="s">
        <v>153</v>
      </c>
      <c r="D3" t="s">
        <v>148</v>
      </c>
      <c r="E3">
        <v>649</v>
      </c>
    </row>
    <row r="4" spans="1:5" x14ac:dyDescent="0.25">
      <c r="A4">
        <v>3</v>
      </c>
      <c r="B4">
        <v>4520</v>
      </c>
      <c r="C4" t="s">
        <v>161</v>
      </c>
      <c r="D4" t="s">
        <v>148</v>
      </c>
      <c r="E4">
        <v>628</v>
      </c>
    </row>
    <row r="5" spans="1:5" x14ac:dyDescent="0.25">
      <c r="A5">
        <v>4</v>
      </c>
      <c r="B5">
        <v>4391</v>
      </c>
      <c r="C5" t="s">
        <v>157</v>
      </c>
      <c r="D5" t="s">
        <v>152</v>
      </c>
      <c r="E5">
        <v>615</v>
      </c>
    </row>
    <row r="6" spans="1:5" x14ac:dyDescent="0.25">
      <c r="A6">
        <v>5</v>
      </c>
      <c r="B6">
        <v>4685</v>
      </c>
      <c r="C6" t="s">
        <v>162</v>
      </c>
      <c r="D6" t="s">
        <v>163</v>
      </c>
      <c r="E6">
        <v>540</v>
      </c>
    </row>
    <row r="7" spans="1:5" x14ac:dyDescent="0.25">
      <c r="A7">
        <v>6</v>
      </c>
      <c r="B7">
        <v>4699</v>
      </c>
      <c r="C7" t="s">
        <v>158</v>
      </c>
      <c r="D7" t="s">
        <v>148</v>
      </c>
      <c r="E7">
        <v>505</v>
      </c>
    </row>
    <row r="8" spans="1:5" x14ac:dyDescent="0.25">
      <c r="A8">
        <v>7</v>
      </c>
      <c r="B8">
        <v>4435</v>
      </c>
      <c r="C8" t="s">
        <v>171</v>
      </c>
      <c r="D8" t="s">
        <v>150</v>
      </c>
      <c r="E8">
        <v>495</v>
      </c>
    </row>
    <row r="9" spans="1:5" x14ac:dyDescent="0.25">
      <c r="A9">
        <v>7</v>
      </c>
      <c r="B9">
        <v>4250</v>
      </c>
      <c r="C9" t="s">
        <v>154</v>
      </c>
      <c r="D9" t="s">
        <v>155</v>
      </c>
      <c r="E9">
        <v>495</v>
      </c>
    </row>
    <row r="10" spans="1:5" x14ac:dyDescent="0.25">
      <c r="A10">
        <v>9</v>
      </c>
      <c r="B10">
        <v>4834</v>
      </c>
      <c r="C10" t="s">
        <v>151</v>
      </c>
      <c r="D10" t="s">
        <v>152</v>
      </c>
      <c r="E10">
        <v>490</v>
      </c>
    </row>
    <row r="11" spans="1:5" x14ac:dyDescent="0.25">
      <c r="A11">
        <v>10</v>
      </c>
      <c r="B11">
        <v>4718</v>
      </c>
      <c r="C11" t="s">
        <v>149</v>
      </c>
      <c r="D11" t="s">
        <v>150</v>
      </c>
      <c r="E11">
        <v>475</v>
      </c>
    </row>
    <row r="12" spans="1:5" x14ac:dyDescent="0.25">
      <c r="A12">
        <v>11</v>
      </c>
      <c r="B12">
        <v>4700</v>
      </c>
      <c r="C12" t="s">
        <v>156</v>
      </c>
      <c r="D12" t="s">
        <v>148</v>
      </c>
      <c r="E12">
        <v>460</v>
      </c>
    </row>
    <row r="13" spans="1:5" x14ac:dyDescent="0.25">
      <c r="A13">
        <v>12</v>
      </c>
      <c r="B13">
        <v>4738</v>
      </c>
      <c r="C13" t="s">
        <v>159</v>
      </c>
      <c r="D13" t="s">
        <v>160</v>
      </c>
      <c r="E13">
        <v>449</v>
      </c>
    </row>
    <row r="14" spans="1:5" x14ac:dyDescent="0.25">
      <c r="A14">
        <v>13</v>
      </c>
      <c r="B14">
        <v>4867</v>
      </c>
      <c r="C14" t="s">
        <v>164</v>
      </c>
      <c r="D14" t="s">
        <v>165</v>
      </c>
      <c r="E14">
        <v>443</v>
      </c>
    </row>
    <row r="15" spans="1:5" x14ac:dyDescent="0.25">
      <c r="A15">
        <v>14</v>
      </c>
      <c r="B15">
        <v>4590</v>
      </c>
      <c r="C15" t="s">
        <v>172</v>
      </c>
      <c r="D15" t="s">
        <v>173</v>
      </c>
      <c r="E15">
        <v>431</v>
      </c>
    </row>
    <row r="16" spans="1:5" x14ac:dyDescent="0.25">
      <c r="A16">
        <v>15</v>
      </c>
      <c r="B16">
        <v>4792</v>
      </c>
      <c r="C16" t="s">
        <v>174</v>
      </c>
      <c r="D16" t="s">
        <v>175</v>
      </c>
      <c r="E16">
        <v>430</v>
      </c>
    </row>
    <row r="17" spans="1:5" x14ac:dyDescent="0.25">
      <c r="A17">
        <v>16</v>
      </c>
      <c r="B17">
        <v>4871</v>
      </c>
      <c r="C17" t="s">
        <v>166</v>
      </c>
      <c r="D17" t="s">
        <v>167</v>
      </c>
      <c r="E17">
        <v>428</v>
      </c>
    </row>
    <row r="18" spans="1:5" x14ac:dyDescent="0.25">
      <c r="A18">
        <v>17</v>
      </c>
      <c r="B18">
        <v>4821</v>
      </c>
      <c r="C18" t="s">
        <v>176</v>
      </c>
      <c r="D18" t="s">
        <v>177</v>
      </c>
      <c r="E18">
        <v>426</v>
      </c>
    </row>
    <row r="19" spans="1:5" x14ac:dyDescent="0.25">
      <c r="A19">
        <v>18</v>
      </c>
      <c r="B19">
        <v>4663</v>
      </c>
      <c r="C19" t="s">
        <v>178</v>
      </c>
      <c r="D19" t="s">
        <v>179</v>
      </c>
      <c r="E19">
        <v>420</v>
      </c>
    </row>
    <row r="20" spans="1:5" x14ac:dyDescent="0.25">
      <c r="A20">
        <v>18</v>
      </c>
      <c r="B20">
        <v>4824</v>
      </c>
      <c r="C20" t="s">
        <v>180</v>
      </c>
      <c r="D20" t="s">
        <v>181</v>
      </c>
      <c r="E20">
        <v>420</v>
      </c>
    </row>
    <row r="21" spans="1:5" x14ac:dyDescent="0.25">
      <c r="A21">
        <v>18</v>
      </c>
      <c r="B21">
        <v>4153</v>
      </c>
      <c r="C21" t="s">
        <v>182</v>
      </c>
      <c r="D21" t="s">
        <v>175</v>
      </c>
      <c r="E21">
        <v>420</v>
      </c>
    </row>
    <row r="22" spans="1:5" x14ac:dyDescent="0.25">
      <c r="A22">
        <v>18</v>
      </c>
      <c r="B22">
        <v>4315</v>
      </c>
      <c r="C22" t="s">
        <v>183</v>
      </c>
      <c r="D22" t="s">
        <v>167</v>
      </c>
      <c r="E22">
        <v>420</v>
      </c>
    </row>
    <row r="23" spans="1:5" x14ac:dyDescent="0.25">
      <c r="A23">
        <v>18</v>
      </c>
      <c r="B23">
        <v>4346</v>
      </c>
      <c r="C23" t="s">
        <v>184</v>
      </c>
      <c r="D23" t="s">
        <v>160</v>
      </c>
      <c r="E23">
        <v>420</v>
      </c>
    </row>
    <row r="24" spans="1:5" x14ac:dyDescent="0.25">
      <c r="A24">
        <v>18</v>
      </c>
      <c r="B24">
        <v>4429</v>
      </c>
      <c r="C24" t="s">
        <v>185</v>
      </c>
      <c r="D24" t="s">
        <v>186</v>
      </c>
      <c r="E24">
        <v>420</v>
      </c>
    </row>
    <row r="25" spans="1:5" x14ac:dyDescent="0.25">
      <c r="A25">
        <v>18</v>
      </c>
      <c r="B25">
        <v>4441</v>
      </c>
      <c r="C25" t="s">
        <v>187</v>
      </c>
      <c r="D25" t="s">
        <v>188</v>
      </c>
      <c r="E25">
        <v>420</v>
      </c>
    </row>
    <row r="26" spans="1:5" x14ac:dyDescent="0.25">
      <c r="A26">
        <v>18</v>
      </c>
      <c r="B26">
        <v>4437</v>
      </c>
      <c r="C26" t="s">
        <v>189</v>
      </c>
      <c r="D26" t="s">
        <v>150</v>
      </c>
      <c r="E26">
        <v>420</v>
      </c>
    </row>
    <row r="27" spans="1:5" x14ac:dyDescent="0.25">
      <c r="A27">
        <v>18</v>
      </c>
      <c r="B27">
        <v>4418</v>
      </c>
      <c r="C27" t="s">
        <v>190</v>
      </c>
      <c r="D27" t="s">
        <v>152</v>
      </c>
      <c r="E27">
        <v>420</v>
      </c>
    </row>
    <row r="28" spans="1:5" x14ac:dyDescent="0.25">
      <c r="A28">
        <v>18</v>
      </c>
      <c r="B28">
        <v>4187</v>
      </c>
      <c r="C28" t="s">
        <v>191</v>
      </c>
      <c r="D28" t="s">
        <v>173</v>
      </c>
      <c r="E28">
        <v>420</v>
      </c>
    </row>
    <row r="29" spans="1:5" x14ac:dyDescent="0.25">
      <c r="A29">
        <v>18</v>
      </c>
      <c r="B29">
        <v>4388</v>
      </c>
      <c r="C29" t="s">
        <v>192</v>
      </c>
      <c r="D29" t="s">
        <v>177</v>
      </c>
      <c r="E29">
        <v>420</v>
      </c>
    </row>
    <row r="30" spans="1:5" x14ac:dyDescent="0.25">
      <c r="A30">
        <v>18</v>
      </c>
      <c r="B30">
        <v>4150</v>
      </c>
      <c r="C30" t="s">
        <v>193</v>
      </c>
      <c r="D30" t="s">
        <v>177</v>
      </c>
      <c r="E30">
        <v>420</v>
      </c>
    </row>
    <row r="31" spans="1:5" x14ac:dyDescent="0.25">
      <c r="A31">
        <v>18</v>
      </c>
      <c r="B31">
        <v>4282</v>
      </c>
      <c r="C31" t="s">
        <v>194</v>
      </c>
      <c r="D31" t="s">
        <v>177</v>
      </c>
      <c r="E31">
        <v>420</v>
      </c>
    </row>
    <row r="32" spans="1:5" x14ac:dyDescent="0.25">
      <c r="A32">
        <v>18</v>
      </c>
      <c r="B32">
        <v>4175</v>
      </c>
      <c r="C32" t="s">
        <v>195</v>
      </c>
      <c r="D32" t="s">
        <v>148</v>
      </c>
      <c r="E32">
        <v>420</v>
      </c>
    </row>
    <row r="33" spans="1:5" x14ac:dyDescent="0.25">
      <c r="A33">
        <v>18</v>
      </c>
      <c r="B33">
        <v>4813</v>
      </c>
      <c r="C33" t="s">
        <v>196</v>
      </c>
      <c r="D33" t="s">
        <v>197</v>
      </c>
      <c r="E33">
        <v>420</v>
      </c>
    </row>
    <row r="34" spans="1:5" x14ac:dyDescent="0.25">
      <c r="A34">
        <v>18</v>
      </c>
      <c r="B34">
        <v>4796</v>
      </c>
      <c r="C34" t="s">
        <v>198</v>
      </c>
      <c r="D34" t="s">
        <v>175</v>
      </c>
      <c r="E34">
        <v>420</v>
      </c>
    </row>
    <row r="35" spans="1:5" x14ac:dyDescent="0.25">
      <c r="A35">
        <v>18</v>
      </c>
      <c r="B35">
        <v>4736</v>
      </c>
      <c r="C35" t="s">
        <v>199</v>
      </c>
      <c r="D35" t="s">
        <v>188</v>
      </c>
      <c r="E35">
        <v>420</v>
      </c>
    </row>
    <row r="36" spans="1:5" x14ac:dyDescent="0.25">
      <c r="A36">
        <v>18</v>
      </c>
      <c r="B36">
        <v>4701</v>
      </c>
      <c r="C36" t="s">
        <v>200</v>
      </c>
      <c r="D36" t="s">
        <v>148</v>
      </c>
      <c r="E36">
        <v>420</v>
      </c>
    </row>
    <row r="37" spans="1:5" x14ac:dyDescent="0.25">
      <c r="A37">
        <v>18</v>
      </c>
      <c r="B37">
        <v>4543</v>
      </c>
      <c r="C37" t="s">
        <v>201</v>
      </c>
      <c r="D37" t="s">
        <v>177</v>
      </c>
      <c r="E37">
        <v>420</v>
      </c>
    </row>
    <row r="38" spans="1:5" x14ac:dyDescent="0.25">
      <c r="A38">
        <v>18</v>
      </c>
      <c r="B38">
        <v>3637</v>
      </c>
      <c r="C38" t="s">
        <v>202</v>
      </c>
      <c r="D38" t="s">
        <v>203</v>
      </c>
      <c r="E38">
        <v>420</v>
      </c>
    </row>
    <row r="39" spans="1:5" x14ac:dyDescent="0.25">
      <c r="A39">
        <v>18</v>
      </c>
      <c r="B39">
        <v>3361</v>
      </c>
      <c r="C39" t="s">
        <v>204</v>
      </c>
      <c r="D39" t="s">
        <v>205</v>
      </c>
      <c r="E39">
        <v>420</v>
      </c>
    </row>
    <row r="40" spans="1:5" x14ac:dyDescent="0.25">
      <c r="A40">
        <v>18</v>
      </c>
      <c r="B40">
        <v>4560</v>
      </c>
      <c r="C40" t="s">
        <v>206</v>
      </c>
      <c r="D40" t="s">
        <v>207</v>
      </c>
      <c r="E40">
        <v>420</v>
      </c>
    </row>
    <row r="41" spans="1:5" x14ac:dyDescent="0.25">
      <c r="A41">
        <v>18</v>
      </c>
      <c r="B41">
        <v>1822</v>
      </c>
      <c r="C41" t="s">
        <v>208</v>
      </c>
      <c r="D41" t="s">
        <v>209</v>
      </c>
      <c r="E41">
        <v>420</v>
      </c>
    </row>
    <row r="42" spans="1:5" x14ac:dyDescent="0.25">
      <c r="A42">
        <v>18</v>
      </c>
      <c r="B42">
        <v>6003</v>
      </c>
      <c r="C42" t="s">
        <v>210</v>
      </c>
      <c r="D42" t="s">
        <v>211</v>
      </c>
      <c r="E42">
        <v>420</v>
      </c>
    </row>
    <row r="43" spans="1:5" x14ac:dyDescent="0.25">
      <c r="A43">
        <v>18</v>
      </c>
      <c r="B43">
        <v>4811</v>
      </c>
      <c r="C43" t="s">
        <v>212</v>
      </c>
      <c r="D43" t="s">
        <v>197</v>
      </c>
      <c r="E43">
        <v>420</v>
      </c>
    </row>
    <row r="44" spans="1:5" x14ac:dyDescent="0.25">
      <c r="A44">
        <v>18</v>
      </c>
      <c r="B44">
        <v>3546</v>
      </c>
      <c r="C44" t="s">
        <v>213</v>
      </c>
      <c r="D44" t="s">
        <v>214</v>
      </c>
      <c r="E44">
        <v>420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7525D-75AD-478F-8B15-C58194241561}">
  <sheetPr codeName="Sheet2">
    <pageSetUpPr fitToPage="1"/>
  </sheetPr>
  <dimension ref="A1:Z119"/>
  <sheetViews>
    <sheetView view="pageBreakPreview" zoomScale="60" zoomScaleNormal="85" workbookViewId="0">
      <selection activeCell="A18" sqref="A18"/>
    </sheetView>
  </sheetViews>
  <sheetFormatPr defaultColWidth="9.140625" defaultRowHeight="15" x14ac:dyDescent="0.25"/>
  <cols>
    <col min="1" max="1" width="8.28515625" style="16" bestFit="1" customWidth="1"/>
    <col min="2" max="2" width="15.140625" style="16" bestFit="1" customWidth="1"/>
    <col min="3" max="3" width="69.7109375" style="16" bestFit="1" customWidth="1"/>
    <col min="4" max="4" width="44.5703125" style="16" bestFit="1" customWidth="1"/>
    <col min="5" max="5" width="20.42578125" style="16" bestFit="1" customWidth="1"/>
    <col min="6" max="6" width="17.7109375" style="16" bestFit="1" customWidth="1"/>
    <col min="7" max="7" width="13.7109375" style="99" bestFit="1" customWidth="1"/>
    <col min="8" max="10" width="9.140625" style="16"/>
    <col min="11" max="11" width="14.42578125" style="16" bestFit="1" customWidth="1"/>
    <col min="12" max="12" width="36.42578125" style="16" bestFit="1" customWidth="1"/>
    <col min="13" max="16384" width="9.140625" style="16"/>
  </cols>
  <sheetData>
    <row r="1" spans="1:26" ht="32.25" thickBot="1" x14ac:dyDescent="0.55000000000000004">
      <c r="B1" s="350" t="s">
        <v>3</v>
      </c>
      <c r="C1" s="351"/>
      <c r="D1" s="351"/>
      <c r="E1" s="351"/>
      <c r="F1" s="351"/>
      <c r="G1" s="352"/>
    </row>
    <row r="2" spans="1:26" ht="15" customHeight="1" x14ac:dyDescent="0.25">
      <c r="B2" s="353" t="s">
        <v>168</v>
      </c>
      <c r="C2" s="354"/>
      <c r="D2" s="354"/>
      <c r="E2" s="354"/>
      <c r="F2" s="354"/>
      <c r="G2" s="355"/>
    </row>
    <row r="3" spans="1:26" ht="15.75" customHeight="1" thickBot="1" x14ac:dyDescent="0.3">
      <c r="B3" s="356"/>
      <c r="C3" s="357"/>
      <c r="D3" s="357"/>
      <c r="E3" s="357"/>
      <c r="F3" s="357"/>
      <c r="G3" s="358"/>
    </row>
    <row r="4" spans="1:26" ht="32.25" thickBot="1" x14ac:dyDescent="0.55000000000000004">
      <c r="B4" s="17" t="s">
        <v>4</v>
      </c>
      <c r="C4" s="18" t="s">
        <v>5</v>
      </c>
      <c r="D4" s="18" t="s">
        <v>6</v>
      </c>
      <c r="E4" s="18" t="s">
        <v>7</v>
      </c>
      <c r="F4" s="18" t="s">
        <v>8</v>
      </c>
      <c r="G4" s="19" t="s">
        <v>9</v>
      </c>
    </row>
    <row r="5" spans="1:26" s="20" customFormat="1" ht="37.5" customHeight="1" thickBot="1" x14ac:dyDescent="0.45">
      <c r="A5" s="20">
        <f>G5+0.1</f>
        <v>1.1000000000000001</v>
      </c>
      <c r="B5" s="21">
        <v>4295</v>
      </c>
      <c r="C5" s="22" t="s">
        <v>147</v>
      </c>
      <c r="D5" s="22" t="s">
        <v>148</v>
      </c>
      <c r="E5" s="23">
        <v>1</v>
      </c>
      <c r="F5" s="24">
        <v>676</v>
      </c>
      <c r="G5" s="25">
        <v>1</v>
      </c>
      <c r="H5" s="26"/>
    </row>
    <row r="6" spans="1:26" s="20" customFormat="1" ht="37.5" customHeight="1" thickBot="1" x14ac:dyDescent="0.45">
      <c r="A6" s="20">
        <f>G6+0.2</f>
        <v>1.2</v>
      </c>
      <c r="B6" s="27">
        <v>4718</v>
      </c>
      <c r="C6" s="28" t="s">
        <v>149</v>
      </c>
      <c r="D6" s="28" t="s">
        <v>150</v>
      </c>
      <c r="E6" s="29">
        <v>9</v>
      </c>
      <c r="F6" s="30">
        <v>483</v>
      </c>
      <c r="G6" s="25">
        <v>1</v>
      </c>
      <c r="H6" s="26"/>
    </row>
    <row r="7" spans="1:26" s="20" customFormat="1" ht="37.5" customHeight="1" thickBot="1" x14ac:dyDescent="0.45">
      <c r="A7" s="20">
        <f>G7+0.3</f>
        <v>1.3</v>
      </c>
      <c r="B7" s="31">
        <v>4834</v>
      </c>
      <c r="C7" s="32" t="s">
        <v>151</v>
      </c>
      <c r="D7" s="32" t="s">
        <v>152</v>
      </c>
      <c r="E7" s="33">
        <v>10</v>
      </c>
      <c r="F7" s="34">
        <v>481</v>
      </c>
      <c r="G7" s="25">
        <v>1</v>
      </c>
      <c r="H7" s="26"/>
    </row>
    <row r="8" spans="1:26" s="20" customFormat="1" ht="37.5" customHeight="1" thickBot="1" x14ac:dyDescent="0.45">
      <c r="A8" s="20">
        <f t="shared" ref="A8" si="0">G8+0.1</f>
        <v>2.1</v>
      </c>
      <c r="B8" s="35">
        <v>4149</v>
      </c>
      <c r="C8" s="36" t="s">
        <v>153</v>
      </c>
      <c r="D8" s="36" t="s">
        <v>148</v>
      </c>
      <c r="E8" s="37">
        <v>2</v>
      </c>
      <c r="F8" s="38">
        <v>632</v>
      </c>
      <c r="G8" s="39">
        <v>2</v>
      </c>
      <c r="H8" s="26"/>
      <c r="U8" s="40"/>
      <c r="V8" s="28"/>
      <c r="W8" s="28"/>
      <c r="X8" s="41"/>
      <c r="Y8" s="41"/>
      <c r="Z8" s="42"/>
    </row>
    <row r="9" spans="1:26" s="20" customFormat="1" ht="37.5" customHeight="1" thickBot="1" x14ac:dyDescent="0.45">
      <c r="A9" s="20">
        <f t="shared" ref="A9" si="1">G9+0.2</f>
        <v>2.2000000000000002</v>
      </c>
      <c r="B9" s="43">
        <v>4250</v>
      </c>
      <c r="C9" s="44" t="s">
        <v>154</v>
      </c>
      <c r="D9" s="44" t="s">
        <v>155</v>
      </c>
      <c r="E9" s="45">
        <v>8</v>
      </c>
      <c r="F9" s="46">
        <v>488</v>
      </c>
      <c r="G9" s="39">
        <v>2</v>
      </c>
      <c r="H9" s="26"/>
      <c r="U9" s="40"/>
      <c r="V9" s="28"/>
      <c r="W9" s="28"/>
      <c r="X9" s="41"/>
      <c r="Y9" s="41"/>
      <c r="Z9" s="47"/>
    </row>
    <row r="10" spans="1:26" s="20" customFormat="1" ht="37.5" customHeight="1" thickBot="1" x14ac:dyDescent="0.45">
      <c r="A10" s="20">
        <f t="shared" ref="A10" si="2">G10+0.3</f>
        <v>2.2999999999999998</v>
      </c>
      <c r="B10" s="48">
        <v>4700</v>
      </c>
      <c r="C10" s="49" t="s">
        <v>156</v>
      </c>
      <c r="D10" s="49" t="s">
        <v>148</v>
      </c>
      <c r="E10" s="50">
        <v>11</v>
      </c>
      <c r="F10" s="51">
        <v>468</v>
      </c>
      <c r="G10" s="39">
        <v>2</v>
      </c>
      <c r="H10" s="26"/>
      <c r="U10" s="52"/>
      <c r="V10" s="32"/>
      <c r="W10" s="32"/>
      <c r="X10" s="53"/>
      <c r="Y10" s="53"/>
      <c r="Z10" s="54"/>
    </row>
    <row r="11" spans="1:26" s="20" customFormat="1" ht="37.5" customHeight="1" thickBot="1" x14ac:dyDescent="0.45">
      <c r="A11" s="20">
        <f t="shared" ref="A11" si="3">G11+0.1</f>
        <v>3.1</v>
      </c>
      <c r="B11" s="21">
        <v>4391</v>
      </c>
      <c r="C11" s="22" t="s">
        <v>157</v>
      </c>
      <c r="D11" s="22" t="s">
        <v>152</v>
      </c>
      <c r="E11" s="23">
        <v>3</v>
      </c>
      <c r="F11" s="24">
        <v>595</v>
      </c>
      <c r="G11" s="25">
        <v>3</v>
      </c>
      <c r="H11" s="26"/>
      <c r="U11" s="55"/>
      <c r="V11" s="56"/>
      <c r="W11" s="56"/>
      <c r="X11" s="57"/>
      <c r="Y11" s="57"/>
      <c r="Z11" s="58"/>
    </row>
    <row r="12" spans="1:26" s="20" customFormat="1" ht="37.5" customHeight="1" thickBot="1" x14ac:dyDescent="0.45">
      <c r="A12" s="20">
        <f t="shared" ref="A12" si="4">G12+0.2</f>
        <v>3.2</v>
      </c>
      <c r="B12" s="27">
        <v>4699</v>
      </c>
      <c r="C12" s="28" t="s">
        <v>158</v>
      </c>
      <c r="D12" s="28" t="s">
        <v>148</v>
      </c>
      <c r="E12" s="29">
        <v>7</v>
      </c>
      <c r="F12" s="30">
        <v>500</v>
      </c>
      <c r="G12" s="25">
        <v>3</v>
      </c>
      <c r="H12" s="26"/>
      <c r="J12" s="59"/>
      <c r="K12" s="60"/>
      <c r="L12" s="60"/>
      <c r="M12" s="61"/>
      <c r="N12" s="61"/>
      <c r="U12" s="62"/>
      <c r="V12" s="63"/>
      <c r="W12" s="63"/>
      <c r="X12" s="64"/>
      <c r="Y12" s="64"/>
      <c r="Z12" s="65"/>
    </row>
    <row r="13" spans="1:26" s="20" customFormat="1" ht="37.5" customHeight="1" thickBot="1" x14ac:dyDescent="0.45">
      <c r="A13" s="20">
        <f t="shared" ref="A13" si="5">G13+0.3</f>
        <v>3.3</v>
      </c>
      <c r="B13" s="31">
        <v>4738</v>
      </c>
      <c r="C13" s="32" t="s">
        <v>159</v>
      </c>
      <c r="D13" s="32" t="s">
        <v>160</v>
      </c>
      <c r="E13" s="33">
        <v>12</v>
      </c>
      <c r="F13" s="34">
        <v>457</v>
      </c>
      <c r="G13" s="25">
        <v>3</v>
      </c>
      <c r="H13" s="26"/>
      <c r="U13" s="59"/>
      <c r="V13" s="60"/>
      <c r="W13" s="60"/>
      <c r="X13" s="61"/>
      <c r="Y13" s="61"/>
      <c r="Z13" s="66"/>
    </row>
    <row r="14" spans="1:26" s="20" customFormat="1" ht="37.5" customHeight="1" thickBot="1" x14ac:dyDescent="0.45">
      <c r="A14" s="20">
        <f t="shared" ref="A14" si="6">G14+0.1</f>
        <v>4.0999999999999996</v>
      </c>
      <c r="B14" s="35">
        <v>4520</v>
      </c>
      <c r="C14" s="36" t="s">
        <v>161</v>
      </c>
      <c r="D14" s="36" t="s">
        <v>148</v>
      </c>
      <c r="E14" s="37">
        <v>4</v>
      </c>
      <c r="F14" s="38">
        <v>587</v>
      </c>
      <c r="G14" s="39">
        <v>4</v>
      </c>
      <c r="H14" s="26"/>
    </row>
    <row r="15" spans="1:26" s="20" customFormat="1" ht="37.5" customHeight="1" thickBot="1" x14ac:dyDescent="0.45">
      <c r="A15" s="20">
        <f t="shared" ref="A15" si="7">G15+0.2</f>
        <v>4.2</v>
      </c>
      <c r="B15" s="43">
        <v>4685</v>
      </c>
      <c r="C15" s="44" t="s">
        <v>162</v>
      </c>
      <c r="D15" s="44" t="s">
        <v>163</v>
      </c>
      <c r="E15" s="45">
        <v>5</v>
      </c>
      <c r="F15" s="46">
        <v>530</v>
      </c>
      <c r="G15" s="39">
        <v>4</v>
      </c>
      <c r="H15" s="26"/>
      <c r="J15" s="40"/>
      <c r="K15" s="28"/>
      <c r="L15" s="28"/>
      <c r="M15" s="41"/>
      <c r="N15" s="41"/>
      <c r="O15" s="42"/>
    </row>
    <row r="16" spans="1:26" s="20" customFormat="1" ht="37.5" customHeight="1" thickBot="1" x14ac:dyDescent="0.45">
      <c r="A16" s="20">
        <f t="shared" ref="A16" si="8">G16+0.3</f>
        <v>4.3</v>
      </c>
      <c r="B16" s="43">
        <v>4867</v>
      </c>
      <c r="C16" s="44" t="s">
        <v>164</v>
      </c>
      <c r="D16" s="44" t="s">
        <v>165</v>
      </c>
      <c r="E16" s="45">
        <v>13</v>
      </c>
      <c r="F16" s="46">
        <v>455</v>
      </c>
      <c r="G16" s="39">
        <v>4</v>
      </c>
      <c r="H16" s="26"/>
      <c r="J16" s="40"/>
      <c r="K16" s="28"/>
      <c r="L16" s="28"/>
      <c r="M16" s="41"/>
      <c r="N16" s="41"/>
      <c r="O16" s="47"/>
    </row>
    <row r="17" spans="1:15" s="20" customFormat="1" ht="37.5" customHeight="1" thickBot="1" x14ac:dyDescent="0.45">
      <c r="A17" s="20">
        <f>G17+0.4</f>
        <v>4.4000000000000004</v>
      </c>
      <c r="B17" s="48">
        <v>4871</v>
      </c>
      <c r="C17" s="49" t="s">
        <v>166</v>
      </c>
      <c r="D17" s="49" t="s">
        <v>167</v>
      </c>
      <c r="E17" s="50">
        <v>14</v>
      </c>
      <c r="F17" s="51">
        <v>455</v>
      </c>
      <c r="G17" s="39">
        <v>4</v>
      </c>
      <c r="H17" s="26"/>
      <c r="J17" s="52"/>
      <c r="K17" s="32"/>
      <c r="L17" s="32"/>
      <c r="M17" s="53"/>
      <c r="N17" s="53"/>
      <c r="O17" s="54"/>
    </row>
    <row r="18" spans="1:15" s="20" customFormat="1" ht="37.5" customHeight="1" thickBot="1" x14ac:dyDescent="0.45">
      <c r="A18" s="20">
        <f t="shared" ref="A18" si="9">G18+0.2</f>
        <v>0.2</v>
      </c>
      <c r="B18" s="27"/>
      <c r="C18" s="28"/>
      <c r="D18" s="28"/>
      <c r="E18" s="29"/>
      <c r="F18" s="30"/>
      <c r="G18" s="25"/>
      <c r="H18" s="26"/>
      <c r="J18" s="55"/>
      <c r="K18" s="56"/>
      <c r="L18" s="56"/>
      <c r="M18" s="57"/>
      <c r="N18" s="57"/>
      <c r="O18" s="58"/>
    </row>
    <row r="19" spans="1:15" s="20" customFormat="1" ht="37.5" customHeight="1" thickBot="1" x14ac:dyDescent="0.45">
      <c r="A19" s="20">
        <f t="shared" ref="A19" si="10">G19+0.3</f>
        <v>0.3</v>
      </c>
      <c r="B19" s="31"/>
      <c r="C19" s="32"/>
      <c r="D19" s="32"/>
      <c r="E19" s="33"/>
      <c r="F19" s="34"/>
      <c r="G19" s="25"/>
      <c r="H19" s="26"/>
      <c r="J19" s="62"/>
      <c r="K19" s="63"/>
      <c r="L19" s="63"/>
      <c r="M19" s="64"/>
      <c r="N19" s="64"/>
      <c r="O19" s="65"/>
    </row>
    <row r="20" spans="1:15" s="20" customFormat="1" ht="37.5" customHeight="1" thickBot="1" x14ac:dyDescent="0.45">
      <c r="A20" s="20">
        <f t="shared" ref="A20" si="11">G20+0.1</f>
        <v>0.1</v>
      </c>
      <c r="B20" s="35"/>
      <c r="C20" s="36"/>
      <c r="D20" s="36"/>
      <c r="E20" s="37"/>
      <c r="F20" s="38"/>
      <c r="G20" s="39"/>
      <c r="H20" s="26"/>
      <c r="J20" s="59"/>
      <c r="K20" s="60"/>
      <c r="L20" s="60"/>
      <c r="M20" s="61"/>
      <c r="N20" s="61"/>
      <c r="O20" s="66"/>
    </row>
    <row r="21" spans="1:15" s="20" customFormat="1" ht="37.5" customHeight="1" thickBot="1" x14ac:dyDescent="0.45">
      <c r="A21" s="20">
        <f t="shared" ref="A21" si="12">G21+0.2</f>
        <v>0.2</v>
      </c>
      <c r="B21" s="43"/>
      <c r="C21" s="44"/>
      <c r="D21" s="44"/>
      <c r="E21" s="45"/>
      <c r="F21" s="46"/>
      <c r="G21" s="39"/>
      <c r="H21" s="26"/>
    </row>
    <row r="22" spans="1:15" s="20" customFormat="1" ht="37.5" customHeight="1" thickBot="1" x14ac:dyDescent="0.45">
      <c r="A22" s="20">
        <f t="shared" ref="A22" si="13">G22+0.3</f>
        <v>0.3</v>
      </c>
      <c r="B22" s="48"/>
      <c r="C22" s="49"/>
      <c r="D22" s="49"/>
      <c r="E22" s="50"/>
      <c r="F22" s="51"/>
      <c r="G22" s="39"/>
      <c r="H22" s="26"/>
    </row>
    <row r="23" spans="1:15" s="20" customFormat="1" ht="37.5" customHeight="1" thickBot="1" x14ac:dyDescent="0.45">
      <c r="A23" s="20">
        <f t="shared" ref="A23" si="14">G23+0.1</f>
        <v>0.1</v>
      </c>
      <c r="B23" s="21"/>
      <c r="C23" s="22"/>
      <c r="D23" s="22"/>
      <c r="E23" s="23"/>
      <c r="F23" s="24"/>
      <c r="G23" s="25"/>
      <c r="H23" s="26"/>
    </row>
    <row r="24" spans="1:15" s="20" customFormat="1" ht="37.5" customHeight="1" thickBot="1" x14ac:dyDescent="0.45">
      <c r="A24" s="20">
        <f t="shared" ref="A24" si="15">G24+0.2</f>
        <v>0.2</v>
      </c>
      <c r="B24" s="27"/>
      <c r="C24" s="28"/>
      <c r="D24" s="28"/>
      <c r="E24" s="29"/>
      <c r="F24" s="30"/>
      <c r="G24" s="25"/>
      <c r="H24" s="26"/>
    </row>
    <row r="25" spans="1:15" s="20" customFormat="1" ht="37.5" customHeight="1" thickBot="1" x14ac:dyDescent="0.45">
      <c r="A25" s="20">
        <f t="shared" ref="A25" si="16">G25+0.3</f>
        <v>0.3</v>
      </c>
      <c r="B25" s="31"/>
      <c r="C25" s="32"/>
      <c r="D25" s="32"/>
      <c r="E25" s="33"/>
      <c r="F25" s="34"/>
      <c r="G25" s="25"/>
      <c r="H25" s="26"/>
    </row>
    <row r="26" spans="1:15" s="20" customFormat="1" ht="37.5" customHeight="1" thickBot="1" x14ac:dyDescent="0.45">
      <c r="A26" s="20">
        <f t="shared" ref="A26" si="17">G26+0.1</f>
        <v>0.1</v>
      </c>
      <c r="B26" s="35"/>
      <c r="C26" s="36"/>
      <c r="D26" s="36"/>
      <c r="E26" s="37"/>
      <c r="F26" s="38"/>
      <c r="G26" s="39"/>
      <c r="H26" s="26"/>
    </row>
    <row r="27" spans="1:15" s="20" customFormat="1" ht="37.5" customHeight="1" thickBot="1" x14ac:dyDescent="0.45">
      <c r="A27" s="20">
        <f t="shared" ref="A27" si="18">G27+0.2</f>
        <v>0.2</v>
      </c>
      <c r="B27" s="43"/>
      <c r="C27" s="44"/>
      <c r="D27" s="44"/>
      <c r="E27" s="45"/>
      <c r="F27" s="46"/>
      <c r="G27" s="39"/>
      <c r="H27" s="26"/>
    </row>
    <row r="28" spans="1:15" s="20" customFormat="1" ht="37.5" customHeight="1" thickBot="1" x14ac:dyDescent="0.45">
      <c r="A28" s="20">
        <f t="shared" ref="A28" si="19">G28+0.3</f>
        <v>0.3</v>
      </c>
      <c r="B28" s="48"/>
      <c r="C28" s="49"/>
      <c r="D28" s="49"/>
      <c r="E28" s="50"/>
      <c r="F28" s="51"/>
      <c r="G28" s="39"/>
      <c r="H28" s="26"/>
    </row>
    <row r="29" spans="1:15" s="20" customFormat="1" ht="37.5" customHeight="1" thickBot="1" x14ac:dyDescent="0.45">
      <c r="A29" s="20">
        <f t="shared" ref="A29" si="20">G29+0.1</f>
        <v>0.1</v>
      </c>
      <c r="B29" s="21"/>
      <c r="C29" s="22"/>
      <c r="D29" s="22"/>
      <c r="E29" s="23"/>
      <c r="F29" s="24"/>
      <c r="G29" s="25"/>
      <c r="H29" s="26"/>
    </row>
    <row r="30" spans="1:15" s="20" customFormat="1" ht="37.5" customHeight="1" thickBot="1" x14ac:dyDescent="0.45">
      <c r="A30" s="20">
        <f t="shared" ref="A30" si="21">G30+0.2</f>
        <v>0.2</v>
      </c>
      <c r="B30" s="27"/>
      <c r="C30" s="28"/>
      <c r="D30" s="28"/>
      <c r="E30" s="29"/>
      <c r="F30" s="30"/>
      <c r="G30" s="25"/>
      <c r="H30" s="26"/>
    </row>
    <row r="31" spans="1:15" s="20" customFormat="1" ht="37.5" customHeight="1" thickBot="1" x14ac:dyDescent="0.45">
      <c r="A31" s="20">
        <f t="shared" ref="A31" si="22">G31+0.3</f>
        <v>0.3</v>
      </c>
      <c r="B31" s="31"/>
      <c r="C31" s="32"/>
      <c r="D31" s="32"/>
      <c r="E31" s="33"/>
      <c r="F31" s="34"/>
      <c r="G31" s="25"/>
      <c r="H31" s="26"/>
    </row>
    <row r="32" spans="1:15" s="20" customFormat="1" ht="37.5" customHeight="1" thickBot="1" x14ac:dyDescent="0.45">
      <c r="A32" s="20">
        <f t="shared" ref="A32" si="23">G32+0.1</f>
        <v>0.1</v>
      </c>
      <c r="B32" s="35"/>
      <c r="C32" s="36"/>
      <c r="D32" s="36"/>
      <c r="E32" s="37"/>
      <c r="F32" s="38"/>
      <c r="G32" s="39"/>
      <c r="H32" s="26"/>
      <c r="J32" s="40"/>
      <c r="K32" s="28"/>
      <c r="L32" s="28"/>
      <c r="M32" s="41"/>
      <c r="N32" s="67"/>
    </row>
    <row r="33" spans="1:12" s="20" customFormat="1" ht="37.5" customHeight="1" thickBot="1" x14ac:dyDescent="0.45">
      <c r="A33" s="20">
        <f t="shared" ref="A33" si="24">G33+0.2</f>
        <v>0.2</v>
      </c>
      <c r="B33" s="43"/>
      <c r="C33" s="44"/>
      <c r="D33" s="44"/>
      <c r="E33" s="45"/>
      <c r="F33" s="46"/>
      <c r="G33" s="39"/>
      <c r="H33" s="26"/>
    </row>
    <row r="34" spans="1:12" s="20" customFormat="1" ht="37.5" customHeight="1" thickBot="1" x14ac:dyDescent="0.45">
      <c r="A34" s="20">
        <f t="shared" ref="A34" si="25">G34+0.3</f>
        <v>0.3</v>
      </c>
      <c r="B34" s="48"/>
      <c r="C34" s="49"/>
      <c r="D34" s="49"/>
      <c r="E34" s="50"/>
      <c r="F34" s="51"/>
      <c r="G34" s="39"/>
      <c r="H34" s="26"/>
    </row>
    <row r="35" spans="1:12" s="20" customFormat="1" ht="37.5" customHeight="1" thickBot="1" x14ac:dyDescent="0.45">
      <c r="A35" s="20">
        <f>G35+0.1</f>
        <v>0.1</v>
      </c>
      <c r="B35" s="21"/>
      <c r="C35" s="22"/>
      <c r="D35" s="22"/>
      <c r="E35" s="23"/>
      <c r="F35" s="24"/>
      <c r="G35" s="25"/>
      <c r="H35" s="26"/>
    </row>
    <row r="36" spans="1:12" s="20" customFormat="1" ht="37.5" customHeight="1" thickBot="1" x14ac:dyDescent="0.45">
      <c r="A36" s="20">
        <f t="shared" ref="A36" si="26">G36+0.2</f>
        <v>0.2</v>
      </c>
      <c r="B36" s="27"/>
      <c r="C36" s="28"/>
      <c r="D36" s="28"/>
      <c r="E36" s="29"/>
      <c r="F36" s="30"/>
      <c r="G36" s="25"/>
      <c r="H36" s="26"/>
    </row>
    <row r="37" spans="1:12" s="20" customFormat="1" ht="37.5" customHeight="1" thickBot="1" x14ac:dyDescent="0.45">
      <c r="A37" s="20">
        <f t="shared" ref="A37" si="27">G37+0.3</f>
        <v>0.3</v>
      </c>
      <c r="B37" s="31"/>
      <c r="C37" s="32"/>
      <c r="D37" s="32"/>
      <c r="E37" s="33"/>
      <c r="F37" s="34"/>
      <c r="G37" s="25"/>
      <c r="H37" s="26"/>
    </row>
    <row r="38" spans="1:12" s="20" customFormat="1" ht="37.5" customHeight="1" thickBot="1" x14ac:dyDescent="0.45">
      <c r="A38" s="20">
        <f t="shared" ref="A38" si="28">G38+0.1</f>
        <v>0.1</v>
      </c>
      <c r="B38" s="35"/>
      <c r="C38" s="36"/>
      <c r="D38" s="36"/>
      <c r="E38" s="37"/>
      <c r="F38" s="38"/>
      <c r="G38" s="39"/>
      <c r="H38" s="26"/>
    </row>
    <row r="39" spans="1:12" s="20" customFormat="1" ht="37.5" customHeight="1" thickBot="1" x14ac:dyDescent="0.45">
      <c r="A39" s="20">
        <f t="shared" ref="A39:A87" si="29">G39+0.2</f>
        <v>0.2</v>
      </c>
      <c r="B39" s="43"/>
      <c r="C39" s="44"/>
      <c r="D39" s="44"/>
      <c r="E39" s="45"/>
      <c r="F39" s="46"/>
      <c r="G39" s="39"/>
      <c r="H39" s="26"/>
    </row>
    <row r="40" spans="1:12" s="20" customFormat="1" ht="37.5" customHeight="1" thickBot="1" x14ac:dyDescent="0.45">
      <c r="A40" s="20">
        <f t="shared" ref="A40:A88" si="30">G40+0.3</f>
        <v>0.3</v>
      </c>
      <c r="B40" s="48"/>
      <c r="C40" s="49"/>
      <c r="D40" s="49"/>
      <c r="E40" s="50"/>
      <c r="F40" s="51"/>
      <c r="G40" s="39"/>
      <c r="H40" s="26"/>
    </row>
    <row r="41" spans="1:12" s="20" customFormat="1" ht="37.5" customHeight="1" thickBot="1" x14ac:dyDescent="0.45">
      <c r="A41" s="20">
        <f t="shared" ref="A41" si="31">G41+0.1</f>
        <v>0.1</v>
      </c>
      <c r="B41" s="21"/>
      <c r="C41" s="22"/>
      <c r="D41" s="22"/>
      <c r="E41" s="23"/>
      <c r="F41" s="24"/>
      <c r="G41" s="25"/>
      <c r="H41" s="26"/>
    </row>
    <row r="42" spans="1:12" s="20" customFormat="1" ht="37.5" customHeight="1" thickBot="1" x14ac:dyDescent="0.45">
      <c r="A42" s="20">
        <f t="shared" si="29"/>
        <v>0.2</v>
      </c>
      <c r="B42" s="27"/>
      <c r="C42" s="28"/>
      <c r="D42" s="28"/>
      <c r="E42" s="29"/>
      <c r="F42" s="30"/>
      <c r="G42" s="25"/>
      <c r="H42" s="26"/>
    </row>
    <row r="43" spans="1:12" s="20" customFormat="1" ht="37.5" customHeight="1" thickBot="1" x14ac:dyDescent="0.45">
      <c r="A43" s="20">
        <f t="shared" si="30"/>
        <v>0.3</v>
      </c>
      <c r="B43" s="31"/>
      <c r="C43" s="32"/>
      <c r="D43" s="32"/>
      <c r="E43" s="33"/>
      <c r="F43" s="34"/>
      <c r="G43" s="25"/>
      <c r="H43" s="26"/>
      <c r="K43" s="53"/>
      <c r="L43" s="53"/>
    </row>
    <row r="44" spans="1:12" s="20" customFormat="1" ht="37.5" customHeight="1" thickBot="1" x14ac:dyDescent="0.45">
      <c r="A44" s="20">
        <f t="shared" ref="A44:A89" si="32">G44+0.1</f>
        <v>0.1</v>
      </c>
      <c r="B44" s="35"/>
      <c r="C44" s="36"/>
      <c r="D44" s="36"/>
      <c r="E44" s="37"/>
      <c r="F44" s="38"/>
      <c r="G44" s="39"/>
      <c r="H44" s="26"/>
      <c r="K44" s="57"/>
      <c r="L44" s="57"/>
    </row>
    <row r="45" spans="1:12" ht="37.5" customHeight="1" thickBot="1" x14ac:dyDescent="0.45">
      <c r="A45" s="20">
        <f t="shared" si="29"/>
        <v>0.2</v>
      </c>
      <c r="B45" s="43"/>
      <c r="C45" s="44"/>
      <c r="D45" s="44"/>
      <c r="E45" s="45"/>
      <c r="F45" s="46"/>
      <c r="G45" s="39"/>
      <c r="H45" s="26"/>
      <c r="K45" s="68"/>
      <c r="L45" s="68"/>
    </row>
    <row r="46" spans="1:12" ht="37.5" customHeight="1" thickBot="1" x14ac:dyDescent="0.45">
      <c r="A46" s="20">
        <f t="shared" si="30"/>
        <v>0.3</v>
      </c>
      <c r="B46" s="48"/>
      <c r="C46" s="49"/>
      <c r="D46" s="49"/>
      <c r="E46" s="50"/>
      <c r="F46" s="51"/>
      <c r="G46" s="39"/>
      <c r="H46" s="26"/>
      <c r="K46" s="69"/>
      <c r="L46" s="69"/>
    </row>
    <row r="47" spans="1:12" ht="37.5" customHeight="1" thickBot="1" x14ac:dyDescent="0.45">
      <c r="A47" s="20">
        <f t="shared" si="32"/>
        <v>0.1</v>
      </c>
      <c r="B47" s="21"/>
      <c r="C47" s="22"/>
      <c r="D47" s="22"/>
      <c r="E47" s="23"/>
      <c r="F47" s="24"/>
      <c r="G47" s="25"/>
      <c r="H47" s="26"/>
      <c r="K47" s="70"/>
      <c r="L47" s="70"/>
    </row>
    <row r="48" spans="1:12" ht="37.5" customHeight="1" thickBot="1" x14ac:dyDescent="0.45">
      <c r="A48" s="20">
        <f t="shared" si="29"/>
        <v>0.2</v>
      </c>
      <c r="B48" s="40"/>
      <c r="C48" s="28"/>
      <c r="D48" s="28"/>
      <c r="E48" s="41"/>
      <c r="F48" s="67"/>
      <c r="G48" s="25"/>
      <c r="H48" s="26"/>
      <c r="K48" s="70"/>
      <c r="L48" s="70"/>
    </row>
    <row r="49" spans="1:12" ht="37.5" customHeight="1" thickBot="1" x14ac:dyDescent="0.45">
      <c r="A49" s="20">
        <f t="shared" si="30"/>
        <v>0.3</v>
      </c>
      <c r="B49" s="52"/>
      <c r="C49" s="32"/>
      <c r="D49" s="32"/>
      <c r="E49" s="53"/>
      <c r="F49" s="71"/>
      <c r="G49" s="25"/>
      <c r="H49" s="26"/>
      <c r="K49" s="72"/>
      <c r="L49" s="72"/>
    </row>
    <row r="50" spans="1:12" ht="37.5" customHeight="1" thickBot="1" x14ac:dyDescent="0.45">
      <c r="A50" s="20">
        <f t="shared" si="32"/>
        <v>0.1</v>
      </c>
      <c r="B50" s="73"/>
      <c r="C50" s="36"/>
      <c r="D50" s="36"/>
      <c r="E50" s="74"/>
      <c r="F50" s="75"/>
      <c r="G50" s="39"/>
      <c r="H50" s="26"/>
      <c r="K50" s="76"/>
    </row>
    <row r="51" spans="1:12" ht="37.5" customHeight="1" thickBot="1" x14ac:dyDescent="0.45">
      <c r="A51" s="20">
        <f t="shared" si="29"/>
        <v>0.2</v>
      </c>
      <c r="B51" s="77"/>
      <c r="C51" s="44"/>
      <c r="D51" s="44"/>
      <c r="E51" s="78"/>
      <c r="F51" s="79"/>
      <c r="G51" s="39"/>
      <c r="H51" s="26"/>
      <c r="K51" s="68"/>
      <c r="L51" s="68"/>
    </row>
    <row r="52" spans="1:12" ht="37.5" customHeight="1" thickBot="1" x14ac:dyDescent="0.45">
      <c r="A52" s="20">
        <f t="shared" si="30"/>
        <v>0.3</v>
      </c>
      <c r="B52" s="80"/>
      <c r="C52" s="49"/>
      <c r="D52" s="49"/>
      <c r="E52" s="81"/>
      <c r="F52" s="82"/>
      <c r="G52" s="39"/>
      <c r="H52" s="26"/>
      <c r="K52" s="69"/>
      <c r="L52" s="69"/>
    </row>
    <row r="53" spans="1:12" ht="37.5" customHeight="1" thickBot="1" x14ac:dyDescent="0.45">
      <c r="A53" s="20">
        <f t="shared" si="32"/>
        <v>0.1</v>
      </c>
      <c r="B53" s="83"/>
      <c r="C53" s="22"/>
      <c r="D53" s="22"/>
      <c r="E53" s="84"/>
      <c r="F53" s="85"/>
      <c r="G53" s="25"/>
      <c r="H53" s="26"/>
      <c r="K53" s="70"/>
      <c r="L53" s="70"/>
    </row>
    <row r="54" spans="1:12" ht="37.5" customHeight="1" thickBot="1" x14ac:dyDescent="0.45">
      <c r="A54" s="20">
        <f t="shared" si="29"/>
        <v>0.2</v>
      </c>
      <c r="B54" s="40"/>
      <c r="C54" s="28"/>
      <c r="D54" s="28"/>
      <c r="E54" s="41"/>
      <c r="F54" s="67"/>
      <c r="G54" s="25"/>
      <c r="H54" s="26"/>
      <c r="K54" s="70"/>
      <c r="L54" s="70"/>
    </row>
    <row r="55" spans="1:12" ht="37.5" customHeight="1" thickBot="1" x14ac:dyDescent="0.45">
      <c r="A55" s="20">
        <f t="shared" si="30"/>
        <v>0.3</v>
      </c>
      <c r="B55" s="52"/>
      <c r="C55" s="32"/>
      <c r="D55" s="32"/>
      <c r="E55" s="53"/>
      <c r="F55" s="71"/>
      <c r="G55" s="25"/>
      <c r="H55" s="26"/>
      <c r="K55" s="72"/>
      <c r="L55" s="72"/>
    </row>
    <row r="56" spans="1:12" ht="37.5" customHeight="1" thickBot="1" x14ac:dyDescent="0.45">
      <c r="A56" s="20">
        <f t="shared" si="32"/>
        <v>0.1</v>
      </c>
      <c r="B56" s="73"/>
      <c r="C56" s="36"/>
      <c r="D56" s="36"/>
      <c r="E56" s="74"/>
      <c r="F56" s="75"/>
      <c r="G56" s="39"/>
      <c r="H56" s="26"/>
      <c r="K56" s="76"/>
      <c r="L56" s="76"/>
    </row>
    <row r="57" spans="1:12" ht="37.5" customHeight="1" thickBot="1" x14ac:dyDescent="0.45">
      <c r="A57" s="20">
        <f t="shared" si="29"/>
        <v>0.2</v>
      </c>
      <c r="B57" s="77"/>
      <c r="C57" s="44"/>
      <c r="D57" s="44"/>
      <c r="E57" s="78"/>
      <c r="F57" s="79"/>
      <c r="G57" s="39"/>
      <c r="H57" s="26"/>
      <c r="K57" s="68"/>
      <c r="L57" s="68"/>
    </row>
    <row r="58" spans="1:12" ht="37.5" customHeight="1" thickBot="1" x14ac:dyDescent="0.45">
      <c r="A58" s="20">
        <f t="shared" si="30"/>
        <v>0.3</v>
      </c>
      <c r="B58" s="80"/>
      <c r="C58" s="49"/>
      <c r="D58" s="49"/>
      <c r="E58" s="81"/>
      <c r="F58" s="82"/>
      <c r="G58" s="39"/>
      <c r="H58" s="26"/>
      <c r="K58" s="69"/>
      <c r="L58" s="69"/>
    </row>
    <row r="59" spans="1:12" ht="37.5" customHeight="1" thickBot="1" x14ac:dyDescent="0.45">
      <c r="A59" s="20">
        <f t="shared" si="32"/>
        <v>0.1</v>
      </c>
      <c r="B59" s="83"/>
      <c r="C59" s="22"/>
      <c r="D59" s="22"/>
      <c r="E59" s="84"/>
      <c r="F59" s="85"/>
      <c r="G59" s="25"/>
      <c r="H59" s="26"/>
      <c r="K59" s="70"/>
      <c r="L59" s="70"/>
    </row>
    <row r="60" spans="1:12" ht="37.5" customHeight="1" thickBot="1" x14ac:dyDescent="0.45">
      <c r="A60" s="20">
        <f t="shared" si="29"/>
        <v>0.2</v>
      </c>
      <c r="B60" s="40"/>
      <c r="C60" s="28"/>
      <c r="D60" s="28"/>
      <c r="E60" s="41"/>
      <c r="F60" s="67"/>
      <c r="G60" s="25"/>
      <c r="H60" s="26"/>
      <c r="K60" s="70"/>
      <c r="L60" s="70"/>
    </row>
    <row r="61" spans="1:12" ht="37.5" customHeight="1" thickBot="1" x14ac:dyDescent="0.45">
      <c r="A61" s="20">
        <f t="shared" si="30"/>
        <v>0.3</v>
      </c>
      <c r="B61" s="52"/>
      <c r="C61" s="32"/>
      <c r="D61" s="32"/>
      <c r="E61" s="53"/>
      <c r="F61" s="71"/>
      <c r="G61" s="25"/>
      <c r="H61" s="26"/>
      <c r="K61" s="72"/>
      <c r="L61" s="72"/>
    </row>
    <row r="62" spans="1:12" ht="37.5" customHeight="1" thickBot="1" x14ac:dyDescent="0.45">
      <c r="A62" s="20">
        <f t="shared" si="32"/>
        <v>0.1</v>
      </c>
      <c r="B62" s="73"/>
      <c r="C62" s="36"/>
      <c r="D62" s="36"/>
      <c r="E62" s="74"/>
      <c r="F62" s="75"/>
      <c r="G62" s="39"/>
      <c r="H62" s="26"/>
      <c r="K62" s="76"/>
      <c r="L62" s="76"/>
    </row>
    <row r="63" spans="1:12" ht="37.5" customHeight="1" thickBot="1" x14ac:dyDescent="0.45">
      <c r="A63" s="20">
        <f t="shared" si="29"/>
        <v>0.2</v>
      </c>
      <c r="B63" s="77"/>
      <c r="C63" s="44"/>
      <c r="D63" s="44"/>
      <c r="E63" s="78"/>
      <c r="F63" s="79"/>
      <c r="G63" s="39"/>
      <c r="H63" s="26"/>
      <c r="K63" s="68"/>
      <c r="L63" s="68"/>
    </row>
    <row r="64" spans="1:12" ht="37.5" customHeight="1" thickBot="1" x14ac:dyDescent="0.45">
      <c r="A64" s="20">
        <f t="shared" si="30"/>
        <v>0.3</v>
      </c>
      <c r="B64" s="80"/>
      <c r="C64" s="49"/>
      <c r="D64" s="49"/>
      <c r="E64" s="81"/>
      <c r="F64" s="82"/>
      <c r="G64" s="39"/>
      <c r="H64" s="26"/>
      <c r="K64" s="69"/>
      <c r="L64" s="69"/>
    </row>
    <row r="65" spans="1:12" ht="37.5" customHeight="1" thickBot="1" x14ac:dyDescent="0.45">
      <c r="A65" s="20">
        <f t="shared" si="32"/>
        <v>0.1</v>
      </c>
      <c r="B65" s="83"/>
      <c r="C65" s="22"/>
      <c r="D65" s="22"/>
      <c r="E65" s="84"/>
      <c r="F65" s="85"/>
      <c r="G65" s="25"/>
      <c r="H65" s="26"/>
      <c r="K65" s="70"/>
      <c r="L65" s="70"/>
    </row>
    <row r="66" spans="1:12" ht="37.5" customHeight="1" thickBot="1" x14ac:dyDescent="0.45">
      <c r="A66" s="20">
        <f t="shared" si="29"/>
        <v>0.2</v>
      </c>
      <c r="B66" s="40"/>
      <c r="C66" s="28"/>
      <c r="D66" s="28"/>
      <c r="E66" s="41"/>
      <c r="F66" s="67"/>
      <c r="G66" s="25"/>
      <c r="H66" s="26"/>
      <c r="K66" s="70"/>
      <c r="L66" s="70"/>
    </row>
    <row r="67" spans="1:12" ht="37.5" customHeight="1" thickBot="1" x14ac:dyDescent="0.45">
      <c r="A67" s="20">
        <f t="shared" si="30"/>
        <v>0.3</v>
      </c>
      <c r="B67" s="52"/>
      <c r="C67" s="32"/>
      <c r="D67" s="32"/>
      <c r="E67" s="53"/>
      <c r="F67" s="71"/>
      <c r="G67" s="25"/>
      <c r="H67" s="26"/>
      <c r="K67" s="72"/>
      <c r="L67" s="72"/>
    </row>
    <row r="68" spans="1:12" ht="37.5" customHeight="1" thickBot="1" x14ac:dyDescent="0.45">
      <c r="A68" s="20">
        <f t="shared" si="32"/>
        <v>0.1</v>
      </c>
      <c r="B68" s="73"/>
      <c r="C68" s="36"/>
      <c r="D68" s="36"/>
      <c r="E68" s="74"/>
      <c r="F68" s="75"/>
      <c r="G68" s="39"/>
      <c r="H68" s="26"/>
      <c r="K68" s="76"/>
      <c r="L68" s="76"/>
    </row>
    <row r="69" spans="1:12" ht="37.5" customHeight="1" thickBot="1" x14ac:dyDescent="0.45">
      <c r="A69" s="20">
        <f t="shared" si="29"/>
        <v>0.2</v>
      </c>
      <c r="B69" s="77"/>
      <c r="C69" s="44"/>
      <c r="D69" s="44"/>
      <c r="E69" s="78"/>
      <c r="F69" s="79"/>
      <c r="G69" s="39"/>
      <c r="H69" s="26"/>
      <c r="K69" s="68"/>
      <c r="L69" s="68"/>
    </row>
    <row r="70" spans="1:12" ht="37.5" customHeight="1" thickBot="1" x14ac:dyDescent="0.45">
      <c r="A70" s="20">
        <f t="shared" si="30"/>
        <v>0.3</v>
      </c>
      <c r="B70" s="80"/>
      <c r="C70" s="49"/>
      <c r="D70" s="49"/>
      <c r="E70" s="81"/>
      <c r="F70" s="82"/>
      <c r="G70" s="39"/>
      <c r="H70" s="26"/>
      <c r="K70" s="69"/>
      <c r="L70" s="69"/>
    </row>
    <row r="71" spans="1:12" ht="37.5" customHeight="1" thickBot="1" x14ac:dyDescent="0.45">
      <c r="A71" s="20">
        <f t="shared" si="32"/>
        <v>0.1</v>
      </c>
      <c r="B71" s="83"/>
      <c r="C71" s="22"/>
      <c r="D71" s="22"/>
      <c r="E71" s="84"/>
      <c r="F71" s="85"/>
      <c r="G71" s="25"/>
      <c r="H71" s="26"/>
      <c r="K71" s="70"/>
      <c r="L71" s="70"/>
    </row>
    <row r="72" spans="1:12" ht="37.5" customHeight="1" thickBot="1" x14ac:dyDescent="0.45">
      <c r="A72" s="20">
        <f t="shared" si="29"/>
        <v>0.2</v>
      </c>
      <c r="B72" s="40"/>
      <c r="C72" s="28"/>
      <c r="D72" s="28"/>
      <c r="E72" s="41"/>
      <c r="F72" s="67"/>
      <c r="G72" s="25"/>
      <c r="H72" s="26"/>
      <c r="K72" s="70"/>
      <c r="L72" s="70"/>
    </row>
    <row r="73" spans="1:12" ht="37.5" customHeight="1" thickBot="1" x14ac:dyDescent="0.45">
      <c r="A73" s="20">
        <f t="shared" si="30"/>
        <v>0.3</v>
      </c>
      <c r="B73" s="52"/>
      <c r="C73" s="32"/>
      <c r="D73" s="32"/>
      <c r="E73" s="53"/>
      <c r="F73" s="71"/>
      <c r="G73" s="25"/>
      <c r="H73" s="26"/>
      <c r="K73" s="72"/>
      <c r="L73" s="72"/>
    </row>
    <row r="74" spans="1:12" ht="37.5" customHeight="1" thickBot="1" x14ac:dyDescent="0.45">
      <c r="A74" s="20">
        <f t="shared" si="32"/>
        <v>0.1</v>
      </c>
      <c r="B74" s="73"/>
      <c r="C74" s="36"/>
      <c r="D74" s="36"/>
      <c r="E74" s="74"/>
      <c r="F74" s="75"/>
      <c r="G74" s="39"/>
      <c r="H74" s="26"/>
      <c r="K74" s="76"/>
      <c r="L74" s="76"/>
    </row>
    <row r="75" spans="1:12" ht="37.5" customHeight="1" thickBot="1" x14ac:dyDescent="0.45">
      <c r="A75" s="20">
        <f t="shared" si="29"/>
        <v>0.2</v>
      </c>
      <c r="B75" s="77"/>
      <c r="C75" s="44"/>
      <c r="D75" s="44"/>
      <c r="E75" s="78"/>
      <c r="F75" s="79"/>
      <c r="G75" s="39"/>
      <c r="H75" s="26"/>
      <c r="K75" s="68"/>
    </row>
    <row r="76" spans="1:12" ht="37.5" customHeight="1" thickBot="1" x14ac:dyDescent="0.45">
      <c r="A76" s="20">
        <f t="shared" si="30"/>
        <v>0.3</v>
      </c>
      <c r="B76" s="80"/>
      <c r="C76" s="49"/>
      <c r="D76" s="49"/>
      <c r="E76" s="81"/>
      <c r="F76" s="82"/>
      <c r="G76" s="39"/>
      <c r="H76" s="26"/>
      <c r="K76" s="69"/>
      <c r="L76" s="69"/>
    </row>
    <row r="77" spans="1:12" ht="37.5" customHeight="1" thickBot="1" x14ac:dyDescent="0.45">
      <c r="A77" s="20">
        <f t="shared" si="32"/>
        <v>0.1</v>
      </c>
      <c r="B77" s="83"/>
      <c r="C77" s="22"/>
      <c r="D77" s="22"/>
      <c r="E77" s="84"/>
      <c r="F77" s="85"/>
      <c r="G77" s="25"/>
      <c r="H77" s="26"/>
      <c r="K77" s="70"/>
      <c r="L77" s="70"/>
    </row>
    <row r="78" spans="1:12" ht="37.5" customHeight="1" thickBot="1" x14ac:dyDescent="0.45">
      <c r="A78" s="20">
        <f t="shared" si="29"/>
        <v>0.2</v>
      </c>
      <c r="B78" s="40"/>
      <c r="C78" s="28"/>
      <c r="D78" s="28"/>
      <c r="E78" s="41"/>
      <c r="F78" s="67"/>
      <c r="G78" s="25"/>
      <c r="H78" s="26"/>
      <c r="K78" s="70"/>
      <c r="L78" s="70"/>
    </row>
    <row r="79" spans="1:12" ht="37.5" customHeight="1" thickBot="1" x14ac:dyDescent="0.45">
      <c r="A79" s="20">
        <f t="shared" si="30"/>
        <v>0.3</v>
      </c>
      <c r="B79" s="52"/>
      <c r="C79" s="32"/>
      <c r="D79" s="32"/>
      <c r="E79" s="53"/>
      <c r="F79" s="71"/>
      <c r="G79" s="25"/>
      <c r="H79" s="26"/>
      <c r="K79" s="72"/>
      <c r="L79" s="72"/>
    </row>
    <row r="80" spans="1:12" ht="37.5" customHeight="1" thickBot="1" x14ac:dyDescent="0.45">
      <c r="A80" s="20">
        <f t="shared" si="32"/>
        <v>0.1</v>
      </c>
      <c r="B80" s="73"/>
      <c r="C80" s="36"/>
      <c r="D80" s="36"/>
      <c r="E80" s="74"/>
      <c r="F80" s="75"/>
      <c r="G80" s="39"/>
      <c r="H80" s="26"/>
      <c r="K80" s="76"/>
      <c r="L80" s="76"/>
    </row>
    <row r="81" spans="1:12" ht="37.5" customHeight="1" thickBot="1" x14ac:dyDescent="0.45">
      <c r="A81" s="20">
        <f t="shared" si="29"/>
        <v>0.2</v>
      </c>
      <c r="B81" s="77"/>
      <c r="C81" s="44"/>
      <c r="D81" s="44"/>
      <c r="E81" s="78"/>
      <c r="F81" s="79"/>
      <c r="G81" s="39"/>
      <c r="H81" s="26"/>
      <c r="K81" s="68"/>
      <c r="L81" s="68"/>
    </row>
    <row r="82" spans="1:12" ht="37.5" customHeight="1" thickBot="1" x14ac:dyDescent="0.45">
      <c r="A82" s="20">
        <f t="shared" si="30"/>
        <v>0.3</v>
      </c>
      <c r="B82" s="80"/>
      <c r="C82" s="49"/>
      <c r="D82" s="49"/>
      <c r="E82" s="81"/>
      <c r="F82" s="82"/>
      <c r="G82" s="39"/>
      <c r="H82" s="26"/>
      <c r="K82" s="69"/>
      <c r="L82" s="69"/>
    </row>
    <row r="83" spans="1:12" ht="37.5" customHeight="1" thickBot="1" x14ac:dyDescent="0.45">
      <c r="A83" s="20">
        <f t="shared" si="32"/>
        <v>0.1</v>
      </c>
      <c r="B83" s="83"/>
      <c r="C83" s="22"/>
      <c r="D83" s="22"/>
      <c r="E83" s="84"/>
      <c r="F83" s="85"/>
      <c r="G83" s="25"/>
      <c r="H83" s="26"/>
      <c r="K83" s="70"/>
      <c r="L83" s="70"/>
    </row>
    <row r="84" spans="1:12" ht="37.5" customHeight="1" thickBot="1" x14ac:dyDescent="0.45">
      <c r="A84" s="20">
        <f t="shared" si="29"/>
        <v>0.2</v>
      </c>
      <c r="B84" s="40"/>
      <c r="C84" s="28"/>
      <c r="D84" s="28"/>
      <c r="E84" s="41"/>
      <c r="F84" s="67"/>
      <c r="G84" s="25"/>
      <c r="H84" s="26"/>
      <c r="K84" s="70"/>
      <c r="L84" s="70"/>
    </row>
    <row r="85" spans="1:12" ht="37.5" customHeight="1" thickBot="1" x14ac:dyDescent="0.45">
      <c r="A85" s="20">
        <f t="shared" si="30"/>
        <v>0.3</v>
      </c>
      <c r="B85" s="52"/>
      <c r="C85" s="32"/>
      <c r="D85" s="32"/>
      <c r="E85" s="53"/>
      <c r="F85" s="71"/>
      <c r="G85" s="25"/>
      <c r="H85" s="26"/>
      <c r="K85" s="72"/>
      <c r="L85" s="72"/>
    </row>
    <row r="86" spans="1:12" ht="37.5" customHeight="1" thickBot="1" x14ac:dyDescent="0.45">
      <c r="A86" s="20">
        <f t="shared" si="32"/>
        <v>0.1</v>
      </c>
      <c r="B86" s="73"/>
      <c r="C86" s="36"/>
      <c r="D86" s="36"/>
      <c r="E86" s="74"/>
      <c r="F86" s="75"/>
      <c r="G86" s="39"/>
      <c r="H86" s="26"/>
      <c r="K86" s="76"/>
      <c r="L86" s="76"/>
    </row>
    <row r="87" spans="1:12" ht="37.5" customHeight="1" thickBot="1" x14ac:dyDescent="0.45">
      <c r="A87" s="20">
        <f t="shared" si="29"/>
        <v>0.2</v>
      </c>
      <c r="B87" s="77"/>
      <c r="C87" s="44"/>
      <c r="D87" s="44"/>
      <c r="E87" s="78"/>
      <c r="F87" s="79"/>
      <c r="G87" s="39"/>
      <c r="K87" s="68"/>
      <c r="L87" s="68"/>
    </row>
    <row r="88" spans="1:12" ht="37.5" customHeight="1" thickBot="1" x14ac:dyDescent="0.45">
      <c r="A88" s="20">
        <f t="shared" si="30"/>
        <v>0.3</v>
      </c>
      <c r="B88" s="80"/>
      <c r="C88" s="49"/>
      <c r="D88" s="49"/>
      <c r="E88" s="81"/>
      <c r="F88" s="82"/>
      <c r="G88" s="39"/>
      <c r="K88" s="69"/>
      <c r="L88" s="69"/>
    </row>
    <row r="89" spans="1:12" ht="37.5" customHeight="1" thickBot="1" x14ac:dyDescent="0.45">
      <c r="A89" s="20">
        <f t="shared" si="32"/>
        <v>0.1</v>
      </c>
      <c r="B89" s="83"/>
      <c r="C89" s="22"/>
      <c r="D89" s="22"/>
      <c r="E89" s="84"/>
      <c r="F89" s="84"/>
      <c r="G89" s="86"/>
      <c r="K89" s="70"/>
      <c r="L89" s="70"/>
    </row>
    <row r="90" spans="1:12" ht="37.5" customHeight="1" thickBot="1" x14ac:dyDescent="0.45">
      <c r="A90" s="20">
        <f t="shared" ref="A90" si="33">G90+0.2</f>
        <v>0.2</v>
      </c>
      <c r="B90" s="40"/>
      <c r="C90" s="28"/>
      <c r="D90" s="28"/>
      <c r="E90" s="41"/>
      <c r="F90" s="41"/>
      <c r="G90" s="86"/>
      <c r="K90" s="70"/>
      <c r="L90" s="70"/>
    </row>
    <row r="91" spans="1:12" ht="37.5" customHeight="1" thickBot="1" x14ac:dyDescent="0.45">
      <c r="A91" s="20">
        <f t="shared" ref="A91" si="34">G91+0.3</f>
        <v>0.3</v>
      </c>
      <c r="B91" s="40"/>
      <c r="C91" s="28"/>
      <c r="D91" s="28"/>
      <c r="E91" s="41"/>
      <c r="F91" s="41"/>
      <c r="G91" s="86"/>
      <c r="K91" s="72"/>
      <c r="L91" s="72"/>
    </row>
    <row r="92" spans="1:12" ht="37.5" customHeight="1" thickBot="1" x14ac:dyDescent="0.45">
      <c r="A92" s="20">
        <f>G92+0.4</f>
        <v>0.4</v>
      </c>
      <c r="B92" s="52"/>
      <c r="C92" s="32"/>
      <c r="D92" s="32"/>
      <c r="E92" s="53"/>
      <c r="F92" s="53"/>
      <c r="G92" s="86"/>
      <c r="K92" s="76"/>
      <c r="L92" s="76"/>
    </row>
    <row r="93" spans="1:12" ht="37.5" customHeight="1" thickBot="1" x14ac:dyDescent="0.45">
      <c r="A93" s="20">
        <f t="shared" ref="A93" si="35">G93+0.1</f>
        <v>0.1</v>
      </c>
      <c r="B93" s="73"/>
      <c r="C93" s="36"/>
      <c r="D93" s="36"/>
      <c r="E93" s="74"/>
      <c r="F93" s="74"/>
      <c r="G93" s="87"/>
      <c r="K93" s="68"/>
      <c r="L93" s="68"/>
    </row>
    <row r="94" spans="1:12" ht="37.5" customHeight="1" thickBot="1" x14ac:dyDescent="0.45">
      <c r="A94" s="20">
        <f t="shared" ref="A94" si="36">G94+0.2</f>
        <v>0.2</v>
      </c>
      <c r="B94" s="77"/>
      <c r="C94" s="44"/>
      <c r="D94" s="44"/>
      <c r="E94" s="78"/>
      <c r="F94" s="78"/>
      <c r="G94" s="87"/>
      <c r="K94" s="69"/>
      <c r="L94" s="69"/>
    </row>
    <row r="95" spans="1:12" ht="37.5" customHeight="1" thickBot="1" x14ac:dyDescent="0.45">
      <c r="A95" s="20">
        <f t="shared" ref="A95" si="37">G95+0.3</f>
        <v>0.3</v>
      </c>
      <c r="B95" s="77"/>
      <c r="C95" s="44"/>
      <c r="D95" s="44"/>
      <c r="E95" s="78"/>
      <c r="F95" s="78"/>
      <c r="G95" s="87"/>
      <c r="K95" s="70"/>
      <c r="L95" s="70"/>
    </row>
    <row r="96" spans="1:12" ht="37.5" customHeight="1" thickBot="1" x14ac:dyDescent="0.45">
      <c r="A96" s="20">
        <f>G96+0.4</f>
        <v>0.4</v>
      </c>
      <c r="B96" s="80"/>
      <c r="C96" s="49"/>
      <c r="D96" s="49"/>
      <c r="E96" s="81"/>
      <c r="F96" s="81"/>
      <c r="G96" s="87"/>
      <c r="K96" s="70"/>
      <c r="L96" s="70"/>
    </row>
    <row r="97" spans="1:12" ht="24" thickBot="1" x14ac:dyDescent="0.3">
      <c r="A97" s="16">
        <f t="shared" ref="A97" si="38">G97+0.3</f>
        <v>0.3</v>
      </c>
      <c r="B97" s="52" t="s">
        <v>10</v>
      </c>
      <c r="C97" s="32" t="s">
        <v>11</v>
      </c>
      <c r="D97" s="32" t="s">
        <v>11</v>
      </c>
      <c r="E97" s="53"/>
      <c r="F97" s="71"/>
      <c r="G97" s="88"/>
      <c r="K97" s="72"/>
      <c r="L97" s="72"/>
    </row>
    <row r="98" spans="1:12" ht="24" thickBot="1" x14ac:dyDescent="0.3">
      <c r="A98" s="16">
        <f t="shared" ref="A98" si="39">G98+0.1</f>
        <v>0.1</v>
      </c>
      <c r="B98" s="89"/>
      <c r="C98" s="90"/>
      <c r="D98" s="90"/>
      <c r="E98" s="76"/>
      <c r="F98" s="76"/>
      <c r="G98" s="25"/>
      <c r="K98" s="76"/>
      <c r="L98" s="76"/>
    </row>
    <row r="99" spans="1:12" ht="24" thickBot="1" x14ac:dyDescent="0.3">
      <c r="A99" s="16">
        <f t="shared" ref="A99" si="40">G99+0.2</f>
        <v>0.2</v>
      </c>
      <c r="B99" s="91"/>
      <c r="C99" s="92"/>
      <c r="D99" s="92"/>
      <c r="E99" s="68"/>
      <c r="F99" s="68"/>
      <c r="G99" s="25"/>
      <c r="K99" s="68"/>
      <c r="L99" s="68"/>
    </row>
    <row r="100" spans="1:12" ht="24" thickBot="1" x14ac:dyDescent="0.3">
      <c r="A100" s="16">
        <f t="shared" ref="A100" si="41">G100+0.3</f>
        <v>0.3</v>
      </c>
      <c r="B100" s="93"/>
      <c r="C100" s="94"/>
      <c r="D100" s="94"/>
      <c r="E100" s="69"/>
      <c r="F100" s="69"/>
      <c r="G100" s="25"/>
      <c r="K100" s="69"/>
      <c r="L100" s="69"/>
    </row>
    <row r="101" spans="1:12" ht="24" thickBot="1" x14ac:dyDescent="0.3">
      <c r="A101" s="16">
        <f t="shared" ref="A101" si="42">G101+0.1</f>
        <v>0.1</v>
      </c>
      <c r="B101" s="95"/>
      <c r="C101" s="96"/>
      <c r="D101" s="96"/>
      <c r="E101" s="70"/>
      <c r="F101" s="70"/>
      <c r="G101" s="25"/>
      <c r="K101" s="70"/>
      <c r="L101" s="70"/>
    </row>
    <row r="102" spans="1:12" ht="24" thickBot="1" x14ac:dyDescent="0.3">
      <c r="A102" s="16">
        <f t="shared" ref="A102" si="43">G102+0.2</f>
        <v>0.2</v>
      </c>
      <c r="B102" s="95"/>
      <c r="C102" s="96"/>
      <c r="D102" s="96"/>
      <c r="E102" s="70"/>
      <c r="F102" s="70"/>
      <c r="G102" s="25"/>
      <c r="K102" s="70"/>
      <c r="L102" s="70"/>
    </row>
    <row r="103" spans="1:12" ht="24" thickBot="1" x14ac:dyDescent="0.3">
      <c r="A103" s="16">
        <f t="shared" ref="A103" si="44">G103+0.3</f>
        <v>0.3</v>
      </c>
      <c r="B103" s="97"/>
      <c r="C103" s="98"/>
      <c r="D103" s="98"/>
      <c r="E103" s="72"/>
      <c r="F103" s="72"/>
      <c r="G103" s="25"/>
      <c r="K103" s="72"/>
      <c r="L103" s="72"/>
    </row>
    <row r="104" spans="1:12" ht="24" thickBot="1" x14ac:dyDescent="0.3">
      <c r="A104" s="16">
        <f t="shared" ref="A104" si="45">G104+0.1</f>
        <v>0.1</v>
      </c>
      <c r="B104" s="89"/>
      <c r="C104" s="90"/>
      <c r="D104" s="90"/>
      <c r="E104" s="76"/>
      <c r="F104" s="76"/>
      <c r="G104" s="25"/>
      <c r="K104" s="76"/>
      <c r="L104" s="76"/>
    </row>
    <row r="105" spans="1:12" ht="24" thickBot="1" x14ac:dyDescent="0.3">
      <c r="A105" s="16">
        <f t="shared" ref="A105" si="46">G105+0.2</f>
        <v>0.2</v>
      </c>
      <c r="B105" s="91"/>
      <c r="C105" s="92"/>
      <c r="D105" s="92"/>
      <c r="E105" s="68"/>
      <c r="F105" s="68"/>
      <c r="G105" s="25"/>
      <c r="K105" s="68"/>
      <c r="L105" s="68"/>
    </row>
    <row r="106" spans="1:12" ht="24" thickBot="1" x14ac:dyDescent="0.3">
      <c r="A106" s="16">
        <f t="shared" ref="A106" si="47">G106+0.3</f>
        <v>0.3</v>
      </c>
      <c r="B106" s="93"/>
      <c r="C106" s="94"/>
      <c r="D106" s="94"/>
      <c r="E106" s="69"/>
      <c r="F106" s="69"/>
      <c r="G106" s="25"/>
      <c r="K106" s="69"/>
      <c r="L106" s="69"/>
    </row>
    <row r="107" spans="1:12" ht="24" thickBot="1" x14ac:dyDescent="0.3">
      <c r="A107" s="16">
        <f t="shared" ref="A107" si="48">G107+0.1</f>
        <v>0.1</v>
      </c>
      <c r="B107" s="95"/>
      <c r="C107" s="96"/>
      <c r="D107" s="96"/>
      <c r="E107" s="70"/>
      <c r="F107" s="70"/>
      <c r="G107" s="25"/>
      <c r="K107" s="70"/>
      <c r="L107" s="70"/>
    </row>
    <row r="108" spans="1:12" ht="24" thickBot="1" x14ac:dyDescent="0.3">
      <c r="A108" s="16">
        <f t="shared" ref="A108" si="49">G108+0.2</f>
        <v>0.2</v>
      </c>
      <c r="B108" s="95"/>
      <c r="C108" s="96"/>
      <c r="D108" s="96"/>
      <c r="E108" s="70"/>
      <c r="F108" s="70"/>
      <c r="G108" s="25"/>
      <c r="K108" s="70"/>
      <c r="L108" s="70"/>
    </row>
    <row r="109" spans="1:12" ht="24" thickBot="1" x14ac:dyDescent="0.3">
      <c r="A109" s="16">
        <f t="shared" ref="A109" si="50">G109+0.3</f>
        <v>0.3</v>
      </c>
      <c r="B109" s="97"/>
      <c r="C109" s="98"/>
      <c r="D109" s="98"/>
      <c r="E109" s="72"/>
      <c r="F109" s="72"/>
      <c r="G109" s="25"/>
      <c r="K109" s="72"/>
      <c r="L109" s="72"/>
    </row>
    <row r="110" spans="1:12" ht="24" thickBot="1" x14ac:dyDescent="0.3">
      <c r="A110" s="16">
        <f t="shared" ref="A110" si="51">G110+0.1</f>
        <v>0.1</v>
      </c>
      <c r="B110" s="89"/>
      <c r="C110" s="90"/>
      <c r="D110" s="90"/>
      <c r="E110" s="76"/>
      <c r="F110" s="76"/>
      <c r="G110" s="25"/>
      <c r="K110" s="76"/>
      <c r="L110" s="76"/>
    </row>
    <row r="111" spans="1:12" ht="24" thickBot="1" x14ac:dyDescent="0.3">
      <c r="A111" s="16">
        <f t="shared" ref="A111" si="52">G111+0.2</f>
        <v>0.2</v>
      </c>
      <c r="B111" s="91"/>
      <c r="C111" s="92"/>
      <c r="D111" s="92"/>
      <c r="E111" s="68"/>
      <c r="F111" s="68"/>
      <c r="G111" s="25"/>
      <c r="K111" s="68"/>
      <c r="L111" s="68"/>
    </row>
    <row r="112" spans="1:12" ht="24" thickBot="1" x14ac:dyDescent="0.3">
      <c r="A112" s="16">
        <f t="shared" ref="A112" si="53">G112+0.3</f>
        <v>0.3</v>
      </c>
      <c r="B112" s="93"/>
      <c r="C112" s="94"/>
      <c r="D112" s="94"/>
      <c r="E112" s="69"/>
      <c r="F112" s="69"/>
      <c r="G112" s="25"/>
      <c r="K112" s="69"/>
      <c r="L112" s="69"/>
    </row>
    <row r="113" spans="1:12" ht="24" thickBot="1" x14ac:dyDescent="0.3">
      <c r="A113" s="16">
        <f t="shared" ref="A113" si="54">G113+0.1</f>
        <v>0.1</v>
      </c>
      <c r="B113" s="95"/>
      <c r="C113" s="96"/>
      <c r="D113" s="96"/>
      <c r="E113" s="70"/>
      <c r="F113" s="70"/>
      <c r="G113" s="25"/>
      <c r="K113" s="70"/>
      <c r="L113" s="70"/>
    </row>
    <row r="114" spans="1:12" ht="24" thickBot="1" x14ac:dyDescent="0.3">
      <c r="A114" s="16">
        <f t="shared" ref="A114" si="55">G114+0.2</f>
        <v>0.2</v>
      </c>
      <c r="B114" s="95"/>
      <c r="C114" s="96"/>
      <c r="D114" s="96"/>
      <c r="E114" s="70"/>
      <c r="F114" s="70"/>
      <c r="G114" s="25"/>
      <c r="K114" s="70"/>
      <c r="L114" s="70"/>
    </row>
    <row r="115" spans="1:12" ht="24" thickBot="1" x14ac:dyDescent="0.3">
      <c r="A115" s="16">
        <f t="shared" ref="A115" si="56">G115+0.3</f>
        <v>0.3</v>
      </c>
      <c r="B115" s="97"/>
      <c r="C115" s="98"/>
      <c r="D115" s="98"/>
      <c r="E115" s="72"/>
      <c r="F115" s="72"/>
      <c r="G115" s="25"/>
      <c r="K115" s="72"/>
      <c r="L115" s="72"/>
    </row>
    <row r="116" spans="1:12" ht="24" thickBot="1" x14ac:dyDescent="0.3">
      <c r="A116" s="16">
        <f>G116+0.1</f>
        <v>0.1</v>
      </c>
      <c r="B116" s="89"/>
      <c r="C116" s="90"/>
      <c r="D116" s="90"/>
      <c r="E116" s="76"/>
      <c r="F116" s="76"/>
      <c r="G116" s="25"/>
      <c r="K116" s="76"/>
      <c r="L116" s="76"/>
    </row>
    <row r="117" spans="1:12" ht="24" thickBot="1" x14ac:dyDescent="0.3">
      <c r="A117" s="16">
        <f>G117+0.2</f>
        <v>0.2</v>
      </c>
      <c r="B117" s="91"/>
      <c r="C117" s="92"/>
      <c r="D117" s="92"/>
      <c r="E117" s="68"/>
      <c r="F117" s="68"/>
      <c r="G117" s="25"/>
      <c r="K117" s="68"/>
      <c r="L117" s="68"/>
    </row>
    <row r="118" spans="1:12" ht="24" thickBot="1" x14ac:dyDescent="0.3">
      <c r="A118" s="16">
        <f>G118+0.3</f>
        <v>0.3</v>
      </c>
      <c r="B118" s="91"/>
      <c r="C118" s="92"/>
      <c r="D118" s="92"/>
      <c r="E118" s="68"/>
      <c r="F118" s="68"/>
      <c r="G118" s="25"/>
      <c r="K118" s="68"/>
      <c r="L118" s="68"/>
    </row>
    <row r="119" spans="1:12" ht="24" thickBot="1" x14ac:dyDescent="0.3">
      <c r="A119" s="16">
        <f>G119+0.4</f>
        <v>0.4</v>
      </c>
      <c r="B119" s="93"/>
      <c r="C119" s="94"/>
      <c r="D119" s="94"/>
      <c r="E119" s="69"/>
      <c r="F119" s="69"/>
      <c r="G119" s="25"/>
      <c r="K119" s="69"/>
      <c r="L119" s="69"/>
    </row>
  </sheetData>
  <mergeCells count="2">
    <mergeCell ref="B1:G1"/>
    <mergeCell ref="B2:G3"/>
  </mergeCells>
  <pageMargins left="0.7" right="0.7" top="0.75" bottom="0.75" header="0.3" footer="0.3"/>
  <pageSetup scale="19" orientation="portrait" r:id="rId1"/>
  <rowBreaks count="1" manualBreakCount="1">
    <brk id="48" max="16383" man="1"/>
  </rowBreaks>
  <colBreaks count="1" manualBreakCount="1">
    <brk id="2" max="9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075E5-3958-4E9E-B66C-7FBFE7181EB0}">
  <sheetPr codeName="Sheet4">
    <pageSetUpPr fitToPage="1"/>
  </sheetPr>
  <dimension ref="A2:M35"/>
  <sheetViews>
    <sheetView topLeftCell="A22" zoomScale="115" zoomScaleNormal="115" workbookViewId="0">
      <selection activeCell="E38" sqref="E38"/>
    </sheetView>
  </sheetViews>
  <sheetFormatPr defaultColWidth="9.140625" defaultRowHeight="15" x14ac:dyDescent="0.25"/>
  <cols>
    <col min="1" max="1" width="4" style="16" bestFit="1" customWidth="1"/>
    <col min="2" max="2" width="11" style="16" customWidth="1"/>
    <col min="3" max="3" width="7.28515625" style="16" customWidth="1"/>
    <col min="4" max="4" width="28.140625" style="16" bestFit="1" customWidth="1"/>
    <col min="5" max="5" width="11.42578125" style="16" bestFit="1" customWidth="1"/>
    <col min="6" max="6" width="10.42578125" style="16" bestFit="1" customWidth="1"/>
    <col min="7" max="7" width="10.7109375" style="16" customWidth="1"/>
    <col min="8" max="9" width="10.7109375" style="16" hidden="1" customWidth="1"/>
    <col min="10" max="10" width="11.7109375" style="16" customWidth="1"/>
    <col min="11" max="11" width="11.42578125" style="16" customWidth="1"/>
    <col min="12" max="16384" width="9.140625" style="16"/>
  </cols>
  <sheetData>
    <row r="2" spans="1:13" x14ac:dyDescent="0.25">
      <c r="B2" s="367"/>
      <c r="C2" s="367"/>
      <c r="D2" s="367"/>
      <c r="E2" s="367"/>
      <c r="F2" s="367"/>
      <c r="G2" s="367"/>
      <c r="H2" s="367"/>
      <c r="I2" s="367"/>
      <c r="J2" s="367"/>
    </row>
    <row r="3" spans="1:13" x14ac:dyDescent="0.25">
      <c r="B3" s="367"/>
      <c r="C3" s="367"/>
      <c r="D3" s="367"/>
      <c r="E3" s="367"/>
      <c r="F3" s="367"/>
      <c r="G3" s="367"/>
      <c r="H3" s="367"/>
      <c r="I3" s="367"/>
      <c r="J3" s="367"/>
    </row>
    <row r="4" spans="1:13" ht="15" customHeight="1" thickBot="1" x14ac:dyDescent="0.3">
      <c r="B4" s="367"/>
      <c r="C4" s="367"/>
      <c r="D4" s="367"/>
      <c r="E4" s="367"/>
      <c r="F4" s="367"/>
      <c r="G4" s="367"/>
      <c r="H4" s="367"/>
      <c r="I4" s="367"/>
      <c r="J4" s="367"/>
    </row>
    <row r="5" spans="1:13" ht="15.75" customHeight="1" x14ac:dyDescent="0.25">
      <c r="B5" s="367"/>
      <c r="C5" s="367"/>
      <c r="D5" s="367"/>
      <c r="E5" s="367"/>
      <c r="F5" s="367"/>
      <c r="G5" s="367"/>
      <c r="H5" s="367"/>
      <c r="I5" s="367"/>
      <c r="J5" s="367"/>
      <c r="L5" s="368" t="s">
        <v>12</v>
      </c>
      <c r="M5" s="368"/>
    </row>
    <row r="6" spans="1:13" ht="26.25" customHeight="1" x14ac:dyDescent="0.25">
      <c r="B6" s="367"/>
      <c r="C6" s="367"/>
      <c r="D6" s="367"/>
      <c r="E6" s="367"/>
      <c r="F6" s="367"/>
      <c r="G6" s="367"/>
      <c r="H6" s="367"/>
      <c r="I6" s="367"/>
      <c r="J6" s="367"/>
      <c r="L6" s="369"/>
      <c r="M6" s="369"/>
    </row>
    <row r="7" spans="1:13" ht="26.25" customHeight="1" x14ac:dyDescent="0.35">
      <c r="C7" s="100"/>
      <c r="D7" s="100"/>
      <c r="G7" s="100" t="s">
        <v>13</v>
      </c>
      <c r="H7" s="100"/>
      <c r="I7" s="100"/>
      <c r="J7" s="101">
        <f ca="1">TODAY()</f>
        <v>46288</v>
      </c>
      <c r="L7" s="369"/>
      <c r="M7" s="369"/>
    </row>
    <row r="8" spans="1:13" ht="26.25" customHeight="1" x14ac:dyDescent="0.35">
      <c r="C8" s="100"/>
      <c r="D8" s="100"/>
      <c r="L8" s="369"/>
      <c r="M8" s="369"/>
    </row>
    <row r="9" spans="1:13" ht="21" customHeight="1" x14ac:dyDescent="0.35">
      <c r="B9" s="102" t="s">
        <v>14</v>
      </c>
      <c r="C9" s="103"/>
      <c r="D9" s="104" t="str">
        <f>Inscripciones!B2</f>
        <v>U9 MASCULINO</v>
      </c>
      <c r="E9" s="102" t="s">
        <v>15</v>
      </c>
      <c r="F9" s="104">
        <v>1</v>
      </c>
      <c r="G9" s="102" t="s">
        <v>16</v>
      </c>
      <c r="H9" s="102"/>
      <c r="I9" s="102"/>
      <c r="J9" s="105"/>
    </row>
    <row r="10" spans="1:13" ht="21" customHeight="1" x14ac:dyDescent="0.25"/>
    <row r="11" spans="1:13" ht="21" customHeight="1" x14ac:dyDescent="0.25">
      <c r="B11" s="106" t="s">
        <v>17</v>
      </c>
      <c r="C11" s="106" t="s">
        <v>18</v>
      </c>
      <c r="D11" s="106" t="s">
        <v>19</v>
      </c>
      <c r="E11" s="106" t="s">
        <v>20</v>
      </c>
      <c r="F11" s="106" t="s">
        <v>21</v>
      </c>
      <c r="G11" s="106" t="s">
        <v>22</v>
      </c>
      <c r="H11" s="106"/>
      <c r="I11" s="106"/>
      <c r="J11" s="107"/>
    </row>
    <row r="12" spans="1:13" ht="21" customHeight="1" x14ac:dyDescent="0.35">
      <c r="A12" s="16">
        <f>F9+0.1</f>
        <v>1.1000000000000001</v>
      </c>
      <c r="B12" s="108">
        <v>1</v>
      </c>
      <c r="C12" s="109">
        <f>VLOOKUP(A12,Inscripciones!A5:G167,2,FALSE)</f>
        <v>4295</v>
      </c>
      <c r="D12" s="110" t="str">
        <f>IF(ISBLANK(C12),"",VLOOKUP(C12,Inscripciones!$B$5:$F$200,2,FALSE))</f>
        <v>RICARDO MATEO CHAVES LEÓN</v>
      </c>
      <c r="E12" s="111" t="str">
        <f>IF(ISBLANK(C12),"",VLOOKUP(C12,Inscripciones!$B$5:$F$200,3,FALSE))</f>
        <v>ESPARZA</v>
      </c>
      <c r="F12" s="111">
        <f>IF(ISBLANK(C12),"",VLOOKUP(C12,Inscripciones!$B$5:$F$200,4,FALSE))</f>
        <v>1</v>
      </c>
      <c r="G12" s="111">
        <f>IF(ISBLANK(C12),"",VLOOKUP(C12,Inscripciones!$B$5:$F$200,5,FALSE))</f>
        <v>676</v>
      </c>
      <c r="H12" s="112"/>
      <c r="I12" s="112"/>
      <c r="J12" s="16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6">
        <f>F9+0.2</f>
        <v>1.2</v>
      </c>
      <c r="B13" s="108">
        <v>2</v>
      </c>
      <c r="C13" s="109">
        <f>VLOOKUP(A13,Inscripciones!A5:G168,2,FALSE)</f>
        <v>4718</v>
      </c>
      <c r="D13" s="110" t="str">
        <f>IF(ISBLANK(C13),"",VLOOKUP(C13,Inscripciones!$B$5:$F$200,2,FALSE))</f>
        <v>OWEN CABEZAS HAY</v>
      </c>
      <c r="E13" s="111" t="str">
        <f>IF(ISBLANK(C13),"",VLOOKUP(C13,Inscripciones!$B$5:$F$200,3,FALSE))</f>
        <v>CORREDORES</v>
      </c>
      <c r="F13" s="111">
        <f>IF(ISBLANK(C13),"",VLOOKUP(C13,Inscripciones!$B$5:$F$200,4,FALSE))</f>
        <v>9</v>
      </c>
      <c r="G13" s="111">
        <f>IF(ISBLANK(C13),"",VLOOKUP(C13,Inscripciones!$B$5:$F$200,5,FALSE))</f>
        <v>483</v>
      </c>
      <c r="H13" s="112"/>
      <c r="I13" s="112"/>
      <c r="J13" s="16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6">
        <f>+F9+0.3</f>
        <v>1.3</v>
      </c>
      <c r="B14" s="108">
        <v>3</v>
      </c>
      <c r="C14" s="109">
        <f>VLOOKUP(A14,Inscripciones!A6:G169,2,FALSE)</f>
        <v>4834</v>
      </c>
      <c r="D14" s="110" t="str">
        <f>IF(ISBLANK(C14),"",VLOOKUP(C14,Inscripciones!$B$7:$F$200,2,FALSE))</f>
        <v>PEDRO RIMOLO VILLAGRA</v>
      </c>
      <c r="E14" s="111" t="str">
        <f>IF(ISBLANK(C14),"",VLOOKUP(C14,Inscripciones!$B$7:$F$200,3,FALSE))</f>
        <v>CURRIDABAT</v>
      </c>
      <c r="F14" s="111">
        <f>IF(ISBLANK(C14),"",VLOOKUP(C14,Inscripciones!$B$7:$F$200,4,FALSE))</f>
        <v>10</v>
      </c>
      <c r="G14" s="111">
        <f>IF(ISBLANK(C14),"",VLOOKUP(C14,Inscripciones!$B$7:$F$200,5,FALSE))</f>
        <v>481</v>
      </c>
      <c r="H14" s="112"/>
      <c r="I14" s="112"/>
      <c r="J14" s="16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3" t="s">
        <v>23</v>
      </c>
      <c r="C17" s="113"/>
      <c r="D17" s="113" t="s">
        <v>24</v>
      </c>
      <c r="E17" s="113" t="s">
        <v>25</v>
      </c>
      <c r="F17" s="113" t="s">
        <v>26</v>
      </c>
      <c r="G17" s="113" t="s">
        <v>27</v>
      </c>
      <c r="H17" s="113" t="s">
        <v>28</v>
      </c>
      <c r="I17" s="113" t="s">
        <v>29</v>
      </c>
      <c r="J17" s="114" t="s">
        <v>30</v>
      </c>
    </row>
    <row r="18" spans="2:10" ht="21" customHeight="1" x14ac:dyDescent="0.25">
      <c r="B18" s="115">
        <v>1</v>
      </c>
      <c r="C18" s="116">
        <v>1</v>
      </c>
      <c r="D18" s="117" t="str">
        <f>D12</f>
        <v>RICARDO MATEO CHAVES LEÓN</v>
      </c>
      <c r="E18" s="118">
        <v>11</v>
      </c>
      <c r="F18" s="118">
        <v>11</v>
      </c>
      <c r="G18" s="118"/>
      <c r="H18" s="118"/>
      <c r="I18" s="118"/>
      <c r="J18" s="370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19"/>
      <c r="C19" s="116">
        <v>3</v>
      </c>
      <c r="D19" s="117" t="str">
        <f>D14</f>
        <v>PEDRO RIMOLO VILLAGRA</v>
      </c>
      <c r="E19" s="118">
        <v>1</v>
      </c>
      <c r="F19" s="118">
        <v>6</v>
      </c>
      <c r="G19" s="118"/>
      <c r="H19" s="118"/>
      <c r="I19" s="118"/>
      <c r="J19" s="371"/>
    </row>
    <row r="20" spans="2:10" ht="21" customHeight="1" x14ac:dyDescent="0.25">
      <c r="B20" s="115">
        <v>2</v>
      </c>
      <c r="C20" s="118">
        <v>1</v>
      </c>
      <c r="D20" s="117" t="str">
        <f>D12</f>
        <v>RICARDO MATEO CHAVES LEÓN</v>
      </c>
      <c r="E20" s="118">
        <v>11</v>
      </c>
      <c r="F20" s="118">
        <v>11</v>
      </c>
      <c r="G20" s="118"/>
      <c r="H20" s="118"/>
      <c r="I20" s="118"/>
      <c r="J20" s="370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19"/>
      <c r="C21" s="118">
        <v>2</v>
      </c>
      <c r="D21" s="117" t="str">
        <f>D13</f>
        <v>OWEN CABEZAS HAY</v>
      </c>
      <c r="E21" s="118">
        <v>3</v>
      </c>
      <c r="F21" s="118">
        <v>8</v>
      </c>
      <c r="G21" s="118"/>
      <c r="H21" s="118"/>
      <c r="I21" s="118"/>
      <c r="J21" s="371"/>
    </row>
    <row r="22" spans="2:10" ht="21" customHeight="1" x14ac:dyDescent="0.25">
      <c r="B22" s="115">
        <v>3</v>
      </c>
      <c r="C22" s="118">
        <v>2</v>
      </c>
      <c r="D22" s="117" t="str">
        <f>D13</f>
        <v>OWEN CABEZAS HAY</v>
      </c>
      <c r="E22" s="118">
        <v>11</v>
      </c>
      <c r="F22" s="118">
        <v>8</v>
      </c>
      <c r="G22" s="118">
        <v>11</v>
      </c>
      <c r="H22" s="118"/>
      <c r="I22" s="118"/>
      <c r="J22" s="370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3</v>
      </c>
    </row>
    <row r="23" spans="2:10" ht="21" customHeight="1" x14ac:dyDescent="0.25">
      <c r="B23" s="119"/>
      <c r="C23" s="118">
        <v>3</v>
      </c>
      <c r="D23" s="117" t="str">
        <f>D14</f>
        <v>PEDRO RIMOLO VILLAGRA</v>
      </c>
      <c r="E23" s="118">
        <v>6</v>
      </c>
      <c r="F23" s="118">
        <v>11</v>
      </c>
      <c r="G23" s="118">
        <v>13</v>
      </c>
      <c r="H23" s="118"/>
      <c r="I23" s="118"/>
      <c r="J23" s="371"/>
    </row>
    <row r="24" spans="2:10" ht="6" customHeight="1" x14ac:dyDescent="0.25">
      <c r="B24" s="103"/>
      <c r="C24" s="103"/>
      <c r="D24" s="103"/>
      <c r="E24" s="103"/>
      <c r="F24" s="103"/>
      <c r="G24" s="103"/>
      <c r="H24" s="103"/>
      <c r="I24" s="103"/>
      <c r="J24" s="103"/>
    </row>
    <row r="25" spans="2:10" ht="6" customHeight="1" x14ac:dyDescent="0.25">
      <c r="B25" s="103"/>
      <c r="E25" s="103"/>
      <c r="F25" s="103"/>
      <c r="G25" s="103"/>
      <c r="H25" s="103"/>
      <c r="I25" s="103"/>
      <c r="J25" s="103"/>
    </row>
    <row r="26" spans="2:10" s="121" customFormat="1" ht="6" customHeight="1" x14ac:dyDescent="0.25">
      <c r="B26" s="120"/>
      <c r="E26" s="120"/>
      <c r="F26" s="120"/>
      <c r="G26" s="120"/>
      <c r="H26" s="120"/>
      <c r="I26" s="120"/>
      <c r="J26" s="120"/>
    </row>
    <row r="27" spans="2:10" ht="6" customHeight="1" x14ac:dyDescent="0.25">
      <c r="E27" s="103"/>
      <c r="F27" s="103"/>
    </row>
    <row r="28" spans="2:10" ht="6" customHeight="1" x14ac:dyDescent="0.25">
      <c r="E28" s="103"/>
      <c r="F28" s="103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2" t="s">
        <v>31</v>
      </c>
      <c r="D32" s="372"/>
      <c r="F32" s="373" t="s">
        <v>32</v>
      </c>
      <c r="G32" s="374"/>
      <c r="H32" s="374"/>
      <c r="I32" s="374"/>
      <c r="J32" s="374"/>
    </row>
    <row r="33" spans="3:10" ht="18" customHeight="1" thickBot="1" x14ac:dyDescent="0.3">
      <c r="C33" s="122" t="s">
        <v>33</v>
      </c>
      <c r="D33" s="122" t="s">
        <v>34</v>
      </c>
      <c r="F33" s="359" t="s">
        <v>35</v>
      </c>
      <c r="G33" s="360"/>
      <c r="H33" s="360"/>
      <c r="I33" s="360"/>
      <c r="J33" s="360"/>
    </row>
    <row r="34" spans="3:10" ht="25.5" customHeight="1" thickBot="1" x14ac:dyDescent="0.3">
      <c r="C34" s="123">
        <v>4295</v>
      </c>
      <c r="D34" s="124" t="str">
        <f>IF(ISBLANK(C34),"",VLOOKUP(C34,Inscripciones!$B$5:$F$200,2,FALSE))</f>
        <v>RICARDO MATEO CHAVES LEÓN</v>
      </c>
      <c r="F34" s="125" t="s">
        <v>36</v>
      </c>
      <c r="G34" s="361"/>
      <c r="H34" s="362"/>
      <c r="I34" s="362"/>
      <c r="J34" s="363"/>
    </row>
    <row r="35" spans="3:10" ht="25.5" customHeight="1" thickBot="1" x14ac:dyDescent="0.3">
      <c r="C35" s="123">
        <v>4834</v>
      </c>
      <c r="D35" s="124" t="str">
        <f>IF(ISBLANK(C35),"",VLOOKUP(C35,Inscripciones!$B$5:$F$200,2,FALSE))</f>
        <v>PEDRO RIMOLO VILLAGRA</v>
      </c>
      <c r="F35" s="364" t="s">
        <v>37</v>
      </c>
      <c r="G35" s="365"/>
      <c r="H35" s="365"/>
      <c r="I35" s="366"/>
      <c r="J35" s="126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6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0FBF9-C1D3-4A2F-9CA4-5839B272AC44}">
  <sheetPr codeName="Sheet5">
    <pageSetUpPr fitToPage="1"/>
  </sheetPr>
  <dimension ref="A2:M35"/>
  <sheetViews>
    <sheetView topLeftCell="A21" zoomScale="115" zoomScaleNormal="115" workbookViewId="0">
      <selection activeCell="C36" sqref="C36"/>
    </sheetView>
  </sheetViews>
  <sheetFormatPr defaultColWidth="9.140625" defaultRowHeight="15" x14ac:dyDescent="0.25"/>
  <cols>
    <col min="1" max="1" width="4" style="16" bestFit="1" customWidth="1"/>
    <col min="2" max="2" width="11" style="16" customWidth="1"/>
    <col min="3" max="3" width="7.28515625" style="16" customWidth="1"/>
    <col min="4" max="4" width="25.140625" style="16" bestFit="1" customWidth="1"/>
    <col min="5" max="5" width="12.85546875" style="16" bestFit="1" customWidth="1"/>
    <col min="6" max="6" width="10.42578125" style="16" bestFit="1" customWidth="1"/>
    <col min="7" max="7" width="10.7109375" style="16" customWidth="1"/>
    <col min="8" max="9" width="10.7109375" style="16" hidden="1" customWidth="1"/>
    <col min="10" max="10" width="11.7109375" style="16" customWidth="1"/>
    <col min="11" max="11" width="11.42578125" style="16" customWidth="1"/>
    <col min="12" max="16384" width="9.140625" style="16"/>
  </cols>
  <sheetData>
    <row r="2" spans="1:13" x14ac:dyDescent="0.25">
      <c r="B2" s="367" t="e" vm="1">
        <v>#VALUE!</v>
      </c>
      <c r="C2" s="367"/>
      <c r="D2" s="367"/>
      <c r="E2" s="367"/>
      <c r="F2" s="367"/>
      <c r="G2" s="367"/>
      <c r="H2" s="367"/>
      <c r="I2" s="367"/>
      <c r="J2" s="367"/>
    </row>
    <row r="3" spans="1:13" x14ac:dyDescent="0.25">
      <c r="B3" s="367"/>
      <c r="C3" s="367"/>
      <c r="D3" s="367"/>
      <c r="E3" s="367"/>
      <c r="F3" s="367"/>
      <c r="G3" s="367"/>
      <c r="H3" s="367"/>
      <c r="I3" s="367"/>
      <c r="J3" s="367"/>
    </row>
    <row r="4" spans="1:13" ht="15" customHeight="1" thickBot="1" x14ac:dyDescent="0.3">
      <c r="B4" s="367"/>
      <c r="C4" s="367"/>
      <c r="D4" s="367"/>
      <c r="E4" s="367"/>
      <c r="F4" s="367"/>
      <c r="G4" s="367"/>
      <c r="H4" s="367"/>
      <c r="I4" s="367"/>
      <c r="J4" s="367"/>
    </row>
    <row r="5" spans="1:13" ht="15.75" customHeight="1" x14ac:dyDescent="0.25">
      <c r="B5" s="367"/>
      <c r="C5" s="367"/>
      <c r="D5" s="367"/>
      <c r="E5" s="367"/>
      <c r="F5" s="367"/>
      <c r="G5" s="367"/>
      <c r="H5" s="367"/>
      <c r="I5" s="367"/>
      <c r="J5" s="367"/>
      <c r="L5" s="368" t="s">
        <v>12</v>
      </c>
      <c r="M5" s="368"/>
    </row>
    <row r="6" spans="1:13" ht="26.25" customHeight="1" x14ac:dyDescent="0.25">
      <c r="B6" s="367"/>
      <c r="C6" s="367"/>
      <c r="D6" s="367"/>
      <c r="E6" s="367"/>
      <c r="F6" s="367"/>
      <c r="G6" s="367"/>
      <c r="H6" s="367"/>
      <c r="I6" s="367"/>
      <c r="J6" s="367"/>
      <c r="L6" s="369"/>
      <c r="M6" s="369"/>
    </row>
    <row r="7" spans="1:13" ht="26.25" customHeight="1" x14ac:dyDescent="0.35">
      <c r="C7" s="100"/>
      <c r="D7" s="100"/>
      <c r="G7" s="100" t="s">
        <v>13</v>
      </c>
      <c r="H7" s="100"/>
      <c r="I7" s="100"/>
      <c r="J7" s="101">
        <f ca="1">TODAY()</f>
        <v>46288</v>
      </c>
      <c r="L7" s="369"/>
      <c r="M7" s="369"/>
    </row>
    <row r="8" spans="1:13" ht="26.25" customHeight="1" x14ac:dyDescent="0.35">
      <c r="C8" s="100"/>
      <c r="D8" s="100"/>
      <c r="L8" s="369"/>
      <c r="M8" s="369"/>
    </row>
    <row r="9" spans="1:13" ht="21" customHeight="1" x14ac:dyDescent="0.35">
      <c r="B9" s="102" t="s">
        <v>14</v>
      </c>
      <c r="C9" s="103"/>
      <c r="D9" s="104" t="str">
        <f>Inscripciones!B2</f>
        <v>U9 MASCULINO</v>
      </c>
      <c r="E9" s="102" t="s">
        <v>15</v>
      </c>
      <c r="F9" s="104">
        <v>2</v>
      </c>
      <c r="G9" s="102" t="s">
        <v>16</v>
      </c>
      <c r="H9" s="102"/>
      <c r="I9" s="102"/>
      <c r="J9" s="105"/>
    </row>
    <row r="10" spans="1:13" ht="21" customHeight="1" x14ac:dyDescent="0.25"/>
    <row r="11" spans="1:13" ht="21" customHeight="1" x14ac:dyDescent="0.25">
      <c r="B11" s="106" t="s">
        <v>17</v>
      </c>
      <c r="C11" s="106" t="s">
        <v>18</v>
      </c>
      <c r="D11" s="106" t="s">
        <v>19</v>
      </c>
      <c r="E11" s="106" t="s">
        <v>20</v>
      </c>
      <c r="F11" s="106" t="s">
        <v>21</v>
      </c>
      <c r="G11" s="106" t="s">
        <v>22</v>
      </c>
      <c r="H11" s="106"/>
      <c r="I11" s="106"/>
      <c r="J11" s="107"/>
    </row>
    <row r="12" spans="1:13" ht="21" customHeight="1" x14ac:dyDescent="0.35">
      <c r="A12" s="16">
        <f>F9+0.1</f>
        <v>2.1</v>
      </c>
      <c r="B12" s="108">
        <v>1</v>
      </c>
      <c r="C12" s="109">
        <f>VLOOKUP(A12,Inscripciones!A5:G167,2,FALSE)</f>
        <v>4149</v>
      </c>
      <c r="D12" s="110" t="str">
        <f>IF(ISBLANK(C12),"",VLOOKUP(C12,Inscripciones!$B$5:$F$200,2,FALSE))</f>
        <v>LUIS MANUEL GARCÍA ARAYA</v>
      </c>
      <c r="E12" s="111" t="str">
        <f>IF(ISBLANK(C12),"",VLOOKUP(C12,Inscripciones!$B$5:$F$200,3,FALSE))</f>
        <v>ESPARZA</v>
      </c>
      <c r="F12" s="111">
        <f>IF(ISBLANK(C12),"",VLOOKUP(C12,Inscripciones!$B$5:$F$200,4,FALSE))</f>
        <v>2</v>
      </c>
      <c r="G12" s="111">
        <f>IF(ISBLANK(C12),"",VLOOKUP(C12,Inscripciones!$B$5:$F$200,5,FALSE))</f>
        <v>632</v>
      </c>
      <c r="H12" s="112"/>
      <c r="I12" s="112"/>
      <c r="J12" s="16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6">
        <f>F9+0.2</f>
        <v>2.2000000000000002</v>
      </c>
      <c r="B13" s="108">
        <v>2</v>
      </c>
      <c r="C13" s="109">
        <f>VLOOKUP(A13,Inscripciones!A5:G168,2,FALSE)</f>
        <v>4250</v>
      </c>
      <c r="D13" s="110" t="str">
        <f>IF(ISBLANK(C13),"",VLOOKUP(C13,Inscripciones!$B$5:$F$200,2,FALSE))</f>
        <v>KEVIN HERNÁNDEZ LÁSCAREZ</v>
      </c>
      <c r="E13" s="111" t="str">
        <f>IF(ISBLANK(C13),"",VLOOKUP(C13,Inscripciones!$B$5:$F$200,3,FALSE))</f>
        <v>CCDR SAN JOSÉ</v>
      </c>
      <c r="F13" s="111">
        <f>IF(ISBLANK(C13),"",VLOOKUP(C13,Inscripciones!$B$5:$F$200,4,FALSE))</f>
        <v>8</v>
      </c>
      <c r="G13" s="111">
        <f>IF(ISBLANK(C13),"",VLOOKUP(C13,Inscripciones!$B$5:$F$200,5,FALSE))</f>
        <v>488</v>
      </c>
      <c r="H13" s="112"/>
      <c r="I13" s="112"/>
      <c r="J13" s="16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6">
        <f>+F9+0.3</f>
        <v>2.2999999999999998</v>
      </c>
      <c r="B14" s="108">
        <v>3</v>
      </c>
      <c r="C14" s="109">
        <f>VLOOKUP(A14,Inscripciones!A6:G169,2,FALSE)</f>
        <v>4700</v>
      </c>
      <c r="D14" s="110" t="str">
        <f>IF(ISBLANK(C14),"",VLOOKUP(C14,Inscripciones!$B$7:$F$200,2,FALSE))</f>
        <v>ITAMAR JAFET QUIRÓS VARGAS</v>
      </c>
      <c r="E14" s="111" t="str">
        <f>IF(ISBLANK(C14),"",VLOOKUP(C14,Inscripciones!$B$7:$F$200,3,FALSE))</f>
        <v>ESPARZA</v>
      </c>
      <c r="F14" s="111">
        <f>IF(ISBLANK(C14),"",VLOOKUP(C14,Inscripciones!$B$7:$F$200,4,FALSE))</f>
        <v>11</v>
      </c>
      <c r="G14" s="111">
        <f>IF(ISBLANK(C14),"",VLOOKUP(C14,Inscripciones!$B$7:$F$200,5,FALSE))</f>
        <v>468</v>
      </c>
      <c r="H14" s="112"/>
      <c r="I14" s="112"/>
      <c r="J14" s="16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3" t="s">
        <v>23</v>
      </c>
      <c r="C17" s="113"/>
      <c r="D17" s="113" t="s">
        <v>24</v>
      </c>
      <c r="E17" s="113" t="s">
        <v>25</v>
      </c>
      <c r="F17" s="113" t="s">
        <v>26</v>
      </c>
      <c r="G17" s="113" t="s">
        <v>27</v>
      </c>
      <c r="H17" s="113" t="s">
        <v>28</v>
      </c>
      <c r="I17" s="113" t="s">
        <v>29</v>
      </c>
      <c r="J17" s="114" t="s">
        <v>30</v>
      </c>
    </row>
    <row r="18" spans="2:10" ht="21" customHeight="1" x14ac:dyDescent="0.25">
      <c r="B18" s="115">
        <v>1</v>
      </c>
      <c r="C18" s="116">
        <v>1</v>
      </c>
      <c r="D18" s="117" t="str">
        <f>D12</f>
        <v>LUIS MANUEL GARCÍA ARAYA</v>
      </c>
      <c r="E18" s="118">
        <v>11</v>
      </c>
      <c r="F18" s="118">
        <v>11</v>
      </c>
      <c r="G18" s="118"/>
      <c r="H18" s="118"/>
      <c r="I18" s="118"/>
      <c r="J18" s="370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19"/>
      <c r="C19" s="116">
        <v>3</v>
      </c>
      <c r="D19" s="117" t="str">
        <f>D14</f>
        <v>ITAMAR JAFET QUIRÓS VARGAS</v>
      </c>
      <c r="E19" s="118">
        <v>2</v>
      </c>
      <c r="F19" s="118">
        <v>6</v>
      </c>
      <c r="G19" s="118"/>
      <c r="H19" s="118"/>
      <c r="I19" s="118"/>
      <c r="J19" s="371"/>
    </row>
    <row r="20" spans="2:10" ht="21" customHeight="1" x14ac:dyDescent="0.25">
      <c r="B20" s="115">
        <v>2</v>
      </c>
      <c r="C20" s="118">
        <v>1</v>
      </c>
      <c r="D20" s="117" t="str">
        <f>D12</f>
        <v>LUIS MANUEL GARCÍA ARAYA</v>
      </c>
      <c r="E20" s="118">
        <v>11</v>
      </c>
      <c r="F20" s="118">
        <v>11</v>
      </c>
      <c r="G20" s="118"/>
      <c r="H20" s="118"/>
      <c r="I20" s="118"/>
      <c r="J20" s="370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19"/>
      <c r="C21" s="118">
        <v>2</v>
      </c>
      <c r="D21" s="117" t="str">
        <f>D13</f>
        <v>KEVIN HERNÁNDEZ LÁSCAREZ</v>
      </c>
      <c r="E21" s="118">
        <v>4</v>
      </c>
      <c r="F21" s="118">
        <v>7</v>
      </c>
      <c r="G21" s="118"/>
      <c r="H21" s="118"/>
      <c r="I21" s="118"/>
      <c r="J21" s="371"/>
    </row>
    <row r="22" spans="2:10" ht="21" customHeight="1" x14ac:dyDescent="0.25">
      <c r="B22" s="115">
        <v>3</v>
      </c>
      <c r="C22" s="118">
        <v>2</v>
      </c>
      <c r="D22" s="117" t="str">
        <f>D13</f>
        <v>KEVIN HERNÁNDEZ LÁSCAREZ</v>
      </c>
      <c r="E22" s="118">
        <v>11</v>
      </c>
      <c r="F22" s="118">
        <v>11</v>
      </c>
      <c r="G22" s="118"/>
      <c r="H22" s="118"/>
      <c r="I22" s="118"/>
      <c r="J22" s="370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19"/>
      <c r="C23" s="118">
        <v>3</v>
      </c>
      <c r="D23" s="117" t="str">
        <f>D14</f>
        <v>ITAMAR JAFET QUIRÓS VARGAS</v>
      </c>
      <c r="E23" s="118">
        <v>7</v>
      </c>
      <c r="F23" s="118">
        <v>4</v>
      </c>
      <c r="G23" s="118"/>
      <c r="H23" s="118"/>
      <c r="I23" s="118"/>
      <c r="J23" s="371"/>
    </row>
    <row r="24" spans="2:10" ht="6" customHeight="1" x14ac:dyDescent="0.25">
      <c r="B24" s="103"/>
      <c r="C24" s="103"/>
      <c r="D24" s="103"/>
      <c r="E24" s="103"/>
      <c r="F24" s="103"/>
      <c r="G24" s="103"/>
      <c r="H24" s="103"/>
      <c r="I24" s="103"/>
      <c r="J24" s="103"/>
    </row>
    <row r="25" spans="2:10" ht="6" customHeight="1" x14ac:dyDescent="0.25">
      <c r="B25" s="103"/>
      <c r="E25" s="103"/>
      <c r="F25" s="103"/>
      <c r="G25" s="103"/>
      <c r="H25" s="103"/>
      <c r="I25" s="103"/>
      <c r="J25" s="103"/>
    </row>
    <row r="26" spans="2:10" s="121" customFormat="1" ht="6" customHeight="1" x14ac:dyDescent="0.25">
      <c r="B26" s="120"/>
      <c r="E26" s="120"/>
      <c r="F26" s="120"/>
      <c r="G26" s="120"/>
      <c r="H26" s="120"/>
      <c r="I26" s="120"/>
      <c r="J26" s="120"/>
    </row>
    <row r="27" spans="2:10" ht="6" customHeight="1" x14ac:dyDescent="0.25">
      <c r="E27" s="103"/>
      <c r="F27" s="103"/>
    </row>
    <row r="28" spans="2:10" ht="6" customHeight="1" x14ac:dyDescent="0.25">
      <c r="E28" s="103"/>
      <c r="F28" s="103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2" t="s">
        <v>31</v>
      </c>
      <c r="D32" s="372"/>
      <c r="F32" s="373" t="s">
        <v>32</v>
      </c>
      <c r="G32" s="374"/>
      <c r="H32" s="374"/>
      <c r="I32" s="374"/>
      <c r="J32" s="374"/>
    </row>
    <row r="33" spans="3:10" ht="18" customHeight="1" thickBot="1" x14ac:dyDescent="0.3">
      <c r="C33" s="122" t="s">
        <v>33</v>
      </c>
      <c r="D33" s="122" t="s">
        <v>34</v>
      </c>
      <c r="F33" s="359" t="s">
        <v>35</v>
      </c>
      <c r="G33" s="360"/>
      <c r="H33" s="360"/>
      <c r="I33" s="360"/>
      <c r="J33" s="360"/>
    </row>
    <row r="34" spans="3:10" ht="25.5" customHeight="1" thickBot="1" x14ac:dyDescent="0.3">
      <c r="C34" s="123">
        <v>4149</v>
      </c>
      <c r="D34" s="124" t="str">
        <f>IF(ISBLANK(C34),"",VLOOKUP(C34,Inscripciones!$B$5:$F$200,2,FALSE))</f>
        <v>LUIS MANUEL GARCÍA ARAYA</v>
      </c>
      <c r="F34" s="125" t="s">
        <v>36</v>
      </c>
      <c r="G34" s="361"/>
      <c r="H34" s="362"/>
      <c r="I34" s="362"/>
      <c r="J34" s="363"/>
    </row>
    <row r="35" spans="3:10" ht="25.5" customHeight="1" thickBot="1" x14ac:dyDescent="0.3">
      <c r="C35" s="123">
        <v>4250</v>
      </c>
      <c r="D35" s="124" t="str">
        <f>IF(ISBLANK(C35),"",VLOOKUP(C35,Inscripciones!$B$5:$F$200,2,FALSE))</f>
        <v>KEVIN HERNÁNDEZ LÁSCAREZ</v>
      </c>
      <c r="F35" s="364" t="s">
        <v>37</v>
      </c>
      <c r="G35" s="365"/>
      <c r="H35" s="365"/>
      <c r="I35" s="366"/>
      <c r="J35" s="126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88" orientation="portrait" horizontalDpi="360" verticalDpi="36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1F799-E946-4063-9DF9-C5654C512D71}">
  <sheetPr codeName="Sheet6">
    <pageSetUpPr fitToPage="1"/>
  </sheetPr>
  <dimension ref="A2:M35"/>
  <sheetViews>
    <sheetView topLeftCell="A2" zoomScale="115" zoomScaleNormal="115" workbookViewId="0">
      <selection activeCell="D43" sqref="D43"/>
    </sheetView>
  </sheetViews>
  <sheetFormatPr defaultColWidth="9.140625" defaultRowHeight="15" x14ac:dyDescent="0.25"/>
  <cols>
    <col min="1" max="1" width="4" style="16" bestFit="1" customWidth="1"/>
    <col min="2" max="2" width="11" style="16" customWidth="1"/>
    <col min="3" max="3" width="7.28515625" style="16" customWidth="1"/>
    <col min="4" max="4" width="24.85546875" style="16" bestFit="1" customWidth="1"/>
    <col min="5" max="5" width="10.28515625" style="16" bestFit="1" customWidth="1"/>
    <col min="6" max="6" width="10.42578125" style="16" bestFit="1" customWidth="1"/>
    <col min="7" max="7" width="10.7109375" style="16" customWidth="1"/>
    <col min="8" max="9" width="10.7109375" style="16" hidden="1" customWidth="1"/>
    <col min="10" max="10" width="11.7109375" style="16" customWidth="1"/>
    <col min="11" max="11" width="11.42578125" style="16" customWidth="1"/>
    <col min="12" max="16384" width="9.140625" style="16"/>
  </cols>
  <sheetData>
    <row r="2" spans="1:13" x14ac:dyDescent="0.25">
      <c r="B2" s="367" t="e" vm="1">
        <v>#VALUE!</v>
      </c>
      <c r="C2" s="367"/>
      <c r="D2" s="367"/>
      <c r="E2" s="367"/>
      <c r="F2" s="367"/>
      <c r="G2" s="367"/>
      <c r="H2" s="367"/>
      <c r="I2" s="367"/>
      <c r="J2" s="367"/>
    </row>
    <row r="3" spans="1:13" x14ac:dyDescent="0.25">
      <c r="B3" s="367"/>
      <c r="C3" s="367"/>
      <c r="D3" s="367"/>
      <c r="E3" s="367"/>
      <c r="F3" s="367"/>
      <c r="G3" s="367"/>
      <c r="H3" s="367"/>
      <c r="I3" s="367"/>
      <c r="J3" s="367"/>
    </row>
    <row r="4" spans="1:13" ht="15" customHeight="1" thickBot="1" x14ac:dyDescent="0.3">
      <c r="B4" s="367"/>
      <c r="C4" s="367"/>
      <c r="D4" s="367"/>
      <c r="E4" s="367"/>
      <c r="F4" s="367"/>
      <c r="G4" s="367"/>
      <c r="H4" s="367"/>
      <c r="I4" s="367"/>
      <c r="J4" s="367"/>
    </row>
    <row r="5" spans="1:13" ht="15.75" customHeight="1" x14ac:dyDescent="0.25">
      <c r="B5" s="367"/>
      <c r="C5" s="367"/>
      <c r="D5" s="367"/>
      <c r="E5" s="367"/>
      <c r="F5" s="367"/>
      <c r="G5" s="367"/>
      <c r="H5" s="367"/>
      <c r="I5" s="367"/>
      <c r="J5" s="367"/>
      <c r="L5" s="368" t="s">
        <v>12</v>
      </c>
      <c r="M5" s="368"/>
    </row>
    <row r="6" spans="1:13" ht="26.25" customHeight="1" x14ac:dyDescent="0.25">
      <c r="B6" s="367"/>
      <c r="C6" s="367"/>
      <c r="D6" s="367"/>
      <c r="E6" s="367"/>
      <c r="F6" s="367"/>
      <c r="G6" s="367"/>
      <c r="H6" s="367"/>
      <c r="I6" s="367"/>
      <c r="J6" s="367"/>
      <c r="L6" s="369"/>
      <c r="M6" s="369"/>
    </row>
    <row r="7" spans="1:13" ht="26.25" customHeight="1" x14ac:dyDescent="0.35">
      <c r="C7" s="100"/>
      <c r="D7" s="100"/>
      <c r="G7" s="100" t="s">
        <v>13</v>
      </c>
      <c r="H7" s="100"/>
      <c r="I7" s="100"/>
      <c r="J7" s="101">
        <f ca="1">TODAY()</f>
        <v>46288</v>
      </c>
      <c r="L7" s="369"/>
      <c r="M7" s="369"/>
    </row>
    <row r="8" spans="1:13" ht="26.25" customHeight="1" x14ac:dyDescent="0.35">
      <c r="C8" s="100"/>
      <c r="D8" s="100"/>
      <c r="L8" s="369"/>
      <c r="M8" s="369"/>
    </row>
    <row r="9" spans="1:13" ht="21" customHeight="1" x14ac:dyDescent="0.35">
      <c r="B9" s="102" t="s">
        <v>14</v>
      </c>
      <c r="C9" s="103"/>
      <c r="D9" s="104" t="str">
        <f>Inscripciones!B2</f>
        <v>U9 MASCULINO</v>
      </c>
      <c r="E9" s="102" t="s">
        <v>15</v>
      </c>
      <c r="F9" s="104">
        <v>3</v>
      </c>
      <c r="G9" s="102" t="s">
        <v>16</v>
      </c>
      <c r="H9" s="102"/>
      <c r="I9" s="102"/>
      <c r="J9" s="105"/>
    </row>
    <row r="10" spans="1:13" ht="21" customHeight="1" x14ac:dyDescent="0.25"/>
    <row r="11" spans="1:13" ht="21" customHeight="1" x14ac:dyDescent="0.25">
      <c r="B11" s="106" t="s">
        <v>17</v>
      </c>
      <c r="C11" s="106" t="s">
        <v>18</v>
      </c>
      <c r="D11" s="106" t="s">
        <v>19</v>
      </c>
      <c r="E11" s="106" t="s">
        <v>20</v>
      </c>
      <c r="F11" s="106" t="s">
        <v>21</v>
      </c>
      <c r="G11" s="106" t="s">
        <v>22</v>
      </c>
      <c r="H11" s="106"/>
      <c r="I11" s="106"/>
      <c r="J11" s="107"/>
    </row>
    <row r="12" spans="1:13" ht="21" customHeight="1" x14ac:dyDescent="0.35">
      <c r="A12" s="16">
        <f>F9+0.1</f>
        <v>3.1</v>
      </c>
      <c r="B12" s="108">
        <v>1</v>
      </c>
      <c r="C12" s="109">
        <f>VLOOKUP(A12,Inscripciones!A5:G167,2,FALSE)</f>
        <v>4391</v>
      </c>
      <c r="D12" s="110" t="str">
        <f>IF(ISBLANK(C12),"",VLOOKUP(C12,Inscripciones!$B$5:$F$200,2,FALSE))</f>
        <v xml:space="preserve">EMANUEL UMAÑA RODRIGUEZ </v>
      </c>
      <c r="E12" s="111" t="str">
        <f>IF(ISBLANK(C12),"",VLOOKUP(C12,Inscripciones!$B$5:$F$200,3,FALSE))</f>
        <v>CURRIDABAT</v>
      </c>
      <c r="F12" s="111">
        <f>IF(ISBLANK(C12),"",VLOOKUP(C12,Inscripciones!$B$5:$F$200,4,FALSE))</f>
        <v>3</v>
      </c>
      <c r="G12" s="111">
        <f>IF(ISBLANK(C12),"",VLOOKUP(C12,Inscripciones!$B$5:$F$200,5,FALSE))</f>
        <v>595</v>
      </c>
      <c r="H12" s="112"/>
      <c r="I12" s="112"/>
      <c r="J12" s="16" t="str">
        <f>IF(ISBLANK(J11)," ",(E18+F18+G18+E20+F20+G20+H18+I18+H20+I20)/(E19+F19+G19+E21+F21+G21+H19+I19+H21+I21))</f>
        <v xml:space="preserve"> </v>
      </c>
    </row>
    <row r="13" spans="1:13" ht="21" customHeight="1" x14ac:dyDescent="0.35">
      <c r="A13" s="16">
        <f>F9+0.2</f>
        <v>3.2</v>
      </c>
      <c r="B13" s="108">
        <v>2</v>
      </c>
      <c r="C13" s="109">
        <f>VLOOKUP(A13,Inscripciones!A5:G168,2,FALSE)</f>
        <v>4699</v>
      </c>
      <c r="D13" s="110" t="str">
        <f>IF(ISBLANK(C13),"",VLOOKUP(C13,Inscripciones!$B$5:$F$200,2,FALSE))</f>
        <v>EZEQUIEL LEAL CHACÓN</v>
      </c>
      <c r="E13" s="111" t="str">
        <f>IF(ISBLANK(C13),"",VLOOKUP(C13,Inscripciones!$B$5:$F$200,3,FALSE))</f>
        <v>ESPARZA</v>
      </c>
      <c r="F13" s="111">
        <f>IF(ISBLANK(C13),"",VLOOKUP(C13,Inscripciones!$B$5:$F$200,4,FALSE))</f>
        <v>7</v>
      </c>
      <c r="G13" s="111">
        <f>IF(ISBLANK(C13),"",VLOOKUP(C13,Inscripciones!$B$5:$F$200,5,FALSE))</f>
        <v>500</v>
      </c>
      <c r="H13" s="112"/>
      <c r="I13" s="112"/>
      <c r="J13" s="16" t="str">
        <f>IF(ISBLANK(J11)," ",(E21+F21+G21+E22+F22+G22+H21+I21+H22+I22)/(E20+F20+G20+E23+F23+G23+H20+I20+H23+I23))</f>
        <v xml:space="preserve"> </v>
      </c>
    </row>
    <row r="14" spans="1:13" ht="21" customHeight="1" x14ac:dyDescent="0.35">
      <c r="A14" s="16">
        <f>+F9+0.3</f>
        <v>3.3</v>
      </c>
      <c r="B14" s="108">
        <v>3</v>
      </c>
      <c r="C14" s="109">
        <f>VLOOKUP(A14,Inscripciones!A6:G169,2,FALSE)</f>
        <v>4738</v>
      </c>
      <c r="D14" s="110" t="str">
        <f>IF(ISBLANK(C14),"",VLOOKUP(C14,Inscripciones!$B$7:$F$200,2,FALSE))</f>
        <v>EMANUEL MATAMOROS RIVERA</v>
      </c>
      <c r="E14" s="111" t="str">
        <f>IF(ISBLANK(C14),"",VLOOKUP(C14,Inscripciones!$B$7:$F$200,3,FALSE))</f>
        <v>SANTA ANA</v>
      </c>
      <c r="F14" s="111">
        <f>IF(ISBLANK(C14),"",VLOOKUP(C14,Inscripciones!$B$7:$F$200,4,FALSE))</f>
        <v>12</v>
      </c>
      <c r="G14" s="111">
        <f>IF(ISBLANK(C14),"",VLOOKUP(C14,Inscripciones!$B$7:$F$200,5,FALSE))</f>
        <v>457</v>
      </c>
      <c r="H14" s="112"/>
      <c r="I14" s="112"/>
      <c r="J14" s="16" t="str">
        <f>IF(ISBLANK(J11)," ",(E19+F19+G19+E23+F23+G23+H19+I19+H23+I23)/(E18+F18+G18+E22+F22+G22+H18+I18+H22+I22))</f>
        <v xml:space="preserve"> </v>
      </c>
    </row>
    <row r="15" spans="1:13" ht="21" customHeight="1" x14ac:dyDescent="0.25"/>
    <row r="16" spans="1:13" ht="21" customHeight="1" x14ac:dyDescent="0.25"/>
    <row r="17" spans="2:10" ht="21" customHeight="1" x14ac:dyDescent="0.25">
      <c r="B17" s="113" t="s">
        <v>23</v>
      </c>
      <c r="C17" s="113"/>
      <c r="D17" s="113" t="s">
        <v>24</v>
      </c>
      <c r="E17" s="113" t="s">
        <v>25</v>
      </c>
      <c r="F17" s="113" t="s">
        <v>26</v>
      </c>
      <c r="G17" s="113" t="s">
        <v>27</v>
      </c>
      <c r="H17" s="113" t="s">
        <v>28</v>
      </c>
      <c r="I17" s="113" t="s">
        <v>29</v>
      </c>
      <c r="J17" s="114" t="s">
        <v>30</v>
      </c>
    </row>
    <row r="18" spans="2:10" ht="21" customHeight="1" x14ac:dyDescent="0.25">
      <c r="B18" s="115">
        <v>1</v>
      </c>
      <c r="C18" s="116">
        <v>1</v>
      </c>
      <c r="D18" s="117" t="str">
        <f>D12</f>
        <v xml:space="preserve">EMANUEL UMAÑA RODRIGUEZ </v>
      </c>
      <c r="E18" s="118">
        <v>11</v>
      </c>
      <c r="F18" s="118">
        <v>11</v>
      </c>
      <c r="G18" s="118"/>
      <c r="H18" s="118"/>
      <c r="I18" s="118"/>
      <c r="J18" s="370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19"/>
      <c r="C19" s="116">
        <v>3</v>
      </c>
      <c r="D19" s="117" t="str">
        <f>D14</f>
        <v>EMANUEL MATAMOROS RIVERA</v>
      </c>
      <c r="E19" s="118">
        <v>4</v>
      </c>
      <c r="F19" s="118">
        <v>5</v>
      </c>
      <c r="G19" s="118"/>
      <c r="H19" s="118"/>
      <c r="I19" s="118"/>
      <c r="J19" s="371"/>
    </row>
    <row r="20" spans="2:10" ht="21" customHeight="1" x14ac:dyDescent="0.25">
      <c r="B20" s="115">
        <v>2</v>
      </c>
      <c r="C20" s="118">
        <v>1</v>
      </c>
      <c r="D20" s="117" t="str">
        <f>D12</f>
        <v xml:space="preserve">EMANUEL UMAÑA RODRIGUEZ </v>
      </c>
      <c r="E20" s="118">
        <v>11</v>
      </c>
      <c r="F20" s="118">
        <v>11</v>
      </c>
      <c r="G20" s="118"/>
      <c r="H20" s="118"/>
      <c r="I20" s="118"/>
      <c r="J20" s="370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1</v>
      </c>
    </row>
    <row r="21" spans="2:10" ht="21" customHeight="1" x14ac:dyDescent="0.25">
      <c r="B21" s="119"/>
      <c r="C21" s="118">
        <v>2</v>
      </c>
      <c r="D21" s="117" t="str">
        <f>D13</f>
        <v>EZEQUIEL LEAL CHACÓN</v>
      </c>
      <c r="E21" s="118">
        <v>5</v>
      </c>
      <c r="F21" s="118">
        <v>5</v>
      </c>
      <c r="G21" s="118"/>
      <c r="H21" s="118"/>
      <c r="I21" s="118"/>
      <c r="J21" s="371"/>
    </row>
    <row r="22" spans="2:10" ht="21" customHeight="1" x14ac:dyDescent="0.25">
      <c r="B22" s="115">
        <v>3</v>
      </c>
      <c r="C22" s="118">
        <v>2</v>
      </c>
      <c r="D22" s="117" t="str">
        <f>D13</f>
        <v>EZEQUIEL LEAL CHACÓN</v>
      </c>
      <c r="E22" s="118">
        <v>11</v>
      </c>
      <c r="F22" s="118">
        <v>11</v>
      </c>
      <c r="G22" s="118"/>
      <c r="H22" s="118"/>
      <c r="I22" s="118"/>
      <c r="J22" s="370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2</v>
      </c>
    </row>
    <row r="23" spans="2:10" ht="21" customHeight="1" x14ac:dyDescent="0.25">
      <c r="B23" s="119"/>
      <c r="C23" s="118">
        <v>3</v>
      </c>
      <c r="D23" s="117" t="str">
        <f>D14</f>
        <v>EMANUEL MATAMOROS RIVERA</v>
      </c>
      <c r="E23" s="118">
        <v>3</v>
      </c>
      <c r="F23" s="118">
        <v>3</v>
      </c>
      <c r="G23" s="118"/>
      <c r="H23" s="118"/>
      <c r="I23" s="118"/>
      <c r="J23" s="371"/>
    </row>
    <row r="24" spans="2:10" ht="6" customHeight="1" x14ac:dyDescent="0.25">
      <c r="B24" s="103"/>
      <c r="C24" s="103"/>
      <c r="D24" s="103"/>
      <c r="E24" s="103"/>
      <c r="F24" s="103"/>
      <c r="G24" s="103"/>
      <c r="H24" s="103"/>
      <c r="I24" s="103"/>
      <c r="J24" s="103"/>
    </row>
    <row r="25" spans="2:10" ht="6" customHeight="1" x14ac:dyDescent="0.25">
      <c r="B25" s="103"/>
      <c r="E25" s="103"/>
      <c r="F25" s="103"/>
      <c r="G25" s="103"/>
      <c r="H25" s="103"/>
      <c r="I25" s="103"/>
      <c r="J25" s="103"/>
    </row>
    <row r="26" spans="2:10" s="121" customFormat="1" ht="6" customHeight="1" x14ac:dyDescent="0.25">
      <c r="B26" s="120"/>
      <c r="E26" s="120"/>
      <c r="F26" s="120"/>
      <c r="G26" s="120"/>
      <c r="H26" s="120"/>
      <c r="I26" s="120"/>
      <c r="J26" s="120"/>
    </row>
    <row r="27" spans="2:10" ht="6" customHeight="1" x14ac:dyDescent="0.25">
      <c r="E27" s="103"/>
      <c r="F27" s="103"/>
    </row>
    <row r="28" spans="2:10" ht="6" customHeight="1" x14ac:dyDescent="0.25">
      <c r="E28" s="103"/>
      <c r="F28" s="103"/>
    </row>
    <row r="29" spans="2:10" ht="6" customHeight="1" x14ac:dyDescent="0.25"/>
    <row r="30" spans="2:10" ht="6" customHeight="1" x14ac:dyDescent="0.25"/>
    <row r="31" spans="2:10" ht="6" customHeight="1" x14ac:dyDescent="0.25"/>
    <row r="32" spans="2:10" ht="18" customHeight="1" x14ac:dyDescent="0.25">
      <c r="C32" s="372" t="s">
        <v>31</v>
      </c>
      <c r="D32" s="372"/>
      <c r="F32" s="373" t="s">
        <v>32</v>
      </c>
      <c r="G32" s="374"/>
      <c r="H32" s="374"/>
      <c r="I32" s="374"/>
      <c r="J32" s="374"/>
    </row>
    <row r="33" spans="3:10" ht="18" customHeight="1" thickBot="1" x14ac:dyDescent="0.3">
      <c r="C33" s="122" t="s">
        <v>33</v>
      </c>
      <c r="D33" s="122" t="s">
        <v>34</v>
      </c>
      <c r="F33" s="359" t="s">
        <v>35</v>
      </c>
      <c r="G33" s="360"/>
      <c r="H33" s="360"/>
      <c r="I33" s="360"/>
      <c r="J33" s="360"/>
    </row>
    <row r="34" spans="3:10" ht="25.5" customHeight="1" thickBot="1" x14ac:dyDescent="0.3">
      <c r="C34" s="123">
        <v>4391</v>
      </c>
      <c r="D34" s="124" t="str">
        <f>IF(ISBLANK(C34),"",VLOOKUP(C34,Inscripciones!$B$5:$F$200,2,FALSE))</f>
        <v xml:space="preserve">EMANUEL UMAÑA RODRIGUEZ </v>
      </c>
      <c r="F34" s="125" t="s">
        <v>36</v>
      </c>
      <c r="G34" s="361"/>
      <c r="H34" s="362"/>
      <c r="I34" s="362"/>
      <c r="J34" s="363"/>
    </row>
    <row r="35" spans="3:10" ht="25.5" customHeight="1" thickBot="1" x14ac:dyDescent="0.3">
      <c r="C35" s="123">
        <v>4699</v>
      </c>
      <c r="D35" s="124" t="str">
        <f>IF(ISBLANK(C35),"",VLOOKUP(C35,Inscripciones!$B$5:$F$200,2,FALSE))</f>
        <v>EZEQUIEL LEAL CHACÓN</v>
      </c>
      <c r="F35" s="364" t="s">
        <v>37</v>
      </c>
      <c r="G35" s="365"/>
      <c r="H35" s="365"/>
      <c r="I35" s="366"/>
      <c r="J35" s="126"/>
    </row>
  </sheetData>
  <mergeCells count="10">
    <mergeCell ref="F33:J33"/>
    <mergeCell ref="G34:J34"/>
    <mergeCell ref="F35:I35"/>
    <mergeCell ref="B2:J6"/>
    <mergeCell ref="L5:M8"/>
    <mergeCell ref="J18:J19"/>
    <mergeCell ref="J20:J21"/>
    <mergeCell ref="J22:J23"/>
    <mergeCell ref="C32:D32"/>
    <mergeCell ref="F32:J32"/>
  </mergeCells>
  <pageMargins left="0.7" right="0.7" top="0.75" bottom="0.75" header="0.3" footer="0.3"/>
  <pageSetup scale="91" orientation="portrait" horizontalDpi="360" verticalDpi="36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B6B2-A7B1-44D8-88CA-99D104ECCBDF}">
  <sheetPr codeName="Sheet7">
    <pageSetUpPr fitToPage="1"/>
  </sheetPr>
  <dimension ref="A2:P35"/>
  <sheetViews>
    <sheetView zoomScale="104" zoomScaleNormal="115" workbookViewId="0">
      <selection activeCell="C36" sqref="C36"/>
    </sheetView>
  </sheetViews>
  <sheetFormatPr defaultColWidth="9.140625" defaultRowHeight="15" x14ac:dyDescent="0.25"/>
  <cols>
    <col min="1" max="1" width="5" style="16" bestFit="1" customWidth="1"/>
    <col min="2" max="2" width="7.7109375" style="16" customWidth="1"/>
    <col min="3" max="3" width="7.28515625" style="16" customWidth="1"/>
    <col min="4" max="4" width="20.140625" style="16" bestFit="1" customWidth="1"/>
    <col min="5" max="5" width="15.42578125" style="16" bestFit="1" customWidth="1"/>
    <col min="6" max="6" width="10.85546875" style="16" customWidth="1"/>
    <col min="7" max="7" width="11.5703125" style="16" customWidth="1"/>
    <col min="8" max="9" width="11.5703125" style="16" hidden="1" customWidth="1"/>
    <col min="10" max="10" width="14.5703125" style="16" customWidth="1"/>
    <col min="11" max="11" width="11.42578125" style="16" customWidth="1"/>
    <col min="12" max="14" width="9.140625" style="16"/>
    <col min="15" max="15" width="9.140625" style="16" hidden="1" customWidth="1"/>
    <col min="16" max="16384" width="9.140625" style="16"/>
  </cols>
  <sheetData>
    <row r="2" spans="1:16" x14ac:dyDescent="0.25">
      <c r="B2" s="367" t="e" vm="1">
        <v>#VALUE!</v>
      </c>
      <c r="C2" s="367"/>
      <c r="D2" s="367"/>
      <c r="E2" s="367"/>
      <c r="F2" s="367"/>
      <c r="G2" s="367"/>
      <c r="H2" s="367"/>
      <c r="I2" s="367"/>
      <c r="J2" s="367"/>
    </row>
    <row r="3" spans="1:16" x14ac:dyDescent="0.25">
      <c r="B3" s="367"/>
      <c r="C3" s="367"/>
      <c r="D3" s="367"/>
      <c r="E3" s="367"/>
      <c r="F3" s="367"/>
      <c r="G3" s="367"/>
      <c r="H3" s="367"/>
      <c r="I3" s="367"/>
      <c r="J3" s="367"/>
    </row>
    <row r="4" spans="1:16" ht="15" customHeight="1" thickBot="1" x14ac:dyDescent="0.3">
      <c r="B4" s="367"/>
      <c r="C4" s="367"/>
      <c r="D4" s="367"/>
      <c r="E4" s="367"/>
      <c r="F4" s="367"/>
      <c r="G4" s="367"/>
      <c r="H4" s="367"/>
      <c r="I4" s="367"/>
      <c r="J4" s="367"/>
    </row>
    <row r="5" spans="1:16" ht="25.5" customHeight="1" x14ac:dyDescent="0.25">
      <c r="B5" s="367"/>
      <c r="C5" s="367"/>
      <c r="D5" s="367"/>
      <c r="E5" s="367"/>
      <c r="F5" s="367"/>
      <c r="G5" s="367"/>
      <c r="H5" s="367"/>
      <c r="I5" s="367"/>
      <c r="J5" s="367"/>
      <c r="L5" s="375" t="s">
        <v>38</v>
      </c>
      <c r="M5" s="376"/>
      <c r="O5" s="127" t="s">
        <v>39</v>
      </c>
      <c r="P5" s="128" t="s">
        <v>40</v>
      </c>
    </row>
    <row r="6" spans="1:16" ht="25.5" customHeight="1" x14ac:dyDescent="0.25">
      <c r="B6" s="367"/>
      <c r="C6" s="367"/>
      <c r="D6" s="367"/>
      <c r="E6" s="367"/>
      <c r="F6" s="367"/>
      <c r="G6" s="367"/>
      <c r="H6" s="367"/>
      <c r="I6" s="367"/>
      <c r="J6" s="367"/>
      <c r="L6" s="377"/>
      <c r="M6" s="378"/>
      <c r="O6" s="127" t="s">
        <v>41</v>
      </c>
      <c r="P6" s="123" t="s">
        <v>39</v>
      </c>
    </row>
    <row r="7" spans="1:16" ht="29.25" customHeight="1" x14ac:dyDescent="0.35">
      <c r="C7" s="381"/>
      <c r="D7" s="381"/>
      <c r="E7" s="381"/>
      <c r="F7" s="381"/>
      <c r="G7" s="129" t="s">
        <v>42</v>
      </c>
      <c r="H7" s="129"/>
      <c r="I7" s="129"/>
      <c r="J7" s="130">
        <f ca="1">TODAY()</f>
        <v>46288</v>
      </c>
      <c r="L7" s="377"/>
      <c r="M7" s="378"/>
      <c r="O7" s="127" t="s">
        <v>43</v>
      </c>
    </row>
    <row r="8" spans="1:16" ht="20.25" customHeight="1" thickBot="1" x14ac:dyDescent="0.4">
      <c r="D8" s="100"/>
      <c r="G8" s="102"/>
      <c r="H8" s="102"/>
      <c r="I8" s="102"/>
      <c r="L8" s="379"/>
      <c r="M8" s="380"/>
      <c r="O8" s="127"/>
    </row>
    <row r="9" spans="1:16" ht="21" customHeight="1" x14ac:dyDescent="0.35">
      <c r="B9" s="102" t="s">
        <v>44</v>
      </c>
      <c r="C9" s="102"/>
      <c r="D9" s="104" t="str">
        <f>Inscripciones!B2</f>
        <v>U9 MASCULINO</v>
      </c>
      <c r="E9" s="102" t="s">
        <v>15</v>
      </c>
      <c r="F9" s="104">
        <v>4</v>
      </c>
      <c r="G9" s="102" t="s">
        <v>16</v>
      </c>
      <c r="H9" s="102"/>
      <c r="I9" s="102"/>
      <c r="J9" s="105"/>
    </row>
    <row r="10" spans="1:16" ht="30" customHeight="1" x14ac:dyDescent="0.25"/>
    <row r="11" spans="1:16" ht="21" customHeight="1" x14ac:dyDescent="0.25">
      <c r="B11" s="102" t="s">
        <v>17</v>
      </c>
      <c r="C11" s="106" t="s">
        <v>18</v>
      </c>
      <c r="D11" s="106" t="s">
        <v>19</v>
      </c>
      <c r="E11" s="106" t="s">
        <v>20</v>
      </c>
      <c r="F11" s="106" t="s">
        <v>21</v>
      </c>
      <c r="G11" s="106" t="s">
        <v>22</v>
      </c>
      <c r="H11" s="106"/>
      <c r="I11" s="106"/>
    </row>
    <row r="12" spans="1:16" ht="21" customHeight="1" x14ac:dyDescent="0.3">
      <c r="A12" s="16">
        <f>$F$9+0.1</f>
        <v>4.0999999999999996</v>
      </c>
      <c r="B12" s="131">
        <v>1</v>
      </c>
      <c r="C12" s="109">
        <f>VLOOKUP(A12,Inscripciones!$A$5:$G$167,2,FALSE)</f>
        <v>4520</v>
      </c>
      <c r="D12" s="110" t="str">
        <f>IF(ISBLANK(C12),"",VLOOKUP(C12,Inscripciones!$B$7:$F$200,2,FALSE))</f>
        <v>GAEL SOLÍS VÁSQUEZ</v>
      </c>
      <c r="E12" s="111" t="str">
        <f>IF(ISBLANK(C12),"",VLOOKUP(C12,Inscripciones!$B$7:$F$200,3,FALSE))</f>
        <v>ESPARZA</v>
      </c>
      <c r="F12" s="111">
        <f>IF(ISBLANK(C12),"",VLOOKUP(C12,Inscripciones!$B$7:$F$200,4,FALSE))</f>
        <v>4</v>
      </c>
      <c r="G12" s="111">
        <f>IF(ISBLANK(C12),"",VLOOKUP(C12,Inscripciones!$B$7:$F$200,5,FALSE))</f>
        <v>587</v>
      </c>
      <c r="H12" s="112"/>
      <c r="I12" s="112"/>
    </row>
    <row r="13" spans="1:16" ht="21" customHeight="1" x14ac:dyDescent="0.3">
      <c r="A13" s="16">
        <f>$F$9+0.2</f>
        <v>4.2</v>
      </c>
      <c r="B13" s="131">
        <v>2</v>
      </c>
      <c r="C13" s="109">
        <f>VLOOKUP(A13,Inscripciones!$A$5:$G$167,2,FALSE)</f>
        <v>4685</v>
      </c>
      <c r="D13" s="110" t="str">
        <f>IF(ISBLANK(C13),"",VLOOKUP(C13,Inscripciones!$B$7:$F$200,2,FALSE))</f>
        <v>GAEL ROMERO LEÓN</v>
      </c>
      <c r="E13" s="111" t="str">
        <f>IF(ISBLANK(C13),"",VLOOKUP(C13,Inscripciones!$B$7:$F$200,3,FALSE))</f>
        <v>ESCAZÚ</v>
      </c>
      <c r="F13" s="111">
        <f>IF(ISBLANK(C13),"",VLOOKUP(C13,Inscripciones!$B$7:$F$200,4,FALSE))</f>
        <v>5</v>
      </c>
      <c r="G13" s="111">
        <f>IF(ISBLANK(C13),"",VLOOKUP(C13,Inscripciones!$B$7:$F$200,5,FALSE))</f>
        <v>530</v>
      </c>
      <c r="H13" s="112"/>
      <c r="I13" s="112"/>
    </row>
    <row r="14" spans="1:16" ht="21" customHeight="1" x14ac:dyDescent="0.3">
      <c r="A14" s="16">
        <f>$F$9+0.3</f>
        <v>4.3</v>
      </c>
      <c r="B14" s="131">
        <v>3</v>
      </c>
      <c r="C14" s="109">
        <f>VLOOKUP(A14,Inscripciones!$A$5:$G$167,2,FALSE)</f>
        <v>4867</v>
      </c>
      <c r="D14" s="110" t="str">
        <f>IF(ISBLANK(C14),"",VLOOKUP(C14,Inscripciones!$B$7:$F$200,2,FALSE))</f>
        <v>SALOMON MUÑOZ MOYA</v>
      </c>
      <c r="E14" s="111" t="str">
        <f>IF(ISBLANK(C14),"",VLOOKUP(C14,Inscripciones!$B$7:$F$200,3,FALSE))</f>
        <v>GUARCO</v>
      </c>
      <c r="F14" s="111">
        <f>IF(ISBLANK(C14),"",VLOOKUP(C14,Inscripciones!$B$7:$F$200,4,FALSE))</f>
        <v>13</v>
      </c>
      <c r="G14" s="111">
        <f>IF(ISBLANK(C14),"",VLOOKUP(C14,Inscripciones!$B$7:$F$200,5,FALSE))</f>
        <v>455</v>
      </c>
      <c r="H14" s="112"/>
      <c r="I14" s="112"/>
    </row>
    <row r="15" spans="1:16" ht="21" customHeight="1" x14ac:dyDescent="0.3">
      <c r="A15" s="16">
        <f>$F$9+0.4</f>
        <v>4.4000000000000004</v>
      </c>
      <c r="B15" s="131">
        <v>4</v>
      </c>
      <c r="C15" s="109">
        <f>VLOOKUP(A15,Inscripciones!$A$5:$G$167,2,FALSE)</f>
        <v>4871</v>
      </c>
      <c r="D15" s="110" t="str">
        <f>IF(ISBLANK(C15),"",VLOOKUP(C15,Inscripciones!$B$7:$F$200,2,FALSE))</f>
        <v>FABIAN ANGULO BRENES</v>
      </c>
      <c r="E15" s="111" t="str">
        <f>IF(ISBLANK(C15),"",VLOOKUP(C15,Inscripciones!$B$7:$F$200,3,FALSE))</f>
        <v>CCDR SANTA CRUZ</v>
      </c>
      <c r="F15" s="111">
        <f>IF(ISBLANK(C15),"",VLOOKUP(C15,Inscripciones!$B$7:$F$200,4,FALSE))</f>
        <v>14</v>
      </c>
      <c r="G15" s="111">
        <f>IF(ISBLANK(C15),"",VLOOKUP(C15,Inscripciones!$B$7:$F$200,5,FALSE))</f>
        <v>455</v>
      </c>
      <c r="H15" s="112"/>
      <c r="I15" s="112"/>
    </row>
    <row r="16" spans="1:16" ht="21" customHeight="1" x14ac:dyDescent="0.25"/>
    <row r="17" spans="2:10" ht="21" customHeight="1" x14ac:dyDescent="0.25">
      <c r="B17" s="113" t="s">
        <v>23</v>
      </c>
      <c r="C17" s="113" t="s">
        <v>45</v>
      </c>
      <c r="D17" s="113" t="s">
        <v>24</v>
      </c>
      <c r="E17" s="113" t="s">
        <v>25</v>
      </c>
      <c r="F17" s="113" t="s">
        <v>26</v>
      </c>
      <c r="G17" s="113" t="s">
        <v>27</v>
      </c>
      <c r="H17" s="113" t="s">
        <v>28</v>
      </c>
      <c r="I17" s="113" t="s">
        <v>29</v>
      </c>
      <c r="J17" s="114" t="s">
        <v>30</v>
      </c>
    </row>
    <row r="18" spans="2:10" ht="21" customHeight="1" x14ac:dyDescent="0.25">
      <c r="B18" s="115">
        <v>1</v>
      </c>
      <c r="C18" s="116">
        <v>1</v>
      </c>
      <c r="D18" s="132" t="str">
        <f>D12</f>
        <v>GAEL SOLÍS VÁSQUEZ</v>
      </c>
      <c r="E18" s="118">
        <v>11</v>
      </c>
      <c r="F18" s="118">
        <v>11</v>
      </c>
      <c r="G18" s="118"/>
      <c r="H18" s="118"/>
      <c r="I18" s="118"/>
      <c r="J18" s="370" cm="1">
        <f t="array" ref="J18">IF(AND(TRIM(E18)="WO",TRIM(E19)="WO"),"",IF(TRIM(E19)="WO",C18,IF(TRIM(E18)="WO",C19,IF(SUMPRODUCT(--(E18:I18&gt;E19:I19))&gt;SUMPRODUCT(--(E19:I19&gt;E18:I18)),C18,IF(SUMPRODUCT(--(E19:I19&gt;E18:I18))&gt;SUMPRODUCT(--(E18:I18&gt;E19:I19)),C19,"")))))</f>
        <v>1</v>
      </c>
    </row>
    <row r="19" spans="2:10" ht="21" customHeight="1" x14ac:dyDescent="0.25">
      <c r="B19" s="119"/>
      <c r="C19" s="116">
        <v>3</v>
      </c>
      <c r="D19" s="132" t="str">
        <f>D14</f>
        <v>SALOMON MUÑOZ MOYA</v>
      </c>
      <c r="E19" s="118">
        <v>7</v>
      </c>
      <c r="F19" s="118">
        <v>0</v>
      </c>
      <c r="G19" s="118"/>
      <c r="H19" s="118"/>
      <c r="I19" s="118"/>
      <c r="J19" s="371"/>
    </row>
    <row r="20" spans="2:10" ht="21" customHeight="1" x14ac:dyDescent="0.25">
      <c r="B20" s="115">
        <v>2</v>
      </c>
      <c r="C20" s="118">
        <v>4</v>
      </c>
      <c r="D20" s="132" t="str">
        <f>D15</f>
        <v>FABIAN ANGULO BRENES</v>
      </c>
      <c r="E20" s="118">
        <v>3</v>
      </c>
      <c r="F20" s="118">
        <v>0</v>
      </c>
      <c r="G20" s="118"/>
      <c r="H20" s="118"/>
      <c r="I20" s="118"/>
      <c r="J20" s="370" cm="1">
        <f t="array" ref="J20">IF(AND(TRIM(E20)="WO",TRIM(E21)="WO"),"",IF(TRIM(E21)="WO",C20,IF(TRIM(E20)="WO",C21,IF(SUMPRODUCT(--(E20:I20&gt;E21:I21))&gt;SUMPRODUCT(--(E21:I21&gt;E20:I20)),C20,IF(SUMPRODUCT(--(E21:I21&gt;E20:I20))&gt;SUMPRODUCT(--(E20:I20&gt;E21:I21)),C21,"")))))</f>
        <v>2</v>
      </c>
    </row>
    <row r="21" spans="2:10" ht="21" customHeight="1" x14ac:dyDescent="0.25">
      <c r="B21" s="119"/>
      <c r="C21" s="118">
        <v>2</v>
      </c>
      <c r="D21" s="132" t="str">
        <f>D13</f>
        <v>GAEL ROMERO LEÓN</v>
      </c>
      <c r="E21" s="118">
        <v>11</v>
      </c>
      <c r="F21" s="118">
        <v>11</v>
      </c>
      <c r="G21" s="118"/>
      <c r="H21" s="118"/>
      <c r="I21" s="118"/>
      <c r="J21" s="371"/>
    </row>
    <row r="22" spans="2:10" ht="21" customHeight="1" x14ac:dyDescent="0.25">
      <c r="B22" s="115">
        <v>3</v>
      </c>
      <c r="C22" s="116">
        <v>1</v>
      </c>
      <c r="D22" s="132" t="str">
        <f>D12</f>
        <v>GAEL SOLÍS VÁSQUEZ</v>
      </c>
      <c r="E22" s="118">
        <v>9</v>
      </c>
      <c r="F22" s="118">
        <v>11</v>
      </c>
      <c r="G22" s="118">
        <v>11</v>
      </c>
      <c r="H22" s="118"/>
      <c r="I22" s="118"/>
      <c r="J22" s="370" cm="1">
        <f t="array" ref="J22">IF(AND(TRIM(E22)="WO",TRIM(E23)="WO"),"",IF(TRIM(E23)="WO",C22,IF(TRIM(E22)="WO",C23,IF(SUMPRODUCT(--(E22:I22&gt;E23:I23))&gt;SUMPRODUCT(--(E23:I23&gt;E22:I22)),C22,IF(SUMPRODUCT(--(E23:I23&gt;E22:I22))&gt;SUMPRODUCT(--(E22:I22&gt;E23:I23)),C23,"")))))</f>
        <v>1</v>
      </c>
    </row>
    <row r="23" spans="2:10" ht="21" customHeight="1" x14ac:dyDescent="0.25">
      <c r="B23" s="119"/>
      <c r="C23" s="116">
        <v>2</v>
      </c>
      <c r="D23" s="132" t="str">
        <f>D13</f>
        <v>GAEL ROMERO LEÓN</v>
      </c>
      <c r="E23" s="118">
        <v>11</v>
      </c>
      <c r="F23" s="118">
        <v>3</v>
      </c>
      <c r="G23" s="118">
        <v>5</v>
      </c>
      <c r="H23" s="118"/>
      <c r="I23" s="118"/>
      <c r="J23" s="371"/>
    </row>
    <row r="24" spans="2:10" ht="21" customHeight="1" x14ac:dyDescent="0.25">
      <c r="B24" s="115">
        <v>4</v>
      </c>
      <c r="C24" s="118">
        <v>3</v>
      </c>
      <c r="D24" s="132" t="str">
        <f>D19</f>
        <v>SALOMON MUÑOZ MOYA</v>
      </c>
      <c r="E24" s="118">
        <v>11</v>
      </c>
      <c r="F24" s="118">
        <v>18</v>
      </c>
      <c r="G24" s="118"/>
      <c r="H24" s="118"/>
      <c r="I24" s="118"/>
      <c r="J24" s="370" cm="1">
        <f t="array" ref="J24">IF(AND(TRIM(E24)="WO",TRIM(E25)="WO"),"",IF(TRIM(E25)="WO",C24,IF(TRIM(E24)="WO",C25,IF(SUMPRODUCT(--(E24:I24&gt;E25:I25))&gt;SUMPRODUCT(--(E25:I25&gt;E24:I24)),C24,IF(SUMPRODUCT(--(E25:I25&gt;E24:I24))&gt;SUMPRODUCT(--(E24:I24&gt;E25:I25)),C25,"")))))</f>
        <v>3</v>
      </c>
    </row>
    <row r="25" spans="2:10" ht="21" customHeight="1" x14ac:dyDescent="0.25">
      <c r="B25" s="119"/>
      <c r="C25" s="118">
        <v>4</v>
      </c>
      <c r="D25" s="132" t="str">
        <f>D20</f>
        <v>FABIAN ANGULO BRENES</v>
      </c>
      <c r="E25" s="118">
        <v>8</v>
      </c>
      <c r="F25" s="118">
        <v>16</v>
      </c>
      <c r="G25" s="118"/>
      <c r="H25" s="118"/>
      <c r="I25" s="118"/>
      <c r="J25" s="371"/>
    </row>
    <row r="26" spans="2:10" ht="21" customHeight="1" x14ac:dyDescent="0.25">
      <c r="B26" s="115">
        <v>5</v>
      </c>
      <c r="C26" s="116">
        <v>1</v>
      </c>
      <c r="D26" s="132" t="str">
        <f>D12</f>
        <v>GAEL SOLÍS VÁSQUEZ</v>
      </c>
      <c r="E26" s="118">
        <v>11</v>
      </c>
      <c r="F26" s="118">
        <v>11</v>
      </c>
      <c r="G26" s="118"/>
      <c r="H26" s="118"/>
      <c r="I26" s="118"/>
      <c r="J26" s="370" cm="1">
        <f t="array" ref="J26">IF(AND(TRIM(E26)="WO",TRIM(E27)="WO"),"",IF(TRIM(E27)="WO",C26,IF(TRIM(E26)="WO",C27,IF(SUMPRODUCT(--(E26:I26&gt;E27:I27))&gt;SUMPRODUCT(--(E27:I27&gt;E26:I26)),C26,IF(SUMPRODUCT(--(E27:I27&gt;E26:I26))&gt;SUMPRODUCT(--(E26:I26&gt;E27:I27)),C27,"")))))</f>
        <v>1</v>
      </c>
    </row>
    <row r="27" spans="2:10" ht="21" customHeight="1" x14ac:dyDescent="0.25">
      <c r="B27" s="119"/>
      <c r="C27" s="116">
        <v>4</v>
      </c>
      <c r="D27" s="132" t="str">
        <f>D15</f>
        <v>FABIAN ANGULO BRENES</v>
      </c>
      <c r="E27" s="118">
        <v>1</v>
      </c>
      <c r="F27" s="118">
        <v>3</v>
      </c>
      <c r="G27" s="118"/>
      <c r="H27" s="118"/>
      <c r="I27" s="118"/>
      <c r="J27" s="371"/>
    </row>
    <row r="28" spans="2:10" ht="21" customHeight="1" x14ac:dyDescent="0.25">
      <c r="B28" s="115">
        <v>6</v>
      </c>
      <c r="C28" s="118">
        <v>2</v>
      </c>
      <c r="D28" s="132" t="str">
        <f>D13</f>
        <v>GAEL ROMERO LEÓN</v>
      </c>
      <c r="E28" s="118">
        <v>11</v>
      </c>
      <c r="F28" s="118">
        <v>11</v>
      </c>
      <c r="G28" s="118"/>
      <c r="H28" s="118"/>
      <c r="I28" s="118"/>
      <c r="J28" s="370" cm="1">
        <f t="array" ref="J28">IF(AND(TRIM(E28)="WO",TRIM(E29)="WO"),"",IF(TRIM(E29)="WO",C28,IF(TRIM(E28)="WO",C29,IF(SUMPRODUCT(--(E28:I28&gt;E29:I29))&gt;SUMPRODUCT(--(E29:I29&gt;E28:I28)),C28,IF(SUMPRODUCT(--(E29:I29&gt;E28:I28))&gt;SUMPRODUCT(--(E28:I28&gt;E29:I29)),C29,"")))))</f>
        <v>2</v>
      </c>
    </row>
    <row r="29" spans="2:10" ht="21" customHeight="1" x14ac:dyDescent="0.25">
      <c r="B29" s="119"/>
      <c r="C29" s="118">
        <v>3</v>
      </c>
      <c r="D29" s="132" t="str">
        <f>D24</f>
        <v>SALOMON MUÑOZ MOYA</v>
      </c>
      <c r="E29" s="118">
        <v>3</v>
      </c>
      <c r="F29" s="118">
        <v>5</v>
      </c>
      <c r="G29" s="118"/>
      <c r="H29" s="118"/>
      <c r="I29" s="118"/>
      <c r="J29" s="371"/>
    </row>
    <row r="32" spans="2:10" ht="22.5" customHeight="1" x14ac:dyDescent="0.25">
      <c r="C32" s="372" t="s">
        <v>31</v>
      </c>
      <c r="D32" s="372"/>
      <c r="F32" s="373" t="s">
        <v>32</v>
      </c>
      <c r="G32" s="374"/>
      <c r="H32" s="374"/>
      <c r="I32" s="374"/>
      <c r="J32" s="374"/>
    </row>
    <row r="33" spans="3:10" s="121" customFormat="1" ht="20.25" customHeight="1" thickBot="1" x14ac:dyDescent="0.3">
      <c r="C33" s="133" t="s">
        <v>33</v>
      </c>
      <c r="D33" s="133" t="s">
        <v>34</v>
      </c>
      <c r="F33" s="359" t="s">
        <v>35</v>
      </c>
      <c r="G33" s="360"/>
      <c r="H33" s="360"/>
      <c r="I33" s="360"/>
      <c r="J33" s="360"/>
    </row>
    <row r="34" spans="3:10" ht="20.25" customHeight="1" thickBot="1" x14ac:dyDescent="0.3">
      <c r="C34" s="123">
        <v>4520</v>
      </c>
      <c r="D34" s="124" t="str">
        <f>IF(ISBLANK(C34),"",VLOOKUP(C34,Inscripciones!$B$5:$F$200,2,FALSE))</f>
        <v>GAEL SOLÍS VÁSQUEZ</v>
      </c>
      <c r="F34" s="125" t="s">
        <v>36</v>
      </c>
      <c r="G34" s="361"/>
      <c r="H34" s="362"/>
      <c r="I34" s="362"/>
      <c r="J34" s="363"/>
    </row>
    <row r="35" spans="3:10" ht="20.25" customHeight="1" thickBot="1" x14ac:dyDescent="0.3">
      <c r="C35" s="123">
        <v>4685</v>
      </c>
      <c r="D35" s="124" t="str">
        <f>IF(ISBLANK(C35),"",VLOOKUP(C35,Inscripciones!$B$5:$F$200,2,FALSE))</f>
        <v>GAEL ROMERO LEÓN</v>
      </c>
      <c r="F35" s="364" t="s">
        <v>37</v>
      </c>
      <c r="G35" s="365"/>
      <c r="H35" s="365"/>
      <c r="I35" s="366"/>
      <c r="J35" s="126"/>
    </row>
  </sheetData>
  <mergeCells count="14">
    <mergeCell ref="C32:D32"/>
    <mergeCell ref="F32:J32"/>
    <mergeCell ref="F33:J33"/>
    <mergeCell ref="B2:J6"/>
    <mergeCell ref="L5:M8"/>
    <mergeCell ref="C7:F7"/>
    <mergeCell ref="J18:J19"/>
    <mergeCell ref="J20:J21"/>
    <mergeCell ref="J22:J23"/>
    <mergeCell ref="G34:J34"/>
    <mergeCell ref="F35:I35"/>
    <mergeCell ref="J24:J25"/>
    <mergeCell ref="J26:J27"/>
    <mergeCell ref="J28:J29"/>
  </mergeCells>
  <conditionalFormatting sqref="B18:J19">
    <cfRule type="expression" dxfId="9" priority="6">
      <formula>$P$6=$O$6</formula>
    </cfRule>
  </conditionalFormatting>
  <conditionalFormatting sqref="B20:J21">
    <cfRule type="expression" dxfId="8" priority="3">
      <formula>$P$6=$O$7</formula>
    </cfRule>
  </conditionalFormatting>
  <conditionalFormatting sqref="B22:J23">
    <cfRule type="expression" dxfId="7" priority="5">
      <formula>$P$6=$O$6</formula>
    </cfRule>
  </conditionalFormatting>
  <conditionalFormatting sqref="B24:J25">
    <cfRule type="expression" dxfId="6" priority="2">
      <formula>$P$6=$O$7</formula>
    </cfRule>
  </conditionalFormatting>
  <conditionalFormatting sqref="B26:J27">
    <cfRule type="expression" dxfId="5" priority="4">
      <formula>$P$6=$O$6</formula>
    </cfRule>
  </conditionalFormatting>
  <conditionalFormatting sqref="B28:J29">
    <cfRule type="expression" dxfId="4" priority="1">
      <formula>$P$6=$O$7</formula>
    </cfRule>
  </conditionalFormatting>
  <dataValidations count="1">
    <dataValidation type="list" allowBlank="1" showInputMessage="1" showErrorMessage="1" sqref="P6" xr:uid="{7C3F4BC6-80CD-4B65-A748-FDE7EE39D889}">
      <formula1>$O$5:$O$7</formula1>
    </dataValidation>
  </dataValidations>
  <pageMargins left="0.7" right="0.7" top="0.75" bottom="0.75" header="0.3" footer="0.3"/>
  <pageSetup scale="89" orientation="portrait" horizontalDpi="360" verticalDpi="36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23D20-2B0D-4F61-8C0C-989325969C3F}">
  <sheetPr published="0" codeName="Sheet8">
    <tabColor rgb="FF00B0F0"/>
    <pageSetUpPr fitToPage="1"/>
  </sheetPr>
  <dimension ref="B1:AC33"/>
  <sheetViews>
    <sheetView showGridLines="0" topLeftCell="A4" workbookViewId="0">
      <selection activeCell="B2" sqref="B2:X16"/>
    </sheetView>
  </sheetViews>
  <sheetFormatPr defaultColWidth="0" defaultRowHeight="12" x14ac:dyDescent="0.25"/>
  <cols>
    <col min="1" max="1" width="4.7109375" style="134" customWidth="1"/>
    <col min="2" max="2" width="8.7109375" style="134" customWidth="1"/>
    <col min="3" max="3" width="4.7109375" style="134" customWidth="1"/>
    <col min="4" max="4" width="4.140625" style="134" customWidth="1"/>
    <col min="5" max="5" width="20.7109375" style="134" customWidth="1"/>
    <col min="6" max="6" width="10.7109375" style="134" bestFit="1" customWidth="1"/>
    <col min="7" max="11" width="1.7109375" style="134" customWidth="1"/>
    <col min="12" max="15" width="0.85546875" style="134" customWidth="1"/>
    <col min="16" max="16" width="2.85546875" style="134" customWidth="1"/>
    <col min="17" max="17" width="3" style="134" customWidth="1"/>
    <col min="18" max="18" width="5" style="134" bestFit="1" customWidth="1"/>
    <col min="19" max="19" width="29" style="134" customWidth="1"/>
    <col min="20" max="20" width="12.85546875" style="134" bestFit="1" customWidth="1"/>
    <col min="21" max="21" width="3" style="134" customWidth="1"/>
    <col min="22" max="22" width="0" style="134" hidden="1" customWidth="1"/>
    <col min="23" max="23" width="5.85546875" style="134" customWidth="1"/>
    <col min="24" max="27" width="3.7109375" style="134" customWidth="1"/>
    <col min="28" max="29" width="4.7109375" style="134" customWidth="1"/>
    <col min="30" max="16384" width="0" style="134" hidden="1"/>
  </cols>
  <sheetData>
    <row r="1" spans="2:29" x14ac:dyDescent="0.25">
      <c r="G1" s="135"/>
      <c r="H1" s="135"/>
      <c r="I1" s="135"/>
      <c r="J1" s="135"/>
      <c r="K1" s="135"/>
      <c r="L1" s="135"/>
      <c r="M1" s="135"/>
      <c r="N1" s="135"/>
      <c r="O1" s="135"/>
      <c r="X1" s="136"/>
      <c r="Y1" s="137"/>
      <c r="AA1" s="137"/>
      <c r="AC1" s="138"/>
    </row>
    <row r="2" spans="2:29" x14ac:dyDescent="0.25">
      <c r="B2" s="382" t="e" vm="1">
        <v>#VALUE!</v>
      </c>
      <c r="C2" s="382"/>
      <c r="D2" s="382"/>
      <c r="E2" s="382"/>
      <c r="F2" s="382"/>
      <c r="G2" s="382"/>
      <c r="H2" s="382"/>
      <c r="I2" s="382"/>
      <c r="J2" s="382"/>
      <c r="K2" s="382"/>
      <c r="L2" s="382"/>
      <c r="M2" s="382"/>
      <c r="N2" s="382"/>
      <c r="O2" s="382"/>
      <c r="P2" s="382"/>
      <c r="X2" s="136"/>
      <c r="Y2" s="137"/>
      <c r="AA2" s="137"/>
      <c r="AC2" s="138"/>
    </row>
    <row r="3" spans="2:29" x14ac:dyDescent="0.25">
      <c r="B3" s="382"/>
      <c r="C3" s="382"/>
      <c r="D3" s="382"/>
      <c r="E3" s="382"/>
      <c r="F3" s="382"/>
      <c r="G3" s="382"/>
      <c r="H3" s="382"/>
      <c r="I3" s="382"/>
      <c r="J3" s="382"/>
      <c r="K3" s="382"/>
      <c r="L3" s="382"/>
      <c r="M3" s="382"/>
      <c r="N3" s="382"/>
      <c r="O3" s="382"/>
      <c r="P3" s="382"/>
      <c r="X3" s="136"/>
      <c r="Y3" s="137"/>
      <c r="AA3" s="137"/>
      <c r="AC3" s="138"/>
    </row>
    <row r="4" spans="2:29" x14ac:dyDescent="0.25">
      <c r="B4" s="382"/>
      <c r="C4" s="382"/>
      <c r="D4" s="382"/>
      <c r="E4" s="382"/>
      <c r="F4" s="382"/>
      <c r="G4" s="382"/>
      <c r="H4" s="382"/>
      <c r="I4" s="382"/>
      <c r="J4" s="382"/>
      <c r="K4" s="382"/>
      <c r="L4" s="382"/>
      <c r="M4" s="382"/>
      <c r="N4" s="382"/>
      <c r="O4" s="382"/>
      <c r="P4" s="382"/>
      <c r="X4" s="136"/>
      <c r="Y4" s="137"/>
      <c r="AA4" s="137"/>
      <c r="AC4" s="138"/>
    </row>
    <row r="5" spans="2:29" x14ac:dyDescent="0.25">
      <c r="G5" s="135"/>
      <c r="H5" s="135"/>
      <c r="I5" s="135"/>
      <c r="J5" s="135"/>
      <c r="K5" s="135"/>
      <c r="L5" s="135"/>
      <c r="M5" s="135"/>
      <c r="N5" s="135"/>
      <c r="O5" s="135"/>
      <c r="Y5" s="137"/>
      <c r="AA5" s="137"/>
      <c r="AC5" s="138"/>
    </row>
    <row r="6" spans="2:29" ht="12" customHeight="1" x14ac:dyDescent="0.25">
      <c r="B6" s="383" t="s">
        <v>169</v>
      </c>
      <c r="C6" s="384"/>
      <c r="D6" s="384"/>
      <c r="E6" s="384"/>
      <c r="F6" s="384"/>
      <c r="G6" s="384"/>
      <c r="H6" s="384"/>
      <c r="I6" s="384"/>
      <c r="J6" s="384"/>
      <c r="K6" s="384"/>
      <c r="L6" s="384"/>
      <c r="M6" s="384"/>
      <c r="N6" s="384"/>
      <c r="O6" s="384"/>
      <c r="P6" s="384"/>
      <c r="Q6" s="139"/>
      <c r="R6" s="139"/>
      <c r="S6" s="139"/>
      <c r="T6" s="139"/>
      <c r="U6" s="139"/>
      <c r="V6" s="139"/>
      <c r="W6" s="140"/>
      <c r="Y6" s="137"/>
      <c r="AA6" s="137"/>
      <c r="AC6" s="138"/>
    </row>
    <row r="7" spans="2:29" ht="12" customHeight="1" x14ac:dyDescent="0.25">
      <c r="B7" s="385"/>
      <c r="C7" s="386"/>
      <c r="D7" s="386"/>
      <c r="E7" s="386"/>
      <c r="F7" s="386"/>
      <c r="G7" s="386"/>
      <c r="H7" s="386"/>
      <c r="I7" s="386"/>
      <c r="J7" s="386"/>
      <c r="K7" s="386"/>
      <c r="L7" s="386"/>
      <c r="M7" s="386"/>
      <c r="N7" s="386"/>
      <c r="O7" s="386"/>
      <c r="P7" s="386"/>
      <c r="Q7" s="141"/>
      <c r="R7" s="141"/>
      <c r="S7" s="141"/>
      <c r="T7" s="141"/>
      <c r="U7" s="141"/>
      <c r="V7" s="141"/>
      <c r="W7" s="142"/>
      <c r="Y7" s="137"/>
      <c r="AA7" s="137"/>
      <c r="AC7" s="138"/>
    </row>
    <row r="8" spans="2:29" ht="16.5" thickBot="1" x14ac:dyDescent="0.3">
      <c r="G8" s="135"/>
      <c r="H8" s="135"/>
      <c r="I8" s="135"/>
      <c r="J8" s="135"/>
      <c r="K8" s="135"/>
      <c r="L8" s="135"/>
      <c r="M8" s="135"/>
      <c r="N8" s="135"/>
      <c r="O8" s="135"/>
      <c r="R8" s="387" t="s">
        <v>46</v>
      </c>
      <c r="S8" s="388"/>
      <c r="T8" s="388"/>
      <c r="U8" s="388"/>
      <c r="V8" s="388"/>
      <c r="W8" s="389"/>
      <c r="X8" s="135"/>
      <c r="Y8" s="137"/>
      <c r="AA8" s="137"/>
      <c r="AC8" s="137"/>
    </row>
    <row r="9" spans="2:29" ht="15" x14ac:dyDescent="0.25">
      <c r="B9" s="143" t="s">
        <v>47</v>
      </c>
      <c r="C9" s="144">
        <v>1</v>
      </c>
      <c r="D9" s="145">
        <f t="shared" ref="D9:D16" ca="1" si="0">VLOOKUP(C9,$U$8:$W$258,2,FALSE)</f>
        <v>4295</v>
      </c>
      <c r="E9" s="146" t="str">
        <f ca="1">IF(D9=0,0,VLOOKUP(D9,Inscripciones!$B$1:$M$194,2,FALSE))</f>
        <v>RICARDO MATEO CHAVES LEÓN</v>
      </c>
      <c r="F9" s="147" t="str">
        <f ca="1">IF(D9=0,0,VLOOKUP(D9,Inscripciones!$B$1:$M$194,3,FALSE))</f>
        <v>ESPARZA</v>
      </c>
      <c r="L9" s="135"/>
      <c r="M9" s="135"/>
      <c r="P9" s="143" t="s">
        <v>48</v>
      </c>
      <c r="Q9" s="148">
        <v>1</v>
      </c>
      <c r="R9" s="149" cm="1">
        <f t="array" aca="1" ref="R9" ca="1">INDIRECT("'Grupo " &amp; Q9 &amp; "'!C34")</f>
        <v>4295</v>
      </c>
      <c r="S9" s="150" t="str">
        <f ca="1">IF(ISBLANK(R9),"",VLOOKUP(R9,Inscripciones!$B$1:$M$194,2,FALSE))</f>
        <v>RICARDO MATEO CHAVES LEÓN</v>
      </c>
      <c r="T9" s="151" t="str">
        <f ca="1">IF(ISBLANK(R9),"",VLOOKUP(R9,Inscripciones!$B$1:$M$194,3,FALSE))</f>
        <v>ESPARZA</v>
      </c>
      <c r="U9" s="152">
        <v>1</v>
      </c>
      <c r="V9" s="153">
        <f t="shared" ref="V9:V14" ca="1" si="1">R9</f>
        <v>4295</v>
      </c>
      <c r="W9" s="154" t="str">
        <f>IF(U9=0,0,IF(U9&lt;5,"UP","DO"))</f>
        <v>UP</v>
      </c>
      <c r="Y9" s="137"/>
      <c r="AA9" s="137"/>
      <c r="AC9" s="137"/>
    </row>
    <row r="10" spans="2:29" ht="15" x14ac:dyDescent="0.25">
      <c r="B10" s="155" t="s">
        <v>49</v>
      </c>
      <c r="C10" s="156">
        <v>2</v>
      </c>
      <c r="D10" s="157">
        <f t="shared" ca="1" si="0"/>
        <v>4685</v>
      </c>
      <c r="E10" s="158" t="str">
        <f ca="1">IF(D10=0,0,VLOOKUP(D10,Inscripciones!$B$1:$M$194,2,FALSE))</f>
        <v>GAEL ROMERO LEÓN</v>
      </c>
      <c r="F10" s="159" t="str">
        <f ca="1">IF(D10=0,0,VLOOKUP(D10,Inscripciones!$B$1:$M$194,3,FALSE))</f>
        <v>ESCAZÚ</v>
      </c>
      <c r="G10" s="160"/>
      <c r="L10" s="135"/>
      <c r="M10" s="135"/>
      <c r="P10" s="161" t="s">
        <v>48</v>
      </c>
      <c r="Q10" s="162">
        <v>2</v>
      </c>
      <c r="R10" s="163" cm="1">
        <f t="array" aca="1" ref="R10" ca="1">INDIRECT("'Grupo " &amp; Q10 &amp; "'!C34")</f>
        <v>4149</v>
      </c>
      <c r="S10" s="164" t="str">
        <f ca="1">IF(ISBLANK(R10),"",VLOOKUP(R10,Inscripciones!$B$1:$M$194,2,FALSE))</f>
        <v>LUIS MANUEL GARCÍA ARAYA</v>
      </c>
      <c r="T10" s="165" t="str">
        <f ca="1">IF(ISBLANK(R10),"",VLOOKUP(R10,Inscripciones!$B$1:$M$194,3,FALSE))</f>
        <v>ESPARZA</v>
      </c>
      <c r="U10" s="166">
        <v>8</v>
      </c>
      <c r="V10" s="167">
        <f t="shared" ca="1" si="1"/>
        <v>4149</v>
      </c>
      <c r="W10" s="168" t="str">
        <f>IF(U10=0,0,IF(U10&lt;5,"UP","DO"))</f>
        <v>DO</v>
      </c>
      <c r="Y10" s="137"/>
      <c r="AA10" s="137"/>
      <c r="AC10" s="137"/>
    </row>
    <row r="11" spans="2:29" ht="15" x14ac:dyDescent="0.25">
      <c r="B11" s="155" t="s">
        <v>49</v>
      </c>
      <c r="C11" s="156">
        <v>3</v>
      </c>
      <c r="D11" s="157">
        <f t="shared" ca="1" si="0"/>
        <v>4250</v>
      </c>
      <c r="E11" s="169" t="str">
        <f ca="1">IF(D11=0,0,VLOOKUP(D11,Inscripciones!$B$1:$M$194,2,FALSE))</f>
        <v>KEVIN HERNÁNDEZ LÁSCAREZ</v>
      </c>
      <c r="F11" s="170" t="str">
        <f ca="1">IF(D11=0,0,VLOOKUP(D11,Inscripciones!$B$1:$M$194,3,FALSE))</f>
        <v>CCDR SAN JOSÉ</v>
      </c>
      <c r="G11" s="171"/>
      <c r="H11" s="160"/>
      <c r="L11" s="135"/>
      <c r="M11" s="135"/>
      <c r="N11" s="135"/>
      <c r="O11" s="135"/>
      <c r="P11" s="172" t="s">
        <v>48</v>
      </c>
      <c r="Q11" s="173">
        <v>3</v>
      </c>
      <c r="R11" s="163" cm="1">
        <f t="array" aca="1" ref="R11" ca="1">INDIRECT("'Grupo " &amp; Q11 &amp; "'!C34")</f>
        <v>4391</v>
      </c>
      <c r="S11" s="164" t="str">
        <f ca="1">IF(ISBLANK(R11),"",VLOOKUP(R11,Inscripciones!$B$1:$M$194,2,FALSE))</f>
        <v xml:space="preserve">EMANUEL UMAÑA RODRIGUEZ </v>
      </c>
      <c r="T11" s="165" t="str">
        <f ca="1">IF(ISBLANK(R11),"",VLOOKUP(R11,Inscripciones!$B$1:$M$194,3,FALSE))</f>
        <v>CURRIDABAT</v>
      </c>
      <c r="U11" s="166">
        <v>4</v>
      </c>
      <c r="V11" s="167">
        <f t="shared" ca="1" si="1"/>
        <v>4391</v>
      </c>
      <c r="W11" s="168" t="str">
        <f>IF(U11=0,0,IF(U11&lt;5,"UP","DO"))</f>
        <v>UP</v>
      </c>
      <c r="X11" s="174"/>
      <c r="Y11" s="137"/>
      <c r="AA11" s="137"/>
      <c r="AC11" s="137"/>
    </row>
    <row r="12" spans="2:29" ht="15.75" thickBot="1" x14ac:dyDescent="0.3">
      <c r="B12" s="172" t="s">
        <v>50</v>
      </c>
      <c r="C12" s="156">
        <v>4</v>
      </c>
      <c r="D12" s="157">
        <f t="shared" ca="1" si="0"/>
        <v>4391</v>
      </c>
      <c r="E12" s="175" t="str">
        <f ca="1">IF(D12=0,0,VLOOKUP(D12,Inscripciones!$B$1:$M$194,2,FALSE))</f>
        <v xml:space="preserve">EMANUEL UMAÑA RODRIGUEZ </v>
      </c>
      <c r="F12" s="176" t="str">
        <f ca="1">IF(D12=0,0,VLOOKUP(D12,Inscripciones!$B$1:$M$194,3,FALSE))</f>
        <v>CURRIDABAT</v>
      </c>
      <c r="H12" s="177"/>
      <c r="L12" s="135"/>
      <c r="M12" s="135"/>
      <c r="N12" s="135"/>
      <c r="O12" s="135"/>
      <c r="P12" s="178" t="s">
        <v>48</v>
      </c>
      <c r="Q12" s="179">
        <v>4</v>
      </c>
      <c r="R12" s="180" cm="1">
        <f t="array" aca="1" ref="R12" ca="1">INDIRECT("'Grupo " &amp; Q12 &amp; "'!C34")</f>
        <v>4520</v>
      </c>
      <c r="S12" s="181" t="str">
        <f ca="1">IF(ISBLANK(R12),"",VLOOKUP(R12,Inscripciones!$B$1:$M$194,2,FALSE))</f>
        <v>GAEL SOLÍS VÁSQUEZ</v>
      </c>
      <c r="T12" s="182" t="str">
        <f ca="1">IF(ISBLANK(R12),"",VLOOKUP(R12,Inscripciones!$B$1:$M$194,3,FALSE))</f>
        <v>ESPARZA</v>
      </c>
      <c r="U12" s="183">
        <v>5</v>
      </c>
      <c r="V12" s="184">
        <f t="shared" ca="1" si="1"/>
        <v>4520</v>
      </c>
      <c r="W12" s="185" t="str">
        <f>IF(U12=0,0,IF(U12&lt;5,"UP","DO"))</f>
        <v>DO</v>
      </c>
      <c r="X12" s="174"/>
      <c r="Y12" s="137"/>
      <c r="AA12" s="137"/>
      <c r="AC12" s="137"/>
    </row>
    <row r="13" spans="2:29" ht="15" x14ac:dyDescent="0.25">
      <c r="B13" s="172" t="s">
        <v>50</v>
      </c>
      <c r="C13" s="156">
        <v>5</v>
      </c>
      <c r="D13" s="157">
        <f t="shared" ca="1" si="0"/>
        <v>4520</v>
      </c>
      <c r="E13" s="186" t="str">
        <f ca="1">IF(D13=0,0,VLOOKUP(D13,Inscripciones!$B$1:$M$194,2,FALSE))</f>
        <v>GAEL SOLÍS VÁSQUEZ</v>
      </c>
      <c r="F13" s="187" t="str">
        <f ca="1">IF(D13=0,0,VLOOKUP(D13,Inscripciones!$B$1:$M$194,3,FALSE))</f>
        <v>ESPARZA</v>
      </c>
      <c r="H13" s="177"/>
      <c r="I13" s="188"/>
      <c r="L13" s="135"/>
      <c r="M13" s="135"/>
      <c r="N13" s="135"/>
      <c r="O13" s="135"/>
      <c r="P13" s="189" t="s">
        <v>48</v>
      </c>
      <c r="Q13" s="189">
        <v>9</v>
      </c>
      <c r="R13" s="190"/>
      <c r="S13" s="191" t="str">
        <f>IF(ISBLANK(R13),"",VLOOKUP(R13,Inscripciones!$B$1:$M$194,2,FALSE))</f>
        <v/>
      </c>
      <c r="T13" s="192" t="str">
        <f>IF(ISBLANK(R13),"",VLOOKUP(R13,Inscripciones!$B$1:$M$194,4,FALSE))</f>
        <v/>
      </c>
      <c r="U13" s="193"/>
      <c r="V13" s="192">
        <f t="shared" si="1"/>
        <v>0</v>
      </c>
      <c r="W13" s="194">
        <f>IF(U13=0,0,IF(U13&lt;17,"UP","DO"))</f>
        <v>0</v>
      </c>
      <c r="X13" s="174"/>
      <c r="Y13" s="195"/>
      <c r="AA13" s="137"/>
      <c r="AC13" s="137"/>
    </row>
    <row r="14" spans="2:29" ht="15" x14ac:dyDescent="0.25">
      <c r="B14" s="155" t="s">
        <v>49</v>
      </c>
      <c r="C14" s="156">
        <v>6</v>
      </c>
      <c r="D14" s="157">
        <f t="shared" ca="1" si="0"/>
        <v>4699</v>
      </c>
      <c r="E14" s="158" t="str">
        <f ca="1">IF(D14=0,0,VLOOKUP(D14,Inscripciones!$B$1:$M$194,2,FALSE))</f>
        <v>EZEQUIEL LEAL CHACÓN</v>
      </c>
      <c r="F14" s="159" t="str">
        <f ca="1">IF(D14=0,0,VLOOKUP(D14,Inscripciones!$B$1:$M$194,3,FALSE))</f>
        <v>ESPARZA</v>
      </c>
      <c r="G14" s="160"/>
      <c r="H14" s="171"/>
      <c r="L14" s="135"/>
      <c r="M14" s="135"/>
      <c r="N14" s="135"/>
      <c r="O14" s="135"/>
      <c r="P14" s="196" t="s">
        <v>48</v>
      </c>
      <c r="Q14" s="196">
        <v>16</v>
      </c>
      <c r="R14" s="197"/>
      <c r="S14" s="198" t="str">
        <f>IF(ISBLANK(R14),"",VLOOKUP(R14,Inscripciones!$B$1:$M$194,2,FALSE))</f>
        <v/>
      </c>
      <c r="T14" s="199" t="str">
        <f>IF(ISBLANK(R14),"",VLOOKUP(R14,Inscripciones!$B$1:$M$194,4,FALSE))</f>
        <v/>
      </c>
      <c r="U14" s="200"/>
      <c r="V14" s="199">
        <f t="shared" si="1"/>
        <v>0</v>
      </c>
      <c r="W14" s="196">
        <f>IF(U14=0,0,IF(U14&lt;17,"UP","DO"))</f>
        <v>0</v>
      </c>
      <c r="X14" s="174"/>
      <c r="Y14" s="195"/>
      <c r="Z14" s="174"/>
      <c r="AA14" s="195"/>
      <c r="AB14" s="174"/>
      <c r="AC14" s="195"/>
    </row>
    <row r="15" spans="2:29" ht="20.25" thickBot="1" x14ac:dyDescent="0.3">
      <c r="B15" s="155" t="s">
        <v>49</v>
      </c>
      <c r="C15" s="156">
        <v>7</v>
      </c>
      <c r="D15" s="157">
        <f t="shared" ca="1" si="0"/>
        <v>4834</v>
      </c>
      <c r="E15" s="169" t="str">
        <f ca="1">IF(D15=0,0,VLOOKUP(D15,Inscripciones!$B$1:$M$194,2,FALSE))</f>
        <v>PEDRO RIMOLO VILLAGRA</v>
      </c>
      <c r="F15" s="170" t="str">
        <f ca="1">IF(D15=0,0,VLOOKUP(D15,Inscripciones!$B$1:$M$194,3,FALSE))</f>
        <v>CURRIDABAT</v>
      </c>
      <c r="G15" s="171"/>
      <c r="L15" s="135"/>
      <c r="M15" s="135"/>
      <c r="N15" s="135"/>
      <c r="O15" s="135"/>
      <c r="P15" s="201"/>
      <c r="Q15" s="201"/>
      <c r="R15" s="387" t="s">
        <v>51</v>
      </c>
      <c r="S15" s="388"/>
      <c r="T15" s="388"/>
      <c r="U15" s="388"/>
      <c r="V15" s="388"/>
      <c r="W15" s="389"/>
      <c r="X15" s="174"/>
      <c r="Y15" s="195"/>
      <c r="Z15" s="174"/>
      <c r="AA15" s="195"/>
      <c r="AB15" s="174"/>
      <c r="AC15" s="195"/>
    </row>
    <row r="16" spans="2:29" ht="15.75" thickBot="1" x14ac:dyDescent="0.3">
      <c r="B16" s="202" t="s">
        <v>52</v>
      </c>
      <c r="C16" s="203">
        <v>8</v>
      </c>
      <c r="D16" s="204">
        <f t="shared" ca="1" si="0"/>
        <v>4149</v>
      </c>
      <c r="E16" s="205" t="str">
        <f ca="1">IF(D16=0,0,VLOOKUP(D16,Inscripciones!$B$1:$M$194,2,FALSE))</f>
        <v>LUIS MANUEL GARCÍA ARAYA</v>
      </c>
      <c r="F16" s="206" t="str">
        <f ca="1">IF(D16=0,0,VLOOKUP(D16,Inscripciones!$B$1:$M$194,3,FALSE))</f>
        <v>ESPARZA</v>
      </c>
      <c r="L16" s="135"/>
      <c r="M16" s="135"/>
      <c r="N16" s="135"/>
      <c r="O16" s="135"/>
      <c r="P16" s="207" t="s">
        <v>48</v>
      </c>
      <c r="Q16" s="208">
        <v>1</v>
      </c>
      <c r="R16" s="149" cm="1">
        <f t="array" aca="1" ref="R16" ca="1">INDIRECT("'Grupo " &amp; Q16 &amp; "'!C35")</f>
        <v>4834</v>
      </c>
      <c r="S16" s="209" t="str">
        <f ca="1">IF(ISBLANK(R16),"",VLOOKUP(R16,Inscripciones!$B$1:$M$194,2,FALSE))</f>
        <v>PEDRO RIMOLO VILLAGRA</v>
      </c>
      <c r="T16" s="151" t="str">
        <f ca="1">IF(ISBLANK(R16),"",VLOOKUP(R16,Inscripciones!$B$1:$M$194,3,FALSE))</f>
        <v>CURRIDABAT</v>
      </c>
      <c r="U16" s="152">
        <v>7</v>
      </c>
      <c r="V16" s="153">
        <f ca="1">R16</f>
        <v>4834</v>
      </c>
      <c r="W16" s="154" t="str">
        <f>IF(W9="","",IF(W9="UP","DO",IF(W9="DO","UP","")))</f>
        <v>DO</v>
      </c>
      <c r="X16" s="174"/>
      <c r="Y16" s="195"/>
      <c r="Z16" s="174"/>
      <c r="AA16" s="195"/>
      <c r="AB16" s="174"/>
      <c r="AC16" s="195"/>
    </row>
    <row r="17" spans="9:29" ht="12.75" thickBot="1" x14ac:dyDescent="0.3">
      <c r="I17" s="210"/>
      <c r="J17" s="210"/>
      <c r="K17" s="210"/>
      <c r="L17" s="135"/>
      <c r="M17" s="135"/>
      <c r="N17" s="135"/>
      <c r="O17" s="135"/>
      <c r="P17" s="211" t="s">
        <v>48</v>
      </c>
      <c r="Q17" s="212">
        <v>2</v>
      </c>
      <c r="R17" s="149" cm="1">
        <f t="array" aca="1" ref="R17" ca="1">INDIRECT("'Grupo " &amp; Q17 &amp; "'!C35")</f>
        <v>4250</v>
      </c>
      <c r="S17" s="164" t="str">
        <f ca="1">IF(ISBLANK(R17),"",VLOOKUP(R17,Inscripciones!$B$1:$M$194,2,FALSE))</f>
        <v>KEVIN HERNÁNDEZ LÁSCAREZ</v>
      </c>
      <c r="T17" s="165" t="str">
        <f ca="1">IF(ISBLANK(R17),"",VLOOKUP(R17,Inscripciones!$B$1:$M$194,3,FALSE))</f>
        <v>CCDR SAN JOSÉ</v>
      </c>
      <c r="U17" s="166">
        <v>3</v>
      </c>
      <c r="V17" s="167">
        <f ca="1">R17</f>
        <v>4250</v>
      </c>
      <c r="W17" s="168" t="str">
        <f>IF(W10="","",IF(W10="UP","DO",IF(W10="DO","UP","")))</f>
        <v>UP</v>
      </c>
      <c r="X17" s="174"/>
      <c r="Y17" s="195"/>
      <c r="Z17" s="174"/>
      <c r="AA17" s="195"/>
      <c r="AB17" s="174"/>
      <c r="AC17" s="195"/>
    </row>
    <row r="18" spans="9:29" ht="12.75" thickBot="1" x14ac:dyDescent="0.3">
      <c r="I18" s="210"/>
      <c r="J18" s="210"/>
      <c r="K18" s="210"/>
      <c r="L18" s="135"/>
      <c r="M18" s="135"/>
      <c r="N18" s="135"/>
      <c r="O18" s="135"/>
      <c r="P18" s="211" t="s">
        <v>48</v>
      </c>
      <c r="Q18" s="212">
        <v>3</v>
      </c>
      <c r="R18" s="149" cm="1">
        <f t="array" aca="1" ref="R18" ca="1">INDIRECT("'Grupo " &amp; Q18 &amp; "'!C35")</f>
        <v>4699</v>
      </c>
      <c r="S18" s="164" t="str">
        <f ca="1">IF(ISBLANK(R18),"",VLOOKUP(R18,Inscripciones!$B$1:$M$194,2,FALSE))</f>
        <v>EZEQUIEL LEAL CHACÓN</v>
      </c>
      <c r="T18" s="165" t="str">
        <f ca="1">IF(ISBLANK(R18),"",VLOOKUP(R18,Inscripciones!$B$1:$M$194,3,FALSE))</f>
        <v>ESPARZA</v>
      </c>
      <c r="U18" s="166">
        <v>6</v>
      </c>
      <c r="V18" s="167">
        <f ca="1">R18</f>
        <v>4699</v>
      </c>
      <c r="W18" s="168" t="str">
        <f>IF(W11="","",IF(W11="UP","DO",IF(W11="DO","UP","")))</f>
        <v>DO</v>
      </c>
      <c r="X18" s="174"/>
      <c r="Y18" s="195"/>
      <c r="Z18" s="174"/>
      <c r="AA18" s="195"/>
      <c r="AB18" s="174"/>
      <c r="AC18" s="195"/>
    </row>
    <row r="19" spans="9:29" ht="12.75" thickBot="1" x14ac:dyDescent="0.3">
      <c r="I19" s="210"/>
      <c r="J19" s="210"/>
      <c r="K19" s="210"/>
      <c r="L19" s="135"/>
      <c r="M19" s="135"/>
      <c r="N19" s="135"/>
      <c r="O19" s="135"/>
      <c r="P19" s="213" t="s">
        <v>48</v>
      </c>
      <c r="Q19" s="214">
        <v>4</v>
      </c>
      <c r="R19" s="149" cm="1">
        <f t="array" aca="1" ref="R19" ca="1">INDIRECT("'Grupo " &amp; Q19 &amp; "'!C35")</f>
        <v>4685</v>
      </c>
      <c r="S19" s="181" t="str">
        <f ca="1">IF(ISBLANK(R19),"",VLOOKUP(R19,Inscripciones!$B$1:$M$194,2,FALSE))</f>
        <v>GAEL ROMERO LEÓN</v>
      </c>
      <c r="T19" s="182" t="str">
        <f ca="1">IF(ISBLANK(R19),"",VLOOKUP(R19,Inscripciones!$B$1:$M$194,3,FALSE))</f>
        <v>ESCAZÚ</v>
      </c>
      <c r="U19" s="183">
        <v>2</v>
      </c>
      <c r="V19" s="184">
        <f ca="1">R19</f>
        <v>4685</v>
      </c>
      <c r="W19" s="185" t="str">
        <f>IF(W12="","",IF(W12="UP","DO",IF(W12="DO","UP","")))</f>
        <v>UP</v>
      </c>
      <c r="X19" s="174"/>
      <c r="Y19" s="195"/>
      <c r="Z19" s="174"/>
      <c r="AA19" s="195"/>
      <c r="AB19" s="174"/>
      <c r="AC19" s="195"/>
    </row>
    <row r="20" spans="9:29" ht="19.5" x14ac:dyDescent="0.25">
      <c r="I20" s="210"/>
      <c r="J20" s="210"/>
      <c r="K20" s="210"/>
      <c r="L20" s="135"/>
      <c r="M20" s="135"/>
      <c r="N20" s="135"/>
      <c r="O20" s="135"/>
      <c r="P20" s="136"/>
      <c r="Q20" s="136"/>
      <c r="R20" s="136"/>
      <c r="S20" s="136"/>
      <c r="T20" s="136"/>
      <c r="U20" s="136"/>
      <c r="V20" s="136"/>
      <c r="W20" s="136"/>
      <c r="X20" s="174"/>
      <c r="Y20" s="195"/>
      <c r="Z20" s="201"/>
      <c r="AA20" s="195"/>
      <c r="AB20" s="174"/>
      <c r="AC20" s="195"/>
    </row>
    <row r="21" spans="9:29" ht="19.5" x14ac:dyDescent="0.25">
      <c r="I21" s="210"/>
      <c r="J21" s="210"/>
      <c r="K21" s="210"/>
      <c r="L21" s="135"/>
      <c r="M21" s="135"/>
      <c r="N21" s="135"/>
      <c r="O21" s="135"/>
      <c r="P21" s="192"/>
      <c r="Q21" s="192"/>
      <c r="S21" s="136" t="s">
        <v>2</v>
      </c>
      <c r="T21" s="192" t="s">
        <v>2</v>
      </c>
      <c r="U21" s="192">
        <v>1</v>
      </c>
      <c r="V21" s="192" t="s">
        <v>53</v>
      </c>
      <c r="X21" s="174"/>
      <c r="Y21" s="215"/>
      <c r="Z21" s="201"/>
      <c r="AA21" s="195"/>
      <c r="AB21" s="174"/>
      <c r="AC21" s="195"/>
    </row>
    <row r="22" spans="9:29" ht="19.5" x14ac:dyDescent="0.25">
      <c r="I22" s="210"/>
      <c r="J22" s="210"/>
      <c r="K22" s="210"/>
      <c r="L22" s="135"/>
      <c r="M22" s="135"/>
      <c r="N22" s="135"/>
      <c r="O22" s="135"/>
      <c r="P22" s="192"/>
      <c r="Q22" s="192"/>
      <c r="S22" s="136"/>
      <c r="T22" s="192"/>
      <c r="U22" s="192">
        <v>2</v>
      </c>
      <c r="V22" s="192" t="s">
        <v>53</v>
      </c>
      <c r="X22" s="174"/>
      <c r="Y22" s="195"/>
      <c r="Z22" s="201"/>
      <c r="AA22" s="195"/>
      <c r="AB22" s="174"/>
      <c r="AC22" s="195"/>
    </row>
    <row r="23" spans="9:29" ht="19.5" x14ac:dyDescent="0.25">
      <c r="I23" s="210"/>
      <c r="J23" s="210"/>
      <c r="K23" s="210"/>
      <c r="L23" s="135"/>
      <c r="M23" s="135"/>
      <c r="N23" s="135"/>
      <c r="O23" s="135"/>
      <c r="P23" s="192"/>
      <c r="Q23" s="192"/>
      <c r="S23" s="136"/>
      <c r="T23" s="192"/>
      <c r="U23" s="192">
        <v>3</v>
      </c>
      <c r="V23" s="192" t="s">
        <v>53</v>
      </c>
      <c r="X23" s="174"/>
      <c r="Y23" s="195"/>
      <c r="Z23" s="201"/>
      <c r="AA23" s="195"/>
      <c r="AB23" s="174"/>
      <c r="AC23" s="216"/>
    </row>
    <row r="24" spans="9:29" ht="19.5" x14ac:dyDescent="0.25">
      <c r="I24" s="210"/>
      <c r="J24" s="210"/>
      <c r="K24" s="210"/>
      <c r="L24" s="135"/>
      <c r="M24" s="135"/>
      <c r="N24" s="135"/>
      <c r="O24" s="135"/>
      <c r="P24" s="192"/>
      <c r="Q24" s="192"/>
      <c r="S24" s="136"/>
      <c r="T24" s="192"/>
      <c r="U24" s="192">
        <v>4</v>
      </c>
      <c r="V24" s="192" t="s">
        <v>53</v>
      </c>
      <c r="X24" s="174"/>
      <c r="Y24" s="195"/>
      <c r="Z24" s="201"/>
      <c r="AA24" s="137"/>
      <c r="AC24" s="138"/>
    </row>
    <row r="25" spans="9:29" x14ac:dyDescent="0.25">
      <c r="I25" s="210"/>
      <c r="J25" s="210"/>
      <c r="K25" s="210"/>
      <c r="L25" s="217"/>
      <c r="M25" s="135"/>
      <c r="N25" s="135"/>
      <c r="O25" s="135"/>
      <c r="P25" s="192"/>
      <c r="Q25" s="192"/>
      <c r="S25" s="136"/>
      <c r="T25" s="192"/>
      <c r="U25" s="192">
        <v>5</v>
      </c>
      <c r="V25" s="192" t="s">
        <v>53</v>
      </c>
      <c r="X25" s="174"/>
      <c r="Y25" s="195"/>
      <c r="AA25" s="137"/>
      <c r="AC25" s="138"/>
    </row>
    <row r="26" spans="9:29" x14ac:dyDescent="0.25">
      <c r="I26" s="210"/>
      <c r="J26" s="210"/>
      <c r="K26" s="210"/>
      <c r="L26" s="217"/>
      <c r="M26" s="135"/>
      <c r="N26" s="135"/>
      <c r="O26" s="135"/>
      <c r="P26" s="192"/>
      <c r="Q26" s="192"/>
      <c r="S26" s="136"/>
      <c r="T26" s="192"/>
      <c r="U26" s="192">
        <v>6</v>
      </c>
      <c r="V26" s="192" t="s">
        <v>53</v>
      </c>
      <c r="X26" s="174"/>
      <c r="Y26" s="195"/>
      <c r="AA26" s="137"/>
      <c r="AC26" s="138"/>
    </row>
    <row r="27" spans="9:29" x14ac:dyDescent="0.25">
      <c r="I27" s="210"/>
      <c r="J27" s="210"/>
      <c r="K27" s="210"/>
      <c r="L27" s="217"/>
      <c r="M27" s="135"/>
      <c r="N27" s="135"/>
      <c r="O27" s="135"/>
      <c r="P27" s="192"/>
      <c r="Q27" s="192"/>
      <c r="S27" s="136"/>
      <c r="T27" s="192"/>
      <c r="U27" s="192">
        <v>7</v>
      </c>
      <c r="V27" s="192" t="s">
        <v>53</v>
      </c>
      <c r="X27" s="174"/>
      <c r="Y27" s="195"/>
      <c r="Z27" s="174"/>
      <c r="AA27" s="137"/>
      <c r="AC27" s="138"/>
    </row>
    <row r="28" spans="9:29" x14ac:dyDescent="0.25">
      <c r="I28" s="210"/>
      <c r="J28" s="210"/>
      <c r="K28" s="210"/>
      <c r="L28" s="217"/>
      <c r="M28" s="135"/>
      <c r="N28" s="135"/>
      <c r="O28" s="135"/>
      <c r="P28" s="192"/>
      <c r="Q28" s="192"/>
      <c r="S28" s="136"/>
      <c r="T28" s="192"/>
      <c r="U28" s="192">
        <v>8</v>
      </c>
      <c r="V28" s="192" t="s">
        <v>53</v>
      </c>
      <c r="X28" s="174"/>
      <c r="Y28" s="195"/>
      <c r="Z28" s="174"/>
      <c r="AA28" s="137"/>
      <c r="AC28" s="138"/>
    </row>
    <row r="29" spans="9:29" x14ac:dyDescent="0.25">
      <c r="I29" s="210"/>
      <c r="J29" s="210"/>
      <c r="K29" s="210"/>
      <c r="L29" s="217"/>
      <c r="M29" s="135"/>
      <c r="N29" s="135"/>
      <c r="O29" s="135"/>
      <c r="P29" s="192"/>
      <c r="Q29" s="192"/>
      <c r="S29" s="136"/>
      <c r="T29" s="192"/>
      <c r="U29" s="192" t="s">
        <v>53</v>
      </c>
      <c r="V29" s="192" t="s">
        <v>53</v>
      </c>
      <c r="Y29" s="195"/>
      <c r="Z29" s="174"/>
      <c r="AA29" s="137"/>
      <c r="AB29" s="174"/>
      <c r="AC29" s="195"/>
    </row>
    <row r="30" spans="9:29" x14ac:dyDescent="0.25">
      <c r="I30" s="210"/>
      <c r="J30" s="210"/>
      <c r="K30" s="210"/>
      <c r="L30" s="217"/>
      <c r="M30" s="135"/>
      <c r="N30" s="135"/>
      <c r="O30" s="135"/>
      <c r="P30" s="192"/>
      <c r="Q30" s="192"/>
      <c r="S30" s="136"/>
      <c r="T30" s="192"/>
      <c r="U30" s="135">
        <v>0</v>
      </c>
      <c r="V30" s="192" t="s">
        <v>53</v>
      </c>
      <c r="Y30" s="195"/>
      <c r="Z30" s="174"/>
      <c r="AA30" s="137"/>
      <c r="AB30" s="174"/>
      <c r="AC30" s="195"/>
    </row>
    <row r="31" spans="9:29" x14ac:dyDescent="0.25">
      <c r="I31" s="210"/>
      <c r="J31" s="210"/>
      <c r="K31" s="210"/>
      <c r="L31" s="217"/>
      <c r="M31" s="135"/>
      <c r="N31" s="135"/>
      <c r="O31" s="135"/>
      <c r="P31" s="192"/>
      <c r="Q31" s="192"/>
      <c r="S31" s="136"/>
      <c r="T31" s="192"/>
      <c r="U31" s="135" t="s">
        <v>2</v>
      </c>
      <c r="V31" s="192" t="s">
        <v>53</v>
      </c>
      <c r="Y31" s="195"/>
      <c r="Z31" s="174"/>
      <c r="AA31" s="137"/>
      <c r="AB31" s="174"/>
      <c r="AC31" s="216"/>
    </row>
    <row r="32" spans="9:29" x14ac:dyDescent="0.25">
      <c r="Y32" s="136"/>
    </row>
    <row r="33" spans="25:25" x14ac:dyDescent="0.25">
      <c r="Y33" s="136"/>
    </row>
  </sheetData>
  <mergeCells count="4">
    <mergeCell ref="B2:P4"/>
    <mergeCell ref="B6:P7"/>
    <mergeCell ref="R8:W8"/>
    <mergeCell ref="R15:W15"/>
  </mergeCells>
  <conditionalFormatting sqref="D9:D16">
    <cfRule type="cellIs" dxfId="3" priority="2" stopIfTrue="1" operator="equal">
      <formula>0</formula>
    </cfRule>
  </conditionalFormatting>
  <conditionalFormatting sqref="E9:F9 G9:M10 E13:F13 G13:O14 I17:K17 L17:O18 I20:K21 L21:O22 I24:K25 L25:O26 I28:K29 L29:O30">
    <cfRule type="cellIs" dxfId="2" priority="3" stopIfTrue="1" operator="equal">
      <formula>0</formula>
    </cfRule>
  </conditionalFormatting>
  <conditionalFormatting sqref="E11:F11 G11:O12 E15:F15 G15:O16 I18:K19 L19:O20 I22:K23 L23:O24 I26:K27 L27:O28 I30:K31 L31:O31">
    <cfRule type="cellIs" dxfId="1" priority="1" stopIfTrue="1" operator="equal">
      <formula>0</formula>
    </cfRule>
  </conditionalFormatting>
  <conditionalFormatting sqref="W9:W14 W16:W20">
    <cfRule type="cellIs" dxfId="0" priority="4" stopIfTrue="1" operator="equal">
      <formula>"DO"</formula>
    </cfRule>
  </conditionalFormatting>
  <printOptions horizontalCentered="1"/>
  <pageMargins left="0" right="0" top="0" bottom="0" header="0.19685039370078741" footer="0.19685039370078741"/>
  <headerFooter>
    <oddFooter>&amp;L&amp;"Arial,Cursiva"&amp;8EBM - 2009&amp;R&amp;"Arial,Cursiva"&amp;8Inforacion Actualizada el &amp;D at a las &amp;T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BEA7D6-2C4E-4FBA-A34E-C4F2B2D85495}">
  <sheetPr published="0" codeName="Sheet9">
    <tabColor rgb="FF00B0F0"/>
  </sheetPr>
  <dimension ref="A1:CB50"/>
  <sheetViews>
    <sheetView showGridLines="0" zoomScale="85" zoomScaleNormal="85" workbookViewId="0">
      <selection activeCell="H43" sqref="H43:H50"/>
    </sheetView>
  </sheetViews>
  <sheetFormatPr defaultColWidth="11.42578125" defaultRowHeight="10.7" customHeight="1" outlineLevelCol="2" x14ac:dyDescent="0.25"/>
  <cols>
    <col min="1" max="3" width="4.7109375" style="218" customWidth="1" outlineLevel="1"/>
    <col min="4" max="4" width="4.7109375" style="219" customWidth="1" outlineLevel="1"/>
    <col min="5" max="5" width="4.7109375" style="218" customWidth="1" outlineLevel="1"/>
    <col min="6" max="6" width="11.42578125" style="218" hidden="1" customWidth="1" outlineLevel="1"/>
    <col min="7" max="8" width="4.7109375" style="218" customWidth="1" outlineLevel="1"/>
    <col min="9" max="9" width="15.7109375" style="218" customWidth="1" outlineLevel="1"/>
    <col min="10" max="10" width="4.7109375" style="218" customWidth="1" outlineLevel="1"/>
    <col min="11" max="11" width="10.7109375" style="218" customWidth="1" outlineLevel="1"/>
    <col min="12" max="12" width="4.7109375" style="218" customWidth="1" outlineLevel="1"/>
    <col min="13" max="26" width="2.7109375" style="218" customWidth="1" outlineLevel="1"/>
    <col min="27" max="27" width="3.42578125" style="218" hidden="1" customWidth="1" outlineLevel="1"/>
    <col min="28" max="28" width="3.28515625" style="218" hidden="1" customWidth="1" outlineLevel="1"/>
    <col min="29" max="29" width="11.7109375" style="218" hidden="1" customWidth="1" outlineLevel="1"/>
    <col min="30" max="30" width="4.85546875" style="218" hidden="1" customWidth="1" outlineLevel="2"/>
    <col min="31" max="31" width="5.42578125" style="218" hidden="1" customWidth="1" outlineLevel="2"/>
    <col min="32" max="38" width="2.140625" style="218" hidden="1" customWidth="1" outlineLevel="2"/>
    <col min="39" max="45" width="2.7109375" style="218" hidden="1" customWidth="1" outlineLevel="2"/>
    <col min="46" max="46" width="0.140625" style="220" customWidth="1" outlineLevel="2"/>
    <col min="47" max="47" width="3.140625" style="221" customWidth="1"/>
    <col min="48" max="48" width="4.140625" style="223" customWidth="1"/>
    <col min="49" max="49" width="13.7109375" style="223" customWidth="1"/>
    <col min="50" max="50" width="7.7109375" style="224" bestFit="1" customWidth="1"/>
    <col min="51" max="51" width="4.140625" style="223" customWidth="1"/>
    <col min="52" max="52" width="16.42578125" style="223" bestFit="1" customWidth="1"/>
    <col min="53" max="53" width="4.7109375" style="223" bestFit="1" customWidth="1"/>
    <col min="54" max="54" width="4.7109375" style="223" customWidth="1"/>
    <col min="55" max="55" width="11.7109375" style="223" customWidth="1"/>
    <col min="56" max="56" width="3.7109375" style="223" customWidth="1"/>
    <col min="57" max="57" width="4.7109375" style="223" customWidth="1"/>
    <col min="58" max="58" width="11.7109375" style="220" customWidth="1"/>
    <col min="59" max="59" width="3.7109375" style="220" customWidth="1"/>
    <col min="60" max="60" width="4.7109375" style="220" customWidth="1"/>
    <col min="61" max="61" width="11.7109375" style="220" customWidth="1"/>
    <col min="62" max="62" width="4" style="220" customWidth="1"/>
    <col min="63" max="63" width="11.42578125" style="220"/>
    <col min="64" max="64" width="7.85546875" style="220" customWidth="1"/>
    <col min="65" max="65" width="6.7109375" style="220" customWidth="1"/>
    <col min="66" max="66" width="4.42578125" style="220" customWidth="1"/>
    <col min="67" max="67" width="6.42578125" style="220" customWidth="1"/>
    <col min="68" max="68" width="3.85546875" style="220" customWidth="1"/>
    <col min="69" max="69" width="4.140625" style="220" customWidth="1"/>
    <col min="70" max="70" width="4" style="220" customWidth="1"/>
    <col min="71" max="71" width="8.140625" style="220" customWidth="1"/>
    <col min="72" max="72" width="5.7109375" style="220" customWidth="1"/>
    <col min="73" max="73" width="8.140625" style="220" customWidth="1"/>
    <col min="74" max="74" width="5.7109375" style="220" customWidth="1"/>
    <col min="75" max="75" width="8.28515625" style="220" customWidth="1"/>
    <col min="76" max="78" width="11.42578125" style="220"/>
    <col min="79" max="80" width="12.42578125" style="220" customWidth="1"/>
    <col min="81" max="16384" width="11.42578125" style="220"/>
  </cols>
  <sheetData>
    <row r="1" spans="1:80" ht="52.5" customHeight="1" x14ac:dyDescent="0.25">
      <c r="AV1" s="442" t="e" vm="1">
        <v>#VALUE!</v>
      </c>
      <c r="AW1" s="442"/>
      <c r="AX1" s="442"/>
      <c r="AY1" s="442"/>
      <c r="AZ1" s="442"/>
      <c r="BA1" s="442"/>
      <c r="BB1" s="442"/>
      <c r="BC1" s="442"/>
      <c r="BD1" s="442"/>
      <c r="BE1" s="442"/>
      <c r="BF1" s="442"/>
      <c r="BG1" s="442"/>
      <c r="BH1" s="442"/>
      <c r="BI1" s="442"/>
    </row>
    <row r="2" spans="1:80" ht="18" x14ac:dyDescent="0.25">
      <c r="AA2" s="481">
        <v>2</v>
      </c>
      <c r="AB2" s="481"/>
      <c r="AC2" s="222"/>
      <c r="AV2" s="482" t="str">
        <f>Inscripciones!$B$2</f>
        <v>U9 MASCULINO</v>
      </c>
      <c r="AW2" s="482"/>
      <c r="AX2" s="482"/>
      <c r="AY2" s="482"/>
      <c r="AZ2" s="482"/>
      <c r="BA2" s="482"/>
      <c r="BB2" s="482"/>
      <c r="BC2" s="482"/>
      <c r="BD2" s="482"/>
      <c r="BE2" s="482"/>
      <c r="BF2" s="482"/>
      <c r="BG2" s="482"/>
      <c r="BH2" s="482"/>
      <c r="BI2" s="482"/>
    </row>
    <row r="3" spans="1:80" ht="12.75" x14ac:dyDescent="0.25">
      <c r="A3" s="218" t="s">
        <v>54</v>
      </c>
      <c r="B3" s="218" t="s">
        <v>55</v>
      </c>
      <c r="C3" s="218" t="s">
        <v>56</v>
      </c>
      <c r="D3" s="219" t="s">
        <v>57</v>
      </c>
      <c r="E3" s="218" t="s">
        <v>58</v>
      </c>
      <c r="G3" s="218" t="s">
        <v>59</v>
      </c>
      <c r="H3" s="218" t="s">
        <v>60</v>
      </c>
      <c r="I3" s="218" t="s">
        <v>61</v>
      </c>
      <c r="J3" s="218" t="s">
        <v>62</v>
      </c>
      <c r="K3" s="218" t="s">
        <v>63</v>
      </c>
      <c r="L3" s="218" t="s">
        <v>64</v>
      </c>
      <c r="AA3" s="218" t="s">
        <v>65</v>
      </c>
      <c r="AB3" s="218" t="s">
        <v>66</v>
      </c>
      <c r="AD3" s="218" t="s">
        <v>67</v>
      </c>
      <c r="AE3" s="218" t="s">
        <v>68</v>
      </c>
    </row>
    <row r="4" spans="1:80" ht="12.75" x14ac:dyDescent="0.25">
      <c r="A4" s="419">
        <v>1</v>
      </c>
      <c r="B4" s="473" t="s">
        <v>69</v>
      </c>
      <c r="C4" s="475" t="s">
        <v>70</v>
      </c>
      <c r="D4" s="475" t="s">
        <v>71</v>
      </c>
      <c r="E4" s="469">
        <v>1</v>
      </c>
      <c r="F4" s="479" t="str">
        <f>C4&amp;"-"&amp;D4&amp;"- Table"&amp;E4</f>
        <v>5-Jun-09:00- Table1</v>
      </c>
      <c r="G4" s="469">
        <f ca="1">'SORTEO 8'!D9</f>
        <v>4295</v>
      </c>
      <c r="H4" s="469">
        <f ca="1">'SORTEO 8'!D10</f>
        <v>4685</v>
      </c>
      <c r="I4" s="469" t="str">
        <f ca="1">IF(G4=0,0,VLOOKUP(G4,Inscripciones!$B$2:$K$499,2,FALSE))</f>
        <v>RICARDO MATEO CHAVES LEÓN</v>
      </c>
      <c r="J4" s="469" t="str">
        <f ca="1">IF(G4=0,0,VLOOKUP(G4,Inscripciones!$B$2:$N$399,3,FALSE))</f>
        <v>ESPARZA</v>
      </c>
      <c r="K4" s="469" t="str">
        <f ca="1">IF(I4=0,0,VLOOKUP(H4,Inscripciones!$B$2:$K$499,2,FALSE))</f>
        <v>GAEL ROMERO LEÓN</v>
      </c>
      <c r="L4" s="469" t="str">
        <f ca="1">IF(I4=0,0,VLOOKUP(H4,Inscripciones!$B$2:$N$399,3,FALSE))</f>
        <v>ESCAZÚ</v>
      </c>
      <c r="M4" s="477">
        <v>11</v>
      </c>
      <c r="N4" s="469">
        <v>2</v>
      </c>
      <c r="O4" s="469">
        <v>11</v>
      </c>
      <c r="P4" s="469">
        <v>2</v>
      </c>
      <c r="Q4" s="469"/>
      <c r="R4" s="469"/>
      <c r="S4" s="469"/>
      <c r="T4" s="469"/>
      <c r="U4" s="469"/>
      <c r="V4" s="469"/>
      <c r="W4" s="469"/>
      <c r="X4" s="469"/>
      <c r="Y4" s="469"/>
      <c r="Z4" s="471"/>
      <c r="AA4" s="442">
        <f>IF(M4+N4&lt;&gt;0,SUM(AF4:AL4),"")</f>
        <v>2</v>
      </c>
      <c r="AB4" s="442">
        <f>IF(M4+N4&lt;&gt;0,SUM(AF5:AL5),"")</f>
        <v>0</v>
      </c>
      <c r="AC4" s="442" t="str">
        <f>IF(AA4&gt;AB4,AD4&amp;"  "&amp;AE4,IF(AB4&gt;AA4,AD4&amp;"  "&amp;AE5,""))</f>
        <v>2 - 0  (2, 2)</v>
      </c>
      <c r="AD4" s="218" t="str">
        <f>IF(AA4&gt;AB4,AA4&amp;" - "&amp;AB4,IF(AB4&gt;AA4,AB4&amp;" - "&amp;AA4,""))</f>
        <v>2 - 0</v>
      </c>
      <c r="AE4" s="218" t="str">
        <f t="shared" ref="AE4:AE19" si="0">CONCATENATE("(",AM4,AN4,AO4,AP4,AQ4,AR4,AS4,")")</f>
        <v>(2, 2)</v>
      </c>
      <c r="AF4" s="218">
        <f>IF(M4&gt;N4,1,0)</f>
        <v>1</v>
      </c>
      <c r="AG4" s="218">
        <f>IF(O4&gt;P4,1,0)</f>
        <v>1</v>
      </c>
      <c r="AH4" s="218">
        <f>IF(Q4&gt;R4,1,0)</f>
        <v>0</v>
      </c>
      <c r="AI4" s="218">
        <f>IF(S4&gt;T4,1,0)</f>
        <v>0</v>
      </c>
      <c r="AJ4" s="218">
        <f>IF(U4&gt;V4,1,0)</f>
        <v>0</v>
      </c>
      <c r="AK4" s="218">
        <f>IF(W4&gt;X4,1,0)</f>
        <v>0</v>
      </c>
      <c r="AL4" s="218">
        <f>IF(Y4&gt;Z4,1,0)</f>
        <v>0</v>
      </c>
      <c r="AM4" s="218">
        <f>IF(M4&gt;N4,N4,IF(N4&gt;M4,-M4,""))</f>
        <v>2</v>
      </c>
      <c r="AN4" s="218" t="str">
        <f>IF(O4&gt;P4,", "&amp;P4,IF(P4&gt;O4,", "&amp;-O4,""))</f>
        <v>, 2</v>
      </c>
      <c r="AO4" s="218" t="str">
        <f>IF(Q4&gt;R4,", "&amp;R4,IF(R4&gt;Q4,", "&amp;-Q4,""))</f>
        <v/>
      </c>
      <c r="AP4" s="218" t="str">
        <f>IF(S4&gt;T4,", "&amp;T4,IF(T4&gt;S4,", "&amp;-S4,""))</f>
        <v/>
      </c>
      <c r="AQ4" s="218" t="str">
        <f>IF(U4&gt;V4,", "&amp;V4,IF(V4&gt;U4,", "&amp;-U4,""))</f>
        <v/>
      </c>
      <c r="AR4" s="218" t="str">
        <f>IF(W4&gt;X4,", "&amp;X4,IF(X4&gt;W4,", "&amp;-W4,""))</f>
        <v/>
      </c>
      <c r="AS4" s="218" t="str">
        <f>IF(Y4&gt;Z4,", "&amp;Z4,IF(Z4&gt;Y4,", "&amp;-Y4,""))</f>
        <v/>
      </c>
      <c r="AU4" s="225">
        <v>1</v>
      </c>
      <c r="AV4" s="226">
        <f ca="1">VLOOKUP(AV5,$A$4:$L$35,7,FALSE)</f>
        <v>4295</v>
      </c>
      <c r="AW4" s="227" t="str">
        <f ca="1">IF(AV4=0,0,VLOOKUP(AV4,Inscripciones!$B$2:$K$499,2,FALSE))</f>
        <v>RICARDO MATEO CHAVES LEÓN</v>
      </c>
      <c r="AX4" s="228" t="str">
        <f ca="1">IF(AV4=0,0,VLOOKUP(AV4,Inscripciones!$B$2:$N$399,3,FALSE))</f>
        <v>ESPARZA</v>
      </c>
      <c r="AY4" s="229"/>
      <c r="AZ4" s="230" t="str">
        <f>VLOOKUP(AV5,$A$4:$AD$35,29,FALSE)</f>
        <v>2 - 0  (2, 2)</v>
      </c>
      <c r="BA4" s="229"/>
      <c r="BL4" s="231" t="s">
        <v>72</v>
      </c>
      <c r="BM4" s="231" t="s">
        <v>73</v>
      </c>
      <c r="BN4" s="231" t="s">
        <v>74</v>
      </c>
      <c r="BO4" s="231" t="s">
        <v>75</v>
      </c>
      <c r="BP4" s="231" t="s">
        <v>76</v>
      </c>
      <c r="BQ4" s="231" t="s">
        <v>77</v>
      </c>
      <c r="BR4" s="231" t="s">
        <v>78</v>
      </c>
      <c r="BS4" s="231" t="s">
        <v>79</v>
      </c>
      <c r="BT4" s="231" t="s">
        <v>80</v>
      </c>
      <c r="BU4" s="231" t="s">
        <v>81</v>
      </c>
      <c r="BV4" s="231" t="s">
        <v>82</v>
      </c>
      <c r="BW4" s="231" t="s">
        <v>83</v>
      </c>
      <c r="BX4" s="232"/>
      <c r="BY4" s="233" t="s">
        <v>84</v>
      </c>
      <c r="BZ4" s="234" t="s">
        <v>85</v>
      </c>
      <c r="CA4" s="235" t="s">
        <v>86</v>
      </c>
      <c r="CB4" s="236" t="s">
        <v>87</v>
      </c>
    </row>
    <row r="5" spans="1:80" ht="12.75" x14ac:dyDescent="0.25">
      <c r="A5" s="419"/>
      <c r="B5" s="474"/>
      <c r="C5" s="476"/>
      <c r="D5" s="476"/>
      <c r="E5" s="470"/>
      <c r="F5" s="480"/>
      <c r="G5" s="470"/>
      <c r="H5" s="470"/>
      <c r="I5" s="470">
        <v>0</v>
      </c>
      <c r="J5" s="470">
        <v>0</v>
      </c>
      <c r="K5" s="470">
        <v>0</v>
      </c>
      <c r="L5" s="470">
        <v>0</v>
      </c>
      <c r="M5" s="478"/>
      <c r="N5" s="470"/>
      <c r="O5" s="470"/>
      <c r="P5" s="470"/>
      <c r="Q5" s="470"/>
      <c r="R5" s="470"/>
      <c r="S5" s="470"/>
      <c r="T5" s="470"/>
      <c r="U5" s="470"/>
      <c r="V5" s="470"/>
      <c r="W5" s="470"/>
      <c r="X5" s="470"/>
      <c r="Y5" s="470"/>
      <c r="Z5" s="472"/>
      <c r="AA5" s="442"/>
      <c r="AB5" s="442"/>
      <c r="AC5" s="442"/>
      <c r="AD5" s="218" t="str">
        <f>IF(AA4&gt;AB4,AD4&amp;"  "&amp;AE4,IF(AB4&gt;AA4,AD4&amp;"  "&amp;AE5,""))</f>
        <v>2 - 0  (2, 2)</v>
      </c>
      <c r="AE5" s="218" t="str">
        <f t="shared" si="0"/>
        <v>(-2, -2)</v>
      </c>
      <c r="AF5" s="218">
        <f>IF(N4&gt;M4,1,0)</f>
        <v>0</v>
      </c>
      <c r="AG5" s="218">
        <f>IF(P4&gt;O4,1,0)</f>
        <v>0</v>
      </c>
      <c r="AH5" s="218">
        <f>IF(R4&gt;Q4,1,0)</f>
        <v>0</v>
      </c>
      <c r="AI5" s="218">
        <f>IF(T4&gt;S4,1,0)</f>
        <v>0</v>
      </c>
      <c r="AJ5" s="218">
        <f>IF(V4&gt;U4,1,0)</f>
        <v>0</v>
      </c>
      <c r="AK5" s="218">
        <f>IF(X4&gt;W4,1,0)</f>
        <v>0</v>
      </c>
      <c r="AL5" s="218">
        <f>IF(Z4&gt;Y4,1,0)</f>
        <v>0</v>
      </c>
      <c r="AM5" s="218">
        <f>IF(N4&gt;M4,M4,IF(M4&gt;N4,-N4,""))</f>
        <v>-2</v>
      </c>
      <c r="AN5" s="218" t="str">
        <f>IF(P4&gt;O4,", "&amp;O4,IF(O4&gt;P4,", "&amp;-P4,""))</f>
        <v>, -2</v>
      </c>
      <c r="AO5" s="218" t="str">
        <f>IF(R4&gt;Q4,", "&amp;Q4,IF(Q4&gt;R4,", "&amp;-R4,""))</f>
        <v/>
      </c>
      <c r="AP5" s="218" t="str">
        <f>IF(T4&gt;S4,", "&amp;S4,IF(S4&gt;T4,", "&amp;-T4,""))</f>
        <v/>
      </c>
      <c r="AQ5" s="218" t="str">
        <f>IF(V4&gt;U4,", "&amp;U4,IF(U4&gt;V4,", "&amp;-V4,""))</f>
        <v/>
      </c>
      <c r="AR5" s="218" t="str">
        <f>IF(X4&gt;W4,", "&amp;W4,IF(W4&gt;X4,", "&amp;-X4,""))</f>
        <v/>
      </c>
      <c r="AS5" s="218" t="str">
        <f>IF(Z4&gt;Y4,", "&amp;Y4,IF(Y4&gt;Z4,", "&amp;-Z4,""))</f>
        <v/>
      </c>
      <c r="AV5" s="237">
        <v>1</v>
      </c>
      <c r="AW5" s="238" t="str">
        <f>VLOOKUP(AV5,$A$4:$L$35,6,FALSE)</f>
        <v>5-Jun-09:00- Table1</v>
      </c>
      <c r="AX5" s="239"/>
      <c r="AY5" s="226">
        <f ca="1">VLOOKUP(AY7,$A$4:$L$39,7,FALSE)</f>
        <v>4295</v>
      </c>
      <c r="AZ5" s="227" t="str">
        <f ca="1">IF(AY5=0,0,VLOOKUP(AY5,Inscripciones!$B$2:$K$499,2,FALSE))</f>
        <v>RICARDO MATEO CHAVES LEÓN</v>
      </c>
      <c r="BA5" s="228" t="str">
        <f ca="1">IF(AY5=0,0,VLOOKUP(AY5,Inscripciones!$B$2:$N$399,3,FALSE))</f>
        <v>ESPARZA</v>
      </c>
      <c r="BL5" s="240">
        <v>1</v>
      </c>
      <c r="BM5" s="241" t="str">
        <f>C4</f>
        <v>5-Jun</v>
      </c>
      <c r="BN5" s="241" t="str">
        <f>D4</f>
        <v>09:00</v>
      </c>
      <c r="BO5" s="242">
        <f>E4</f>
        <v>1</v>
      </c>
      <c r="BP5" s="243" t="s">
        <v>88</v>
      </c>
      <c r="BQ5" s="240"/>
      <c r="BR5" s="240">
        <v>1</v>
      </c>
      <c r="BS5" s="244" t="e">
        <f ca="1">VLOOKUP(BY6,Inscripciones!$B$2:$B$399,2,FALSE)</f>
        <v>#REF!</v>
      </c>
      <c r="BT5" s="245"/>
      <c r="BU5" s="244" t="e">
        <f ca="1">VLOOKUP(BZ6,Inscripciones!$B$2:$B$399,2,FALSE)</f>
        <v>#REF!</v>
      </c>
      <c r="BV5" s="245"/>
      <c r="BW5" s="240"/>
      <c r="BX5" s="232"/>
      <c r="BY5" s="246">
        <f ca="1">G4</f>
        <v>4295</v>
      </c>
      <c r="BZ5" s="247">
        <f ca="1">H4</f>
        <v>4685</v>
      </c>
      <c r="CA5" s="235" t="str">
        <f>Inscripciones!$B$2</f>
        <v>U9 MASCULINO</v>
      </c>
      <c r="CB5" s="236" t="s">
        <v>89</v>
      </c>
    </row>
    <row r="6" spans="1:80" ht="12.75" x14ac:dyDescent="0.25">
      <c r="A6" s="419">
        <v>2</v>
      </c>
      <c r="B6" s="461" t="s">
        <v>69</v>
      </c>
      <c r="C6" s="463" t="s">
        <v>70</v>
      </c>
      <c r="D6" s="463" t="s">
        <v>90</v>
      </c>
      <c r="E6" s="457">
        <v>2</v>
      </c>
      <c r="F6" s="465" t="str">
        <f t="shared" ref="F6" si="1">C6&amp;"-"&amp;D6&amp;"- Table"&amp;E6</f>
        <v>5-Jun-9:00- Table2</v>
      </c>
      <c r="G6" s="457">
        <f ca="1">'SORTEO 8'!D11</f>
        <v>4250</v>
      </c>
      <c r="H6" s="457">
        <f ca="1">'SORTEO 8'!D12</f>
        <v>4391</v>
      </c>
      <c r="I6" s="457" t="str">
        <f ca="1">IF(G6=0,0,VLOOKUP(G6,Inscripciones!$B$2:$K$499,2,FALSE))</f>
        <v>KEVIN HERNÁNDEZ LÁSCAREZ</v>
      </c>
      <c r="J6" s="457" t="str">
        <f ca="1">IF(G6=0,0,VLOOKUP(G6,Inscripciones!$B$2:$N$399,3,FALSE))</f>
        <v>CCDR SAN JOSÉ</v>
      </c>
      <c r="K6" s="457" t="str">
        <f ca="1">IF(I6=0,0,VLOOKUP(H6,Inscripciones!$B$2:$K$499,2,FALSE))</f>
        <v xml:space="preserve">EMANUEL UMAÑA RODRIGUEZ </v>
      </c>
      <c r="L6" s="457" t="str">
        <f ca="1">IF(I6=0,0,VLOOKUP(H6,Inscripciones!$B$2:$N$399,3,FALSE))</f>
        <v>CURRIDABAT</v>
      </c>
      <c r="M6" s="459">
        <v>4</v>
      </c>
      <c r="N6" s="457">
        <v>11</v>
      </c>
      <c r="O6" s="457">
        <v>8</v>
      </c>
      <c r="P6" s="457">
        <v>11</v>
      </c>
      <c r="Q6" s="457"/>
      <c r="R6" s="457"/>
      <c r="S6" s="457"/>
      <c r="T6" s="457"/>
      <c r="U6" s="457"/>
      <c r="V6" s="457"/>
      <c r="W6" s="457"/>
      <c r="X6" s="457"/>
      <c r="Y6" s="457"/>
      <c r="Z6" s="467"/>
      <c r="AA6" s="442">
        <f t="shared" ref="AA6" si="2">IF(M6+N6&lt;&gt;0,SUM(AF6:AL6),"")</f>
        <v>0</v>
      </c>
      <c r="AB6" s="442">
        <f t="shared" ref="AB6" si="3">IF(M6+N6&lt;&gt;0,SUM(AF7:AL7),"")</f>
        <v>2</v>
      </c>
      <c r="AC6" s="442" t="str">
        <f t="shared" ref="AC6" si="4">IF(AA6&gt;AB6,AD6&amp;"  "&amp;AE6,IF(AB6&gt;AA6,AD6&amp;"  "&amp;AE7,""))</f>
        <v>2 - 0  (4, 8)</v>
      </c>
      <c r="AD6" s="218" t="str">
        <f t="shared" ref="AD6" si="5">IF(AA6&gt;AB6,AA6&amp;" - "&amp;AB6,IF(AB6&gt;AA6,AB6&amp;" - "&amp;AA6,""))</f>
        <v>2 - 0</v>
      </c>
      <c r="AE6" s="218" t="str">
        <f t="shared" si="0"/>
        <v>(-4, -8)</v>
      </c>
      <c r="AF6" s="218">
        <f t="shared" ref="AF6" si="6">IF(M6&gt;N6,1,0)</f>
        <v>0</v>
      </c>
      <c r="AG6" s="218">
        <f t="shared" ref="AG6" si="7">IF(O6&gt;P6,1,0)</f>
        <v>0</v>
      </c>
      <c r="AH6" s="218">
        <f t="shared" ref="AH6" si="8">IF(Q6&gt;R6,1,0)</f>
        <v>0</v>
      </c>
      <c r="AI6" s="218">
        <f t="shared" ref="AI6" si="9">IF(S6&gt;T6,1,0)</f>
        <v>0</v>
      </c>
      <c r="AJ6" s="218">
        <f t="shared" ref="AJ6" si="10">IF(U6&gt;V6,1,0)</f>
        <v>0</v>
      </c>
      <c r="AK6" s="218">
        <f t="shared" ref="AK6" si="11">IF(W6&gt;X6,1,0)</f>
        <v>0</v>
      </c>
      <c r="AL6" s="218">
        <f t="shared" ref="AL6" si="12">IF(Y6&gt;Z6,1,0)</f>
        <v>0</v>
      </c>
      <c r="AM6" s="218">
        <f t="shared" ref="AM6" si="13">IF(M6&gt;N6,N6,IF(N6&gt;M6,-M6,""))</f>
        <v>-4</v>
      </c>
      <c r="AN6" s="218" t="str">
        <f t="shared" ref="AN6" si="14">IF(O6&gt;P6,", "&amp;P6,IF(P6&gt;O6,", "&amp;-O6,""))</f>
        <v>, -8</v>
      </c>
      <c r="AO6" s="218" t="str">
        <f t="shared" ref="AO6" si="15">IF(Q6&gt;R6,", "&amp;R6,IF(R6&gt;Q6,", "&amp;-Q6,""))</f>
        <v/>
      </c>
      <c r="AP6" s="218" t="str">
        <f t="shared" ref="AP6" si="16">IF(S6&gt;T6,", "&amp;T6,IF(T6&gt;S6,", "&amp;-S6,""))</f>
        <v/>
      </c>
      <c r="AQ6" s="218" t="str">
        <f t="shared" ref="AQ6" si="17">IF(U6&gt;V6,", "&amp;V6,IF(V6&gt;U6,", "&amp;-U6,""))</f>
        <v/>
      </c>
      <c r="AR6" s="218" t="str">
        <f t="shared" ref="AR6" si="18">IF(W6&gt;X6,", "&amp;X6,IF(X6&gt;W6,", "&amp;-W6,""))</f>
        <v/>
      </c>
      <c r="AS6" s="218" t="str">
        <f t="shared" ref="AS6" si="19">IF(Y6&gt;Z6,", "&amp;Z6,IF(Z6&gt;Y6,", "&amp;-Y6,""))</f>
        <v/>
      </c>
      <c r="AU6" s="225">
        <f>1+AU4</f>
        <v>2</v>
      </c>
      <c r="AV6" s="248">
        <f ca="1">VLOOKUP(AV5,$A$4:$L$35,8,FALSE)</f>
        <v>4685</v>
      </c>
      <c r="AW6" s="248" t="str">
        <f ca="1">IF(AV6=0,0,VLOOKUP(AV6,Inscripciones!$B$2:$K$499,2,FALSE))</f>
        <v>GAEL ROMERO LEÓN</v>
      </c>
      <c r="AX6" s="249" t="str">
        <f ca="1">IF(AV6=0,0,VLOOKUP(AV6,Inscripciones!$B$2:$N$399,3,FALSE))</f>
        <v>ESCAZÚ</v>
      </c>
      <c r="BA6" s="250"/>
      <c r="BB6" s="229"/>
      <c r="BC6" s="230" t="str">
        <f>VLOOKUP(AY7,$A$4:$AD$35,29,FALSE)</f>
        <v>3 - 1  (7, 6, -10, 6)</v>
      </c>
      <c r="BD6" s="229"/>
      <c r="BL6" s="240">
        <f>1+BL5</f>
        <v>2</v>
      </c>
      <c r="BM6" s="241" t="str">
        <f>C6</f>
        <v>5-Jun</v>
      </c>
      <c r="BN6" s="241" t="str">
        <f>D6</f>
        <v>9:00</v>
      </c>
      <c r="BO6" s="242">
        <f>E6</f>
        <v>2</v>
      </c>
      <c r="BP6" s="243" t="s">
        <v>88</v>
      </c>
      <c r="BQ6" s="240"/>
      <c r="BR6" s="240">
        <v>2</v>
      </c>
      <c r="BS6" s="244" t="e">
        <f ca="1">VLOOKUP(BY7,Inscripciones!$B$2:$B$399,2,FALSE)</f>
        <v>#REF!</v>
      </c>
      <c r="BT6" s="245"/>
      <c r="BU6" s="244" t="e">
        <f ca="1">VLOOKUP(BZ7,Inscripciones!$B$2:$B$399,2,FALSE)</f>
        <v>#REF!</v>
      </c>
      <c r="BV6" s="245"/>
      <c r="BW6" s="240"/>
      <c r="BX6" s="232"/>
      <c r="BY6" s="246">
        <f ca="1">G6</f>
        <v>4250</v>
      </c>
      <c r="BZ6" s="247">
        <f ca="1">H6</f>
        <v>4391</v>
      </c>
      <c r="CA6" s="235" t="str">
        <f>Inscripciones!$B$2</f>
        <v>U9 MASCULINO</v>
      </c>
      <c r="CB6" s="236" t="s">
        <v>91</v>
      </c>
    </row>
    <row r="7" spans="1:80" ht="12.75" x14ac:dyDescent="0.25">
      <c r="A7" s="419"/>
      <c r="B7" s="462"/>
      <c r="C7" s="464"/>
      <c r="D7" s="464"/>
      <c r="E7" s="458"/>
      <c r="F7" s="466"/>
      <c r="G7" s="458"/>
      <c r="H7" s="458"/>
      <c r="I7" s="458">
        <v>0</v>
      </c>
      <c r="J7" s="458">
        <v>0</v>
      </c>
      <c r="K7" s="458">
        <v>0</v>
      </c>
      <c r="L7" s="458">
        <v>0</v>
      </c>
      <c r="M7" s="460"/>
      <c r="N7" s="458"/>
      <c r="O7" s="458"/>
      <c r="P7" s="458"/>
      <c r="Q7" s="458"/>
      <c r="R7" s="458"/>
      <c r="S7" s="458"/>
      <c r="T7" s="458"/>
      <c r="U7" s="458"/>
      <c r="V7" s="458"/>
      <c r="W7" s="458"/>
      <c r="X7" s="458"/>
      <c r="Y7" s="458"/>
      <c r="Z7" s="468"/>
      <c r="AA7" s="442"/>
      <c r="AB7" s="442"/>
      <c r="AC7" s="442"/>
      <c r="AD7" s="218" t="str">
        <f t="shared" ref="AD7" si="20">IF(AA6&gt;AB6,AD6&amp;"  "&amp;AE6,IF(AB6&gt;AA6,AD6&amp;"  "&amp;AE7,""))</f>
        <v>2 - 0  (4, 8)</v>
      </c>
      <c r="AE7" s="218" t="str">
        <f t="shared" si="0"/>
        <v>(4, 8)</v>
      </c>
      <c r="AF7" s="218">
        <f t="shared" ref="AF7" si="21">IF(N6&gt;M6,1,0)</f>
        <v>1</v>
      </c>
      <c r="AG7" s="218">
        <f t="shared" ref="AG7" si="22">IF(P6&gt;O6,1,0)</f>
        <v>1</v>
      </c>
      <c r="AH7" s="218">
        <f t="shared" ref="AH7" si="23">IF(R6&gt;Q6,1,0)</f>
        <v>0</v>
      </c>
      <c r="AI7" s="218">
        <f t="shared" ref="AI7" si="24">IF(T6&gt;S6,1,0)</f>
        <v>0</v>
      </c>
      <c r="AJ7" s="218">
        <f t="shared" ref="AJ7" si="25">IF(V6&gt;U6,1,0)</f>
        <v>0</v>
      </c>
      <c r="AK7" s="218">
        <f t="shared" ref="AK7" si="26">IF(X6&gt;W6,1,0)</f>
        <v>0</v>
      </c>
      <c r="AL7" s="218">
        <f t="shared" ref="AL7" si="27">IF(Z6&gt;Y6,1,0)</f>
        <v>0</v>
      </c>
      <c r="AM7" s="218">
        <f t="shared" ref="AM7" si="28">IF(N6&gt;M6,M6,IF(M6&gt;N6,-N6,""))</f>
        <v>4</v>
      </c>
      <c r="AN7" s="218" t="str">
        <f t="shared" ref="AN7" si="29">IF(P6&gt;O6,", "&amp;O6,IF(O6&gt;P6,", "&amp;-P6,""))</f>
        <v>, 8</v>
      </c>
      <c r="AO7" s="218" t="str">
        <f t="shared" ref="AO7" si="30">IF(R6&gt;Q6,", "&amp;Q6,IF(Q6&gt;R6,", "&amp;-R6,""))</f>
        <v/>
      </c>
      <c r="AP7" s="218" t="str">
        <f t="shared" ref="AP7" si="31">IF(T6&gt;S6,", "&amp;S6,IF(S6&gt;T6,", "&amp;-T6,""))</f>
        <v/>
      </c>
      <c r="AQ7" s="218" t="str">
        <f t="shared" ref="AQ7" si="32">IF(V6&gt;U6,", "&amp;U6,IF(U6&gt;V6,", "&amp;-V6,""))</f>
        <v/>
      </c>
      <c r="AR7" s="218" t="str">
        <f t="shared" ref="AR7" si="33">IF(X6&gt;W6,", "&amp;W6,IF(W6&gt;X6,", "&amp;-X6,""))</f>
        <v/>
      </c>
      <c r="AS7" s="218" t="str">
        <f t="shared" ref="AS7" si="34">IF(Z6&gt;Y6,", "&amp;Y6,IF(Y6&gt;Z6,", "&amp;-Z6,""))</f>
        <v/>
      </c>
      <c r="AU7" s="225"/>
      <c r="AX7" s="251"/>
      <c r="AY7" s="237">
        <v>5</v>
      </c>
      <c r="AZ7" s="238" t="str">
        <f>VLOOKUP(AY7,$A$4:$L$35,6,FALSE)</f>
        <v>5-Jun-10:30- Table1</v>
      </c>
      <c r="BA7" s="252"/>
      <c r="BB7" s="226">
        <f ca="1">VLOOKUP(BB11,$A$4:$L$39,7,FALSE)</f>
        <v>4295</v>
      </c>
      <c r="BC7" s="227" t="str">
        <f ca="1">IF(BB7=0,0,VLOOKUP(BB7,Inscripciones!$B$2:$K$499,2,FALSE))</f>
        <v>RICARDO MATEO CHAVES LEÓN</v>
      </c>
      <c r="BD7" s="228" t="str">
        <f ca="1">IF(BB7=0,0,VLOOKUP(BB7,Inscripciones!$B$2:$N$399,3,FALSE))</f>
        <v>ESPARZA</v>
      </c>
      <c r="BL7" s="240">
        <f t="shared" ref="BL7:BL12" si="35">1+BL6</f>
        <v>3</v>
      </c>
      <c r="BM7" s="241" t="str">
        <f>C8</f>
        <v>5-Jun</v>
      </c>
      <c r="BN7" s="241" t="str">
        <f>D8</f>
        <v>9:00</v>
      </c>
      <c r="BO7" s="242">
        <f>E8</f>
        <v>3</v>
      </c>
      <c r="BP7" s="243" t="s">
        <v>88</v>
      </c>
      <c r="BQ7" s="240"/>
      <c r="BR7" s="240">
        <v>3</v>
      </c>
      <c r="BS7" s="244" t="e">
        <f ca="1">VLOOKUP(BY8,Inscripciones!$B$2:$B$399,2,FALSE)</f>
        <v>#REF!</v>
      </c>
      <c r="BT7" s="245"/>
      <c r="BU7" s="244" t="e">
        <f ca="1">VLOOKUP(BZ8,Inscripciones!$B$2:$B$399,2,FALSE)</f>
        <v>#REF!</v>
      </c>
      <c r="BV7" s="245"/>
      <c r="BW7" s="240"/>
      <c r="BX7" s="232"/>
      <c r="BY7" s="246">
        <f ca="1">G8</f>
        <v>4520</v>
      </c>
      <c r="BZ7" s="247">
        <f ca="1">H8</f>
        <v>4699</v>
      </c>
      <c r="CA7" s="235" t="str">
        <f>Inscripciones!$B$2</f>
        <v>U9 MASCULINO</v>
      </c>
      <c r="CB7" s="236" t="s">
        <v>91</v>
      </c>
    </row>
    <row r="8" spans="1:80" ht="12.75" x14ac:dyDescent="0.25">
      <c r="A8" s="419">
        <v>3</v>
      </c>
      <c r="B8" s="473" t="s">
        <v>69</v>
      </c>
      <c r="C8" s="475" t="s">
        <v>70</v>
      </c>
      <c r="D8" s="475" t="s">
        <v>90</v>
      </c>
      <c r="E8" s="469">
        <v>3</v>
      </c>
      <c r="F8" s="479" t="str">
        <f t="shared" ref="F8" si="36">C8&amp;"-"&amp;D8&amp;"- Table"&amp;E8</f>
        <v>5-Jun-9:00- Table3</v>
      </c>
      <c r="G8" s="469">
        <f ca="1">'SORTEO 8'!D13</f>
        <v>4520</v>
      </c>
      <c r="H8" s="469">
        <f ca="1">'SORTEO 8'!D14</f>
        <v>4699</v>
      </c>
      <c r="I8" s="469" t="str">
        <f ca="1">IF(G8=0,0,VLOOKUP(G8,Inscripciones!$B$2:$K$499,2,FALSE))</f>
        <v>GAEL SOLÍS VÁSQUEZ</v>
      </c>
      <c r="J8" s="469" t="str">
        <f ca="1">IF(G8=0,0,VLOOKUP(G8,Inscripciones!$B$2:$N$399,3,FALSE))</f>
        <v>ESPARZA</v>
      </c>
      <c r="K8" s="469" t="str">
        <f ca="1">IF(I8=0,0,VLOOKUP(H8,Inscripciones!$B$2:$K$499,2,FALSE))</f>
        <v>EZEQUIEL LEAL CHACÓN</v>
      </c>
      <c r="L8" s="469" t="str">
        <f ca="1">IF(I8=0,0,VLOOKUP(H8,Inscripciones!$B$2:$N$399,3,FALSE))</f>
        <v>ESPARZA</v>
      </c>
      <c r="M8" s="477">
        <v>11</v>
      </c>
      <c r="N8" s="469">
        <v>9</v>
      </c>
      <c r="O8" s="469">
        <v>8</v>
      </c>
      <c r="P8" s="469">
        <v>11</v>
      </c>
      <c r="Q8" s="469">
        <v>11</v>
      </c>
      <c r="R8" s="469">
        <v>5</v>
      </c>
      <c r="S8" s="469"/>
      <c r="T8" s="469"/>
      <c r="U8" s="469"/>
      <c r="V8" s="469"/>
      <c r="W8" s="469"/>
      <c r="X8" s="469"/>
      <c r="Y8" s="469"/>
      <c r="Z8" s="471"/>
      <c r="AA8" s="442">
        <f t="shared" ref="AA8" si="37">IF(M8+N8&lt;&gt;0,SUM(AF8:AL8),"")</f>
        <v>2</v>
      </c>
      <c r="AB8" s="442">
        <f t="shared" ref="AB8" si="38">IF(M8+N8&lt;&gt;0,SUM(AF9:AL9),"")</f>
        <v>1</v>
      </c>
      <c r="AC8" s="442" t="str">
        <f t="shared" ref="AC8" si="39">IF(AA8&gt;AB8,AD8&amp;"  "&amp;AE8,IF(AB8&gt;AA8,AD8&amp;"  "&amp;AE9,""))</f>
        <v>2 - 1  (9, -8, 5)</v>
      </c>
      <c r="AD8" s="218" t="str">
        <f t="shared" ref="AD8" si="40">IF(AA8&gt;AB8,AA8&amp;" - "&amp;AB8,IF(AB8&gt;AA8,AB8&amp;" - "&amp;AA8,""))</f>
        <v>2 - 1</v>
      </c>
      <c r="AE8" s="218" t="str">
        <f t="shared" si="0"/>
        <v>(9, -8, 5)</v>
      </c>
      <c r="AF8" s="218">
        <f t="shared" ref="AF8" si="41">IF(M8&gt;N8,1,0)</f>
        <v>1</v>
      </c>
      <c r="AG8" s="218">
        <f t="shared" ref="AG8" si="42">IF(O8&gt;P8,1,0)</f>
        <v>0</v>
      </c>
      <c r="AH8" s="218">
        <f t="shared" ref="AH8" si="43">IF(Q8&gt;R8,1,0)</f>
        <v>1</v>
      </c>
      <c r="AI8" s="218">
        <f t="shared" ref="AI8" si="44">IF(S8&gt;T8,1,0)</f>
        <v>0</v>
      </c>
      <c r="AJ8" s="218">
        <f t="shared" ref="AJ8" si="45">IF(U8&gt;V8,1,0)</f>
        <v>0</v>
      </c>
      <c r="AK8" s="218">
        <f t="shared" ref="AK8" si="46">IF(W8&gt;X8,1,0)</f>
        <v>0</v>
      </c>
      <c r="AL8" s="218">
        <f t="shared" ref="AL8" si="47">IF(Y8&gt;Z8,1,0)</f>
        <v>0</v>
      </c>
      <c r="AM8" s="218">
        <f t="shared" ref="AM8" si="48">IF(M8&gt;N8,N8,IF(N8&gt;M8,-M8,""))</f>
        <v>9</v>
      </c>
      <c r="AN8" s="218" t="str">
        <f t="shared" ref="AN8" si="49">IF(O8&gt;P8,", "&amp;P8,IF(P8&gt;O8,", "&amp;-O8,""))</f>
        <v>, -8</v>
      </c>
      <c r="AO8" s="218" t="str">
        <f t="shared" ref="AO8" si="50">IF(Q8&gt;R8,", "&amp;R8,IF(R8&gt;Q8,", "&amp;-Q8,""))</f>
        <v>, 5</v>
      </c>
      <c r="AP8" s="218" t="str">
        <f t="shared" ref="AP8" si="51">IF(S8&gt;T8,", "&amp;T8,IF(T8&gt;S8,", "&amp;-S8,""))</f>
        <v/>
      </c>
      <c r="AQ8" s="218" t="str">
        <f t="shared" ref="AQ8" si="52">IF(U8&gt;V8,", "&amp;V8,IF(V8&gt;U8,", "&amp;-U8,""))</f>
        <v/>
      </c>
      <c r="AR8" s="218" t="str">
        <f t="shared" ref="AR8" si="53">IF(W8&gt;X8,", "&amp;X8,IF(X8&gt;W8,", "&amp;-W8,""))</f>
        <v/>
      </c>
      <c r="AS8" s="218" t="str">
        <f t="shared" ref="AS8" si="54">IF(Y8&gt;Z8,", "&amp;Z8,IF(Z8&gt;Y8,", "&amp;-Y8,""))</f>
        <v/>
      </c>
      <c r="AU8" s="225">
        <f>1+AU6</f>
        <v>3</v>
      </c>
      <c r="AV8" s="226">
        <f ca="1">VLOOKUP(AV9,$A$4:$L$35,7,FALSE)</f>
        <v>4250</v>
      </c>
      <c r="AW8" s="227" t="str">
        <f ca="1">IF(AV8=0,0,VLOOKUP(AV8,Inscripciones!$B$2:$K$499,2,FALSE))</f>
        <v>KEVIN HERNÁNDEZ LÁSCAREZ</v>
      </c>
      <c r="AX8" s="228" t="str">
        <f ca="1">IF(AV8=0,0,VLOOKUP(AV8,Inscripciones!$B$2:$N$399,3,FALSE))</f>
        <v>CCDR SAN JOSÉ</v>
      </c>
      <c r="AY8" s="253"/>
      <c r="BA8" s="250"/>
      <c r="BD8" s="250"/>
      <c r="BL8" s="240">
        <f t="shared" si="35"/>
        <v>4</v>
      </c>
      <c r="BM8" s="241" t="str">
        <f>C10</f>
        <v>5-Jun</v>
      </c>
      <c r="BN8" s="241" t="str">
        <f>D10</f>
        <v>9:00</v>
      </c>
      <c r="BO8" s="242">
        <f>E10</f>
        <v>4</v>
      </c>
      <c r="BP8" s="243" t="s">
        <v>88</v>
      </c>
      <c r="BQ8" s="240"/>
      <c r="BR8" s="240">
        <v>4</v>
      </c>
      <c r="BS8" s="244" t="e">
        <f>VLOOKUP(#REF!,Inscripciones!$B$2:$B$399,2,FALSE)</f>
        <v>#REF!</v>
      </c>
      <c r="BT8" s="245"/>
      <c r="BU8" s="244" t="e">
        <f>VLOOKUP(#REF!,Inscripciones!$B$2:$B$399,2,FALSE)</f>
        <v>#REF!</v>
      </c>
      <c r="BV8" s="245"/>
      <c r="BW8" s="240"/>
      <c r="BX8" s="232"/>
      <c r="BY8" s="246">
        <f ca="1">G10</f>
        <v>4834</v>
      </c>
      <c r="BZ8" s="247">
        <f ca="1">H10</f>
        <v>4149</v>
      </c>
      <c r="CA8" s="235" t="str">
        <f>Inscripciones!$B$2</f>
        <v>U9 MASCULINO</v>
      </c>
      <c r="CB8" s="236" t="s">
        <v>91</v>
      </c>
    </row>
    <row r="9" spans="1:80" ht="12.75" x14ac:dyDescent="0.25">
      <c r="A9" s="419"/>
      <c r="B9" s="474"/>
      <c r="C9" s="476"/>
      <c r="D9" s="476"/>
      <c r="E9" s="470"/>
      <c r="F9" s="480"/>
      <c r="G9" s="470"/>
      <c r="H9" s="470"/>
      <c r="I9" s="470">
        <v>0</v>
      </c>
      <c r="J9" s="470">
        <v>0</v>
      </c>
      <c r="K9" s="470">
        <v>0</v>
      </c>
      <c r="L9" s="470">
        <v>0</v>
      </c>
      <c r="M9" s="478"/>
      <c r="N9" s="470"/>
      <c r="O9" s="470"/>
      <c r="P9" s="470"/>
      <c r="Q9" s="470"/>
      <c r="R9" s="470"/>
      <c r="S9" s="470"/>
      <c r="T9" s="470"/>
      <c r="U9" s="470"/>
      <c r="V9" s="470"/>
      <c r="W9" s="470"/>
      <c r="X9" s="470"/>
      <c r="Y9" s="470"/>
      <c r="Z9" s="472"/>
      <c r="AA9" s="442"/>
      <c r="AB9" s="442"/>
      <c r="AC9" s="442"/>
      <c r="AD9" s="218" t="str">
        <f t="shared" ref="AD9" si="55">IF(AA8&gt;AB8,AD8&amp;"  "&amp;AE8,IF(AB8&gt;AA8,AD8&amp;"  "&amp;AE9,""))</f>
        <v>2 - 1  (9, -8, 5)</v>
      </c>
      <c r="AE9" s="218" t="str">
        <f t="shared" si="0"/>
        <v>(-9, 8, -5)</v>
      </c>
      <c r="AF9" s="218">
        <f t="shared" ref="AF9" si="56">IF(N8&gt;M8,1,0)</f>
        <v>0</v>
      </c>
      <c r="AG9" s="218">
        <f t="shared" ref="AG9" si="57">IF(P8&gt;O8,1,0)</f>
        <v>1</v>
      </c>
      <c r="AH9" s="218">
        <f t="shared" ref="AH9" si="58">IF(R8&gt;Q8,1,0)</f>
        <v>0</v>
      </c>
      <c r="AI9" s="218">
        <f t="shared" ref="AI9" si="59">IF(T8&gt;S8,1,0)</f>
        <v>0</v>
      </c>
      <c r="AJ9" s="218">
        <f t="shared" ref="AJ9" si="60">IF(V8&gt;U8,1,0)</f>
        <v>0</v>
      </c>
      <c r="AK9" s="218">
        <f t="shared" ref="AK9" si="61">IF(X8&gt;W8,1,0)</f>
        <v>0</v>
      </c>
      <c r="AL9" s="218">
        <f t="shared" ref="AL9" si="62">IF(Z8&gt;Y8,1,0)</f>
        <v>0</v>
      </c>
      <c r="AM9" s="218">
        <f t="shared" ref="AM9" si="63">IF(N8&gt;M8,M8,IF(M8&gt;N8,-N8,""))</f>
        <v>-9</v>
      </c>
      <c r="AN9" s="218" t="str">
        <f t="shared" ref="AN9" si="64">IF(P8&gt;O8,", "&amp;O8,IF(O8&gt;P8,", "&amp;-P8,""))</f>
        <v>, 8</v>
      </c>
      <c r="AO9" s="218" t="str">
        <f t="shared" ref="AO9" si="65">IF(R8&gt;Q8,", "&amp;Q8,IF(Q8&gt;R8,", "&amp;-R8,""))</f>
        <v>, -5</v>
      </c>
      <c r="AP9" s="218" t="str">
        <f t="shared" ref="AP9" si="66">IF(T8&gt;S8,", "&amp;S8,IF(S8&gt;T8,", "&amp;-T8,""))</f>
        <v/>
      </c>
      <c r="AQ9" s="218" t="str">
        <f t="shared" ref="AQ9" si="67">IF(V8&gt;U8,", "&amp;U8,IF(U8&gt;V8,", "&amp;-V8,""))</f>
        <v/>
      </c>
      <c r="AR9" s="218" t="str">
        <f t="shared" ref="AR9" si="68">IF(X8&gt;W8,", "&amp;W8,IF(W8&gt;X8,", "&amp;-X8,""))</f>
        <v/>
      </c>
      <c r="AS9" s="218" t="str">
        <f t="shared" ref="AS9" si="69">IF(Z8&gt;Y8,", "&amp;Y8,IF(Y8&gt;Z8,", "&amp;-Z8,""))</f>
        <v/>
      </c>
      <c r="AV9" s="237">
        <v>2</v>
      </c>
      <c r="AW9" s="238" t="str">
        <f>VLOOKUP(AV9,$A$4:$L$35,6,FALSE)</f>
        <v>5-Jun-9:00- Table2</v>
      </c>
      <c r="AX9" s="239"/>
      <c r="AY9" s="248">
        <f ca="1">VLOOKUP(AY7,$A$4:$L$39,8,FALSE)</f>
        <v>4391</v>
      </c>
      <c r="AZ9" s="248" t="str">
        <f ca="1">IF(AY9=0,0,VLOOKUP(AY9,Inscripciones!$B$2:$K$499,2,FALSE))</f>
        <v xml:space="preserve">EMANUEL UMAÑA RODRIGUEZ </v>
      </c>
      <c r="BA9" s="249" t="str">
        <f ca="1">IF(AY9=0,0,VLOOKUP(AY9,Inscripciones!$B$2:$N$399,3,FALSE))</f>
        <v>CURRIDABAT</v>
      </c>
      <c r="BD9" s="250"/>
      <c r="BF9" s="254" t="s">
        <v>92</v>
      </c>
      <c r="BL9" s="255">
        <f t="shared" si="35"/>
        <v>5</v>
      </c>
      <c r="BM9" s="256" t="str">
        <f>C12</f>
        <v>5-Jun</v>
      </c>
      <c r="BN9" s="256" t="str">
        <f>D12</f>
        <v>10:30</v>
      </c>
      <c r="BO9" s="257">
        <f>E12</f>
        <v>1</v>
      </c>
      <c r="BP9" s="258" t="s">
        <v>88</v>
      </c>
      <c r="BQ9" s="255"/>
      <c r="BR9" s="255">
        <v>33</v>
      </c>
      <c r="BS9" s="259" t="e">
        <f ca="1">VLOOKUP(BY10,Inscripciones!$B$2:$B$399,2,FALSE)</f>
        <v>#REF!</v>
      </c>
      <c r="BT9" s="255"/>
      <c r="BU9" s="259" t="e">
        <f ca="1">VLOOKUP(BZ10,Inscripciones!$B$2:$B$399,2,FALSE)</f>
        <v>#REF!</v>
      </c>
      <c r="BV9" s="255"/>
      <c r="BW9" s="255"/>
      <c r="BY9" s="246">
        <f ca="1">G12</f>
        <v>4295</v>
      </c>
      <c r="BZ9" s="247">
        <f ca="1">H12</f>
        <v>4391</v>
      </c>
      <c r="CA9" s="235" t="str">
        <f>Inscripciones!$B$2</f>
        <v>U9 MASCULINO</v>
      </c>
      <c r="CB9" s="236" t="s">
        <v>93</v>
      </c>
    </row>
    <row r="10" spans="1:80" ht="12.75" x14ac:dyDescent="0.25">
      <c r="A10" s="419">
        <v>4</v>
      </c>
      <c r="B10" s="461" t="s">
        <v>69</v>
      </c>
      <c r="C10" s="463" t="s">
        <v>70</v>
      </c>
      <c r="D10" s="463" t="s">
        <v>90</v>
      </c>
      <c r="E10" s="457">
        <v>4</v>
      </c>
      <c r="F10" s="465" t="str">
        <f t="shared" ref="F10" si="70">C10&amp;"-"&amp;D10&amp;"- Table"&amp;E10</f>
        <v>5-Jun-9:00- Table4</v>
      </c>
      <c r="G10" s="457">
        <f ca="1">'SORTEO 8'!D15</f>
        <v>4834</v>
      </c>
      <c r="H10" s="457">
        <f ca="1">'SORTEO 8'!D16</f>
        <v>4149</v>
      </c>
      <c r="I10" s="457" t="str">
        <f ca="1">IF(G10=0,0,VLOOKUP(G10,Inscripciones!$B$2:$K$499,2,FALSE))</f>
        <v>PEDRO RIMOLO VILLAGRA</v>
      </c>
      <c r="J10" s="457" t="str">
        <f ca="1">IF(G10=0,0,VLOOKUP(G10,Inscripciones!$B$2:$N$399,3,FALSE))</f>
        <v>CURRIDABAT</v>
      </c>
      <c r="K10" s="457" t="str">
        <f ca="1">IF(I10=0,0,VLOOKUP(H10,Inscripciones!$B$2:$K$499,2,FALSE))</f>
        <v>LUIS MANUEL GARCÍA ARAYA</v>
      </c>
      <c r="L10" s="457" t="str">
        <f ca="1">IF(I10=0,0,VLOOKUP(H10,Inscripciones!$B$2:$N$399,3,FALSE))</f>
        <v>ESPARZA</v>
      </c>
      <c r="M10" s="459">
        <v>2</v>
      </c>
      <c r="N10" s="457">
        <v>11</v>
      </c>
      <c r="O10" s="457">
        <v>11</v>
      </c>
      <c r="P10" s="457">
        <v>13</v>
      </c>
      <c r="Q10" s="457"/>
      <c r="R10" s="457"/>
      <c r="S10" s="457"/>
      <c r="T10" s="457"/>
      <c r="U10" s="457"/>
      <c r="V10" s="457"/>
      <c r="W10" s="457"/>
      <c r="X10" s="457"/>
      <c r="Y10" s="457"/>
      <c r="Z10" s="467"/>
      <c r="AA10" s="442">
        <f t="shared" ref="AA10" si="71">IF(M10+N10&lt;&gt;0,SUM(AF10:AL10),"")</f>
        <v>0</v>
      </c>
      <c r="AB10" s="442">
        <f t="shared" ref="AB10" si="72">IF(M10+N10&lt;&gt;0,SUM(AF11:AL11),"")</f>
        <v>2</v>
      </c>
      <c r="AC10" s="442" t="str">
        <f t="shared" ref="AC10" si="73">IF(AA10&gt;AB10,AD10&amp;"  "&amp;AE10,IF(AB10&gt;AA10,AD10&amp;"  "&amp;AE11,""))</f>
        <v>2 - 0  (2, 11)</v>
      </c>
      <c r="AD10" s="218" t="str">
        <f t="shared" ref="AD10" si="74">IF(AA10&gt;AB10,AA10&amp;" - "&amp;AB10,IF(AB10&gt;AA10,AB10&amp;" - "&amp;AA10,""))</f>
        <v>2 - 0</v>
      </c>
      <c r="AE10" s="218" t="str">
        <f t="shared" si="0"/>
        <v>(-2, -11)</v>
      </c>
      <c r="AF10" s="218">
        <f t="shared" ref="AF10" si="75">IF(M10&gt;N10,1,0)</f>
        <v>0</v>
      </c>
      <c r="AG10" s="218">
        <f t="shared" ref="AG10" si="76">IF(O10&gt;P10,1,0)</f>
        <v>0</v>
      </c>
      <c r="AH10" s="218">
        <f t="shared" ref="AH10" si="77">IF(Q10&gt;R10,1,0)</f>
        <v>0</v>
      </c>
      <c r="AI10" s="218">
        <f t="shared" ref="AI10" si="78">IF(S10&gt;T10,1,0)</f>
        <v>0</v>
      </c>
      <c r="AJ10" s="218">
        <f t="shared" ref="AJ10" si="79">IF(U10&gt;V10,1,0)</f>
        <v>0</v>
      </c>
      <c r="AK10" s="218">
        <f t="shared" ref="AK10" si="80">IF(W10&gt;X10,1,0)</f>
        <v>0</v>
      </c>
      <c r="AL10" s="218">
        <f t="shared" ref="AL10" si="81">IF(Y10&gt;Z10,1,0)</f>
        <v>0</v>
      </c>
      <c r="AM10" s="218">
        <f t="shared" ref="AM10" si="82">IF(M10&gt;N10,N10,IF(N10&gt;M10,-M10,""))</f>
        <v>-2</v>
      </c>
      <c r="AN10" s="218" t="str">
        <f t="shared" ref="AN10" si="83">IF(O10&gt;P10,", "&amp;P10,IF(P10&gt;O10,", "&amp;-O10,""))</f>
        <v>, -11</v>
      </c>
      <c r="AO10" s="218" t="str">
        <f t="shared" ref="AO10" si="84">IF(Q10&gt;R10,", "&amp;R10,IF(R10&gt;Q10,", "&amp;-Q10,""))</f>
        <v/>
      </c>
      <c r="AP10" s="218" t="str">
        <f t="shared" ref="AP10" si="85">IF(S10&gt;T10,", "&amp;T10,IF(T10&gt;S10,", "&amp;-S10,""))</f>
        <v/>
      </c>
      <c r="AQ10" s="218" t="str">
        <f t="shared" ref="AQ10" si="86">IF(U10&gt;V10,", "&amp;V10,IF(V10&gt;U10,", "&amp;-U10,""))</f>
        <v/>
      </c>
      <c r="AR10" s="218" t="str">
        <f t="shared" ref="AR10" si="87">IF(W10&gt;X10,", "&amp;X10,IF(X10&gt;W10,", "&amp;-W10,""))</f>
        <v/>
      </c>
      <c r="AS10" s="218" t="str">
        <f t="shared" ref="AS10" si="88">IF(Y10&gt;Z10,", "&amp;Z10,IF(Z10&gt;Y10,", "&amp;-Y10,""))</f>
        <v/>
      </c>
      <c r="AU10" s="225">
        <f>1+AU8</f>
        <v>4</v>
      </c>
      <c r="AV10" s="248">
        <f ca="1">VLOOKUP(AV9,$A$4:$L$35,8,FALSE)</f>
        <v>4391</v>
      </c>
      <c r="AW10" s="248" t="str">
        <f ca="1">IF(AV10=0,0,VLOOKUP(AV10,Inscripciones!$B$2:$K$499,2,FALSE))</f>
        <v xml:space="preserve">EMANUEL UMAÑA RODRIGUEZ </v>
      </c>
      <c r="AX10" s="249" t="str">
        <f ca="1">IF(AV10=0,0,VLOOKUP(AV10,Inscripciones!$B$2:$N$399,3,FALSE))</f>
        <v>CURRIDABAT</v>
      </c>
      <c r="AY10" s="229"/>
      <c r="AZ10" s="230" t="str">
        <f>VLOOKUP(AV9,$A$4:$AD$39,29,FALSE)</f>
        <v>2 - 0  (4, 8)</v>
      </c>
      <c r="BA10" s="229"/>
      <c r="BD10" s="250"/>
      <c r="BE10" s="229"/>
      <c r="BF10" s="230" t="str">
        <f>VLOOKUP(BB11,$A$4:$AD$35,29,FALSE)</f>
        <v>3 - 0  (6, 7, 9)</v>
      </c>
      <c r="BG10" s="229"/>
      <c r="BL10" s="255">
        <f t="shared" si="35"/>
        <v>6</v>
      </c>
      <c r="BM10" s="256" t="str">
        <f>C14</f>
        <v>5-Jun</v>
      </c>
      <c r="BN10" s="256" t="str">
        <f>D14</f>
        <v>10:30</v>
      </c>
      <c r="BO10" s="257">
        <f>E14</f>
        <v>2</v>
      </c>
      <c r="BP10" s="258" t="s">
        <v>88</v>
      </c>
      <c r="BQ10" s="255"/>
      <c r="BR10" s="255">
        <v>34</v>
      </c>
      <c r="BS10" s="259" t="e">
        <f>VLOOKUP(#REF!,Inscripciones!$B$2:$B$399,2,FALSE)</f>
        <v>#REF!</v>
      </c>
      <c r="BT10" s="255"/>
      <c r="BU10" s="259" t="e">
        <f>VLOOKUP(#REF!,Inscripciones!$B$2:$B$399,2,FALSE)</f>
        <v>#REF!</v>
      </c>
      <c r="BV10" s="255"/>
      <c r="BW10" s="255"/>
      <c r="BY10" s="246">
        <f ca="1">G14</f>
        <v>4520</v>
      </c>
      <c r="BZ10" s="247">
        <f ca="1">H14</f>
        <v>4149</v>
      </c>
      <c r="CA10" s="235" t="str">
        <f>Inscripciones!$B$2</f>
        <v>U9 MASCULINO</v>
      </c>
      <c r="CB10" s="236" t="s">
        <v>94</v>
      </c>
    </row>
    <row r="11" spans="1:80" ht="12.75" x14ac:dyDescent="0.25">
      <c r="A11" s="419"/>
      <c r="B11" s="462"/>
      <c r="C11" s="464"/>
      <c r="D11" s="464"/>
      <c r="E11" s="458"/>
      <c r="F11" s="466"/>
      <c r="G11" s="458"/>
      <c r="H11" s="458"/>
      <c r="I11" s="458">
        <v>0</v>
      </c>
      <c r="J11" s="458">
        <v>0</v>
      </c>
      <c r="K11" s="458">
        <v>0</v>
      </c>
      <c r="L11" s="458">
        <v>0</v>
      </c>
      <c r="M11" s="460"/>
      <c r="N11" s="458"/>
      <c r="O11" s="458"/>
      <c r="P11" s="458"/>
      <c r="Q11" s="458"/>
      <c r="R11" s="458"/>
      <c r="S11" s="458"/>
      <c r="T11" s="458"/>
      <c r="U11" s="458"/>
      <c r="V11" s="458"/>
      <c r="W11" s="458"/>
      <c r="X11" s="458"/>
      <c r="Y11" s="458"/>
      <c r="Z11" s="468"/>
      <c r="AA11" s="442"/>
      <c r="AB11" s="442"/>
      <c r="AC11" s="442"/>
      <c r="AD11" s="218" t="str">
        <f t="shared" ref="AD11" si="89">IF(AA10&gt;AB10,AD10&amp;"  "&amp;AE10,IF(AB10&gt;AA10,AD10&amp;"  "&amp;AE11,""))</f>
        <v>2 - 0  (2, 11)</v>
      </c>
      <c r="AE11" s="218" t="str">
        <f t="shared" si="0"/>
        <v>(2, 11)</v>
      </c>
      <c r="AF11" s="218">
        <f t="shared" ref="AF11" si="90">IF(N10&gt;M10,1,0)</f>
        <v>1</v>
      </c>
      <c r="AG11" s="218">
        <f t="shared" ref="AG11" si="91">IF(P10&gt;O10,1,0)</f>
        <v>1</v>
      </c>
      <c r="AH11" s="218">
        <f t="shared" ref="AH11" si="92">IF(R10&gt;Q10,1,0)</f>
        <v>0</v>
      </c>
      <c r="AI11" s="218">
        <f t="shared" ref="AI11" si="93">IF(T10&gt;S10,1,0)</f>
        <v>0</v>
      </c>
      <c r="AJ11" s="218">
        <f t="shared" ref="AJ11" si="94">IF(V10&gt;U10,1,0)</f>
        <v>0</v>
      </c>
      <c r="AK11" s="218">
        <f t="shared" ref="AK11" si="95">IF(X10&gt;W10,1,0)</f>
        <v>0</v>
      </c>
      <c r="AL11" s="218">
        <f t="shared" ref="AL11" si="96">IF(Z10&gt;Y10,1,0)</f>
        <v>0</v>
      </c>
      <c r="AM11" s="218">
        <f t="shared" ref="AM11" si="97">IF(N10&gt;M10,M10,IF(M10&gt;N10,-N10,""))</f>
        <v>2</v>
      </c>
      <c r="AN11" s="218" t="str">
        <f t="shared" ref="AN11" si="98">IF(P10&gt;O10,", "&amp;O10,IF(O10&gt;P10,", "&amp;-P10,""))</f>
        <v>, 11</v>
      </c>
      <c r="AO11" s="218" t="str">
        <f t="shared" ref="AO11" si="99">IF(R10&gt;Q10,", "&amp;Q10,IF(Q10&gt;R10,", "&amp;-R10,""))</f>
        <v/>
      </c>
      <c r="AP11" s="218" t="str">
        <f t="shared" ref="AP11" si="100">IF(T10&gt;S10,", "&amp;S10,IF(S10&gt;T10,", "&amp;-T10,""))</f>
        <v/>
      </c>
      <c r="AQ11" s="218" t="str">
        <f t="shared" ref="AQ11" si="101">IF(V10&gt;U10,", "&amp;U10,IF(U10&gt;V10,", "&amp;-V10,""))</f>
        <v/>
      </c>
      <c r="AR11" s="218" t="str">
        <f t="shared" ref="AR11" si="102">IF(X10&gt;W10,", "&amp;W10,IF(W10&gt;X10,", "&amp;-X10,""))</f>
        <v/>
      </c>
      <c r="AS11" s="218" t="str">
        <f t="shared" ref="AS11" si="103">IF(Z10&gt;Y10,", "&amp;Y10,IF(Y10&gt;Z10,", "&amp;-Z10,""))</f>
        <v/>
      </c>
      <c r="AX11" s="251"/>
      <c r="BB11" s="237">
        <v>8</v>
      </c>
      <c r="BC11" s="238" t="str">
        <f>VLOOKUP(BB11,$A$4:$L$35,6,FALSE)</f>
        <v>5-Jun-17:00- Table1</v>
      </c>
      <c r="BD11" s="250"/>
      <c r="BE11" s="226">
        <f ca="1">G22</f>
        <v>4295</v>
      </c>
      <c r="BF11" s="227" t="str">
        <f ca="1">IF(BE11=0,0,VLOOKUP(BE11,Inscripciones!$B$2:$K$499,2,FALSE))</f>
        <v>RICARDO MATEO CHAVES LEÓN</v>
      </c>
      <c r="BG11" s="260" t="str">
        <f ca="1">IF(BE11=0,0,VLOOKUP(BE11,Inscripciones!$B$2:$N$399,3,FALSE))</f>
        <v>ESPARZA</v>
      </c>
      <c r="BL11" s="261">
        <f t="shared" si="35"/>
        <v>7</v>
      </c>
      <c r="BM11" s="262" t="str">
        <f>C16</f>
        <v>5-Jun</v>
      </c>
      <c r="BN11" s="262" t="str">
        <f>D16</f>
        <v>16:00</v>
      </c>
      <c r="BO11" s="263">
        <f>E16</f>
        <v>1</v>
      </c>
      <c r="BP11" s="264" t="s">
        <v>88</v>
      </c>
      <c r="BQ11" s="261"/>
      <c r="BR11" s="261">
        <v>63</v>
      </c>
      <c r="BS11" s="265" t="e">
        <f ca="1">VLOOKUP(BY12,Inscripciones!$B$2:$B$399,2,FALSE)</f>
        <v>#REF!</v>
      </c>
      <c r="BT11" s="261"/>
      <c r="BU11" s="265" t="e">
        <f ca="1">VLOOKUP(BZ12,Inscripciones!$B$2:$B$399,2,FALSE)</f>
        <v>#REF!</v>
      </c>
      <c r="BV11" s="261"/>
      <c r="BW11" s="261"/>
      <c r="BY11" s="246">
        <f ca="1">G16</f>
        <v>4391</v>
      </c>
      <c r="BZ11" s="247">
        <f ca="1">H16</f>
        <v>4149</v>
      </c>
      <c r="CA11" s="235" t="str">
        <f>Inscripciones!$B$2</f>
        <v>U9 MASCULINO</v>
      </c>
      <c r="CB11" s="236" t="s">
        <v>95</v>
      </c>
    </row>
    <row r="12" spans="1:80" ht="12.75" x14ac:dyDescent="0.25">
      <c r="A12" s="419">
        <v>5</v>
      </c>
      <c r="B12" s="453" t="s">
        <v>96</v>
      </c>
      <c r="C12" s="455" t="s">
        <v>70</v>
      </c>
      <c r="D12" s="455" t="s">
        <v>97</v>
      </c>
      <c r="E12" s="438">
        <v>1</v>
      </c>
      <c r="F12" s="451" t="str">
        <f t="shared" ref="F12" si="104">C12&amp;"-"&amp;D12&amp;"- Table"&amp;E12</f>
        <v>5-Jun-10:30- Table1</v>
      </c>
      <c r="G12" s="438">
        <f ca="1">IF(M4="",0,IF(AA4&gt;AB4,G4,H4))</f>
        <v>4295</v>
      </c>
      <c r="H12" s="438">
        <f ca="1">IF(M6="",0,IF(AA6&gt;AB6,G6,H6))</f>
        <v>4391</v>
      </c>
      <c r="I12" s="438" t="str">
        <f ca="1">IF(G12=0,0,VLOOKUP(G12,Inscripciones!$B$2:$K$499,2,FALSE))</f>
        <v>RICARDO MATEO CHAVES LEÓN</v>
      </c>
      <c r="J12" s="438" t="str">
        <f ca="1">IF(G12=0,0,VLOOKUP(G12,Inscripciones!$B$2:$N$399,3,FALSE))</f>
        <v>ESPARZA</v>
      </c>
      <c r="K12" s="438" t="str">
        <f ca="1">IF(I12=0,0,VLOOKUP(H12,Inscripciones!$B$2:$K$499,2,FALSE))</f>
        <v xml:space="preserve">EMANUEL UMAÑA RODRIGUEZ </v>
      </c>
      <c r="L12" s="438" t="str">
        <f ca="1">IF(I12=0,0,VLOOKUP(H12,Inscripciones!$B$2:$N$399,3,FALSE))</f>
        <v>CURRIDABAT</v>
      </c>
      <c r="M12" s="449">
        <v>11</v>
      </c>
      <c r="N12" s="438">
        <v>7</v>
      </c>
      <c r="O12" s="438">
        <v>11</v>
      </c>
      <c r="P12" s="438">
        <v>6</v>
      </c>
      <c r="Q12" s="438">
        <v>10</v>
      </c>
      <c r="R12" s="438">
        <v>12</v>
      </c>
      <c r="S12" s="438">
        <v>11</v>
      </c>
      <c r="T12" s="438">
        <v>6</v>
      </c>
      <c r="U12" s="438"/>
      <c r="V12" s="438"/>
      <c r="W12" s="438"/>
      <c r="X12" s="438"/>
      <c r="Y12" s="438"/>
      <c r="Z12" s="440"/>
      <c r="AA12" s="442">
        <f t="shared" ref="AA12" si="105">IF(M12+N12&lt;&gt;0,SUM(AF12:AL12),"")</f>
        <v>3</v>
      </c>
      <c r="AB12" s="442">
        <f t="shared" ref="AB12" si="106">IF(M12+N12&lt;&gt;0,SUM(AF13:AL13),"")</f>
        <v>1</v>
      </c>
      <c r="AC12" s="218" t="str">
        <f t="shared" ref="AC12" si="107">IF(AA12&gt;AB12,AD12&amp;"  "&amp;AE12,IF(AB12&gt;AA12,AD12&amp;"  "&amp;AE13,""))</f>
        <v>3 - 1  (7, 6, -10, 6)</v>
      </c>
      <c r="AD12" s="218" t="str">
        <f t="shared" ref="AD12" si="108">IF(AA12&gt;AB12,AA12&amp;" - "&amp;AB12,IF(AB12&gt;AA12,AB12&amp;" - "&amp;AA12,""))</f>
        <v>3 - 1</v>
      </c>
      <c r="AE12" s="218" t="str">
        <f t="shared" si="0"/>
        <v>(7, 6, -10, 6)</v>
      </c>
      <c r="AF12" s="218">
        <f t="shared" ref="AF12" si="109">IF(M12&gt;N12,1,0)</f>
        <v>1</v>
      </c>
      <c r="AG12" s="218">
        <f t="shared" ref="AG12" si="110">IF(O12&gt;P12,1,0)</f>
        <v>1</v>
      </c>
      <c r="AH12" s="218">
        <f t="shared" ref="AH12" si="111">IF(Q12&gt;R12,1,0)</f>
        <v>0</v>
      </c>
      <c r="AI12" s="218">
        <f t="shared" ref="AI12" si="112">IF(S12&gt;T12,1,0)</f>
        <v>1</v>
      </c>
      <c r="AJ12" s="218">
        <f t="shared" ref="AJ12" si="113">IF(U12&gt;V12,1,0)</f>
        <v>0</v>
      </c>
      <c r="AK12" s="218">
        <f t="shared" ref="AK12" si="114">IF(W12&gt;X12,1,0)</f>
        <v>0</v>
      </c>
      <c r="AL12" s="218">
        <f t="shared" ref="AL12" si="115">IF(Y12&gt;Z12,1,0)</f>
        <v>0</v>
      </c>
      <c r="AM12" s="218">
        <f t="shared" ref="AM12" si="116">IF(M12&gt;N12,N12,IF(N12&gt;M12,-M12,""))</f>
        <v>7</v>
      </c>
      <c r="AN12" s="218" t="str">
        <f t="shared" ref="AN12" si="117">IF(O12&gt;P12,", "&amp;P12,IF(P12&gt;O12,", "&amp;-O12,""))</f>
        <v>, 6</v>
      </c>
      <c r="AO12" s="218" t="str">
        <f t="shared" ref="AO12" si="118">IF(Q12&gt;R12,", "&amp;R12,IF(R12&gt;Q12,", "&amp;-Q12,""))</f>
        <v>, -10</v>
      </c>
      <c r="AP12" s="218" t="str">
        <f t="shared" ref="AP12" si="119">IF(S12&gt;T12,", "&amp;T12,IF(T12&gt;S12,", "&amp;-S12,""))</f>
        <v>, 6</v>
      </c>
      <c r="AQ12" s="218" t="str">
        <f t="shared" ref="AQ12" si="120">IF(U12&gt;V12,", "&amp;V12,IF(V12&gt;U12,", "&amp;-U12,""))</f>
        <v/>
      </c>
      <c r="AR12" s="218" t="str">
        <f t="shared" ref="AR12" si="121">IF(W12&gt;X12,", "&amp;X12,IF(X12&gt;W12,", "&amp;-W12,""))</f>
        <v/>
      </c>
      <c r="AS12" s="218" t="str">
        <f t="shared" ref="AS12" si="122">IF(Y12&gt;Z12,", "&amp;Z12,IF(Z12&gt;Y12,", "&amp;-Y12,""))</f>
        <v/>
      </c>
      <c r="AU12" s="225">
        <f>1+AU10</f>
        <v>5</v>
      </c>
      <c r="AV12" s="226">
        <f ca="1">VLOOKUP(AV13,$A$4:$L$35,7,FALSE)</f>
        <v>4520</v>
      </c>
      <c r="AW12" s="227" t="str">
        <f ca="1">IF(AV12=0,0,VLOOKUP(AV12,Inscripciones!$B$2:$K$499,2,FALSE))</f>
        <v>GAEL SOLÍS VÁSQUEZ</v>
      </c>
      <c r="AX12" s="228" t="str">
        <f ca="1">IF(AV12=0,0,VLOOKUP(AV12,Inscripciones!$B$2:$N$399,3,FALSE))</f>
        <v>ESPARZA</v>
      </c>
      <c r="AY12" s="229"/>
      <c r="AZ12" s="230" t="str">
        <f>VLOOKUP(AV13,$A$4:$AD$35,29,FALSE)</f>
        <v>2 - 1  (9, -8, 5)</v>
      </c>
      <c r="BA12" s="229"/>
      <c r="BD12" s="250"/>
      <c r="BL12" s="261">
        <f t="shared" si="35"/>
        <v>8</v>
      </c>
      <c r="BM12" s="262" t="str">
        <f>C18</f>
        <v>5-Jun</v>
      </c>
      <c r="BN12" s="262" t="str">
        <f>D18</f>
        <v>17:00</v>
      </c>
      <c r="BO12" s="263">
        <f>E18</f>
        <v>1</v>
      </c>
      <c r="BP12" s="264" t="s">
        <v>88</v>
      </c>
      <c r="BQ12" s="261"/>
      <c r="BR12" s="261">
        <v>64</v>
      </c>
      <c r="BS12" s="265" t="e">
        <f>VLOOKUP(#REF!,Inscripciones!$B$2:$B$399,2,FALSE)</f>
        <v>#REF!</v>
      </c>
      <c r="BT12" s="261"/>
      <c r="BU12" s="265" t="e">
        <f>VLOOKUP(#REF!,Inscripciones!$B$2:$B$399,2,FALSE)</f>
        <v>#REF!</v>
      </c>
      <c r="BV12" s="261"/>
      <c r="BW12" s="261"/>
      <c r="BY12" s="246">
        <f ca="1">G18</f>
        <v>4295</v>
      </c>
      <c r="BZ12" s="247">
        <f ca="1">H18</f>
        <v>4520</v>
      </c>
      <c r="CA12" s="235" t="str">
        <f>Inscripciones!$B$2</f>
        <v>U9 MASCULINO</v>
      </c>
      <c r="CB12" s="236" t="s">
        <v>98</v>
      </c>
    </row>
    <row r="13" spans="1:80" ht="12.75" x14ac:dyDescent="0.25">
      <c r="A13" s="419"/>
      <c r="B13" s="454"/>
      <c r="C13" s="456"/>
      <c r="D13" s="456"/>
      <c r="E13" s="439"/>
      <c r="F13" s="452"/>
      <c r="G13" s="439" t="s">
        <v>53</v>
      </c>
      <c r="H13" s="439" t="s">
        <v>53</v>
      </c>
      <c r="I13" s="439"/>
      <c r="J13" s="439"/>
      <c r="K13" s="439">
        <v>0</v>
      </c>
      <c r="L13" s="439">
        <v>0</v>
      </c>
      <c r="M13" s="450"/>
      <c r="N13" s="439"/>
      <c r="O13" s="439"/>
      <c r="P13" s="439"/>
      <c r="Q13" s="439"/>
      <c r="R13" s="439"/>
      <c r="S13" s="439"/>
      <c r="T13" s="439"/>
      <c r="U13" s="439"/>
      <c r="V13" s="439"/>
      <c r="W13" s="439"/>
      <c r="X13" s="439"/>
      <c r="Y13" s="439"/>
      <c r="Z13" s="441"/>
      <c r="AA13" s="442"/>
      <c r="AB13" s="442"/>
      <c r="AD13" s="218" t="str">
        <f t="shared" ref="AD13" si="123">IF(AA12&gt;AB12,AD12&amp;"  "&amp;AE12,IF(AB12&gt;AA12,AD12&amp;"  "&amp;AE13,""))</f>
        <v>3 - 1  (7, 6, -10, 6)</v>
      </c>
      <c r="AE13" s="218" t="str">
        <f t="shared" si="0"/>
        <v>(-7, -6, 10, -6)</v>
      </c>
      <c r="AF13" s="218">
        <f t="shared" ref="AF13" si="124">IF(N12&gt;M12,1,0)</f>
        <v>0</v>
      </c>
      <c r="AG13" s="218">
        <f t="shared" ref="AG13" si="125">IF(P12&gt;O12,1,0)</f>
        <v>0</v>
      </c>
      <c r="AH13" s="218">
        <f t="shared" ref="AH13" si="126">IF(R12&gt;Q12,1,0)</f>
        <v>1</v>
      </c>
      <c r="AI13" s="218">
        <f t="shared" ref="AI13" si="127">IF(T12&gt;S12,1,0)</f>
        <v>0</v>
      </c>
      <c r="AJ13" s="218">
        <f t="shared" ref="AJ13" si="128">IF(V12&gt;U12,1,0)</f>
        <v>0</v>
      </c>
      <c r="AK13" s="218">
        <f t="shared" ref="AK13" si="129">IF(X12&gt;W12,1,0)</f>
        <v>0</v>
      </c>
      <c r="AL13" s="218">
        <f t="shared" ref="AL13" si="130">IF(Z12&gt;Y12,1,0)</f>
        <v>0</v>
      </c>
      <c r="AM13" s="218">
        <f t="shared" ref="AM13" si="131">IF(N12&gt;M12,M12,IF(M12&gt;N12,-N12,""))</f>
        <v>-7</v>
      </c>
      <c r="AN13" s="218" t="str">
        <f t="shared" ref="AN13" si="132">IF(P12&gt;O12,", "&amp;O12,IF(O12&gt;P12,", "&amp;-P12,""))</f>
        <v>, -6</v>
      </c>
      <c r="AO13" s="218" t="str">
        <f t="shared" ref="AO13" si="133">IF(R12&gt;Q12,", "&amp;Q12,IF(Q12&gt;R12,", "&amp;-R12,""))</f>
        <v>, 10</v>
      </c>
      <c r="AP13" s="218" t="str">
        <f t="shared" ref="AP13" si="134">IF(T12&gt;S12,", "&amp;S12,IF(S12&gt;T12,", "&amp;-T12,""))</f>
        <v>, -6</v>
      </c>
      <c r="AQ13" s="218" t="str">
        <f t="shared" ref="AQ13" si="135">IF(V12&gt;U12,", "&amp;U12,IF(U12&gt;V12,", "&amp;-V12,""))</f>
        <v/>
      </c>
      <c r="AR13" s="218" t="str">
        <f t="shared" ref="AR13" si="136">IF(X12&gt;W12,", "&amp;W12,IF(W12&gt;X12,", "&amp;-X12,""))</f>
        <v/>
      </c>
      <c r="AS13" s="218" t="str">
        <f t="shared" ref="AS13" si="137">IF(Z12&gt;Y12,", "&amp;Y12,IF(Y12&gt;Z12,", "&amp;-Z12,""))</f>
        <v/>
      </c>
      <c r="AV13" s="237">
        <v>3</v>
      </c>
      <c r="AW13" s="238" t="str">
        <f>VLOOKUP(AV13,$A$4:$L$35,6,FALSE)</f>
        <v>5-Jun-9:00- Table3</v>
      </c>
      <c r="AX13" s="239"/>
      <c r="AY13" s="226">
        <f ca="1">VLOOKUP(AY15,$A$4:$L$39,7,FALSE)</f>
        <v>4520</v>
      </c>
      <c r="AZ13" s="227" t="str">
        <f ca="1">IF(AY13=0,0,VLOOKUP(AY13,Inscripciones!$B$2:$K$499,2,FALSE))</f>
        <v>GAEL SOLÍS VÁSQUEZ</v>
      </c>
      <c r="BA13" s="228" t="str">
        <f ca="1">IF(AY13=0,0,VLOOKUP(AY13,Inscripciones!$B$2:$N$399,3,FALSE))</f>
        <v>ESPARZA</v>
      </c>
      <c r="BD13" s="250"/>
    </row>
    <row r="14" spans="1:80" ht="12.75" x14ac:dyDescent="0.25">
      <c r="A14" s="419">
        <v>6</v>
      </c>
      <c r="B14" s="445" t="s">
        <v>96</v>
      </c>
      <c r="C14" s="447" t="s">
        <v>70</v>
      </c>
      <c r="D14" s="447" t="s">
        <v>97</v>
      </c>
      <c r="E14" s="432">
        <v>2</v>
      </c>
      <c r="F14" s="436" t="str">
        <f t="shared" ref="F14" si="138">C14&amp;"-"&amp;D14&amp;"- Table"&amp;E14</f>
        <v>5-Jun-10:30- Table2</v>
      </c>
      <c r="G14" s="432">
        <f ca="1">IF(M8="",0,IF(AA8&gt;AB8,G8,H8))</f>
        <v>4520</v>
      </c>
      <c r="H14" s="432">
        <f ca="1">IF(M10="",0,IF(AA10&gt;AB10,G10,H10))</f>
        <v>4149</v>
      </c>
      <c r="I14" s="432" t="str">
        <f ca="1">IF(G14=0,0,VLOOKUP(G14,Inscripciones!$B$2:$K$499,2,FALSE))</f>
        <v>GAEL SOLÍS VÁSQUEZ</v>
      </c>
      <c r="J14" s="432" t="str">
        <f ca="1">IF(G14=0,0,VLOOKUP(G14,Inscripciones!$B$2:$N$399,3,FALSE))</f>
        <v>ESPARZA</v>
      </c>
      <c r="K14" s="432" t="str">
        <f ca="1">IF(I14=0,0,VLOOKUP(H14,Inscripciones!$B$2:$K$499,2,FALSE))</f>
        <v>LUIS MANUEL GARCÍA ARAYA</v>
      </c>
      <c r="L14" s="432" t="str">
        <f ca="1">IF(I14=0,0,VLOOKUP(H14,Inscripciones!$B$2:$N$399,3,FALSE))</f>
        <v>ESPARZA</v>
      </c>
      <c r="M14" s="434">
        <v>12</v>
      </c>
      <c r="N14" s="432">
        <v>10</v>
      </c>
      <c r="O14" s="432">
        <v>11</v>
      </c>
      <c r="P14" s="432">
        <v>7</v>
      </c>
      <c r="Q14" s="432">
        <v>11</v>
      </c>
      <c r="R14" s="432">
        <v>9</v>
      </c>
      <c r="S14" s="432"/>
      <c r="T14" s="432"/>
      <c r="U14" s="432"/>
      <c r="V14" s="432"/>
      <c r="W14" s="432"/>
      <c r="X14" s="432"/>
      <c r="Y14" s="432"/>
      <c r="Z14" s="443"/>
      <c r="AA14" s="442">
        <f t="shared" ref="AA14" si="139">IF(M14+N14&lt;&gt;0,SUM(AF14:AL14),"")</f>
        <v>3</v>
      </c>
      <c r="AB14" s="442">
        <f t="shared" ref="AB14" si="140">IF(M14+N14&lt;&gt;0,SUM(AF15:AL15),"")</f>
        <v>0</v>
      </c>
      <c r="AC14" s="218" t="str">
        <f t="shared" ref="AC14" si="141">IF(AA14&gt;AB14,AD14&amp;"  "&amp;AE14,IF(AB14&gt;AA14,AD14&amp;"  "&amp;AE15,""))</f>
        <v>3 - 0  (10, 7, 9)</v>
      </c>
      <c r="AD14" s="218" t="str">
        <f t="shared" ref="AD14" si="142">IF(AA14&gt;AB14,AA14&amp;" - "&amp;AB14,IF(AB14&gt;AA14,AB14&amp;" - "&amp;AA14,""))</f>
        <v>3 - 0</v>
      </c>
      <c r="AE14" s="218" t="str">
        <f t="shared" si="0"/>
        <v>(10, 7, 9)</v>
      </c>
      <c r="AF14" s="218">
        <f t="shared" ref="AF14" si="143">IF(M14&gt;N14,1,0)</f>
        <v>1</v>
      </c>
      <c r="AG14" s="218">
        <f t="shared" ref="AG14" si="144">IF(O14&gt;P14,1,0)</f>
        <v>1</v>
      </c>
      <c r="AH14" s="218">
        <f t="shared" ref="AH14" si="145">IF(Q14&gt;R14,1,0)</f>
        <v>1</v>
      </c>
      <c r="AI14" s="218">
        <f t="shared" ref="AI14" si="146">IF(S14&gt;T14,1,0)</f>
        <v>0</v>
      </c>
      <c r="AJ14" s="218">
        <f t="shared" ref="AJ14" si="147">IF(U14&gt;V14,1,0)</f>
        <v>0</v>
      </c>
      <c r="AK14" s="218">
        <f t="shared" ref="AK14" si="148">IF(W14&gt;X14,1,0)</f>
        <v>0</v>
      </c>
      <c r="AL14" s="218">
        <f t="shared" ref="AL14" si="149">IF(Y14&gt;Z14,1,0)</f>
        <v>0</v>
      </c>
      <c r="AM14" s="218">
        <f t="shared" ref="AM14" si="150">IF(M14&gt;N14,N14,IF(N14&gt;M14,-M14,""))</f>
        <v>10</v>
      </c>
      <c r="AN14" s="218" t="str">
        <f t="shared" ref="AN14" si="151">IF(O14&gt;P14,", "&amp;P14,IF(P14&gt;O14,", "&amp;-O14,""))</f>
        <v>, 7</v>
      </c>
      <c r="AO14" s="218" t="str">
        <f t="shared" ref="AO14" si="152">IF(Q14&gt;R14,", "&amp;R14,IF(R14&gt;Q14,", "&amp;-Q14,""))</f>
        <v>, 9</v>
      </c>
      <c r="AP14" s="218" t="str">
        <f t="shared" ref="AP14" si="153">IF(S14&gt;T14,", "&amp;T14,IF(T14&gt;S14,", "&amp;-S14,""))</f>
        <v/>
      </c>
      <c r="AQ14" s="218" t="str">
        <f t="shared" ref="AQ14" si="154">IF(U14&gt;V14,", "&amp;V14,IF(V14&gt;U14,", "&amp;-U14,""))</f>
        <v/>
      </c>
      <c r="AR14" s="218" t="str">
        <f t="shared" ref="AR14" si="155">IF(W14&gt;X14,", "&amp;X14,IF(X14&gt;W14,", "&amp;-W14,""))</f>
        <v/>
      </c>
      <c r="AS14" s="218" t="str">
        <f t="shared" ref="AS14" si="156">IF(Y14&gt;Z14,", "&amp;Z14,IF(Z14&gt;Y14,", "&amp;-Y14,""))</f>
        <v/>
      </c>
      <c r="AU14" s="225">
        <f>1+AU12</f>
        <v>6</v>
      </c>
      <c r="AV14" s="248">
        <f ca="1">VLOOKUP(AV13,$A$4:$L$35,8,FALSE)</f>
        <v>4699</v>
      </c>
      <c r="AW14" s="248" t="str">
        <f ca="1">IF(AV14=0,0,VLOOKUP(AV14,Inscripciones!$B$2:$K$499,2,FALSE))</f>
        <v>EZEQUIEL LEAL CHACÓN</v>
      </c>
      <c r="AX14" s="249" t="str">
        <f ca="1">IF(AV14=0,0,VLOOKUP(AV14,Inscripciones!$B$2:$N$399,3,FALSE))</f>
        <v>ESPARZA</v>
      </c>
      <c r="BA14" s="250"/>
      <c r="BD14" s="250"/>
    </row>
    <row r="15" spans="1:80" ht="12.75" x14ac:dyDescent="0.25">
      <c r="A15" s="419"/>
      <c r="B15" s="446"/>
      <c r="C15" s="448"/>
      <c r="D15" s="448"/>
      <c r="E15" s="433"/>
      <c r="F15" s="437"/>
      <c r="G15" s="433" t="s">
        <v>53</v>
      </c>
      <c r="H15" s="433" t="s">
        <v>53</v>
      </c>
      <c r="I15" s="433"/>
      <c r="J15" s="433"/>
      <c r="K15" s="433">
        <v>0</v>
      </c>
      <c r="L15" s="433">
        <v>0</v>
      </c>
      <c r="M15" s="435"/>
      <c r="N15" s="433"/>
      <c r="O15" s="433"/>
      <c r="P15" s="433"/>
      <c r="Q15" s="433"/>
      <c r="R15" s="433"/>
      <c r="S15" s="433"/>
      <c r="T15" s="433"/>
      <c r="U15" s="433"/>
      <c r="V15" s="433"/>
      <c r="W15" s="433"/>
      <c r="X15" s="433"/>
      <c r="Y15" s="433"/>
      <c r="Z15" s="444"/>
      <c r="AA15" s="442"/>
      <c r="AB15" s="442"/>
      <c r="AD15" s="218" t="str">
        <f t="shared" ref="AD15" si="157">IF(AA14&gt;AB14,AD14&amp;"  "&amp;AE14,IF(AB14&gt;AA14,AD14&amp;"  "&amp;AE15,""))</f>
        <v>3 - 0  (10, 7, 9)</v>
      </c>
      <c r="AE15" s="218" t="str">
        <f t="shared" si="0"/>
        <v>(-10, -7, -9)</v>
      </c>
      <c r="AF15" s="218">
        <f t="shared" ref="AF15" si="158">IF(N14&gt;M14,1,0)</f>
        <v>0</v>
      </c>
      <c r="AG15" s="218">
        <f t="shared" ref="AG15" si="159">IF(P14&gt;O14,1,0)</f>
        <v>0</v>
      </c>
      <c r="AH15" s="218">
        <f t="shared" ref="AH15" si="160">IF(R14&gt;Q14,1,0)</f>
        <v>0</v>
      </c>
      <c r="AI15" s="218">
        <f t="shared" ref="AI15" si="161">IF(T14&gt;S14,1,0)</f>
        <v>0</v>
      </c>
      <c r="AJ15" s="218">
        <f t="shared" ref="AJ15" si="162">IF(V14&gt;U14,1,0)</f>
        <v>0</v>
      </c>
      <c r="AK15" s="218">
        <f t="shared" ref="AK15" si="163">IF(X14&gt;W14,1,0)</f>
        <v>0</v>
      </c>
      <c r="AL15" s="218">
        <f t="shared" ref="AL15" si="164">IF(Z14&gt;Y14,1,0)</f>
        <v>0</v>
      </c>
      <c r="AM15" s="218">
        <f t="shared" ref="AM15" si="165">IF(N14&gt;M14,M14,IF(M14&gt;N14,-N14,""))</f>
        <v>-10</v>
      </c>
      <c r="AN15" s="218" t="str">
        <f t="shared" ref="AN15" si="166">IF(P14&gt;O14,", "&amp;O14,IF(O14&gt;P14,", "&amp;-P14,""))</f>
        <v>, -7</v>
      </c>
      <c r="AO15" s="218" t="str">
        <f t="shared" ref="AO15" si="167">IF(R14&gt;Q14,", "&amp;Q14,IF(Q14&gt;R14,", "&amp;-R14,""))</f>
        <v>, -9</v>
      </c>
      <c r="AP15" s="218" t="str">
        <f t="shared" ref="AP15" si="168">IF(T14&gt;S14,", "&amp;S14,IF(S14&gt;T14,", "&amp;-T14,""))</f>
        <v/>
      </c>
      <c r="AQ15" s="218" t="str">
        <f t="shared" ref="AQ15" si="169">IF(V14&gt;U14,", "&amp;U14,IF(U14&gt;V14,", "&amp;-V14,""))</f>
        <v/>
      </c>
      <c r="AR15" s="218" t="str">
        <f t="shared" ref="AR15" si="170">IF(X14&gt;W14,", "&amp;W14,IF(W14&gt;X14,", "&amp;-X14,""))</f>
        <v/>
      </c>
      <c r="AS15" s="218" t="str">
        <f t="shared" ref="AS15" si="171">IF(Z14&gt;Y14,", "&amp;Y14,IF(Y14&gt;Z14,", "&amp;-Z14,""))</f>
        <v/>
      </c>
      <c r="AX15" s="251"/>
      <c r="AY15" s="237">
        <v>6</v>
      </c>
      <c r="AZ15" s="238" t="str">
        <f>VLOOKUP(AY15,$A$4:$L$35,6,FALSE)</f>
        <v>5-Jun-10:30- Table2</v>
      </c>
      <c r="BA15" s="252"/>
      <c r="BB15" s="248">
        <f ca="1">VLOOKUP(BB11,$A$4:$L$39,8,FALSE)</f>
        <v>4520</v>
      </c>
      <c r="BC15" s="248" t="str">
        <f ca="1">IF(BB15=0,0,VLOOKUP(BB15,Inscripciones!$B$2:$K$499,2,FALSE))</f>
        <v>GAEL SOLÍS VÁSQUEZ</v>
      </c>
      <c r="BD15" s="249" t="str">
        <f ca="1">IF(BB15=0,0,VLOOKUP(BB15,Inscripciones!$B$2:$N$399,3,FALSE))</f>
        <v>ESPARZA</v>
      </c>
    </row>
    <row r="16" spans="1:80" ht="12.75" x14ac:dyDescent="0.25">
      <c r="A16" s="419">
        <v>7</v>
      </c>
      <c r="B16" s="428" t="s">
        <v>99</v>
      </c>
      <c r="C16" s="430" t="s">
        <v>70</v>
      </c>
      <c r="D16" s="430" t="s">
        <v>100</v>
      </c>
      <c r="E16" s="414">
        <v>1</v>
      </c>
      <c r="F16" s="426" t="str">
        <f t="shared" ref="F16" si="172">C16&amp;"-"&amp;D16&amp;"- Table"&amp;E16</f>
        <v>5-Jun-16:00- Table1</v>
      </c>
      <c r="G16" s="414">
        <f ca="1">IF(M12="",0,IF(AA12&lt;AB12,G12,H12))</f>
        <v>4391</v>
      </c>
      <c r="H16" s="414">
        <f ca="1">IF(M14="",0,IF(AA14&lt;AB14,G14,H14))</f>
        <v>4149</v>
      </c>
      <c r="I16" s="414" t="str">
        <f ca="1">IF(G16=0,0,VLOOKUP(G16,Inscripciones!$B$2:$K$499,2,FALSE))</f>
        <v xml:space="preserve">EMANUEL UMAÑA RODRIGUEZ </v>
      </c>
      <c r="J16" s="414" t="str">
        <f ca="1">IF(G16=0,0,VLOOKUP(G16,Inscripciones!$B$2:$N$399,3,FALSE))</f>
        <v>CURRIDABAT</v>
      </c>
      <c r="K16" s="414" t="str">
        <f ca="1">IF(I16=0,0,VLOOKUP(H16,Inscripciones!$B$2:$K$499,2,FALSE))</f>
        <v>LUIS MANUEL GARCÍA ARAYA</v>
      </c>
      <c r="L16" s="414" t="str">
        <f ca="1">IF(I16=0,0,VLOOKUP(H16,Inscripciones!$B$2:$N$399,3,FALSE))</f>
        <v>ESPARZA</v>
      </c>
      <c r="M16" s="424"/>
      <c r="N16" s="414"/>
      <c r="O16" s="414"/>
      <c r="P16" s="414"/>
      <c r="Q16" s="414"/>
      <c r="R16" s="414"/>
      <c r="S16" s="414"/>
      <c r="T16" s="414"/>
      <c r="U16" s="414"/>
      <c r="V16" s="414"/>
      <c r="W16" s="414"/>
      <c r="X16" s="414"/>
      <c r="Y16" s="414"/>
      <c r="Z16" s="416"/>
      <c r="AA16" s="418" t="str">
        <f t="shared" ref="AA16" si="173">IF(M16+N16&lt;&gt;0,SUM(AF16:AL16),"")</f>
        <v/>
      </c>
      <c r="AB16" s="418" t="str">
        <f t="shared" ref="AB16" si="174">IF(M16+N16&lt;&gt;0,SUM(AF17:AL17),"")</f>
        <v/>
      </c>
      <c r="AC16" s="238" t="str">
        <f t="shared" ref="AC16" si="175">IF(AA16&gt;AB16,AD16&amp;"  "&amp;AE16,IF(AB16&gt;AA16,AD16&amp;"  "&amp;AE17,""))</f>
        <v/>
      </c>
      <c r="AD16" s="238" t="str">
        <f t="shared" ref="AD16" si="176">IF(AA16&gt;AB16,AA16&amp;" - "&amp;AB16,IF(AB16&gt;AA16,AB16&amp;" - "&amp;AA16,""))</f>
        <v/>
      </c>
      <c r="AE16" s="238" t="str">
        <f t="shared" si="0"/>
        <v>()</v>
      </c>
      <c r="AF16" s="238">
        <f t="shared" ref="AF16" si="177">IF(M16&gt;N16,1,0)</f>
        <v>0</v>
      </c>
      <c r="AG16" s="238">
        <f t="shared" ref="AG16" si="178">IF(O16&gt;P16,1,0)</f>
        <v>0</v>
      </c>
      <c r="AH16" s="238">
        <f t="shared" ref="AH16" si="179">IF(Q16&gt;R16,1,0)</f>
        <v>0</v>
      </c>
      <c r="AI16" s="238">
        <f t="shared" ref="AI16" si="180">IF(S16&gt;T16,1,0)</f>
        <v>0</v>
      </c>
      <c r="AJ16" s="238">
        <f t="shared" ref="AJ16" si="181">IF(U16&gt;V16,1,0)</f>
        <v>0</v>
      </c>
      <c r="AK16" s="238">
        <f t="shared" ref="AK16" si="182">IF(W16&gt;X16,1,0)</f>
        <v>0</v>
      </c>
      <c r="AL16" s="238">
        <f t="shared" ref="AL16" si="183">IF(Y16&gt;Z16,1,0)</f>
        <v>0</v>
      </c>
      <c r="AM16" s="218" t="str">
        <f t="shared" ref="AM16" si="184">IF(M16&gt;N16,N16,IF(N16&gt;M16,-M16,""))</f>
        <v/>
      </c>
      <c r="AN16" s="218" t="str">
        <f t="shared" ref="AN16" si="185">IF(O16&gt;P16,", "&amp;P16,IF(P16&gt;O16,", "&amp;-O16,""))</f>
        <v/>
      </c>
      <c r="AO16" s="218" t="str">
        <f t="shared" ref="AO16" si="186">IF(Q16&gt;R16,", "&amp;R16,IF(R16&gt;Q16,", "&amp;-Q16,""))</f>
        <v/>
      </c>
      <c r="AP16" s="218" t="str">
        <f t="shared" ref="AP16" si="187">IF(S16&gt;T16,", "&amp;T16,IF(T16&gt;S16,", "&amp;-S16,""))</f>
        <v/>
      </c>
      <c r="AQ16" s="218" t="str">
        <f t="shared" ref="AQ16" si="188">IF(U16&gt;V16,", "&amp;V16,IF(V16&gt;U16,", "&amp;-U16,""))</f>
        <v/>
      </c>
      <c r="AR16" s="218" t="str">
        <f t="shared" ref="AR16" si="189">IF(W16&gt;X16,", "&amp;X16,IF(X16&gt;W16,", "&amp;-W16,""))</f>
        <v/>
      </c>
      <c r="AS16" s="218" t="str">
        <f t="shared" ref="AS16" si="190">IF(Y16&gt;Z16,", "&amp;Z16,IF(Z16&gt;Y16,", "&amp;-Y16,""))</f>
        <v/>
      </c>
      <c r="AU16" s="225">
        <f>1+AU14</f>
        <v>7</v>
      </c>
      <c r="AV16" s="226">
        <f ca="1">VLOOKUP(AV17,$A$4:$L$35,7,FALSE)</f>
        <v>4834</v>
      </c>
      <c r="AW16" s="227" t="str">
        <f ca="1">IF(AV16=0,0,VLOOKUP(AV16,Inscripciones!$B$2:$K$499,2,FALSE))</f>
        <v>PEDRO RIMOLO VILLAGRA</v>
      </c>
      <c r="AX16" s="228" t="str">
        <f ca="1">IF(AV16=0,0,VLOOKUP(AV16,Inscripciones!$B$2:$N$399,3,FALSE))</f>
        <v>CURRIDABAT</v>
      </c>
      <c r="AY16" s="253"/>
      <c r="BA16" s="250"/>
      <c r="BB16" s="229"/>
      <c r="BC16" s="230" t="str">
        <f>VLOOKUP(AY15,$A$4:$AD$39,29,FALSE)</f>
        <v>3 - 0  (10, 7, 9)</v>
      </c>
      <c r="BD16" s="229"/>
    </row>
    <row r="17" spans="1:61" ht="12.75" x14ac:dyDescent="0.25">
      <c r="A17" s="419"/>
      <c r="B17" s="429"/>
      <c r="C17" s="431"/>
      <c r="D17" s="431"/>
      <c r="E17" s="415"/>
      <c r="F17" s="427"/>
      <c r="G17" s="415" t="s">
        <v>53</v>
      </c>
      <c r="H17" s="415" t="s">
        <v>53</v>
      </c>
      <c r="I17" s="415"/>
      <c r="J17" s="415"/>
      <c r="K17" s="415">
        <v>0</v>
      </c>
      <c r="L17" s="415">
        <v>0</v>
      </c>
      <c r="M17" s="425"/>
      <c r="N17" s="415"/>
      <c r="O17" s="415"/>
      <c r="P17" s="415"/>
      <c r="Q17" s="415"/>
      <c r="R17" s="415"/>
      <c r="S17" s="415"/>
      <c r="T17" s="415"/>
      <c r="U17" s="415"/>
      <c r="V17" s="415"/>
      <c r="W17" s="415"/>
      <c r="X17" s="415"/>
      <c r="Y17" s="415"/>
      <c r="Z17" s="417"/>
      <c r="AA17" s="418"/>
      <c r="AB17" s="418"/>
      <c r="AC17" s="238"/>
      <c r="AD17" s="238" t="str">
        <f t="shared" ref="AD17" si="191">IF(AA16&gt;AB16,AD16&amp;"  "&amp;AE16,IF(AB16&gt;AA16,AD16&amp;"  "&amp;AE17,""))</f>
        <v/>
      </c>
      <c r="AE17" s="238" t="str">
        <f t="shared" si="0"/>
        <v>()</v>
      </c>
      <c r="AF17" s="238">
        <f t="shared" ref="AF17" si="192">IF(N16&gt;M16,1,0)</f>
        <v>0</v>
      </c>
      <c r="AG17" s="238">
        <f t="shared" ref="AG17" si="193">IF(P16&gt;O16,1,0)</f>
        <v>0</v>
      </c>
      <c r="AH17" s="238">
        <f t="shared" ref="AH17" si="194">IF(R16&gt;Q16,1,0)</f>
        <v>0</v>
      </c>
      <c r="AI17" s="238">
        <f t="shared" ref="AI17" si="195">IF(T16&gt;S16,1,0)</f>
        <v>0</v>
      </c>
      <c r="AJ17" s="238">
        <f t="shared" ref="AJ17" si="196">IF(V16&gt;U16,1,0)</f>
        <v>0</v>
      </c>
      <c r="AK17" s="238">
        <f t="shared" ref="AK17" si="197">IF(X16&gt;W16,1,0)</f>
        <v>0</v>
      </c>
      <c r="AL17" s="238">
        <f t="shared" ref="AL17" si="198">IF(Z16&gt;Y16,1,0)</f>
        <v>0</v>
      </c>
      <c r="AM17" s="218" t="str">
        <f t="shared" ref="AM17" si="199">IF(N16&gt;M16,M16,IF(M16&gt;N16,-N16,""))</f>
        <v/>
      </c>
      <c r="AN17" s="218" t="str">
        <f t="shared" ref="AN17" si="200">IF(P16&gt;O16,", "&amp;O16,IF(O16&gt;P16,", "&amp;-P16,""))</f>
        <v/>
      </c>
      <c r="AO17" s="218" t="str">
        <f t="shared" ref="AO17" si="201">IF(R16&gt;Q16,", "&amp;Q16,IF(Q16&gt;R16,", "&amp;-R16,""))</f>
        <v/>
      </c>
      <c r="AP17" s="218" t="str">
        <f t="shared" ref="AP17" si="202">IF(T16&gt;S16,", "&amp;S16,IF(S16&gt;T16,", "&amp;-T16,""))</f>
        <v/>
      </c>
      <c r="AQ17" s="218" t="str">
        <f t="shared" ref="AQ17" si="203">IF(V16&gt;U16,", "&amp;U16,IF(U16&gt;V16,", "&amp;-V16,""))</f>
        <v/>
      </c>
      <c r="AR17" s="218" t="str">
        <f t="shared" ref="AR17" si="204">IF(X16&gt;W16,", "&amp;W16,IF(W16&gt;X16,", "&amp;-X16,""))</f>
        <v/>
      </c>
      <c r="AS17" s="218" t="str">
        <f t="shared" ref="AS17" si="205">IF(Z16&gt;Y16,", "&amp;Y16,IF(Y16&gt;Z16,", "&amp;-Z16,""))</f>
        <v/>
      </c>
      <c r="AV17" s="237">
        <v>4</v>
      </c>
      <c r="AW17" s="238" t="str">
        <f>VLOOKUP(AV17,$A$4:$L$35,6,FALSE)</f>
        <v>5-Jun-9:00- Table4</v>
      </c>
      <c r="AX17" s="239"/>
      <c r="AY17" s="248">
        <f ca="1">VLOOKUP(AY15,$A$4:$L$39,8,FALSE)</f>
        <v>4149</v>
      </c>
      <c r="AZ17" s="248" t="str">
        <f ca="1">IF(AY17=0,0,VLOOKUP(AY17,Inscripciones!$B$2:$K$499,2,FALSE))</f>
        <v>LUIS MANUEL GARCÍA ARAYA</v>
      </c>
      <c r="BA17" s="249" t="str">
        <f ca="1">IF(AY17=0,0,VLOOKUP(AY17,Inscripciones!$B$2:$N$399,3,FALSE))</f>
        <v>ESPARZA</v>
      </c>
      <c r="BI17" s="266"/>
    </row>
    <row r="18" spans="1:61" ht="12.75" x14ac:dyDescent="0.25">
      <c r="A18" s="419">
        <v>8</v>
      </c>
      <c r="B18" s="420" t="s">
        <v>101</v>
      </c>
      <c r="C18" s="422" t="s">
        <v>70</v>
      </c>
      <c r="D18" s="422" t="s">
        <v>102</v>
      </c>
      <c r="E18" s="390">
        <v>1</v>
      </c>
      <c r="F18" s="412" t="str">
        <f t="shared" ref="F18" si="206">C18&amp;"-"&amp;D18&amp;"- Table"&amp;E18</f>
        <v>5-Jun-17:00- Table1</v>
      </c>
      <c r="G18" s="390">
        <f ca="1">IF(M12="",0,IF(AA12&gt;AB12,G12,H12))</f>
        <v>4295</v>
      </c>
      <c r="H18" s="390">
        <f ca="1">IF(M14="",0,IF(AA14&gt;AB14,G14,H14))</f>
        <v>4520</v>
      </c>
      <c r="I18" s="390" t="str">
        <f ca="1">IF(G18=0,0,VLOOKUP(G18,Inscripciones!$B$2:$K$499,2,FALSE))</f>
        <v>RICARDO MATEO CHAVES LEÓN</v>
      </c>
      <c r="J18" s="390" t="str">
        <f ca="1">IF(G18=0,0,VLOOKUP(G18,Inscripciones!$B$2:$N$399,3,FALSE))</f>
        <v>ESPARZA</v>
      </c>
      <c r="K18" s="390" t="str">
        <f ca="1">IF(I18=0,0,VLOOKUP(H18,Inscripciones!$B$2:$K$499,2,FALSE))</f>
        <v>GAEL SOLÍS VÁSQUEZ</v>
      </c>
      <c r="L18" s="390" t="str">
        <f ca="1">IF(I18=0,0,VLOOKUP(H18,Inscripciones!$B$2:$N$399,3,FALSE))</f>
        <v>ESPARZA</v>
      </c>
      <c r="M18" s="410">
        <v>11</v>
      </c>
      <c r="N18" s="390">
        <v>6</v>
      </c>
      <c r="O18" s="390">
        <v>11</v>
      </c>
      <c r="P18" s="390">
        <v>7</v>
      </c>
      <c r="Q18" s="390">
        <v>11</v>
      </c>
      <c r="R18" s="390">
        <v>9</v>
      </c>
      <c r="S18" s="390"/>
      <c r="T18" s="390"/>
      <c r="U18" s="390"/>
      <c r="V18" s="390"/>
      <c r="W18" s="390"/>
      <c r="X18" s="390"/>
      <c r="Y18" s="390"/>
      <c r="Z18" s="399"/>
      <c r="AA18" s="218">
        <f t="shared" ref="AA18" si="207">IF(M18+N18&lt;&gt;0,SUM(AF18:AL18),"")</f>
        <v>3</v>
      </c>
      <c r="AB18" s="218">
        <f t="shared" ref="AB18" si="208">IF(M18+N18&lt;&gt;0,SUM(AF19:AL19),"")</f>
        <v>0</v>
      </c>
      <c r="AC18" s="218" t="str">
        <f t="shared" ref="AC18" si="209">IF(AA18&gt;AB18,AD18&amp;"  "&amp;AE18,IF(AB18&gt;AA18,AD18&amp;"  "&amp;AE19,""))</f>
        <v>3 - 0  (6, 7, 9)</v>
      </c>
      <c r="AD18" s="218" t="str">
        <f t="shared" ref="AD18" si="210">IF(AA18&gt;AB18,AA18&amp;" - "&amp;AB18,IF(AB18&gt;AA18,AB18&amp;" - "&amp;AA18,""))</f>
        <v>3 - 0</v>
      </c>
      <c r="AE18" s="218" t="str">
        <f t="shared" si="0"/>
        <v>(6, 7, 9)</v>
      </c>
      <c r="AF18" s="218">
        <f t="shared" ref="AF18" si="211">IF(M18&gt;N18,1,0)</f>
        <v>1</v>
      </c>
      <c r="AG18" s="218">
        <f t="shared" ref="AG18" si="212">IF(O18&gt;P18,1,0)</f>
        <v>1</v>
      </c>
      <c r="AH18" s="218">
        <f t="shared" ref="AH18" si="213">IF(Q18&gt;R18,1,0)</f>
        <v>1</v>
      </c>
      <c r="AI18" s="218">
        <f t="shared" ref="AI18" si="214">IF(S18&gt;T18,1,0)</f>
        <v>0</v>
      </c>
      <c r="AJ18" s="218">
        <f t="shared" ref="AJ18" si="215">IF(U18&gt;V18,1,0)</f>
        <v>0</v>
      </c>
      <c r="AK18" s="218">
        <f t="shared" ref="AK18" si="216">IF(W18&gt;X18,1,0)</f>
        <v>0</v>
      </c>
      <c r="AL18" s="218">
        <f t="shared" ref="AL18" si="217">IF(Y18&gt;Z18,1,0)</f>
        <v>0</v>
      </c>
      <c r="AM18" s="218">
        <f t="shared" ref="AM18" si="218">IF(M18&gt;N18,N18,IF(N18&gt;M18,-M18,""))</f>
        <v>6</v>
      </c>
      <c r="AN18" s="218" t="str">
        <f t="shared" ref="AN18" si="219">IF(O18&gt;P18,", "&amp;P18,IF(P18&gt;O18,", "&amp;-O18,""))</f>
        <v>, 7</v>
      </c>
      <c r="AO18" s="218" t="str">
        <f t="shared" ref="AO18" si="220">IF(Q18&gt;R18,", "&amp;R18,IF(R18&gt;Q18,", "&amp;-Q18,""))</f>
        <v>, 9</v>
      </c>
      <c r="AP18" s="218" t="str">
        <f t="shared" ref="AP18" si="221">IF(S18&gt;T18,", "&amp;T18,IF(T18&gt;S18,", "&amp;-S18,""))</f>
        <v/>
      </c>
      <c r="AQ18" s="218" t="str">
        <f t="shared" ref="AQ18" si="222">IF(U18&gt;V18,", "&amp;V18,IF(V18&gt;U18,", "&amp;-U18,""))</f>
        <v/>
      </c>
      <c r="AR18" s="218" t="str">
        <f t="shared" ref="AR18" si="223">IF(W18&gt;X18,", "&amp;X18,IF(X18&gt;W18,", "&amp;-W18,""))</f>
        <v/>
      </c>
      <c r="AS18" s="218" t="str">
        <f t="shared" ref="AS18" si="224">IF(Y18&gt;Z18,", "&amp;Z18,IF(Z18&gt;Y18,", "&amp;-Y18,""))</f>
        <v/>
      </c>
      <c r="AU18" s="225">
        <f>1+AU16</f>
        <v>8</v>
      </c>
      <c r="AV18" s="248">
        <f ca="1">VLOOKUP(AV17,$A$4:$L$35,8,FALSE)</f>
        <v>4149</v>
      </c>
      <c r="AW18" s="248" t="str">
        <f ca="1">IF(AV18=0,0,VLOOKUP(AV18,Inscripciones!$B$2:$K$499,2,FALSE))</f>
        <v>LUIS MANUEL GARCÍA ARAYA</v>
      </c>
      <c r="AX18" s="249" t="str">
        <f ca="1">IF(AV18=0,0,VLOOKUP(AV18,Inscripciones!$B$2:$N$399,3,FALSE))</f>
        <v>ESPARZA</v>
      </c>
      <c r="AY18" s="229"/>
      <c r="AZ18" s="230" t="str">
        <f>VLOOKUP(AV17,$A$4:$AD$39,29,FALSE)</f>
        <v>2 - 0  (2, 11)</v>
      </c>
      <c r="BA18" s="229"/>
      <c r="BC18" s="220"/>
      <c r="BD18" s="220"/>
      <c r="BE18" s="220"/>
    </row>
    <row r="19" spans="1:61" ht="13.5" thickBot="1" x14ac:dyDescent="0.3">
      <c r="A19" s="419"/>
      <c r="B19" s="421"/>
      <c r="C19" s="423"/>
      <c r="D19" s="423"/>
      <c r="E19" s="391"/>
      <c r="F19" s="413"/>
      <c r="G19" s="391" t="s">
        <v>53</v>
      </c>
      <c r="H19" s="391" t="s">
        <v>53</v>
      </c>
      <c r="I19" s="391"/>
      <c r="J19" s="391"/>
      <c r="K19" s="391">
        <v>0</v>
      </c>
      <c r="L19" s="391">
        <v>0</v>
      </c>
      <c r="M19" s="411"/>
      <c r="N19" s="391"/>
      <c r="O19" s="391"/>
      <c r="P19" s="391"/>
      <c r="Q19" s="391"/>
      <c r="R19" s="391"/>
      <c r="S19" s="391"/>
      <c r="T19" s="391"/>
      <c r="U19" s="391"/>
      <c r="V19" s="391"/>
      <c r="W19" s="391"/>
      <c r="X19" s="391"/>
      <c r="Y19" s="391"/>
      <c r="Z19" s="400"/>
      <c r="AD19" s="218" t="str">
        <f t="shared" ref="AD19" si="225">IF(AA18&gt;AB18,AD18&amp;"  "&amp;AE18,IF(AB18&gt;AA18,AD18&amp;"  "&amp;AE19,""))</f>
        <v>3 - 0  (6, 7, 9)</v>
      </c>
      <c r="AE19" s="218" t="str">
        <f t="shared" si="0"/>
        <v>(-6, -7, -9)</v>
      </c>
      <c r="AF19" s="218">
        <f t="shared" ref="AF19" si="226">IF(N18&gt;M18,1,0)</f>
        <v>0</v>
      </c>
      <c r="AG19" s="218">
        <f t="shared" ref="AG19" si="227">IF(P18&gt;O18,1,0)</f>
        <v>0</v>
      </c>
      <c r="AH19" s="218">
        <f t="shared" ref="AH19" si="228">IF(R18&gt;Q18,1,0)</f>
        <v>0</v>
      </c>
      <c r="AI19" s="218">
        <f t="shared" ref="AI19" si="229">IF(T18&gt;S18,1,0)</f>
        <v>0</v>
      </c>
      <c r="AJ19" s="218">
        <f t="shared" ref="AJ19" si="230">IF(V18&gt;U18,1,0)</f>
        <v>0</v>
      </c>
      <c r="AK19" s="218">
        <f t="shared" ref="AK19" si="231">IF(X18&gt;W18,1,0)</f>
        <v>0</v>
      </c>
      <c r="AL19" s="218">
        <f t="shared" ref="AL19" si="232">IF(Z18&gt;Y18,1,0)</f>
        <v>0</v>
      </c>
      <c r="AM19" s="218">
        <f t="shared" ref="AM19" si="233">IF(N18&gt;M18,M18,IF(M18&gt;N18,-N18,""))</f>
        <v>-6</v>
      </c>
      <c r="AN19" s="218" t="str">
        <f t="shared" ref="AN19" si="234">IF(P18&gt;O18,", "&amp;O18,IF(O18&gt;P18,", "&amp;-P18,""))</f>
        <v>, -7</v>
      </c>
      <c r="AO19" s="218" t="str">
        <f t="shared" ref="AO19" si="235">IF(R18&gt;Q18,", "&amp;Q18,IF(Q18&gt;R18,", "&amp;-R18,""))</f>
        <v>, -9</v>
      </c>
      <c r="AP19" s="218" t="str">
        <f t="shared" ref="AP19" si="236">IF(T18&gt;S18,", "&amp;S18,IF(S18&gt;T18,", "&amp;-T18,""))</f>
        <v/>
      </c>
      <c r="AQ19" s="218" t="str">
        <f t="shared" ref="AQ19" si="237">IF(V18&gt;U18,", "&amp;U18,IF(U18&gt;V18,", "&amp;-V18,""))</f>
        <v/>
      </c>
      <c r="AR19" s="218" t="str">
        <f t="shared" ref="AR19" si="238">IF(X18&gt;W18,", "&amp;W18,IF(W18&gt;X18,", "&amp;-X18,""))</f>
        <v/>
      </c>
      <c r="AS19" s="218" t="str">
        <f t="shared" ref="AS19" si="239">IF(Z18&gt;Y18,", "&amp;Y18,IF(Y18&gt;Z18,", "&amp;-Z18,""))</f>
        <v/>
      </c>
      <c r="AU19" s="220"/>
      <c r="AV19" s="220"/>
      <c r="AW19" s="220"/>
      <c r="AX19" s="220"/>
      <c r="AY19" s="220"/>
      <c r="AZ19" s="220"/>
      <c r="BA19" s="220"/>
      <c r="BB19" s="226">
        <f ca="1">VLOOKUP(BB20,$A$4:$L$39,7,FALSE)</f>
        <v>4391</v>
      </c>
      <c r="BC19" s="227" t="str">
        <f ca="1">IF(BB19=0,0,VLOOKUP(BB19,Inscripciones!$B$2:$K$499,2,FALSE))</f>
        <v xml:space="preserve">EMANUEL UMAÑA RODRIGUEZ </v>
      </c>
      <c r="BD19" s="228" t="str">
        <f ca="1">IF(BB19=0,0,VLOOKUP(BB19,Inscripciones!$B$2:$N$399,3,FALSE))</f>
        <v>CURRIDABAT</v>
      </c>
      <c r="BE19" s="253"/>
      <c r="BF19" s="218" t="s">
        <v>103</v>
      </c>
      <c r="BG19" s="223"/>
    </row>
    <row r="20" spans="1:61" ht="12.75" x14ac:dyDescent="0.25">
      <c r="B20" s="401" t="s">
        <v>104</v>
      </c>
      <c r="C20" s="402"/>
      <c r="D20" s="402"/>
      <c r="E20" s="407"/>
      <c r="G20" s="390">
        <f>IF(M16="",0,IF(AA16&gt;AB16,G16,H16))</f>
        <v>0</v>
      </c>
      <c r="I20" s="390">
        <f>IF(G20=0,0,VLOOKUP(G20,Inscripciones!$B$2:$K$499,2,FALSE))</f>
        <v>0</v>
      </c>
      <c r="J20" s="390">
        <f>IF(G20=0,0,VLOOKUP(G20,Inscripciones!$B$2:$N$399,3,FALSE))</f>
        <v>0</v>
      </c>
      <c r="AU20" s="220"/>
      <c r="AV20" s="220"/>
      <c r="AW20" s="220"/>
      <c r="AX20" s="220"/>
      <c r="AY20" s="220"/>
      <c r="AZ20" s="220"/>
      <c r="BA20" s="220"/>
      <c r="BB20" s="237">
        <v>7</v>
      </c>
      <c r="BC20" s="238" t="str">
        <f>VLOOKUP(BB20,$A$4:$L$35,6,FALSE)</f>
        <v>5-Jun-16:00- Table1</v>
      </c>
      <c r="BD20" s="239"/>
      <c r="BE20" s="267">
        <f>G20</f>
        <v>0</v>
      </c>
      <c r="BF20" s="268">
        <f>IF(BE20=0,0,VLOOKUP(BE20,Inscripciones!$B$2:$K$499,2,FALSE))</f>
        <v>0</v>
      </c>
      <c r="BG20" s="269">
        <f>IF(BE20=0,0,VLOOKUP(BE20,Inscripciones!$B$2:$N$399,3,FALSE))</f>
        <v>0</v>
      </c>
    </row>
    <row r="21" spans="1:61" ht="12.75" x14ac:dyDescent="0.25">
      <c r="B21" s="403"/>
      <c r="C21" s="404"/>
      <c r="D21" s="404"/>
      <c r="E21" s="408"/>
      <c r="G21" s="391" t="s">
        <v>53</v>
      </c>
      <c r="I21" s="391"/>
      <c r="J21" s="391"/>
      <c r="AU21" s="220"/>
      <c r="AV21" s="220"/>
      <c r="AW21" s="220"/>
      <c r="AX21" s="220"/>
      <c r="AY21" s="220"/>
      <c r="AZ21" s="220"/>
      <c r="BA21" s="220"/>
      <c r="BB21" s="248">
        <f ca="1">VLOOKUP(BB20,$A$4:$L$1353,8,FALSE)</f>
        <v>4149</v>
      </c>
      <c r="BC21" s="270" t="str">
        <f ca="1">IF(BB21=0,0,VLOOKUP(BB21,Inscripciones!$B$2:$K$499,2,FALSE))</f>
        <v>LUIS MANUEL GARCÍA ARAYA</v>
      </c>
      <c r="BD21" s="249" t="str">
        <f ca="1">IF(BB21=0,0,VLOOKUP(BB21,Inscripciones!$B$2:$N$399,3,FALSE))</f>
        <v>ESPARZA</v>
      </c>
      <c r="BE21" s="229"/>
      <c r="BF21" s="230" t="str">
        <f>VLOOKUP(BB20,$A$4:$AD$39,29,FALSE)</f>
        <v/>
      </c>
      <c r="BG21" s="229"/>
    </row>
    <row r="22" spans="1:61" ht="12.75" x14ac:dyDescent="0.25">
      <c r="B22" s="403"/>
      <c r="C22" s="404"/>
      <c r="D22" s="404"/>
      <c r="E22" s="408"/>
      <c r="G22" s="390">
        <f ca="1">IF(M18="",0,IF(AA18&gt;AB18,G18,H18))</f>
        <v>4295</v>
      </c>
      <c r="I22" s="390" t="str">
        <f ca="1">IF(G22=0,0,VLOOKUP(G22,Inscripciones!$B$2:$K$499,2,FALSE))</f>
        <v>RICARDO MATEO CHAVES LEÓN</v>
      </c>
      <c r="J22" s="390" t="str">
        <f ca="1">IF(G22=0,0,VLOOKUP(G22,Inscripciones!$B$2:$N$399,3,FALSE))</f>
        <v>ESPARZA</v>
      </c>
      <c r="AU22" s="220"/>
      <c r="AV22" s="220"/>
      <c r="AW22" s="220"/>
      <c r="AX22" s="220"/>
      <c r="AY22" s="220"/>
      <c r="AZ22" s="220"/>
      <c r="BA22" s="220"/>
      <c r="BB22" s="220"/>
      <c r="BC22" s="220"/>
      <c r="BD22" s="220"/>
      <c r="BE22" s="220"/>
    </row>
    <row r="23" spans="1:61" ht="13.5" thickBot="1" x14ac:dyDescent="0.3">
      <c r="B23" s="405"/>
      <c r="C23" s="406"/>
      <c r="D23" s="406"/>
      <c r="E23" s="409"/>
      <c r="G23" s="391" t="s">
        <v>53</v>
      </c>
      <c r="I23" s="391"/>
      <c r="J23" s="391"/>
      <c r="AU23" s="220"/>
      <c r="AV23" s="220"/>
      <c r="AW23" s="220"/>
      <c r="AX23" s="220"/>
      <c r="AY23" s="220"/>
      <c r="AZ23" s="220"/>
      <c r="BA23" s="220"/>
      <c r="BB23" s="220"/>
      <c r="BC23" s="220"/>
      <c r="BD23" s="220"/>
      <c r="BE23" s="220"/>
    </row>
    <row r="24" spans="1:61" ht="12.75" x14ac:dyDescent="0.25">
      <c r="AU24" s="220"/>
      <c r="AV24" s="220"/>
      <c r="AW24" s="220"/>
      <c r="AX24" s="220"/>
      <c r="AY24" s="220"/>
      <c r="AZ24" s="220"/>
      <c r="BA24" s="220"/>
      <c r="BB24" s="220"/>
      <c r="BC24" s="220"/>
      <c r="BD24" s="220"/>
      <c r="BE24" s="220"/>
    </row>
    <row r="25" spans="1:61" ht="12.75" x14ac:dyDescent="0.25">
      <c r="AU25" s="220"/>
      <c r="AV25" s="220"/>
      <c r="AW25" s="220"/>
      <c r="AX25" s="220"/>
      <c r="AY25" s="220"/>
      <c r="AZ25" s="220"/>
      <c r="BA25" s="220"/>
      <c r="BB25" s="220"/>
      <c r="BC25" s="220"/>
      <c r="BD25" s="220"/>
      <c r="BE25" s="220"/>
    </row>
    <row r="26" spans="1:61" ht="12.75" hidden="1" x14ac:dyDescent="0.25">
      <c r="AU26" s="220"/>
      <c r="AV26" s="220"/>
      <c r="AW26" s="220"/>
      <c r="AX26" s="220"/>
      <c r="AY26" s="220"/>
      <c r="AZ26" s="220"/>
      <c r="BA26" s="220"/>
      <c r="BB26" s="220"/>
      <c r="BC26" s="220"/>
      <c r="BD26" s="220"/>
      <c r="BE26" s="220"/>
    </row>
    <row r="27" spans="1:61" ht="12.75" hidden="1" x14ac:dyDescent="0.25">
      <c r="AU27" s="220"/>
      <c r="AV27" s="220"/>
      <c r="AW27" s="220"/>
      <c r="AX27" s="220"/>
      <c r="AY27" s="220"/>
      <c r="AZ27" s="220"/>
      <c r="BA27" s="220"/>
      <c r="BB27" s="220"/>
      <c r="BC27" s="220"/>
      <c r="BD27" s="220"/>
      <c r="BE27" s="220"/>
    </row>
    <row r="28" spans="1:61" ht="12.75" hidden="1" x14ac:dyDescent="0.25">
      <c r="D28" s="219" t="s">
        <v>105</v>
      </c>
      <c r="E28" s="218">
        <v>1</v>
      </c>
      <c r="G28" s="238">
        <f ca="1">G22</f>
        <v>4295</v>
      </c>
      <c r="I28" s="218" t="str">
        <f ca="1">IF(G28=0,0,VLOOKUP(G28,Inscripciones!$B$2:$K$499,2,FALSE))</f>
        <v>RICARDO MATEO CHAVES LEÓN</v>
      </c>
      <c r="J28" s="218" t="str">
        <f ca="1">IF(G28=0,0,VLOOKUP(G28,Inscripciones!$B$2:$N$399,3,FALSE))</f>
        <v>ESPARZA</v>
      </c>
      <c r="K28" s="271">
        <f ca="1">G12</f>
        <v>4295</v>
      </c>
      <c r="L28" s="272">
        <f ca="1">H12</f>
        <v>4391</v>
      </c>
      <c r="M28" s="392" t="s">
        <v>106</v>
      </c>
      <c r="AU28" s="220"/>
      <c r="AV28" s="220"/>
      <c r="AW28" s="220"/>
      <c r="AX28" s="220"/>
      <c r="AY28" s="220"/>
      <c r="AZ28" s="220"/>
      <c r="BA28" s="220"/>
      <c r="BB28" s="220"/>
      <c r="BC28" s="220"/>
      <c r="BD28" s="220"/>
      <c r="BE28" s="220"/>
    </row>
    <row r="29" spans="1:61" ht="12.75" hidden="1" x14ac:dyDescent="0.25">
      <c r="D29" s="219" t="s">
        <v>107</v>
      </c>
      <c r="E29" s="218">
        <v>2</v>
      </c>
      <c r="G29" s="238">
        <f ca="1">IF(G28=G18,H18,G18)</f>
        <v>4520</v>
      </c>
      <c r="I29" s="218" t="str">
        <f ca="1">IF(G29=0,0,VLOOKUP(G29,Inscripciones!$B$2:$K$499,2,FALSE))</f>
        <v>GAEL SOLÍS VÁSQUEZ</v>
      </c>
      <c r="J29" s="218" t="str">
        <f ca="1">IF(G29=0,0,VLOOKUP(G29,Inscripciones!$B$2:$N$399,3,FALSE))</f>
        <v>ESPARZA</v>
      </c>
      <c r="K29" s="273">
        <f ca="1">H12</f>
        <v>4391</v>
      </c>
      <c r="L29" s="274">
        <f ca="1">G12</f>
        <v>4295</v>
      </c>
      <c r="M29" s="393"/>
      <c r="AU29" s="220"/>
      <c r="AV29" s="220"/>
      <c r="AW29" s="220"/>
      <c r="AX29" s="220"/>
      <c r="AY29" s="220"/>
      <c r="AZ29" s="220"/>
      <c r="BA29" s="220"/>
      <c r="BB29" s="220"/>
      <c r="BC29" s="220"/>
      <c r="BD29" s="220"/>
      <c r="BE29" s="220"/>
    </row>
    <row r="30" spans="1:61" ht="12.75" hidden="1" x14ac:dyDescent="0.25">
      <c r="D30" s="219" t="s">
        <v>108</v>
      </c>
      <c r="E30" s="218">
        <v>3</v>
      </c>
      <c r="G30" s="238">
        <f ca="1">IF(E20=1,G20,VLOOKUP(G28,K28:L31,2,FALSE))</f>
        <v>4391</v>
      </c>
      <c r="I30" s="218" t="str">
        <f ca="1">IF(G30=0,0,VLOOKUP(G30,Inscripciones!$B$2:$K$499,2,FALSE))</f>
        <v xml:space="preserve">EMANUEL UMAÑA RODRIGUEZ </v>
      </c>
      <c r="J30" s="218" t="str">
        <f ca="1">IF(G30=0,0,VLOOKUP(G30,Inscripciones!$B$2:$N$399,3,FALSE))</f>
        <v>CURRIDABAT</v>
      </c>
      <c r="K30" s="273">
        <f ca="1">G14</f>
        <v>4520</v>
      </c>
      <c r="L30" s="274">
        <f ca="1">H14</f>
        <v>4149</v>
      </c>
      <c r="M30" s="393"/>
      <c r="AU30" s="220"/>
      <c r="AV30" s="220"/>
      <c r="AW30" s="220"/>
      <c r="AX30" s="220"/>
      <c r="AY30" s="220"/>
      <c r="AZ30" s="220"/>
      <c r="BA30" s="220"/>
      <c r="BB30" s="220"/>
      <c r="BC30" s="220"/>
      <c r="BD30" s="220"/>
      <c r="BE30" s="220"/>
    </row>
    <row r="31" spans="1:61" ht="12.75" hidden="1" x14ac:dyDescent="0.25">
      <c r="D31" s="219" t="s">
        <v>109</v>
      </c>
      <c r="E31" s="218">
        <v>4</v>
      </c>
      <c r="G31" s="238">
        <f ca="1">IF(G30=G16,H16,G16)</f>
        <v>4149</v>
      </c>
      <c r="I31" s="218" t="str">
        <f ca="1">IF(G31=0,0,VLOOKUP(G31,Inscripciones!$B$2:$K$499,2,FALSE))</f>
        <v>LUIS MANUEL GARCÍA ARAYA</v>
      </c>
      <c r="J31" s="218" t="str">
        <f ca="1">IF(G31=0,0,VLOOKUP(G31,Inscripciones!$B$2:$N$399,3,FALSE))</f>
        <v>ESPARZA</v>
      </c>
      <c r="K31" s="275">
        <f ca="1">H14</f>
        <v>4149</v>
      </c>
      <c r="L31" s="276">
        <f ca="1">G14</f>
        <v>4520</v>
      </c>
      <c r="M31" s="394"/>
      <c r="AU31" s="220"/>
      <c r="AV31" s="220"/>
      <c r="AW31" s="220"/>
      <c r="AX31" s="220"/>
      <c r="AY31" s="220"/>
      <c r="AZ31" s="220"/>
      <c r="BA31" s="220"/>
      <c r="BB31" s="220"/>
      <c r="BC31" s="220"/>
      <c r="BD31" s="220"/>
      <c r="BE31" s="220"/>
    </row>
    <row r="32" spans="1:61" ht="12.75" hidden="1" x14ac:dyDescent="0.25">
      <c r="K32" s="271">
        <f ca="1">G4</f>
        <v>4295</v>
      </c>
      <c r="L32" s="272">
        <f ca="1">H4</f>
        <v>4685</v>
      </c>
      <c r="M32" s="395" t="s">
        <v>110</v>
      </c>
      <c r="AU32" s="220"/>
      <c r="AV32" s="220"/>
      <c r="AW32" s="220"/>
      <c r="AX32" s="220"/>
      <c r="AY32" s="220"/>
      <c r="AZ32" s="220"/>
      <c r="BA32" s="220"/>
      <c r="BB32" s="220"/>
      <c r="BC32" s="220"/>
      <c r="BD32" s="220"/>
      <c r="BE32" s="220"/>
    </row>
    <row r="33" spans="4:57" ht="12.75" hidden="1" x14ac:dyDescent="0.25">
      <c r="K33" s="273">
        <f ca="1">H4</f>
        <v>4685</v>
      </c>
      <c r="L33" s="274">
        <f ca="1">G4</f>
        <v>4295</v>
      </c>
      <c r="M33" s="396"/>
      <c r="AU33" s="220"/>
      <c r="AV33" s="220"/>
      <c r="AW33" s="220"/>
      <c r="AX33" s="220"/>
      <c r="AY33" s="220"/>
      <c r="AZ33" s="220"/>
      <c r="BA33" s="220"/>
      <c r="BB33" s="220"/>
      <c r="BC33" s="220"/>
      <c r="BD33" s="220"/>
      <c r="BE33" s="220"/>
    </row>
    <row r="34" spans="4:57" ht="12.75" hidden="1" x14ac:dyDescent="0.25">
      <c r="K34" s="273">
        <f ca="1">G6</f>
        <v>4250</v>
      </c>
      <c r="L34" s="274">
        <f ca="1">H6</f>
        <v>4391</v>
      </c>
      <c r="M34" s="396"/>
      <c r="AU34" s="220"/>
      <c r="AV34" s="220"/>
      <c r="AW34" s="220"/>
      <c r="AX34" s="220"/>
      <c r="AY34" s="220"/>
      <c r="AZ34" s="220"/>
      <c r="BA34" s="220"/>
      <c r="BB34" s="220"/>
      <c r="BC34" s="220"/>
      <c r="BD34" s="220"/>
      <c r="BE34" s="220"/>
    </row>
    <row r="35" spans="4:57" ht="12.75" hidden="1" x14ac:dyDescent="0.25">
      <c r="K35" s="273">
        <f ca="1">H6</f>
        <v>4391</v>
      </c>
      <c r="L35" s="274">
        <f ca="1">G6</f>
        <v>4250</v>
      </c>
      <c r="M35" s="396"/>
      <c r="AU35" s="220"/>
      <c r="AV35" s="220"/>
      <c r="AW35" s="220"/>
      <c r="AX35" s="220"/>
      <c r="AY35" s="220"/>
      <c r="AZ35" s="220"/>
      <c r="BA35" s="220"/>
      <c r="BB35" s="220"/>
      <c r="BC35" s="220"/>
      <c r="BD35" s="220"/>
      <c r="BE35" s="220"/>
    </row>
    <row r="36" spans="4:57" ht="12.75" hidden="1" x14ac:dyDescent="0.25">
      <c r="D36" s="219" t="s">
        <v>111</v>
      </c>
      <c r="G36" s="238">
        <f ca="1">VLOOKUP(G28,K32:L39,2,FALSE)</f>
        <v>4685</v>
      </c>
      <c r="I36" s="218" t="str">
        <f ca="1">IF(G36=0,0,VLOOKUP(G36,Inscripciones!$B$2:$K$499,2,FALSE))</f>
        <v>GAEL ROMERO LEÓN</v>
      </c>
      <c r="J36" s="218" t="str">
        <f ca="1">IF(G36=0,0,VLOOKUP(G36,Inscripciones!$B$2:$N$399,3,FALSE))</f>
        <v>ESCAZÚ</v>
      </c>
      <c r="K36" s="273">
        <f ca="1">G8</f>
        <v>4520</v>
      </c>
      <c r="L36" s="274">
        <f ca="1">H8</f>
        <v>4699</v>
      </c>
      <c r="M36" s="396"/>
      <c r="AU36" s="220"/>
      <c r="AV36" s="220"/>
      <c r="AW36" s="220"/>
      <c r="AX36" s="220"/>
      <c r="AY36" s="220"/>
      <c r="AZ36" s="220"/>
      <c r="BA36" s="220"/>
      <c r="BB36" s="220"/>
      <c r="BC36" s="220"/>
      <c r="BD36" s="220"/>
      <c r="BE36" s="220"/>
    </row>
    <row r="37" spans="4:57" ht="12.75" hidden="1" x14ac:dyDescent="0.25">
      <c r="D37" s="219" t="s">
        <v>112</v>
      </c>
      <c r="G37" s="238">
        <f ca="1">VLOOKUP(G29,K32:L39,2,FALSE)</f>
        <v>4699</v>
      </c>
      <c r="I37" s="218" t="str">
        <f ca="1">IF(G37=0,0,VLOOKUP(G37,Inscripciones!$B$2:$K$499,2,FALSE))</f>
        <v>EZEQUIEL LEAL CHACÓN</v>
      </c>
      <c r="J37" s="218" t="str">
        <f ca="1">IF(G37=0,0,VLOOKUP(G37,Inscripciones!$B$2:$N$399,3,FALSE))</f>
        <v>ESPARZA</v>
      </c>
      <c r="K37" s="273">
        <f ca="1">H8</f>
        <v>4699</v>
      </c>
      <c r="L37" s="274">
        <f ca="1">G8</f>
        <v>4520</v>
      </c>
      <c r="M37" s="396"/>
      <c r="AU37" s="220"/>
      <c r="AV37" s="220"/>
      <c r="AW37" s="220"/>
      <c r="AX37" s="220"/>
      <c r="AY37" s="220"/>
      <c r="AZ37" s="220"/>
      <c r="BA37" s="220"/>
      <c r="BB37" s="220"/>
      <c r="BC37" s="220"/>
      <c r="BD37" s="220"/>
      <c r="BE37" s="220"/>
    </row>
    <row r="38" spans="4:57" ht="12.75" hidden="1" x14ac:dyDescent="0.25">
      <c r="D38" s="219" t="s">
        <v>113</v>
      </c>
      <c r="G38" s="238">
        <f ca="1">VLOOKUP(G30,K32:L39,2,FALSE)</f>
        <v>4250</v>
      </c>
      <c r="I38" s="218" t="str">
        <f ca="1">IF(G38=0,0,VLOOKUP(G38,Inscripciones!$B$2:$K$499,2,FALSE))</f>
        <v>KEVIN HERNÁNDEZ LÁSCAREZ</v>
      </c>
      <c r="J38" s="218" t="str">
        <f ca="1">IF(G38=0,0,VLOOKUP(G38,Inscripciones!$B$2:$N$399,3,FALSE))</f>
        <v>CCDR SAN JOSÉ</v>
      </c>
      <c r="K38" s="273">
        <f ca="1">G10</f>
        <v>4834</v>
      </c>
      <c r="L38" s="274">
        <f ca="1">H10</f>
        <v>4149</v>
      </c>
      <c r="M38" s="396"/>
      <c r="AU38" s="220"/>
      <c r="AV38" s="220"/>
      <c r="AW38" s="220"/>
      <c r="AX38" s="220"/>
      <c r="AY38" s="220"/>
      <c r="AZ38" s="220"/>
      <c r="BA38" s="220"/>
      <c r="BB38" s="220"/>
      <c r="BC38" s="220"/>
      <c r="BD38" s="220"/>
      <c r="BE38" s="220"/>
    </row>
    <row r="39" spans="4:57" ht="12.75" hidden="1" x14ac:dyDescent="0.25">
      <c r="D39" s="219" t="s">
        <v>114</v>
      </c>
      <c r="G39" s="238">
        <f ca="1">VLOOKUP(G31,K32:L39,2,FALSE)</f>
        <v>4834</v>
      </c>
      <c r="I39" s="218" t="str">
        <f ca="1">IF(G39=0,0,VLOOKUP(G39,Inscripciones!$B$2:$K$499,2,FALSE))</f>
        <v>PEDRO RIMOLO VILLAGRA</v>
      </c>
      <c r="J39" s="218" t="str">
        <f ca="1">IF(G39=0,0,VLOOKUP(G39,Inscripciones!$B$2:$N$399,3,FALSE))</f>
        <v>CURRIDABAT</v>
      </c>
      <c r="K39" s="275">
        <f ca="1">H10</f>
        <v>4149</v>
      </c>
      <c r="L39" s="276">
        <f ca="1">G10</f>
        <v>4834</v>
      </c>
      <c r="M39" s="397"/>
      <c r="AU39" s="220"/>
      <c r="AV39" s="220"/>
      <c r="AW39" s="220"/>
      <c r="AX39" s="220"/>
      <c r="AY39" s="220"/>
      <c r="AZ39" s="220"/>
      <c r="BA39" s="220"/>
      <c r="BB39" s="220"/>
      <c r="BC39" s="220"/>
      <c r="BD39" s="220"/>
      <c r="BE39" s="220"/>
    </row>
    <row r="40" spans="4:57" ht="12.75" x14ac:dyDescent="0.25">
      <c r="AU40" s="220"/>
      <c r="AV40" s="220"/>
      <c r="AW40" s="220"/>
      <c r="AX40" s="220"/>
      <c r="AY40" s="220"/>
      <c r="AZ40" s="220"/>
      <c r="BA40" s="220"/>
      <c r="BB40" s="220"/>
      <c r="BC40" s="220"/>
      <c r="BD40" s="220"/>
      <c r="BE40" s="220"/>
    </row>
    <row r="41" spans="4:57" ht="12.75" x14ac:dyDescent="0.25">
      <c r="G41" s="398" t="s">
        <v>115</v>
      </c>
      <c r="H41" s="398"/>
      <c r="I41" s="398"/>
      <c r="J41" s="398"/>
      <c r="AU41" s="220"/>
      <c r="AV41" s="220"/>
      <c r="AW41" s="220"/>
      <c r="AX41" s="220"/>
      <c r="AY41" s="220"/>
      <c r="AZ41" s="220"/>
      <c r="BA41" s="220"/>
      <c r="BB41" s="220"/>
      <c r="BC41" s="220"/>
      <c r="BD41" s="220"/>
      <c r="BE41" s="220"/>
    </row>
    <row r="42" spans="4:57" ht="12.75" x14ac:dyDescent="0.25">
      <c r="AU42" s="220"/>
      <c r="AV42" s="220"/>
      <c r="AW42" s="220"/>
      <c r="AX42" s="220"/>
      <c r="AY42" s="220"/>
      <c r="AZ42" s="220"/>
      <c r="BA42" s="220"/>
      <c r="BB42" s="220"/>
      <c r="BC42" s="220"/>
      <c r="BD42" s="220"/>
      <c r="BE42" s="220"/>
    </row>
    <row r="43" spans="4:57" ht="12.75" x14ac:dyDescent="0.25">
      <c r="G43" s="277" t="s">
        <v>105</v>
      </c>
      <c r="H43" s="218">
        <f ca="1">G28</f>
        <v>4295</v>
      </c>
      <c r="I43" s="278" t="str">
        <f ca="1">IF(H43=0,0,VLOOKUP(H43,Inscripciones!$B$2:$K$499,2,FALSE))</f>
        <v>RICARDO MATEO CHAVES LEÓN</v>
      </c>
      <c r="J43" s="278" t="str">
        <f ca="1">IF(H43=0,0,VLOOKUP(H43,Inscripciones!$B$2:$N$399,3,FALSE))</f>
        <v>ESPARZA</v>
      </c>
      <c r="AU43" s="220"/>
      <c r="AV43" s="220"/>
      <c r="AW43" s="220"/>
      <c r="AX43" s="220"/>
      <c r="AY43" s="220"/>
      <c r="AZ43" s="220"/>
      <c r="BA43" s="220"/>
      <c r="BB43" s="220"/>
      <c r="BC43" s="220"/>
      <c r="BD43" s="220"/>
      <c r="BE43" s="220"/>
    </row>
    <row r="44" spans="4:57" ht="12.75" x14ac:dyDescent="0.25">
      <c r="G44" s="277" t="s">
        <v>107</v>
      </c>
      <c r="H44" s="218">
        <f t="shared" ref="H44:H46" ca="1" si="240">G29</f>
        <v>4520</v>
      </c>
      <c r="I44" s="278" t="str">
        <f ca="1">IF(H44=0,0,VLOOKUP(H44,Inscripciones!$B$2:$K$499,2,FALSE))</f>
        <v>GAEL SOLÍS VÁSQUEZ</v>
      </c>
      <c r="J44" s="278" t="str">
        <f ca="1">IF(H44=0,0,VLOOKUP(H44,Inscripciones!$B$2:$N$399,3,FALSE))</f>
        <v>ESPARZA</v>
      </c>
      <c r="AU44" s="220"/>
      <c r="AV44" s="220"/>
      <c r="AW44" s="220"/>
      <c r="AX44" s="220"/>
      <c r="AY44" s="220"/>
      <c r="AZ44" s="220"/>
      <c r="BA44" s="220"/>
      <c r="BB44" s="220"/>
      <c r="BC44" s="220"/>
      <c r="BD44" s="220"/>
      <c r="BE44" s="220"/>
    </row>
    <row r="45" spans="4:57" ht="12.75" x14ac:dyDescent="0.25">
      <c r="G45" s="277" t="s">
        <v>108</v>
      </c>
      <c r="H45" s="218">
        <f t="shared" ca="1" si="240"/>
        <v>4391</v>
      </c>
      <c r="I45" s="278" t="str">
        <f ca="1">IF(H45=0,0,VLOOKUP(H45,Inscripciones!$B$2:$K$499,2,FALSE))</f>
        <v xml:space="preserve">EMANUEL UMAÑA RODRIGUEZ </v>
      </c>
      <c r="J45" s="278" t="str">
        <f ca="1">IF(H45=0,0,VLOOKUP(H45,Inscripciones!$B$2:$N$399,3,FALSE))</f>
        <v>CURRIDABAT</v>
      </c>
      <c r="AU45" s="220"/>
      <c r="AV45" s="220"/>
      <c r="AW45" s="220"/>
      <c r="AX45" s="220"/>
      <c r="AY45" s="220"/>
      <c r="AZ45" s="220"/>
      <c r="BA45" s="220"/>
      <c r="BB45" s="220"/>
      <c r="BC45" s="220"/>
      <c r="BD45" s="220"/>
      <c r="BE45" s="220"/>
    </row>
    <row r="46" spans="4:57" ht="12.75" x14ac:dyDescent="0.25">
      <c r="G46" s="279">
        <f>IF(E20=1,4,3)</f>
        <v>3</v>
      </c>
      <c r="H46" s="218">
        <f t="shared" ca="1" si="240"/>
        <v>4149</v>
      </c>
      <c r="I46" s="278" t="str">
        <f ca="1">IF(H46=0,0,VLOOKUP(H46,Inscripciones!$B$2:$K$499,2,FALSE))</f>
        <v>LUIS MANUEL GARCÍA ARAYA</v>
      </c>
      <c r="J46" s="278" t="str">
        <f ca="1">IF(H46=0,0,VLOOKUP(H46,Inscripciones!$B$2:$N$399,3,FALSE))</f>
        <v>ESPARZA</v>
      </c>
      <c r="AT46" s="280"/>
      <c r="AU46" s="220"/>
      <c r="AV46" s="220"/>
      <c r="AW46" s="220"/>
      <c r="AX46" s="220"/>
      <c r="AY46" s="220"/>
      <c r="AZ46" s="220"/>
      <c r="BA46" s="220"/>
      <c r="BB46" s="220"/>
      <c r="BC46" s="220"/>
      <c r="BD46" s="220"/>
      <c r="BE46" s="220"/>
    </row>
    <row r="47" spans="4:57" ht="12.75" x14ac:dyDescent="0.25">
      <c r="G47" s="277" t="s">
        <v>116</v>
      </c>
      <c r="H47" s="218">
        <f ca="1">G36</f>
        <v>4685</v>
      </c>
      <c r="I47" s="278" t="str">
        <f ca="1">IF(H47=0,0,VLOOKUP(H47,Inscripciones!$B$2:$K$499,2,FALSE))</f>
        <v>GAEL ROMERO LEÓN</v>
      </c>
      <c r="J47" s="278" t="str">
        <f ca="1">IF(H47=0,0,VLOOKUP(H47,Inscripciones!$B$2:$N$399,3,FALSE))</f>
        <v>ESCAZÚ</v>
      </c>
      <c r="AT47" s="280"/>
      <c r="AU47" s="220"/>
      <c r="AV47" s="220"/>
      <c r="AW47" s="220"/>
      <c r="AX47" s="220"/>
      <c r="AY47" s="220"/>
      <c r="AZ47" s="220"/>
      <c r="BA47" s="220"/>
      <c r="BB47" s="220"/>
      <c r="BC47" s="220"/>
      <c r="BD47" s="220"/>
      <c r="BE47" s="220"/>
    </row>
    <row r="48" spans="4:57" ht="12.75" x14ac:dyDescent="0.25">
      <c r="G48" s="277" t="s">
        <v>116</v>
      </c>
      <c r="H48" s="218">
        <f t="shared" ref="H48:H50" ca="1" si="241">G37</f>
        <v>4699</v>
      </c>
      <c r="I48" s="278" t="str">
        <f ca="1">IF(H48=0,0,VLOOKUP(H48,Inscripciones!$B$2:$K$499,2,FALSE))</f>
        <v>EZEQUIEL LEAL CHACÓN</v>
      </c>
      <c r="J48" s="278" t="str">
        <f ca="1">IF(H48=0,0,VLOOKUP(H48,Inscripciones!$B$2:$N$399,3,FALSE))</f>
        <v>ESPARZA</v>
      </c>
      <c r="AU48" s="220"/>
      <c r="AV48" s="220"/>
      <c r="AW48" s="220"/>
      <c r="AX48" s="220"/>
      <c r="AY48" s="220"/>
      <c r="AZ48" s="220"/>
      <c r="BA48" s="220"/>
      <c r="BB48" s="220"/>
      <c r="BC48" s="220"/>
      <c r="BD48" s="220"/>
      <c r="BE48" s="220"/>
    </row>
    <row r="49" spans="7:57" ht="12.75" x14ac:dyDescent="0.25">
      <c r="G49" s="277" t="s">
        <v>116</v>
      </c>
      <c r="H49" s="218">
        <f t="shared" ca="1" si="241"/>
        <v>4250</v>
      </c>
      <c r="I49" s="278" t="str">
        <f ca="1">IF(H49=0,0,VLOOKUP(H49,Inscripciones!$B$2:$K$499,2,FALSE))</f>
        <v>KEVIN HERNÁNDEZ LÁSCAREZ</v>
      </c>
      <c r="J49" s="278" t="str">
        <f ca="1">IF(H49=0,0,VLOOKUP(H49,Inscripciones!$B$2:$N$399,3,FALSE))</f>
        <v>CCDR SAN JOSÉ</v>
      </c>
      <c r="AU49" s="220"/>
      <c r="AV49" s="220"/>
      <c r="AW49" s="220"/>
      <c r="AX49" s="220"/>
      <c r="AY49" s="220"/>
      <c r="AZ49" s="220"/>
      <c r="BA49" s="220"/>
      <c r="BB49" s="220"/>
      <c r="BC49" s="220"/>
      <c r="BD49" s="220"/>
      <c r="BE49" s="220"/>
    </row>
    <row r="50" spans="7:57" ht="12.75" x14ac:dyDescent="0.25">
      <c r="G50" s="277" t="s">
        <v>116</v>
      </c>
      <c r="H50" s="218">
        <f t="shared" ca="1" si="241"/>
        <v>4834</v>
      </c>
      <c r="I50" s="278" t="str">
        <f ca="1">IF(H50=0,0,VLOOKUP(H50,Inscripciones!$B$2:$K$499,2,FALSE))</f>
        <v>PEDRO RIMOLO VILLAGRA</v>
      </c>
      <c r="J50" s="278" t="str">
        <f ca="1">IF(H50=0,0,VLOOKUP(H50,Inscripciones!$B$2:$N$399,3,FALSE))</f>
        <v>CURRIDABAT</v>
      </c>
      <c r="AU50" s="220"/>
      <c r="AV50" s="220"/>
      <c r="AW50" s="220"/>
      <c r="AX50" s="220"/>
      <c r="AY50" s="220"/>
      <c r="AZ50" s="220"/>
      <c r="BA50" s="220"/>
      <c r="BB50" s="220"/>
      <c r="BC50" s="220"/>
      <c r="BD50" s="220"/>
      <c r="BE50" s="220"/>
    </row>
  </sheetData>
  <mergeCells count="240">
    <mergeCell ref="M4:M5"/>
    <mergeCell ref="AV1:BI1"/>
    <mergeCell ref="AA2:AB2"/>
    <mergeCell ref="AV2:BI2"/>
    <mergeCell ref="I6:I7"/>
    <mergeCell ref="J6:J7"/>
    <mergeCell ref="K6:K7"/>
    <mergeCell ref="L6:L7"/>
    <mergeCell ref="Z4:Z5"/>
    <mergeCell ref="AA4:AA5"/>
    <mergeCell ref="AB4:AB5"/>
    <mergeCell ref="AC4:AC5"/>
    <mergeCell ref="W4:W5"/>
    <mergeCell ref="X4:X5"/>
    <mergeCell ref="Y4:Y5"/>
    <mergeCell ref="Y6:Y7"/>
    <mergeCell ref="Z6:Z7"/>
    <mergeCell ref="AA6:AA7"/>
    <mergeCell ref="AB6:AB7"/>
    <mergeCell ref="AC6:AC7"/>
    <mergeCell ref="W6:W7"/>
    <mergeCell ref="X6:X7"/>
    <mergeCell ref="R4:R5"/>
    <mergeCell ref="S4:S5"/>
    <mergeCell ref="I4:I5"/>
    <mergeCell ref="A6:A7"/>
    <mergeCell ref="B6:B7"/>
    <mergeCell ref="C6:C7"/>
    <mergeCell ref="D6:D7"/>
    <mergeCell ref="E6:E7"/>
    <mergeCell ref="F6:F7"/>
    <mergeCell ref="T4:T5"/>
    <mergeCell ref="U4:U5"/>
    <mergeCell ref="V4:V5"/>
    <mergeCell ref="N4:N5"/>
    <mergeCell ref="O4:O5"/>
    <mergeCell ref="P4:P5"/>
    <mergeCell ref="Q4:Q5"/>
    <mergeCell ref="A4:A5"/>
    <mergeCell ref="B4:B5"/>
    <mergeCell ref="C4:C5"/>
    <mergeCell ref="D4:D5"/>
    <mergeCell ref="E4:E5"/>
    <mergeCell ref="F4:F5"/>
    <mergeCell ref="G4:G5"/>
    <mergeCell ref="H4:H5"/>
    <mergeCell ref="J4:J5"/>
    <mergeCell ref="K4:K5"/>
    <mergeCell ref="L4:L5"/>
    <mergeCell ref="A8:A9"/>
    <mergeCell ref="B8:B9"/>
    <mergeCell ref="C8:C9"/>
    <mergeCell ref="D8:D9"/>
    <mergeCell ref="E8:E9"/>
    <mergeCell ref="S6:S7"/>
    <mergeCell ref="T6:T7"/>
    <mergeCell ref="U6:U7"/>
    <mergeCell ref="V6:V7"/>
    <mergeCell ref="M6:M7"/>
    <mergeCell ref="N6:N7"/>
    <mergeCell ref="O6:O7"/>
    <mergeCell ref="P6:P7"/>
    <mergeCell ref="Q6:Q7"/>
    <mergeCell ref="R6:R7"/>
    <mergeCell ref="G6:G7"/>
    <mergeCell ref="H6:H7"/>
    <mergeCell ref="L8:L9"/>
    <mergeCell ref="M8:M9"/>
    <mergeCell ref="N8:N9"/>
    <mergeCell ref="O8:O9"/>
    <mergeCell ref="P8:P9"/>
    <mergeCell ref="Q8:Q9"/>
    <mergeCell ref="F8:F9"/>
    <mergeCell ref="J10:J11"/>
    <mergeCell ref="K10:K11"/>
    <mergeCell ref="L10:L11"/>
    <mergeCell ref="AB10:AB11"/>
    <mergeCell ref="AC10:AC11"/>
    <mergeCell ref="G8:G9"/>
    <mergeCell ref="H8:H9"/>
    <mergeCell ref="I8:I9"/>
    <mergeCell ref="J8:J9"/>
    <mergeCell ref="K8:K9"/>
    <mergeCell ref="X8:X9"/>
    <mergeCell ref="Y8:Y9"/>
    <mergeCell ref="Z8:Z9"/>
    <mergeCell ref="AA8:AA9"/>
    <mergeCell ref="Y10:Y11"/>
    <mergeCell ref="Z10:Z11"/>
    <mergeCell ref="AA10:AA11"/>
    <mergeCell ref="W10:W11"/>
    <mergeCell ref="X10:X11"/>
    <mergeCell ref="AB8:AB9"/>
    <mergeCell ref="AC8:AC9"/>
    <mergeCell ref="R8:R9"/>
    <mergeCell ref="S8:S9"/>
    <mergeCell ref="T8:T9"/>
    <mergeCell ref="U8:U9"/>
    <mergeCell ref="V8:V9"/>
    <mergeCell ref="W8:W9"/>
    <mergeCell ref="A12:A13"/>
    <mergeCell ref="B12:B13"/>
    <mergeCell ref="C12:C13"/>
    <mergeCell ref="D12:D13"/>
    <mergeCell ref="E12:E13"/>
    <mergeCell ref="S10:S11"/>
    <mergeCell ref="T10:T11"/>
    <mergeCell ref="U10:U11"/>
    <mergeCell ref="V10:V11"/>
    <mergeCell ref="M10:M11"/>
    <mergeCell ref="N10:N11"/>
    <mergeCell ref="O10:O11"/>
    <mergeCell ref="P10:P11"/>
    <mergeCell ref="Q10:Q11"/>
    <mergeCell ref="R10:R11"/>
    <mergeCell ref="G10:G11"/>
    <mergeCell ref="H10:H11"/>
    <mergeCell ref="A10:A11"/>
    <mergeCell ref="B10:B11"/>
    <mergeCell ref="C10:C11"/>
    <mergeCell ref="D10:D11"/>
    <mergeCell ref="E10:E11"/>
    <mergeCell ref="F10:F11"/>
    <mergeCell ref="I10:I11"/>
    <mergeCell ref="F12:F13"/>
    <mergeCell ref="G12:G13"/>
    <mergeCell ref="H12:H13"/>
    <mergeCell ref="I12:I13"/>
    <mergeCell ref="J12:J13"/>
    <mergeCell ref="K12:K13"/>
    <mergeCell ref="H14:H15"/>
    <mergeCell ref="I14:I15"/>
    <mergeCell ref="J14:J15"/>
    <mergeCell ref="R12:R13"/>
    <mergeCell ref="S12:S13"/>
    <mergeCell ref="T12:T13"/>
    <mergeCell ref="U12:U13"/>
    <mergeCell ref="L12:L13"/>
    <mergeCell ref="M12:M13"/>
    <mergeCell ref="N12:N13"/>
    <mergeCell ref="O12:O13"/>
    <mergeCell ref="P12:P13"/>
    <mergeCell ref="Q12:Q13"/>
    <mergeCell ref="X12:X13"/>
    <mergeCell ref="Y12:Y13"/>
    <mergeCell ref="Z12:Z13"/>
    <mergeCell ref="AA12:AA13"/>
    <mergeCell ref="AB12:AB13"/>
    <mergeCell ref="V12:V13"/>
    <mergeCell ref="W12:W13"/>
    <mergeCell ref="X14:X15"/>
    <mergeCell ref="Y14:Y15"/>
    <mergeCell ref="Z14:Z15"/>
    <mergeCell ref="AA14:AA15"/>
    <mergeCell ref="AB14:AB15"/>
    <mergeCell ref="V14:V15"/>
    <mergeCell ref="W14:W15"/>
    <mergeCell ref="A16:A17"/>
    <mergeCell ref="B16:B17"/>
    <mergeCell ref="C16:C17"/>
    <mergeCell ref="D16:D17"/>
    <mergeCell ref="E16:E17"/>
    <mergeCell ref="R14:R15"/>
    <mergeCell ref="S14:S15"/>
    <mergeCell ref="T14:T15"/>
    <mergeCell ref="U14:U15"/>
    <mergeCell ref="L14:L15"/>
    <mergeCell ref="M14:M15"/>
    <mergeCell ref="N14:N15"/>
    <mergeCell ref="O14:O15"/>
    <mergeCell ref="P14:P15"/>
    <mergeCell ref="Q14:Q15"/>
    <mergeCell ref="F14:F15"/>
    <mergeCell ref="G14:G15"/>
    <mergeCell ref="K14:K15"/>
    <mergeCell ref="A14:A15"/>
    <mergeCell ref="B14:B15"/>
    <mergeCell ref="C14:C15"/>
    <mergeCell ref="D14:D15"/>
    <mergeCell ref="E14:E15"/>
    <mergeCell ref="Y16:Y17"/>
    <mergeCell ref="Z16:Z17"/>
    <mergeCell ref="AA16:AA17"/>
    <mergeCell ref="AB16:AB17"/>
    <mergeCell ref="A18:A19"/>
    <mergeCell ref="B18:B19"/>
    <mergeCell ref="C18:C19"/>
    <mergeCell ref="D18:D19"/>
    <mergeCell ref="E18:E19"/>
    <mergeCell ref="R16:R17"/>
    <mergeCell ref="S16:S17"/>
    <mergeCell ref="T16:T17"/>
    <mergeCell ref="U16:U17"/>
    <mergeCell ref="V16:V17"/>
    <mergeCell ref="W16:W17"/>
    <mergeCell ref="L16:L17"/>
    <mergeCell ref="M16:M17"/>
    <mergeCell ref="N16:N17"/>
    <mergeCell ref="O16:O17"/>
    <mergeCell ref="P16:P17"/>
    <mergeCell ref="Q16:Q17"/>
    <mergeCell ref="F16:F17"/>
    <mergeCell ref="G16:G17"/>
    <mergeCell ref="H16:H17"/>
    <mergeCell ref="P18:P19"/>
    <mergeCell ref="Q18:Q19"/>
    <mergeCell ref="F18:F19"/>
    <mergeCell ref="G18:G19"/>
    <mergeCell ref="H18:H19"/>
    <mergeCell ref="I18:I19"/>
    <mergeCell ref="J18:J19"/>
    <mergeCell ref="K18:K19"/>
    <mergeCell ref="X16:X17"/>
    <mergeCell ref="I16:I17"/>
    <mergeCell ref="J16:J17"/>
    <mergeCell ref="K16:K17"/>
    <mergeCell ref="J22:J23"/>
    <mergeCell ref="M28:M31"/>
    <mergeCell ref="M32:M39"/>
    <mergeCell ref="G41:J41"/>
    <mergeCell ref="X18:X19"/>
    <mergeCell ref="Y18:Y19"/>
    <mergeCell ref="Z18:Z19"/>
    <mergeCell ref="B20:D23"/>
    <mergeCell ref="E20:E23"/>
    <mergeCell ref="G20:G21"/>
    <mergeCell ref="I20:I21"/>
    <mergeCell ref="J20:J21"/>
    <mergeCell ref="G22:G23"/>
    <mergeCell ref="I22:I23"/>
    <mergeCell ref="R18:R19"/>
    <mergeCell ref="S18:S19"/>
    <mergeCell ref="T18:T19"/>
    <mergeCell ref="U18:U19"/>
    <mergeCell ref="V18:V19"/>
    <mergeCell ref="W18:W19"/>
    <mergeCell ref="L18:L19"/>
    <mergeCell ref="M18:M19"/>
    <mergeCell ref="N18:N19"/>
    <mergeCell ref="O18:O19"/>
  </mergeCells>
  <printOptions horizontalCentered="1"/>
  <pageMargins left="0.20078740157480315" right="0.20078740157480315" top="1.0984251968503937" bottom="0.38976377952755908" header="0.20078740157480315" footer="0.20078740157480315"/>
  <pageSetup paperSize="9" orientation="portrait" horizontalDpi="0" verticalDpi="0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56D9-97E5-46B3-B92C-DED5B14CA461}">
  <sheetPr published="0" codeName="Sheet10">
    <tabColor rgb="FF00B0F0"/>
  </sheetPr>
  <dimension ref="B1:AA39"/>
  <sheetViews>
    <sheetView showGridLines="0" zoomScale="70" zoomScaleNormal="70" workbookViewId="0">
      <selection activeCell="B2" sqref="B2:X16"/>
    </sheetView>
  </sheetViews>
  <sheetFormatPr defaultColWidth="11.42578125" defaultRowHeight="12.75" x14ac:dyDescent="0.25"/>
  <cols>
    <col min="1" max="1" width="0.85546875" style="281" customWidth="1"/>
    <col min="2" max="2" width="3.7109375" style="281" customWidth="1"/>
    <col min="3" max="4" width="4.85546875" style="281" customWidth="1"/>
    <col min="5" max="7" width="4.85546875" style="282" customWidth="1"/>
    <col min="8" max="9" width="3.28515625" style="282" customWidth="1"/>
    <col min="10" max="10" width="3.28515625" style="281" customWidth="1"/>
    <col min="11" max="11" width="3.42578125" style="282" customWidth="1"/>
    <col min="12" max="12" width="5.7109375" style="282" customWidth="1"/>
    <col min="13" max="13" width="4.7109375" style="282" customWidth="1"/>
    <col min="14" max="14" width="5.7109375" style="282" customWidth="1"/>
    <col min="15" max="15" width="3.42578125" style="282" customWidth="1"/>
    <col min="16" max="17" width="3.28515625" style="282" customWidth="1"/>
    <col min="18" max="18" width="3.28515625" style="281" customWidth="1"/>
    <col min="19" max="22" width="4.85546875" style="282" customWidth="1"/>
    <col min="23" max="23" width="4.85546875" style="281" customWidth="1"/>
    <col min="24" max="24" width="3.7109375" style="281" customWidth="1"/>
    <col min="25" max="25" width="0.85546875" style="281" customWidth="1"/>
    <col min="26" max="256" width="11.42578125" style="281"/>
    <col min="257" max="257" width="0.85546875" style="281" customWidth="1"/>
    <col min="258" max="258" width="3.7109375" style="281" customWidth="1"/>
    <col min="259" max="263" width="4.85546875" style="281" customWidth="1"/>
    <col min="264" max="266" width="3.28515625" style="281" customWidth="1"/>
    <col min="267" max="267" width="3.42578125" style="281" customWidth="1"/>
    <col min="268" max="268" width="5.7109375" style="281" customWidth="1"/>
    <col min="269" max="269" width="4.7109375" style="281" customWidth="1"/>
    <col min="270" max="270" width="5.7109375" style="281" customWidth="1"/>
    <col min="271" max="271" width="3.42578125" style="281" customWidth="1"/>
    <col min="272" max="274" width="3.28515625" style="281" customWidth="1"/>
    <col min="275" max="279" width="4.85546875" style="281" customWidth="1"/>
    <col min="280" max="280" width="3.7109375" style="281" customWidth="1"/>
    <col min="281" max="281" width="0.85546875" style="281" customWidth="1"/>
    <col min="282" max="512" width="11.42578125" style="281"/>
    <col min="513" max="513" width="0.85546875" style="281" customWidth="1"/>
    <col min="514" max="514" width="3.7109375" style="281" customWidth="1"/>
    <col min="515" max="519" width="4.85546875" style="281" customWidth="1"/>
    <col min="520" max="522" width="3.28515625" style="281" customWidth="1"/>
    <col min="523" max="523" width="3.42578125" style="281" customWidth="1"/>
    <col min="524" max="524" width="5.7109375" style="281" customWidth="1"/>
    <col min="525" max="525" width="4.7109375" style="281" customWidth="1"/>
    <col min="526" max="526" width="5.7109375" style="281" customWidth="1"/>
    <col min="527" max="527" width="3.42578125" style="281" customWidth="1"/>
    <col min="528" max="530" width="3.28515625" style="281" customWidth="1"/>
    <col min="531" max="535" width="4.85546875" style="281" customWidth="1"/>
    <col min="536" max="536" width="3.7109375" style="281" customWidth="1"/>
    <col min="537" max="537" width="0.85546875" style="281" customWidth="1"/>
    <col min="538" max="768" width="11.42578125" style="281"/>
    <col min="769" max="769" width="0.85546875" style="281" customWidth="1"/>
    <col min="770" max="770" width="3.7109375" style="281" customWidth="1"/>
    <col min="771" max="775" width="4.85546875" style="281" customWidth="1"/>
    <col min="776" max="778" width="3.28515625" style="281" customWidth="1"/>
    <col min="779" max="779" width="3.42578125" style="281" customWidth="1"/>
    <col min="780" max="780" width="5.7109375" style="281" customWidth="1"/>
    <col min="781" max="781" width="4.7109375" style="281" customWidth="1"/>
    <col min="782" max="782" width="5.7109375" style="281" customWidth="1"/>
    <col min="783" max="783" width="3.42578125" style="281" customWidth="1"/>
    <col min="784" max="786" width="3.28515625" style="281" customWidth="1"/>
    <col min="787" max="791" width="4.85546875" style="281" customWidth="1"/>
    <col min="792" max="792" width="3.7109375" style="281" customWidth="1"/>
    <col min="793" max="793" width="0.85546875" style="281" customWidth="1"/>
    <col min="794" max="1024" width="11.42578125" style="281"/>
    <col min="1025" max="1025" width="0.85546875" style="281" customWidth="1"/>
    <col min="1026" max="1026" width="3.7109375" style="281" customWidth="1"/>
    <col min="1027" max="1031" width="4.85546875" style="281" customWidth="1"/>
    <col min="1032" max="1034" width="3.28515625" style="281" customWidth="1"/>
    <col min="1035" max="1035" width="3.42578125" style="281" customWidth="1"/>
    <col min="1036" max="1036" width="5.7109375" style="281" customWidth="1"/>
    <col min="1037" max="1037" width="4.7109375" style="281" customWidth="1"/>
    <col min="1038" max="1038" width="5.7109375" style="281" customWidth="1"/>
    <col min="1039" max="1039" width="3.42578125" style="281" customWidth="1"/>
    <col min="1040" max="1042" width="3.28515625" style="281" customWidth="1"/>
    <col min="1043" max="1047" width="4.85546875" style="281" customWidth="1"/>
    <col min="1048" max="1048" width="3.7109375" style="281" customWidth="1"/>
    <col min="1049" max="1049" width="0.85546875" style="281" customWidth="1"/>
    <col min="1050" max="1280" width="11.42578125" style="281"/>
    <col min="1281" max="1281" width="0.85546875" style="281" customWidth="1"/>
    <col min="1282" max="1282" width="3.7109375" style="281" customWidth="1"/>
    <col min="1283" max="1287" width="4.85546875" style="281" customWidth="1"/>
    <col min="1288" max="1290" width="3.28515625" style="281" customWidth="1"/>
    <col min="1291" max="1291" width="3.42578125" style="281" customWidth="1"/>
    <col min="1292" max="1292" width="5.7109375" style="281" customWidth="1"/>
    <col min="1293" max="1293" width="4.7109375" style="281" customWidth="1"/>
    <col min="1294" max="1294" width="5.7109375" style="281" customWidth="1"/>
    <col min="1295" max="1295" width="3.42578125" style="281" customWidth="1"/>
    <col min="1296" max="1298" width="3.28515625" style="281" customWidth="1"/>
    <col min="1299" max="1303" width="4.85546875" style="281" customWidth="1"/>
    <col min="1304" max="1304" width="3.7109375" style="281" customWidth="1"/>
    <col min="1305" max="1305" width="0.85546875" style="281" customWidth="1"/>
    <col min="1306" max="1536" width="11.42578125" style="281"/>
    <col min="1537" max="1537" width="0.85546875" style="281" customWidth="1"/>
    <col min="1538" max="1538" width="3.7109375" style="281" customWidth="1"/>
    <col min="1539" max="1543" width="4.85546875" style="281" customWidth="1"/>
    <col min="1544" max="1546" width="3.28515625" style="281" customWidth="1"/>
    <col min="1547" max="1547" width="3.42578125" style="281" customWidth="1"/>
    <col min="1548" max="1548" width="5.7109375" style="281" customWidth="1"/>
    <col min="1549" max="1549" width="4.7109375" style="281" customWidth="1"/>
    <col min="1550" max="1550" width="5.7109375" style="281" customWidth="1"/>
    <col min="1551" max="1551" width="3.42578125" style="281" customWidth="1"/>
    <col min="1552" max="1554" width="3.28515625" style="281" customWidth="1"/>
    <col min="1555" max="1559" width="4.85546875" style="281" customWidth="1"/>
    <col min="1560" max="1560" width="3.7109375" style="281" customWidth="1"/>
    <col min="1561" max="1561" width="0.85546875" style="281" customWidth="1"/>
    <col min="1562" max="1792" width="11.42578125" style="281"/>
    <col min="1793" max="1793" width="0.85546875" style="281" customWidth="1"/>
    <col min="1794" max="1794" width="3.7109375" style="281" customWidth="1"/>
    <col min="1795" max="1799" width="4.85546875" style="281" customWidth="1"/>
    <col min="1800" max="1802" width="3.28515625" style="281" customWidth="1"/>
    <col min="1803" max="1803" width="3.42578125" style="281" customWidth="1"/>
    <col min="1804" max="1804" width="5.7109375" style="281" customWidth="1"/>
    <col min="1805" max="1805" width="4.7109375" style="281" customWidth="1"/>
    <col min="1806" max="1806" width="5.7109375" style="281" customWidth="1"/>
    <col min="1807" max="1807" width="3.42578125" style="281" customWidth="1"/>
    <col min="1808" max="1810" width="3.28515625" style="281" customWidth="1"/>
    <col min="1811" max="1815" width="4.85546875" style="281" customWidth="1"/>
    <col min="1816" max="1816" width="3.7109375" style="281" customWidth="1"/>
    <col min="1817" max="1817" width="0.85546875" style="281" customWidth="1"/>
    <col min="1818" max="2048" width="11.42578125" style="281"/>
    <col min="2049" max="2049" width="0.85546875" style="281" customWidth="1"/>
    <col min="2050" max="2050" width="3.7109375" style="281" customWidth="1"/>
    <col min="2051" max="2055" width="4.85546875" style="281" customWidth="1"/>
    <col min="2056" max="2058" width="3.28515625" style="281" customWidth="1"/>
    <col min="2059" max="2059" width="3.42578125" style="281" customWidth="1"/>
    <col min="2060" max="2060" width="5.7109375" style="281" customWidth="1"/>
    <col min="2061" max="2061" width="4.7109375" style="281" customWidth="1"/>
    <col min="2062" max="2062" width="5.7109375" style="281" customWidth="1"/>
    <col min="2063" max="2063" width="3.42578125" style="281" customWidth="1"/>
    <col min="2064" max="2066" width="3.28515625" style="281" customWidth="1"/>
    <col min="2067" max="2071" width="4.85546875" style="281" customWidth="1"/>
    <col min="2072" max="2072" width="3.7109375" style="281" customWidth="1"/>
    <col min="2073" max="2073" width="0.85546875" style="281" customWidth="1"/>
    <col min="2074" max="2304" width="11.42578125" style="281"/>
    <col min="2305" max="2305" width="0.85546875" style="281" customWidth="1"/>
    <col min="2306" max="2306" width="3.7109375" style="281" customWidth="1"/>
    <col min="2307" max="2311" width="4.85546875" style="281" customWidth="1"/>
    <col min="2312" max="2314" width="3.28515625" style="281" customWidth="1"/>
    <col min="2315" max="2315" width="3.42578125" style="281" customWidth="1"/>
    <col min="2316" max="2316" width="5.7109375" style="281" customWidth="1"/>
    <col min="2317" max="2317" width="4.7109375" style="281" customWidth="1"/>
    <col min="2318" max="2318" width="5.7109375" style="281" customWidth="1"/>
    <col min="2319" max="2319" width="3.42578125" style="281" customWidth="1"/>
    <col min="2320" max="2322" width="3.28515625" style="281" customWidth="1"/>
    <col min="2323" max="2327" width="4.85546875" style="281" customWidth="1"/>
    <col min="2328" max="2328" width="3.7109375" style="281" customWidth="1"/>
    <col min="2329" max="2329" width="0.85546875" style="281" customWidth="1"/>
    <col min="2330" max="2560" width="11.42578125" style="281"/>
    <col min="2561" max="2561" width="0.85546875" style="281" customWidth="1"/>
    <col min="2562" max="2562" width="3.7109375" style="281" customWidth="1"/>
    <col min="2563" max="2567" width="4.85546875" style="281" customWidth="1"/>
    <col min="2568" max="2570" width="3.28515625" style="281" customWidth="1"/>
    <col min="2571" max="2571" width="3.42578125" style="281" customWidth="1"/>
    <col min="2572" max="2572" width="5.7109375" style="281" customWidth="1"/>
    <col min="2573" max="2573" width="4.7109375" style="281" customWidth="1"/>
    <col min="2574" max="2574" width="5.7109375" style="281" customWidth="1"/>
    <col min="2575" max="2575" width="3.42578125" style="281" customWidth="1"/>
    <col min="2576" max="2578" width="3.28515625" style="281" customWidth="1"/>
    <col min="2579" max="2583" width="4.85546875" style="281" customWidth="1"/>
    <col min="2584" max="2584" width="3.7109375" style="281" customWidth="1"/>
    <col min="2585" max="2585" width="0.85546875" style="281" customWidth="1"/>
    <col min="2586" max="2816" width="11.42578125" style="281"/>
    <col min="2817" max="2817" width="0.85546875" style="281" customWidth="1"/>
    <col min="2818" max="2818" width="3.7109375" style="281" customWidth="1"/>
    <col min="2819" max="2823" width="4.85546875" style="281" customWidth="1"/>
    <col min="2824" max="2826" width="3.28515625" style="281" customWidth="1"/>
    <col min="2827" max="2827" width="3.42578125" style="281" customWidth="1"/>
    <col min="2828" max="2828" width="5.7109375" style="281" customWidth="1"/>
    <col min="2829" max="2829" width="4.7109375" style="281" customWidth="1"/>
    <col min="2830" max="2830" width="5.7109375" style="281" customWidth="1"/>
    <col min="2831" max="2831" width="3.42578125" style="281" customWidth="1"/>
    <col min="2832" max="2834" width="3.28515625" style="281" customWidth="1"/>
    <col min="2835" max="2839" width="4.85546875" style="281" customWidth="1"/>
    <col min="2840" max="2840" width="3.7109375" style="281" customWidth="1"/>
    <col min="2841" max="2841" width="0.85546875" style="281" customWidth="1"/>
    <col min="2842" max="3072" width="11.42578125" style="281"/>
    <col min="3073" max="3073" width="0.85546875" style="281" customWidth="1"/>
    <col min="3074" max="3074" width="3.7109375" style="281" customWidth="1"/>
    <col min="3075" max="3079" width="4.85546875" style="281" customWidth="1"/>
    <col min="3080" max="3082" width="3.28515625" style="281" customWidth="1"/>
    <col min="3083" max="3083" width="3.42578125" style="281" customWidth="1"/>
    <col min="3084" max="3084" width="5.7109375" style="281" customWidth="1"/>
    <col min="3085" max="3085" width="4.7109375" style="281" customWidth="1"/>
    <col min="3086" max="3086" width="5.7109375" style="281" customWidth="1"/>
    <col min="3087" max="3087" width="3.42578125" style="281" customWidth="1"/>
    <col min="3088" max="3090" width="3.28515625" style="281" customWidth="1"/>
    <col min="3091" max="3095" width="4.85546875" style="281" customWidth="1"/>
    <col min="3096" max="3096" width="3.7109375" style="281" customWidth="1"/>
    <col min="3097" max="3097" width="0.85546875" style="281" customWidth="1"/>
    <col min="3098" max="3328" width="11.42578125" style="281"/>
    <col min="3329" max="3329" width="0.85546875" style="281" customWidth="1"/>
    <col min="3330" max="3330" width="3.7109375" style="281" customWidth="1"/>
    <col min="3331" max="3335" width="4.85546875" style="281" customWidth="1"/>
    <col min="3336" max="3338" width="3.28515625" style="281" customWidth="1"/>
    <col min="3339" max="3339" width="3.42578125" style="281" customWidth="1"/>
    <col min="3340" max="3340" width="5.7109375" style="281" customWidth="1"/>
    <col min="3341" max="3341" width="4.7109375" style="281" customWidth="1"/>
    <col min="3342" max="3342" width="5.7109375" style="281" customWidth="1"/>
    <col min="3343" max="3343" width="3.42578125" style="281" customWidth="1"/>
    <col min="3344" max="3346" width="3.28515625" style="281" customWidth="1"/>
    <col min="3347" max="3351" width="4.85546875" style="281" customWidth="1"/>
    <col min="3352" max="3352" width="3.7109375" style="281" customWidth="1"/>
    <col min="3353" max="3353" width="0.85546875" style="281" customWidth="1"/>
    <col min="3354" max="3584" width="11.42578125" style="281"/>
    <col min="3585" max="3585" width="0.85546875" style="281" customWidth="1"/>
    <col min="3586" max="3586" width="3.7109375" style="281" customWidth="1"/>
    <col min="3587" max="3591" width="4.85546875" style="281" customWidth="1"/>
    <col min="3592" max="3594" width="3.28515625" style="281" customWidth="1"/>
    <col min="3595" max="3595" width="3.42578125" style="281" customWidth="1"/>
    <col min="3596" max="3596" width="5.7109375" style="281" customWidth="1"/>
    <col min="3597" max="3597" width="4.7109375" style="281" customWidth="1"/>
    <col min="3598" max="3598" width="5.7109375" style="281" customWidth="1"/>
    <col min="3599" max="3599" width="3.42578125" style="281" customWidth="1"/>
    <col min="3600" max="3602" width="3.28515625" style="281" customWidth="1"/>
    <col min="3603" max="3607" width="4.85546875" style="281" customWidth="1"/>
    <col min="3608" max="3608" width="3.7109375" style="281" customWidth="1"/>
    <col min="3609" max="3609" width="0.85546875" style="281" customWidth="1"/>
    <col min="3610" max="3840" width="11.42578125" style="281"/>
    <col min="3841" max="3841" width="0.85546875" style="281" customWidth="1"/>
    <col min="3842" max="3842" width="3.7109375" style="281" customWidth="1"/>
    <col min="3843" max="3847" width="4.85546875" style="281" customWidth="1"/>
    <col min="3848" max="3850" width="3.28515625" style="281" customWidth="1"/>
    <col min="3851" max="3851" width="3.42578125" style="281" customWidth="1"/>
    <col min="3852" max="3852" width="5.7109375" style="281" customWidth="1"/>
    <col min="3853" max="3853" width="4.7109375" style="281" customWidth="1"/>
    <col min="3854" max="3854" width="5.7109375" style="281" customWidth="1"/>
    <col min="3855" max="3855" width="3.42578125" style="281" customWidth="1"/>
    <col min="3856" max="3858" width="3.28515625" style="281" customWidth="1"/>
    <col min="3859" max="3863" width="4.85546875" style="281" customWidth="1"/>
    <col min="3864" max="3864" width="3.7109375" style="281" customWidth="1"/>
    <col min="3865" max="3865" width="0.85546875" style="281" customWidth="1"/>
    <col min="3866" max="4096" width="11.42578125" style="281"/>
    <col min="4097" max="4097" width="0.85546875" style="281" customWidth="1"/>
    <col min="4098" max="4098" width="3.7109375" style="281" customWidth="1"/>
    <col min="4099" max="4103" width="4.85546875" style="281" customWidth="1"/>
    <col min="4104" max="4106" width="3.28515625" style="281" customWidth="1"/>
    <col min="4107" max="4107" width="3.42578125" style="281" customWidth="1"/>
    <col min="4108" max="4108" width="5.7109375" style="281" customWidth="1"/>
    <col min="4109" max="4109" width="4.7109375" style="281" customWidth="1"/>
    <col min="4110" max="4110" width="5.7109375" style="281" customWidth="1"/>
    <col min="4111" max="4111" width="3.42578125" style="281" customWidth="1"/>
    <col min="4112" max="4114" width="3.28515625" style="281" customWidth="1"/>
    <col min="4115" max="4119" width="4.85546875" style="281" customWidth="1"/>
    <col min="4120" max="4120" width="3.7109375" style="281" customWidth="1"/>
    <col min="4121" max="4121" width="0.85546875" style="281" customWidth="1"/>
    <col min="4122" max="4352" width="11.42578125" style="281"/>
    <col min="4353" max="4353" width="0.85546875" style="281" customWidth="1"/>
    <col min="4354" max="4354" width="3.7109375" style="281" customWidth="1"/>
    <col min="4355" max="4359" width="4.85546875" style="281" customWidth="1"/>
    <col min="4360" max="4362" width="3.28515625" style="281" customWidth="1"/>
    <col min="4363" max="4363" width="3.42578125" style="281" customWidth="1"/>
    <col min="4364" max="4364" width="5.7109375" style="281" customWidth="1"/>
    <col min="4365" max="4365" width="4.7109375" style="281" customWidth="1"/>
    <col min="4366" max="4366" width="5.7109375" style="281" customWidth="1"/>
    <col min="4367" max="4367" width="3.42578125" style="281" customWidth="1"/>
    <col min="4368" max="4370" width="3.28515625" style="281" customWidth="1"/>
    <col min="4371" max="4375" width="4.85546875" style="281" customWidth="1"/>
    <col min="4376" max="4376" width="3.7109375" style="281" customWidth="1"/>
    <col min="4377" max="4377" width="0.85546875" style="281" customWidth="1"/>
    <col min="4378" max="4608" width="11.42578125" style="281"/>
    <col min="4609" max="4609" width="0.85546875" style="281" customWidth="1"/>
    <col min="4610" max="4610" width="3.7109375" style="281" customWidth="1"/>
    <col min="4611" max="4615" width="4.85546875" style="281" customWidth="1"/>
    <col min="4616" max="4618" width="3.28515625" style="281" customWidth="1"/>
    <col min="4619" max="4619" width="3.42578125" style="281" customWidth="1"/>
    <col min="4620" max="4620" width="5.7109375" style="281" customWidth="1"/>
    <col min="4621" max="4621" width="4.7109375" style="281" customWidth="1"/>
    <col min="4622" max="4622" width="5.7109375" style="281" customWidth="1"/>
    <col min="4623" max="4623" width="3.42578125" style="281" customWidth="1"/>
    <col min="4624" max="4626" width="3.28515625" style="281" customWidth="1"/>
    <col min="4627" max="4631" width="4.85546875" style="281" customWidth="1"/>
    <col min="4632" max="4632" width="3.7109375" style="281" customWidth="1"/>
    <col min="4633" max="4633" width="0.85546875" style="281" customWidth="1"/>
    <col min="4634" max="4864" width="11.42578125" style="281"/>
    <col min="4865" max="4865" width="0.85546875" style="281" customWidth="1"/>
    <col min="4866" max="4866" width="3.7109375" style="281" customWidth="1"/>
    <col min="4867" max="4871" width="4.85546875" style="281" customWidth="1"/>
    <col min="4872" max="4874" width="3.28515625" style="281" customWidth="1"/>
    <col min="4875" max="4875" width="3.42578125" style="281" customWidth="1"/>
    <col min="4876" max="4876" width="5.7109375" style="281" customWidth="1"/>
    <col min="4877" max="4877" width="4.7109375" style="281" customWidth="1"/>
    <col min="4878" max="4878" width="5.7109375" style="281" customWidth="1"/>
    <col min="4879" max="4879" width="3.42578125" style="281" customWidth="1"/>
    <col min="4880" max="4882" width="3.28515625" style="281" customWidth="1"/>
    <col min="4883" max="4887" width="4.85546875" style="281" customWidth="1"/>
    <col min="4888" max="4888" width="3.7109375" style="281" customWidth="1"/>
    <col min="4889" max="4889" width="0.85546875" style="281" customWidth="1"/>
    <col min="4890" max="5120" width="11.42578125" style="281"/>
    <col min="5121" max="5121" width="0.85546875" style="281" customWidth="1"/>
    <col min="5122" max="5122" width="3.7109375" style="281" customWidth="1"/>
    <col min="5123" max="5127" width="4.85546875" style="281" customWidth="1"/>
    <col min="5128" max="5130" width="3.28515625" style="281" customWidth="1"/>
    <col min="5131" max="5131" width="3.42578125" style="281" customWidth="1"/>
    <col min="5132" max="5132" width="5.7109375" style="281" customWidth="1"/>
    <col min="5133" max="5133" width="4.7109375" style="281" customWidth="1"/>
    <col min="5134" max="5134" width="5.7109375" style="281" customWidth="1"/>
    <col min="5135" max="5135" width="3.42578125" style="281" customWidth="1"/>
    <col min="5136" max="5138" width="3.28515625" style="281" customWidth="1"/>
    <col min="5139" max="5143" width="4.85546875" style="281" customWidth="1"/>
    <col min="5144" max="5144" width="3.7109375" style="281" customWidth="1"/>
    <col min="5145" max="5145" width="0.85546875" style="281" customWidth="1"/>
    <col min="5146" max="5376" width="11.42578125" style="281"/>
    <col min="5377" max="5377" width="0.85546875" style="281" customWidth="1"/>
    <col min="5378" max="5378" width="3.7109375" style="281" customWidth="1"/>
    <col min="5379" max="5383" width="4.85546875" style="281" customWidth="1"/>
    <col min="5384" max="5386" width="3.28515625" style="281" customWidth="1"/>
    <col min="5387" max="5387" width="3.42578125" style="281" customWidth="1"/>
    <col min="5388" max="5388" width="5.7109375" style="281" customWidth="1"/>
    <col min="5389" max="5389" width="4.7109375" style="281" customWidth="1"/>
    <col min="5390" max="5390" width="5.7109375" style="281" customWidth="1"/>
    <col min="5391" max="5391" width="3.42578125" style="281" customWidth="1"/>
    <col min="5392" max="5394" width="3.28515625" style="281" customWidth="1"/>
    <col min="5395" max="5399" width="4.85546875" style="281" customWidth="1"/>
    <col min="5400" max="5400" width="3.7109375" style="281" customWidth="1"/>
    <col min="5401" max="5401" width="0.85546875" style="281" customWidth="1"/>
    <col min="5402" max="5632" width="11.42578125" style="281"/>
    <col min="5633" max="5633" width="0.85546875" style="281" customWidth="1"/>
    <col min="5634" max="5634" width="3.7109375" style="281" customWidth="1"/>
    <col min="5635" max="5639" width="4.85546875" style="281" customWidth="1"/>
    <col min="5640" max="5642" width="3.28515625" style="281" customWidth="1"/>
    <col min="5643" max="5643" width="3.42578125" style="281" customWidth="1"/>
    <col min="5644" max="5644" width="5.7109375" style="281" customWidth="1"/>
    <col min="5645" max="5645" width="4.7109375" style="281" customWidth="1"/>
    <col min="5646" max="5646" width="5.7109375" style="281" customWidth="1"/>
    <col min="5647" max="5647" width="3.42578125" style="281" customWidth="1"/>
    <col min="5648" max="5650" width="3.28515625" style="281" customWidth="1"/>
    <col min="5651" max="5655" width="4.85546875" style="281" customWidth="1"/>
    <col min="5656" max="5656" width="3.7109375" style="281" customWidth="1"/>
    <col min="5657" max="5657" width="0.85546875" style="281" customWidth="1"/>
    <col min="5658" max="5888" width="11.42578125" style="281"/>
    <col min="5889" max="5889" width="0.85546875" style="281" customWidth="1"/>
    <col min="5890" max="5890" width="3.7109375" style="281" customWidth="1"/>
    <col min="5891" max="5895" width="4.85546875" style="281" customWidth="1"/>
    <col min="5896" max="5898" width="3.28515625" style="281" customWidth="1"/>
    <col min="5899" max="5899" width="3.42578125" style="281" customWidth="1"/>
    <col min="5900" max="5900" width="5.7109375" style="281" customWidth="1"/>
    <col min="5901" max="5901" width="4.7109375" style="281" customWidth="1"/>
    <col min="5902" max="5902" width="5.7109375" style="281" customWidth="1"/>
    <col min="5903" max="5903" width="3.42578125" style="281" customWidth="1"/>
    <col min="5904" max="5906" width="3.28515625" style="281" customWidth="1"/>
    <col min="5907" max="5911" width="4.85546875" style="281" customWidth="1"/>
    <col min="5912" max="5912" width="3.7109375" style="281" customWidth="1"/>
    <col min="5913" max="5913" width="0.85546875" style="281" customWidth="1"/>
    <col min="5914" max="6144" width="11.42578125" style="281"/>
    <col min="6145" max="6145" width="0.85546875" style="281" customWidth="1"/>
    <col min="6146" max="6146" width="3.7109375" style="281" customWidth="1"/>
    <col min="6147" max="6151" width="4.85546875" style="281" customWidth="1"/>
    <col min="6152" max="6154" width="3.28515625" style="281" customWidth="1"/>
    <col min="6155" max="6155" width="3.42578125" style="281" customWidth="1"/>
    <col min="6156" max="6156" width="5.7109375" style="281" customWidth="1"/>
    <col min="6157" max="6157" width="4.7109375" style="281" customWidth="1"/>
    <col min="6158" max="6158" width="5.7109375" style="281" customWidth="1"/>
    <col min="6159" max="6159" width="3.42578125" style="281" customWidth="1"/>
    <col min="6160" max="6162" width="3.28515625" style="281" customWidth="1"/>
    <col min="6163" max="6167" width="4.85546875" style="281" customWidth="1"/>
    <col min="6168" max="6168" width="3.7109375" style="281" customWidth="1"/>
    <col min="6169" max="6169" width="0.85546875" style="281" customWidth="1"/>
    <col min="6170" max="6400" width="11.42578125" style="281"/>
    <col min="6401" max="6401" width="0.85546875" style="281" customWidth="1"/>
    <col min="6402" max="6402" width="3.7109375" style="281" customWidth="1"/>
    <col min="6403" max="6407" width="4.85546875" style="281" customWidth="1"/>
    <col min="6408" max="6410" width="3.28515625" style="281" customWidth="1"/>
    <col min="6411" max="6411" width="3.42578125" style="281" customWidth="1"/>
    <col min="6412" max="6412" width="5.7109375" style="281" customWidth="1"/>
    <col min="6413" max="6413" width="4.7109375" style="281" customWidth="1"/>
    <col min="6414" max="6414" width="5.7109375" style="281" customWidth="1"/>
    <col min="6415" max="6415" width="3.42578125" style="281" customWidth="1"/>
    <col min="6416" max="6418" width="3.28515625" style="281" customWidth="1"/>
    <col min="6419" max="6423" width="4.85546875" style="281" customWidth="1"/>
    <col min="6424" max="6424" width="3.7109375" style="281" customWidth="1"/>
    <col min="6425" max="6425" width="0.85546875" style="281" customWidth="1"/>
    <col min="6426" max="6656" width="11.42578125" style="281"/>
    <col min="6657" max="6657" width="0.85546875" style="281" customWidth="1"/>
    <col min="6658" max="6658" width="3.7109375" style="281" customWidth="1"/>
    <col min="6659" max="6663" width="4.85546875" style="281" customWidth="1"/>
    <col min="6664" max="6666" width="3.28515625" style="281" customWidth="1"/>
    <col min="6667" max="6667" width="3.42578125" style="281" customWidth="1"/>
    <col min="6668" max="6668" width="5.7109375" style="281" customWidth="1"/>
    <col min="6669" max="6669" width="4.7109375" style="281" customWidth="1"/>
    <col min="6670" max="6670" width="5.7109375" style="281" customWidth="1"/>
    <col min="6671" max="6671" width="3.42578125" style="281" customWidth="1"/>
    <col min="6672" max="6674" width="3.28515625" style="281" customWidth="1"/>
    <col min="6675" max="6679" width="4.85546875" style="281" customWidth="1"/>
    <col min="6680" max="6680" width="3.7109375" style="281" customWidth="1"/>
    <col min="6681" max="6681" width="0.85546875" style="281" customWidth="1"/>
    <col min="6682" max="6912" width="11.42578125" style="281"/>
    <col min="6913" max="6913" width="0.85546875" style="281" customWidth="1"/>
    <col min="6914" max="6914" width="3.7109375" style="281" customWidth="1"/>
    <col min="6915" max="6919" width="4.85546875" style="281" customWidth="1"/>
    <col min="6920" max="6922" width="3.28515625" style="281" customWidth="1"/>
    <col min="6923" max="6923" width="3.42578125" style="281" customWidth="1"/>
    <col min="6924" max="6924" width="5.7109375" style="281" customWidth="1"/>
    <col min="6925" max="6925" width="4.7109375" style="281" customWidth="1"/>
    <col min="6926" max="6926" width="5.7109375" style="281" customWidth="1"/>
    <col min="6927" max="6927" width="3.42578125" style="281" customWidth="1"/>
    <col min="6928" max="6930" width="3.28515625" style="281" customWidth="1"/>
    <col min="6931" max="6935" width="4.85546875" style="281" customWidth="1"/>
    <col min="6936" max="6936" width="3.7109375" style="281" customWidth="1"/>
    <col min="6937" max="6937" width="0.85546875" style="281" customWidth="1"/>
    <col min="6938" max="7168" width="11.42578125" style="281"/>
    <col min="7169" max="7169" width="0.85546875" style="281" customWidth="1"/>
    <col min="7170" max="7170" width="3.7109375" style="281" customWidth="1"/>
    <col min="7171" max="7175" width="4.85546875" style="281" customWidth="1"/>
    <col min="7176" max="7178" width="3.28515625" style="281" customWidth="1"/>
    <col min="7179" max="7179" width="3.42578125" style="281" customWidth="1"/>
    <col min="7180" max="7180" width="5.7109375" style="281" customWidth="1"/>
    <col min="7181" max="7181" width="4.7109375" style="281" customWidth="1"/>
    <col min="7182" max="7182" width="5.7109375" style="281" customWidth="1"/>
    <col min="7183" max="7183" width="3.42578125" style="281" customWidth="1"/>
    <col min="7184" max="7186" width="3.28515625" style="281" customWidth="1"/>
    <col min="7187" max="7191" width="4.85546875" style="281" customWidth="1"/>
    <col min="7192" max="7192" width="3.7109375" style="281" customWidth="1"/>
    <col min="7193" max="7193" width="0.85546875" style="281" customWidth="1"/>
    <col min="7194" max="7424" width="11.42578125" style="281"/>
    <col min="7425" max="7425" width="0.85546875" style="281" customWidth="1"/>
    <col min="7426" max="7426" width="3.7109375" style="281" customWidth="1"/>
    <col min="7427" max="7431" width="4.85546875" style="281" customWidth="1"/>
    <col min="7432" max="7434" width="3.28515625" style="281" customWidth="1"/>
    <col min="7435" max="7435" width="3.42578125" style="281" customWidth="1"/>
    <col min="7436" max="7436" width="5.7109375" style="281" customWidth="1"/>
    <col min="7437" max="7437" width="4.7109375" style="281" customWidth="1"/>
    <col min="7438" max="7438" width="5.7109375" style="281" customWidth="1"/>
    <col min="7439" max="7439" width="3.42578125" style="281" customWidth="1"/>
    <col min="7440" max="7442" width="3.28515625" style="281" customWidth="1"/>
    <col min="7443" max="7447" width="4.85546875" style="281" customWidth="1"/>
    <col min="7448" max="7448" width="3.7109375" style="281" customWidth="1"/>
    <col min="7449" max="7449" width="0.85546875" style="281" customWidth="1"/>
    <col min="7450" max="7680" width="11.42578125" style="281"/>
    <col min="7681" max="7681" width="0.85546875" style="281" customWidth="1"/>
    <col min="7682" max="7682" width="3.7109375" style="281" customWidth="1"/>
    <col min="7683" max="7687" width="4.85546875" style="281" customWidth="1"/>
    <col min="7688" max="7690" width="3.28515625" style="281" customWidth="1"/>
    <col min="7691" max="7691" width="3.42578125" style="281" customWidth="1"/>
    <col min="7692" max="7692" width="5.7109375" style="281" customWidth="1"/>
    <col min="7693" max="7693" width="4.7109375" style="281" customWidth="1"/>
    <col min="7694" max="7694" width="5.7109375" style="281" customWidth="1"/>
    <col min="7695" max="7695" width="3.42578125" style="281" customWidth="1"/>
    <col min="7696" max="7698" width="3.28515625" style="281" customWidth="1"/>
    <col min="7699" max="7703" width="4.85546875" style="281" customWidth="1"/>
    <col min="7704" max="7704" width="3.7109375" style="281" customWidth="1"/>
    <col min="7705" max="7705" width="0.85546875" style="281" customWidth="1"/>
    <col min="7706" max="7936" width="11.42578125" style="281"/>
    <col min="7937" max="7937" width="0.85546875" style="281" customWidth="1"/>
    <col min="7938" max="7938" width="3.7109375" style="281" customWidth="1"/>
    <col min="7939" max="7943" width="4.85546875" style="281" customWidth="1"/>
    <col min="7944" max="7946" width="3.28515625" style="281" customWidth="1"/>
    <col min="7947" max="7947" width="3.42578125" style="281" customWidth="1"/>
    <col min="7948" max="7948" width="5.7109375" style="281" customWidth="1"/>
    <col min="7949" max="7949" width="4.7109375" style="281" customWidth="1"/>
    <col min="7950" max="7950" width="5.7109375" style="281" customWidth="1"/>
    <col min="7951" max="7951" width="3.42578125" style="281" customWidth="1"/>
    <col min="7952" max="7954" width="3.28515625" style="281" customWidth="1"/>
    <col min="7955" max="7959" width="4.85546875" style="281" customWidth="1"/>
    <col min="7960" max="7960" width="3.7109375" style="281" customWidth="1"/>
    <col min="7961" max="7961" width="0.85546875" style="281" customWidth="1"/>
    <col min="7962" max="8192" width="11.42578125" style="281"/>
    <col min="8193" max="8193" width="0.85546875" style="281" customWidth="1"/>
    <col min="8194" max="8194" width="3.7109375" style="281" customWidth="1"/>
    <col min="8195" max="8199" width="4.85546875" style="281" customWidth="1"/>
    <col min="8200" max="8202" width="3.28515625" style="281" customWidth="1"/>
    <col min="8203" max="8203" width="3.42578125" style="281" customWidth="1"/>
    <col min="8204" max="8204" width="5.7109375" style="281" customWidth="1"/>
    <col min="8205" max="8205" width="4.7109375" style="281" customWidth="1"/>
    <col min="8206" max="8206" width="5.7109375" style="281" customWidth="1"/>
    <col min="8207" max="8207" width="3.42578125" style="281" customWidth="1"/>
    <col min="8208" max="8210" width="3.28515625" style="281" customWidth="1"/>
    <col min="8211" max="8215" width="4.85546875" style="281" customWidth="1"/>
    <col min="8216" max="8216" width="3.7109375" style="281" customWidth="1"/>
    <col min="8217" max="8217" width="0.85546875" style="281" customWidth="1"/>
    <col min="8218" max="8448" width="11.42578125" style="281"/>
    <col min="8449" max="8449" width="0.85546875" style="281" customWidth="1"/>
    <col min="8450" max="8450" width="3.7109375" style="281" customWidth="1"/>
    <col min="8451" max="8455" width="4.85546875" style="281" customWidth="1"/>
    <col min="8456" max="8458" width="3.28515625" style="281" customWidth="1"/>
    <col min="8459" max="8459" width="3.42578125" style="281" customWidth="1"/>
    <col min="8460" max="8460" width="5.7109375" style="281" customWidth="1"/>
    <col min="8461" max="8461" width="4.7109375" style="281" customWidth="1"/>
    <col min="8462" max="8462" width="5.7109375" style="281" customWidth="1"/>
    <col min="8463" max="8463" width="3.42578125" style="281" customWidth="1"/>
    <col min="8464" max="8466" width="3.28515625" style="281" customWidth="1"/>
    <col min="8467" max="8471" width="4.85546875" style="281" customWidth="1"/>
    <col min="8472" max="8472" width="3.7109375" style="281" customWidth="1"/>
    <col min="8473" max="8473" width="0.85546875" style="281" customWidth="1"/>
    <col min="8474" max="8704" width="11.42578125" style="281"/>
    <col min="8705" max="8705" width="0.85546875" style="281" customWidth="1"/>
    <col min="8706" max="8706" width="3.7109375" style="281" customWidth="1"/>
    <col min="8707" max="8711" width="4.85546875" style="281" customWidth="1"/>
    <col min="8712" max="8714" width="3.28515625" style="281" customWidth="1"/>
    <col min="8715" max="8715" width="3.42578125" style="281" customWidth="1"/>
    <col min="8716" max="8716" width="5.7109375" style="281" customWidth="1"/>
    <col min="8717" max="8717" width="4.7109375" style="281" customWidth="1"/>
    <col min="8718" max="8718" width="5.7109375" style="281" customWidth="1"/>
    <col min="8719" max="8719" width="3.42578125" style="281" customWidth="1"/>
    <col min="8720" max="8722" width="3.28515625" style="281" customWidth="1"/>
    <col min="8723" max="8727" width="4.85546875" style="281" customWidth="1"/>
    <col min="8728" max="8728" width="3.7109375" style="281" customWidth="1"/>
    <col min="8729" max="8729" width="0.85546875" style="281" customWidth="1"/>
    <col min="8730" max="8960" width="11.42578125" style="281"/>
    <col min="8961" max="8961" width="0.85546875" style="281" customWidth="1"/>
    <col min="8962" max="8962" width="3.7109375" style="281" customWidth="1"/>
    <col min="8963" max="8967" width="4.85546875" style="281" customWidth="1"/>
    <col min="8968" max="8970" width="3.28515625" style="281" customWidth="1"/>
    <col min="8971" max="8971" width="3.42578125" style="281" customWidth="1"/>
    <col min="8972" max="8972" width="5.7109375" style="281" customWidth="1"/>
    <col min="8973" max="8973" width="4.7109375" style="281" customWidth="1"/>
    <col min="8974" max="8974" width="5.7109375" style="281" customWidth="1"/>
    <col min="8975" max="8975" width="3.42578125" style="281" customWidth="1"/>
    <col min="8976" max="8978" width="3.28515625" style="281" customWidth="1"/>
    <col min="8979" max="8983" width="4.85546875" style="281" customWidth="1"/>
    <col min="8984" max="8984" width="3.7109375" style="281" customWidth="1"/>
    <col min="8985" max="8985" width="0.85546875" style="281" customWidth="1"/>
    <col min="8986" max="9216" width="11.42578125" style="281"/>
    <col min="9217" max="9217" width="0.85546875" style="281" customWidth="1"/>
    <col min="9218" max="9218" width="3.7109375" style="281" customWidth="1"/>
    <col min="9219" max="9223" width="4.85546875" style="281" customWidth="1"/>
    <col min="9224" max="9226" width="3.28515625" style="281" customWidth="1"/>
    <col min="9227" max="9227" width="3.42578125" style="281" customWidth="1"/>
    <col min="9228" max="9228" width="5.7109375" style="281" customWidth="1"/>
    <col min="9229" max="9229" width="4.7109375" style="281" customWidth="1"/>
    <col min="9230" max="9230" width="5.7109375" style="281" customWidth="1"/>
    <col min="9231" max="9231" width="3.42578125" style="281" customWidth="1"/>
    <col min="9232" max="9234" width="3.28515625" style="281" customWidth="1"/>
    <col min="9235" max="9239" width="4.85546875" style="281" customWidth="1"/>
    <col min="9240" max="9240" width="3.7109375" style="281" customWidth="1"/>
    <col min="9241" max="9241" width="0.85546875" style="281" customWidth="1"/>
    <col min="9242" max="9472" width="11.42578125" style="281"/>
    <col min="9473" max="9473" width="0.85546875" style="281" customWidth="1"/>
    <col min="9474" max="9474" width="3.7109375" style="281" customWidth="1"/>
    <col min="9475" max="9479" width="4.85546875" style="281" customWidth="1"/>
    <col min="9480" max="9482" width="3.28515625" style="281" customWidth="1"/>
    <col min="9483" max="9483" width="3.42578125" style="281" customWidth="1"/>
    <col min="9484" max="9484" width="5.7109375" style="281" customWidth="1"/>
    <col min="9485" max="9485" width="4.7109375" style="281" customWidth="1"/>
    <col min="9486" max="9486" width="5.7109375" style="281" customWidth="1"/>
    <col min="9487" max="9487" width="3.42578125" style="281" customWidth="1"/>
    <col min="9488" max="9490" width="3.28515625" style="281" customWidth="1"/>
    <col min="9491" max="9495" width="4.85546875" style="281" customWidth="1"/>
    <col min="9496" max="9496" width="3.7109375" style="281" customWidth="1"/>
    <col min="9497" max="9497" width="0.85546875" style="281" customWidth="1"/>
    <col min="9498" max="9728" width="11.42578125" style="281"/>
    <col min="9729" max="9729" width="0.85546875" style="281" customWidth="1"/>
    <col min="9730" max="9730" width="3.7109375" style="281" customWidth="1"/>
    <col min="9731" max="9735" width="4.85546875" style="281" customWidth="1"/>
    <col min="9736" max="9738" width="3.28515625" style="281" customWidth="1"/>
    <col min="9739" max="9739" width="3.42578125" style="281" customWidth="1"/>
    <col min="9740" max="9740" width="5.7109375" style="281" customWidth="1"/>
    <col min="9741" max="9741" width="4.7109375" style="281" customWidth="1"/>
    <col min="9742" max="9742" width="5.7109375" style="281" customWidth="1"/>
    <col min="9743" max="9743" width="3.42578125" style="281" customWidth="1"/>
    <col min="9744" max="9746" width="3.28515625" style="281" customWidth="1"/>
    <col min="9747" max="9751" width="4.85546875" style="281" customWidth="1"/>
    <col min="9752" max="9752" width="3.7109375" style="281" customWidth="1"/>
    <col min="9753" max="9753" width="0.85546875" style="281" customWidth="1"/>
    <col min="9754" max="9984" width="11.42578125" style="281"/>
    <col min="9985" max="9985" width="0.85546875" style="281" customWidth="1"/>
    <col min="9986" max="9986" width="3.7109375" style="281" customWidth="1"/>
    <col min="9987" max="9991" width="4.85546875" style="281" customWidth="1"/>
    <col min="9992" max="9994" width="3.28515625" style="281" customWidth="1"/>
    <col min="9995" max="9995" width="3.42578125" style="281" customWidth="1"/>
    <col min="9996" max="9996" width="5.7109375" style="281" customWidth="1"/>
    <col min="9997" max="9997" width="4.7109375" style="281" customWidth="1"/>
    <col min="9998" max="9998" width="5.7109375" style="281" customWidth="1"/>
    <col min="9999" max="9999" width="3.42578125" style="281" customWidth="1"/>
    <col min="10000" max="10002" width="3.28515625" style="281" customWidth="1"/>
    <col min="10003" max="10007" width="4.85546875" style="281" customWidth="1"/>
    <col min="10008" max="10008" width="3.7109375" style="281" customWidth="1"/>
    <col min="10009" max="10009" width="0.85546875" style="281" customWidth="1"/>
    <col min="10010" max="10240" width="11.42578125" style="281"/>
    <col min="10241" max="10241" width="0.85546875" style="281" customWidth="1"/>
    <col min="10242" max="10242" width="3.7109375" style="281" customWidth="1"/>
    <col min="10243" max="10247" width="4.85546875" style="281" customWidth="1"/>
    <col min="10248" max="10250" width="3.28515625" style="281" customWidth="1"/>
    <col min="10251" max="10251" width="3.42578125" style="281" customWidth="1"/>
    <col min="10252" max="10252" width="5.7109375" style="281" customWidth="1"/>
    <col min="10253" max="10253" width="4.7109375" style="281" customWidth="1"/>
    <col min="10254" max="10254" width="5.7109375" style="281" customWidth="1"/>
    <col min="10255" max="10255" width="3.42578125" style="281" customWidth="1"/>
    <col min="10256" max="10258" width="3.28515625" style="281" customWidth="1"/>
    <col min="10259" max="10263" width="4.85546875" style="281" customWidth="1"/>
    <col min="10264" max="10264" width="3.7109375" style="281" customWidth="1"/>
    <col min="10265" max="10265" width="0.85546875" style="281" customWidth="1"/>
    <col min="10266" max="10496" width="11.42578125" style="281"/>
    <col min="10497" max="10497" width="0.85546875" style="281" customWidth="1"/>
    <col min="10498" max="10498" width="3.7109375" style="281" customWidth="1"/>
    <col min="10499" max="10503" width="4.85546875" style="281" customWidth="1"/>
    <col min="10504" max="10506" width="3.28515625" style="281" customWidth="1"/>
    <col min="10507" max="10507" width="3.42578125" style="281" customWidth="1"/>
    <col min="10508" max="10508" width="5.7109375" style="281" customWidth="1"/>
    <col min="10509" max="10509" width="4.7109375" style="281" customWidth="1"/>
    <col min="10510" max="10510" width="5.7109375" style="281" customWidth="1"/>
    <col min="10511" max="10511" width="3.42578125" style="281" customWidth="1"/>
    <col min="10512" max="10514" width="3.28515625" style="281" customWidth="1"/>
    <col min="10515" max="10519" width="4.85546875" style="281" customWidth="1"/>
    <col min="10520" max="10520" width="3.7109375" style="281" customWidth="1"/>
    <col min="10521" max="10521" width="0.85546875" style="281" customWidth="1"/>
    <col min="10522" max="10752" width="11.42578125" style="281"/>
    <col min="10753" max="10753" width="0.85546875" style="281" customWidth="1"/>
    <col min="10754" max="10754" width="3.7109375" style="281" customWidth="1"/>
    <col min="10755" max="10759" width="4.85546875" style="281" customWidth="1"/>
    <col min="10760" max="10762" width="3.28515625" style="281" customWidth="1"/>
    <col min="10763" max="10763" width="3.42578125" style="281" customWidth="1"/>
    <col min="10764" max="10764" width="5.7109375" style="281" customWidth="1"/>
    <col min="10765" max="10765" width="4.7109375" style="281" customWidth="1"/>
    <col min="10766" max="10766" width="5.7109375" style="281" customWidth="1"/>
    <col min="10767" max="10767" width="3.42578125" style="281" customWidth="1"/>
    <col min="10768" max="10770" width="3.28515625" style="281" customWidth="1"/>
    <col min="10771" max="10775" width="4.85546875" style="281" customWidth="1"/>
    <col min="10776" max="10776" width="3.7109375" style="281" customWidth="1"/>
    <col min="10777" max="10777" width="0.85546875" style="281" customWidth="1"/>
    <col min="10778" max="11008" width="11.42578125" style="281"/>
    <col min="11009" max="11009" width="0.85546875" style="281" customWidth="1"/>
    <col min="11010" max="11010" width="3.7109375" style="281" customWidth="1"/>
    <col min="11011" max="11015" width="4.85546875" style="281" customWidth="1"/>
    <col min="11016" max="11018" width="3.28515625" style="281" customWidth="1"/>
    <col min="11019" max="11019" width="3.42578125" style="281" customWidth="1"/>
    <col min="11020" max="11020" width="5.7109375" style="281" customWidth="1"/>
    <col min="11021" max="11021" width="4.7109375" style="281" customWidth="1"/>
    <col min="11022" max="11022" width="5.7109375" style="281" customWidth="1"/>
    <col min="11023" max="11023" width="3.42578125" style="281" customWidth="1"/>
    <col min="11024" max="11026" width="3.28515625" style="281" customWidth="1"/>
    <col min="11027" max="11031" width="4.85546875" style="281" customWidth="1"/>
    <col min="11032" max="11032" width="3.7109375" style="281" customWidth="1"/>
    <col min="11033" max="11033" width="0.85546875" style="281" customWidth="1"/>
    <col min="11034" max="11264" width="11.42578125" style="281"/>
    <col min="11265" max="11265" width="0.85546875" style="281" customWidth="1"/>
    <col min="11266" max="11266" width="3.7109375" style="281" customWidth="1"/>
    <col min="11267" max="11271" width="4.85546875" style="281" customWidth="1"/>
    <col min="11272" max="11274" width="3.28515625" style="281" customWidth="1"/>
    <col min="11275" max="11275" width="3.42578125" style="281" customWidth="1"/>
    <col min="11276" max="11276" width="5.7109375" style="281" customWidth="1"/>
    <col min="11277" max="11277" width="4.7109375" style="281" customWidth="1"/>
    <col min="11278" max="11278" width="5.7109375" style="281" customWidth="1"/>
    <col min="11279" max="11279" width="3.42578125" style="281" customWidth="1"/>
    <col min="11280" max="11282" width="3.28515625" style="281" customWidth="1"/>
    <col min="11283" max="11287" width="4.85546875" style="281" customWidth="1"/>
    <col min="11288" max="11288" width="3.7109375" style="281" customWidth="1"/>
    <col min="11289" max="11289" width="0.85546875" style="281" customWidth="1"/>
    <col min="11290" max="11520" width="11.42578125" style="281"/>
    <col min="11521" max="11521" width="0.85546875" style="281" customWidth="1"/>
    <col min="11522" max="11522" width="3.7109375" style="281" customWidth="1"/>
    <col min="11523" max="11527" width="4.85546875" style="281" customWidth="1"/>
    <col min="11528" max="11530" width="3.28515625" style="281" customWidth="1"/>
    <col min="11531" max="11531" width="3.42578125" style="281" customWidth="1"/>
    <col min="11532" max="11532" width="5.7109375" style="281" customWidth="1"/>
    <col min="11533" max="11533" width="4.7109375" style="281" customWidth="1"/>
    <col min="11534" max="11534" width="5.7109375" style="281" customWidth="1"/>
    <col min="11535" max="11535" width="3.42578125" style="281" customWidth="1"/>
    <col min="11536" max="11538" width="3.28515625" style="281" customWidth="1"/>
    <col min="11539" max="11543" width="4.85546875" style="281" customWidth="1"/>
    <col min="11544" max="11544" width="3.7109375" style="281" customWidth="1"/>
    <col min="11545" max="11545" width="0.85546875" style="281" customWidth="1"/>
    <col min="11546" max="11776" width="11.42578125" style="281"/>
    <col min="11777" max="11777" width="0.85546875" style="281" customWidth="1"/>
    <col min="11778" max="11778" width="3.7109375" style="281" customWidth="1"/>
    <col min="11779" max="11783" width="4.85546875" style="281" customWidth="1"/>
    <col min="11784" max="11786" width="3.28515625" style="281" customWidth="1"/>
    <col min="11787" max="11787" width="3.42578125" style="281" customWidth="1"/>
    <col min="11788" max="11788" width="5.7109375" style="281" customWidth="1"/>
    <col min="11789" max="11789" width="4.7109375" style="281" customWidth="1"/>
    <col min="11790" max="11790" width="5.7109375" style="281" customWidth="1"/>
    <col min="11791" max="11791" width="3.42578125" style="281" customWidth="1"/>
    <col min="11792" max="11794" width="3.28515625" style="281" customWidth="1"/>
    <col min="11795" max="11799" width="4.85546875" style="281" customWidth="1"/>
    <col min="11800" max="11800" width="3.7109375" style="281" customWidth="1"/>
    <col min="11801" max="11801" width="0.85546875" style="281" customWidth="1"/>
    <col min="11802" max="12032" width="11.42578125" style="281"/>
    <col min="12033" max="12033" width="0.85546875" style="281" customWidth="1"/>
    <col min="12034" max="12034" width="3.7109375" style="281" customWidth="1"/>
    <col min="12035" max="12039" width="4.85546875" style="281" customWidth="1"/>
    <col min="12040" max="12042" width="3.28515625" style="281" customWidth="1"/>
    <col min="12043" max="12043" width="3.42578125" style="281" customWidth="1"/>
    <col min="12044" max="12044" width="5.7109375" style="281" customWidth="1"/>
    <col min="12045" max="12045" width="4.7109375" style="281" customWidth="1"/>
    <col min="12046" max="12046" width="5.7109375" style="281" customWidth="1"/>
    <col min="12047" max="12047" width="3.42578125" style="281" customWidth="1"/>
    <col min="12048" max="12050" width="3.28515625" style="281" customWidth="1"/>
    <col min="12051" max="12055" width="4.85546875" style="281" customWidth="1"/>
    <col min="12056" max="12056" width="3.7109375" style="281" customWidth="1"/>
    <col min="12057" max="12057" width="0.85546875" style="281" customWidth="1"/>
    <col min="12058" max="12288" width="11.42578125" style="281"/>
    <col min="12289" max="12289" width="0.85546875" style="281" customWidth="1"/>
    <col min="12290" max="12290" width="3.7109375" style="281" customWidth="1"/>
    <col min="12291" max="12295" width="4.85546875" style="281" customWidth="1"/>
    <col min="12296" max="12298" width="3.28515625" style="281" customWidth="1"/>
    <col min="12299" max="12299" width="3.42578125" style="281" customWidth="1"/>
    <col min="12300" max="12300" width="5.7109375" style="281" customWidth="1"/>
    <col min="12301" max="12301" width="4.7109375" style="281" customWidth="1"/>
    <col min="12302" max="12302" width="5.7109375" style="281" customWidth="1"/>
    <col min="12303" max="12303" width="3.42578125" style="281" customWidth="1"/>
    <col min="12304" max="12306" width="3.28515625" style="281" customWidth="1"/>
    <col min="12307" max="12311" width="4.85546875" style="281" customWidth="1"/>
    <col min="12312" max="12312" width="3.7109375" style="281" customWidth="1"/>
    <col min="12313" max="12313" width="0.85546875" style="281" customWidth="1"/>
    <col min="12314" max="12544" width="11.42578125" style="281"/>
    <col min="12545" max="12545" width="0.85546875" style="281" customWidth="1"/>
    <col min="12546" max="12546" width="3.7109375" style="281" customWidth="1"/>
    <col min="12547" max="12551" width="4.85546875" style="281" customWidth="1"/>
    <col min="12552" max="12554" width="3.28515625" style="281" customWidth="1"/>
    <col min="12555" max="12555" width="3.42578125" style="281" customWidth="1"/>
    <col min="12556" max="12556" width="5.7109375" style="281" customWidth="1"/>
    <col min="12557" max="12557" width="4.7109375" style="281" customWidth="1"/>
    <col min="12558" max="12558" width="5.7109375" style="281" customWidth="1"/>
    <col min="12559" max="12559" width="3.42578125" style="281" customWidth="1"/>
    <col min="12560" max="12562" width="3.28515625" style="281" customWidth="1"/>
    <col min="12563" max="12567" width="4.85546875" style="281" customWidth="1"/>
    <col min="12568" max="12568" width="3.7109375" style="281" customWidth="1"/>
    <col min="12569" max="12569" width="0.85546875" style="281" customWidth="1"/>
    <col min="12570" max="12800" width="11.42578125" style="281"/>
    <col min="12801" max="12801" width="0.85546875" style="281" customWidth="1"/>
    <col min="12802" max="12802" width="3.7109375" style="281" customWidth="1"/>
    <col min="12803" max="12807" width="4.85546875" style="281" customWidth="1"/>
    <col min="12808" max="12810" width="3.28515625" style="281" customWidth="1"/>
    <col min="12811" max="12811" width="3.42578125" style="281" customWidth="1"/>
    <col min="12812" max="12812" width="5.7109375" style="281" customWidth="1"/>
    <col min="12813" max="12813" width="4.7109375" style="281" customWidth="1"/>
    <col min="12814" max="12814" width="5.7109375" style="281" customWidth="1"/>
    <col min="12815" max="12815" width="3.42578125" style="281" customWidth="1"/>
    <col min="12816" max="12818" width="3.28515625" style="281" customWidth="1"/>
    <col min="12819" max="12823" width="4.85546875" style="281" customWidth="1"/>
    <col min="12824" max="12824" width="3.7109375" style="281" customWidth="1"/>
    <col min="12825" max="12825" width="0.85546875" style="281" customWidth="1"/>
    <col min="12826" max="13056" width="11.42578125" style="281"/>
    <col min="13057" max="13057" width="0.85546875" style="281" customWidth="1"/>
    <col min="13058" max="13058" width="3.7109375" style="281" customWidth="1"/>
    <col min="13059" max="13063" width="4.85546875" style="281" customWidth="1"/>
    <col min="13064" max="13066" width="3.28515625" style="281" customWidth="1"/>
    <col min="13067" max="13067" width="3.42578125" style="281" customWidth="1"/>
    <col min="13068" max="13068" width="5.7109375" style="281" customWidth="1"/>
    <col min="13069" max="13069" width="4.7109375" style="281" customWidth="1"/>
    <col min="13070" max="13070" width="5.7109375" style="281" customWidth="1"/>
    <col min="13071" max="13071" width="3.42578125" style="281" customWidth="1"/>
    <col min="13072" max="13074" width="3.28515625" style="281" customWidth="1"/>
    <col min="13075" max="13079" width="4.85546875" style="281" customWidth="1"/>
    <col min="13080" max="13080" width="3.7109375" style="281" customWidth="1"/>
    <col min="13081" max="13081" width="0.85546875" style="281" customWidth="1"/>
    <col min="13082" max="13312" width="11.42578125" style="281"/>
    <col min="13313" max="13313" width="0.85546875" style="281" customWidth="1"/>
    <col min="13314" max="13314" width="3.7109375" style="281" customWidth="1"/>
    <col min="13315" max="13319" width="4.85546875" style="281" customWidth="1"/>
    <col min="13320" max="13322" width="3.28515625" style="281" customWidth="1"/>
    <col min="13323" max="13323" width="3.42578125" style="281" customWidth="1"/>
    <col min="13324" max="13324" width="5.7109375" style="281" customWidth="1"/>
    <col min="13325" max="13325" width="4.7109375" style="281" customWidth="1"/>
    <col min="13326" max="13326" width="5.7109375" style="281" customWidth="1"/>
    <col min="13327" max="13327" width="3.42578125" style="281" customWidth="1"/>
    <col min="13328" max="13330" width="3.28515625" style="281" customWidth="1"/>
    <col min="13331" max="13335" width="4.85546875" style="281" customWidth="1"/>
    <col min="13336" max="13336" width="3.7109375" style="281" customWidth="1"/>
    <col min="13337" max="13337" width="0.85546875" style="281" customWidth="1"/>
    <col min="13338" max="13568" width="11.42578125" style="281"/>
    <col min="13569" max="13569" width="0.85546875" style="281" customWidth="1"/>
    <col min="13570" max="13570" width="3.7109375" style="281" customWidth="1"/>
    <col min="13571" max="13575" width="4.85546875" style="281" customWidth="1"/>
    <col min="13576" max="13578" width="3.28515625" style="281" customWidth="1"/>
    <col min="13579" max="13579" width="3.42578125" style="281" customWidth="1"/>
    <col min="13580" max="13580" width="5.7109375" style="281" customWidth="1"/>
    <col min="13581" max="13581" width="4.7109375" style="281" customWidth="1"/>
    <col min="13582" max="13582" width="5.7109375" style="281" customWidth="1"/>
    <col min="13583" max="13583" width="3.42578125" style="281" customWidth="1"/>
    <col min="13584" max="13586" width="3.28515625" style="281" customWidth="1"/>
    <col min="13587" max="13591" width="4.85546875" style="281" customWidth="1"/>
    <col min="13592" max="13592" width="3.7109375" style="281" customWidth="1"/>
    <col min="13593" max="13593" width="0.85546875" style="281" customWidth="1"/>
    <col min="13594" max="13824" width="11.42578125" style="281"/>
    <col min="13825" max="13825" width="0.85546875" style="281" customWidth="1"/>
    <col min="13826" max="13826" width="3.7109375" style="281" customWidth="1"/>
    <col min="13827" max="13831" width="4.85546875" style="281" customWidth="1"/>
    <col min="13832" max="13834" width="3.28515625" style="281" customWidth="1"/>
    <col min="13835" max="13835" width="3.42578125" style="281" customWidth="1"/>
    <col min="13836" max="13836" width="5.7109375" style="281" customWidth="1"/>
    <col min="13837" max="13837" width="4.7109375" style="281" customWidth="1"/>
    <col min="13838" max="13838" width="5.7109375" style="281" customWidth="1"/>
    <col min="13839" max="13839" width="3.42578125" style="281" customWidth="1"/>
    <col min="13840" max="13842" width="3.28515625" style="281" customWidth="1"/>
    <col min="13843" max="13847" width="4.85546875" style="281" customWidth="1"/>
    <col min="13848" max="13848" width="3.7109375" style="281" customWidth="1"/>
    <col min="13849" max="13849" width="0.85546875" style="281" customWidth="1"/>
    <col min="13850" max="14080" width="11.42578125" style="281"/>
    <col min="14081" max="14081" width="0.85546875" style="281" customWidth="1"/>
    <col min="14082" max="14082" width="3.7109375" style="281" customWidth="1"/>
    <col min="14083" max="14087" width="4.85546875" style="281" customWidth="1"/>
    <col min="14088" max="14090" width="3.28515625" style="281" customWidth="1"/>
    <col min="14091" max="14091" width="3.42578125" style="281" customWidth="1"/>
    <col min="14092" max="14092" width="5.7109375" style="281" customWidth="1"/>
    <col min="14093" max="14093" width="4.7109375" style="281" customWidth="1"/>
    <col min="14094" max="14094" width="5.7109375" style="281" customWidth="1"/>
    <col min="14095" max="14095" width="3.42578125" style="281" customWidth="1"/>
    <col min="14096" max="14098" width="3.28515625" style="281" customWidth="1"/>
    <col min="14099" max="14103" width="4.85546875" style="281" customWidth="1"/>
    <col min="14104" max="14104" width="3.7109375" style="281" customWidth="1"/>
    <col min="14105" max="14105" width="0.85546875" style="281" customWidth="1"/>
    <col min="14106" max="14336" width="11.42578125" style="281"/>
    <col min="14337" max="14337" width="0.85546875" style="281" customWidth="1"/>
    <col min="14338" max="14338" width="3.7109375" style="281" customWidth="1"/>
    <col min="14339" max="14343" width="4.85546875" style="281" customWidth="1"/>
    <col min="14344" max="14346" width="3.28515625" style="281" customWidth="1"/>
    <col min="14347" max="14347" width="3.42578125" style="281" customWidth="1"/>
    <col min="14348" max="14348" width="5.7109375" style="281" customWidth="1"/>
    <col min="14349" max="14349" width="4.7109375" style="281" customWidth="1"/>
    <col min="14350" max="14350" width="5.7109375" style="281" customWidth="1"/>
    <col min="14351" max="14351" width="3.42578125" style="281" customWidth="1"/>
    <col min="14352" max="14354" width="3.28515625" style="281" customWidth="1"/>
    <col min="14355" max="14359" width="4.85546875" style="281" customWidth="1"/>
    <col min="14360" max="14360" width="3.7109375" style="281" customWidth="1"/>
    <col min="14361" max="14361" width="0.85546875" style="281" customWidth="1"/>
    <col min="14362" max="14592" width="11.42578125" style="281"/>
    <col min="14593" max="14593" width="0.85546875" style="281" customWidth="1"/>
    <col min="14594" max="14594" width="3.7109375" style="281" customWidth="1"/>
    <col min="14595" max="14599" width="4.85546875" style="281" customWidth="1"/>
    <col min="14600" max="14602" width="3.28515625" style="281" customWidth="1"/>
    <col min="14603" max="14603" width="3.42578125" style="281" customWidth="1"/>
    <col min="14604" max="14604" width="5.7109375" style="281" customWidth="1"/>
    <col min="14605" max="14605" width="4.7109375" style="281" customWidth="1"/>
    <col min="14606" max="14606" width="5.7109375" style="281" customWidth="1"/>
    <col min="14607" max="14607" width="3.42578125" style="281" customWidth="1"/>
    <col min="14608" max="14610" width="3.28515625" style="281" customWidth="1"/>
    <col min="14611" max="14615" width="4.85546875" style="281" customWidth="1"/>
    <col min="14616" max="14616" width="3.7109375" style="281" customWidth="1"/>
    <col min="14617" max="14617" width="0.85546875" style="281" customWidth="1"/>
    <col min="14618" max="14848" width="11.42578125" style="281"/>
    <col min="14849" max="14849" width="0.85546875" style="281" customWidth="1"/>
    <col min="14850" max="14850" width="3.7109375" style="281" customWidth="1"/>
    <col min="14851" max="14855" width="4.85546875" style="281" customWidth="1"/>
    <col min="14856" max="14858" width="3.28515625" style="281" customWidth="1"/>
    <col min="14859" max="14859" width="3.42578125" style="281" customWidth="1"/>
    <col min="14860" max="14860" width="5.7109375" style="281" customWidth="1"/>
    <col min="14861" max="14861" width="4.7109375" style="281" customWidth="1"/>
    <col min="14862" max="14862" width="5.7109375" style="281" customWidth="1"/>
    <col min="14863" max="14863" width="3.42578125" style="281" customWidth="1"/>
    <col min="14864" max="14866" width="3.28515625" style="281" customWidth="1"/>
    <col min="14867" max="14871" width="4.85546875" style="281" customWidth="1"/>
    <col min="14872" max="14872" width="3.7109375" style="281" customWidth="1"/>
    <col min="14873" max="14873" width="0.85546875" style="281" customWidth="1"/>
    <col min="14874" max="15104" width="11.42578125" style="281"/>
    <col min="15105" max="15105" width="0.85546875" style="281" customWidth="1"/>
    <col min="15106" max="15106" width="3.7109375" style="281" customWidth="1"/>
    <col min="15107" max="15111" width="4.85546875" style="281" customWidth="1"/>
    <col min="15112" max="15114" width="3.28515625" style="281" customWidth="1"/>
    <col min="15115" max="15115" width="3.42578125" style="281" customWidth="1"/>
    <col min="15116" max="15116" width="5.7109375" style="281" customWidth="1"/>
    <col min="15117" max="15117" width="4.7109375" style="281" customWidth="1"/>
    <col min="15118" max="15118" width="5.7109375" style="281" customWidth="1"/>
    <col min="15119" max="15119" width="3.42578125" style="281" customWidth="1"/>
    <col min="15120" max="15122" width="3.28515625" style="281" customWidth="1"/>
    <col min="15123" max="15127" width="4.85546875" style="281" customWidth="1"/>
    <col min="15128" max="15128" width="3.7109375" style="281" customWidth="1"/>
    <col min="15129" max="15129" width="0.85546875" style="281" customWidth="1"/>
    <col min="15130" max="15360" width="11.42578125" style="281"/>
    <col min="15361" max="15361" width="0.85546875" style="281" customWidth="1"/>
    <col min="15362" max="15362" width="3.7109375" style="281" customWidth="1"/>
    <col min="15363" max="15367" width="4.85546875" style="281" customWidth="1"/>
    <col min="15368" max="15370" width="3.28515625" style="281" customWidth="1"/>
    <col min="15371" max="15371" width="3.42578125" style="281" customWidth="1"/>
    <col min="15372" max="15372" width="5.7109375" style="281" customWidth="1"/>
    <col min="15373" max="15373" width="4.7109375" style="281" customWidth="1"/>
    <col min="15374" max="15374" width="5.7109375" style="281" customWidth="1"/>
    <col min="15375" max="15375" width="3.42578125" style="281" customWidth="1"/>
    <col min="15376" max="15378" width="3.28515625" style="281" customWidth="1"/>
    <col min="15379" max="15383" width="4.85546875" style="281" customWidth="1"/>
    <col min="15384" max="15384" width="3.7109375" style="281" customWidth="1"/>
    <col min="15385" max="15385" width="0.85546875" style="281" customWidth="1"/>
    <col min="15386" max="15616" width="11.42578125" style="281"/>
    <col min="15617" max="15617" width="0.85546875" style="281" customWidth="1"/>
    <col min="15618" max="15618" width="3.7109375" style="281" customWidth="1"/>
    <col min="15619" max="15623" width="4.85546875" style="281" customWidth="1"/>
    <col min="15624" max="15626" width="3.28515625" style="281" customWidth="1"/>
    <col min="15627" max="15627" width="3.42578125" style="281" customWidth="1"/>
    <col min="15628" max="15628" width="5.7109375" style="281" customWidth="1"/>
    <col min="15629" max="15629" width="4.7109375" style="281" customWidth="1"/>
    <col min="15630" max="15630" width="5.7109375" style="281" customWidth="1"/>
    <col min="15631" max="15631" width="3.42578125" style="281" customWidth="1"/>
    <col min="15632" max="15634" width="3.28515625" style="281" customWidth="1"/>
    <col min="15635" max="15639" width="4.85546875" style="281" customWidth="1"/>
    <col min="15640" max="15640" width="3.7109375" style="281" customWidth="1"/>
    <col min="15641" max="15641" width="0.85546875" style="281" customWidth="1"/>
    <col min="15642" max="15872" width="11.42578125" style="281"/>
    <col min="15873" max="15873" width="0.85546875" style="281" customWidth="1"/>
    <col min="15874" max="15874" width="3.7109375" style="281" customWidth="1"/>
    <col min="15875" max="15879" width="4.85546875" style="281" customWidth="1"/>
    <col min="15880" max="15882" width="3.28515625" style="281" customWidth="1"/>
    <col min="15883" max="15883" width="3.42578125" style="281" customWidth="1"/>
    <col min="15884" max="15884" width="5.7109375" style="281" customWidth="1"/>
    <col min="15885" max="15885" width="4.7109375" style="281" customWidth="1"/>
    <col min="15886" max="15886" width="5.7109375" style="281" customWidth="1"/>
    <col min="15887" max="15887" width="3.42578125" style="281" customWidth="1"/>
    <col min="15888" max="15890" width="3.28515625" style="281" customWidth="1"/>
    <col min="15891" max="15895" width="4.85546875" style="281" customWidth="1"/>
    <col min="15896" max="15896" width="3.7109375" style="281" customWidth="1"/>
    <col min="15897" max="15897" width="0.85546875" style="281" customWidth="1"/>
    <col min="15898" max="16128" width="11.42578125" style="281"/>
    <col min="16129" max="16129" width="0.85546875" style="281" customWidth="1"/>
    <col min="16130" max="16130" width="3.7109375" style="281" customWidth="1"/>
    <col min="16131" max="16135" width="4.85546875" style="281" customWidth="1"/>
    <col min="16136" max="16138" width="3.28515625" style="281" customWidth="1"/>
    <col min="16139" max="16139" width="3.42578125" style="281" customWidth="1"/>
    <col min="16140" max="16140" width="5.7109375" style="281" customWidth="1"/>
    <col min="16141" max="16141" width="4.7109375" style="281" customWidth="1"/>
    <col min="16142" max="16142" width="5.7109375" style="281" customWidth="1"/>
    <col min="16143" max="16143" width="3.42578125" style="281" customWidth="1"/>
    <col min="16144" max="16146" width="3.28515625" style="281" customWidth="1"/>
    <col min="16147" max="16151" width="4.85546875" style="281" customWidth="1"/>
    <col min="16152" max="16152" width="3.7109375" style="281" customWidth="1"/>
    <col min="16153" max="16153" width="0.85546875" style="281" customWidth="1"/>
    <col min="16154" max="16384" width="11.42578125" style="281"/>
  </cols>
  <sheetData>
    <row r="1" spans="2:27" ht="27" thickBot="1" x14ac:dyDescent="0.3">
      <c r="H1" s="281"/>
      <c r="J1" s="282"/>
      <c r="R1" s="282"/>
      <c r="S1" s="281"/>
      <c r="T1" s="281"/>
      <c r="U1" s="281"/>
      <c r="V1" s="281"/>
      <c r="AA1" s="283"/>
    </row>
    <row r="2" spans="2:27" ht="47.25" customHeight="1" thickBot="1" x14ac:dyDescent="0.3">
      <c r="B2" s="525" t="e" vm="1">
        <v>#VALUE!</v>
      </c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7"/>
      <c r="S2" s="492" t="s">
        <v>117</v>
      </c>
      <c r="T2" s="493"/>
      <c r="U2" s="523">
        <f>AA2</f>
        <v>8</v>
      </c>
      <c r="V2" s="523"/>
      <c r="W2" s="523"/>
      <c r="X2" s="524"/>
      <c r="Y2" s="281">
        <f>AA2</f>
        <v>8</v>
      </c>
      <c r="AA2" s="284">
        <v>8</v>
      </c>
    </row>
    <row r="3" spans="2:27" ht="13.5" thickBot="1" x14ac:dyDescent="0.3">
      <c r="B3" s="492" t="s">
        <v>118</v>
      </c>
      <c r="C3" s="493"/>
      <c r="D3" s="518" t="str">
        <f>IF(U2=0,"",VLOOKUP(U2,'LLAVE 8'!$BL$2:$CD$457,16,FALSE))</f>
        <v>U9 MASCULINO</v>
      </c>
      <c r="E3" s="518"/>
      <c r="F3" s="518"/>
      <c r="G3" s="518"/>
      <c r="H3" s="518"/>
      <c r="I3" s="518"/>
      <c r="J3" s="505"/>
      <c r="K3" s="492" t="s">
        <v>119</v>
      </c>
      <c r="L3" s="493"/>
      <c r="M3" s="518" t="str">
        <f>IF(U2=0,"",VLOOKUP(U2,'LLAVE 8'!$BL$2:$CD$457,17,FALSE))</f>
        <v>FINAL</v>
      </c>
      <c r="N3" s="518"/>
      <c r="O3" s="518"/>
      <c r="P3" s="518"/>
      <c r="Q3" s="518"/>
      <c r="R3" s="505"/>
      <c r="S3" s="519" t="str">
        <f>IF(U2=0,"",VLOOKUP(U2,'LLAVE 8'!$BL$2:$CD$457,2,FALSE))</f>
        <v>5-Jun</v>
      </c>
      <c r="T3" s="520"/>
      <c r="U3" s="521" t="str">
        <f>IF(U2=0,"",VLOOKUP(U2,'LLAVE 8'!$BL$2:$CD$457,2,FALSE))</f>
        <v>5-Jun</v>
      </c>
      <c r="V3" s="522"/>
      <c r="W3" s="504" t="str">
        <f>IF(U2=0,"","Table "&amp;VLOOKUP(U2,'LLAVE 8'!$BL$2:$DD$457,3,FALSE))</f>
        <v>Table 17:00</v>
      </c>
      <c r="X3" s="505"/>
    </row>
    <row r="5" spans="2:27" ht="13.5" thickBot="1" x14ac:dyDescent="0.3">
      <c r="G5" s="285" t="s">
        <v>120</v>
      </c>
      <c r="H5" s="285" t="s">
        <v>121</v>
      </c>
      <c r="I5" s="285" t="s">
        <v>122</v>
      </c>
      <c r="J5" s="285" t="s">
        <v>123</v>
      </c>
      <c r="K5" s="285" t="s">
        <v>124</v>
      </c>
      <c r="L5" s="286"/>
      <c r="M5" s="287" t="s">
        <v>68</v>
      </c>
      <c r="N5" s="288"/>
      <c r="O5" s="285" t="s">
        <v>124</v>
      </c>
      <c r="P5" s="285" t="s">
        <v>121</v>
      </c>
      <c r="Q5" s="285" t="s">
        <v>122</v>
      </c>
      <c r="R5" s="285" t="s">
        <v>123</v>
      </c>
      <c r="S5" s="285" t="s">
        <v>120</v>
      </c>
      <c r="T5" s="289"/>
    </row>
    <row r="6" spans="2:27" ht="25.5" thickTop="1" x14ac:dyDescent="0.25">
      <c r="B6" s="506" t="s">
        <v>125</v>
      </c>
      <c r="C6" s="290"/>
      <c r="D6" s="291"/>
      <c r="E6" s="292">
        <f ca="1">IF(U2=0,"",VLOOKUP(U2,'LLAVE 8'!$BL$2:$CD$457,14,FALSE))</f>
        <v>4295</v>
      </c>
      <c r="F6" s="293"/>
      <c r="G6" s="294"/>
      <c r="H6" s="294"/>
      <c r="I6" s="294"/>
      <c r="J6" s="294"/>
      <c r="K6" s="295"/>
      <c r="L6" s="296"/>
      <c r="M6" s="297" t="s">
        <v>126</v>
      </c>
      <c r="N6" s="298"/>
      <c r="O6" s="299"/>
      <c r="P6" s="294"/>
      <c r="Q6" s="294"/>
      <c r="R6" s="294"/>
      <c r="S6" s="294"/>
      <c r="T6" s="300"/>
      <c r="U6" s="292">
        <f ca="1">IF(U2=0,"",VLOOKUP(U2,'LLAVE 8'!$BL$2:$CD$457,15,FALSE))</f>
        <v>4520</v>
      </c>
      <c r="V6" s="301"/>
      <c r="W6" s="302"/>
      <c r="X6" s="506" t="s">
        <v>127</v>
      </c>
    </row>
    <row r="7" spans="2:27" ht="24.75" x14ac:dyDescent="0.25">
      <c r="B7" s="507"/>
      <c r="C7" s="303"/>
      <c r="D7" s="304"/>
      <c r="E7" s="304" t="str">
        <f ca="1">IF(E6=0,0,VLOOKUP(E6,Inscripciones!$B$1:$L$399,3,FALSE))</f>
        <v>ESPARZA</v>
      </c>
      <c r="F7" s="304"/>
      <c r="G7" s="305"/>
      <c r="H7" s="294"/>
      <c r="I7" s="294"/>
      <c r="J7" s="294"/>
      <c r="K7" s="295"/>
      <c r="L7" s="306"/>
      <c r="M7" s="233" t="s">
        <v>128</v>
      </c>
      <c r="N7" s="307"/>
      <c r="O7" s="299"/>
      <c r="P7" s="294"/>
      <c r="Q7" s="294"/>
      <c r="R7" s="294"/>
      <c r="S7" s="308"/>
      <c r="T7" s="309"/>
      <c r="U7" s="304" t="str">
        <f ca="1">IF(U6=0,0,VLOOKUP(U6,Inscripciones!$B$1:$L$399,3,FALSE))</f>
        <v>ESPARZA</v>
      </c>
      <c r="V7" s="304"/>
      <c r="W7" s="310"/>
      <c r="X7" s="507"/>
    </row>
    <row r="8" spans="2:27" ht="24.75" x14ac:dyDescent="0.25">
      <c r="B8" s="507"/>
      <c r="C8" s="509" t="str">
        <f ca="1">IF(E6=0,0,VLOOKUP(E6,Inscripciones!$B$1:$L$399,2,FALSE))</f>
        <v>RICARDO MATEO CHAVES LEÓN</v>
      </c>
      <c r="D8" s="510"/>
      <c r="E8" s="510"/>
      <c r="F8" s="510"/>
      <c r="G8" s="511"/>
      <c r="H8" s="294"/>
      <c r="I8" s="294"/>
      <c r="J8" s="294"/>
      <c r="K8" s="295"/>
      <c r="L8" s="306"/>
      <c r="M8" s="233" t="s">
        <v>129</v>
      </c>
      <c r="N8" s="307"/>
      <c r="O8" s="299"/>
      <c r="P8" s="294"/>
      <c r="Q8" s="294"/>
      <c r="R8" s="294"/>
      <c r="S8" s="509" t="str">
        <f ca="1">IF(U6=0,0,VLOOKUP(U6,Inscripciones!$B$1:$L$399,2,FALSE))</f>
        <v>GAEL SOLÍS VÁSQUEZ</v>
      </c>
      <c r="T8" s="510"/>
      <c r="U8" s="510"/>
      <c r="V8" s="510"/>
      <c r="W8" s="511"/>
      <c r="X8" s="507"/>
    </row>
    <row r="9" spans="2:27" ht="36.75" x14ac:dyDescent="0.25">
      <c r="B9" s="507"/>
      <c r="C9" s="303"/>
      <c r="D9" s="292"/>
      <c r="E9" s="292"/>
      <c r="F9" s="292"/>
      <c r="G9" s="305"/>
      <c r="H9" s="294"/>
      <c r="I9" s="294"/>
      <c r="J9" s="294"/>
      <c r="K9" s="295"/>
      <c r="L9" s="311" t="str">
        <f>IF(U2&lt;5,"X","")</f>
        <v/>
      </c>
      <c r="M9" s="233" t="s">
        <v>130</v>
      </c>
      <c r="N9" s="311" t="str">
        <f>IF(U2&lt;5,"X","")</f>
        <v/>
      </c>
      <c r="O9" s="299"/>
      <c r="P9" s="294"/>
      <c r="Q9" s="294"/>
      <c r="R9" s="294"/>
      <c r="S9" s="308"/>
      <c r="T9" s="312"/>
      <c r="U9" s="292"/>
      <c r="V9" s="292"/>
      <c r="W9" s="310"/>
      <c r="X9" s="507"/>
    </row>
    <row r="10" spans="2:27" ht="37.5" thickBot="1" x14ac:dyDescent="0.3">
      <c r="B10" s="507"/>
      <c r="C10" s="509"/>
      <c r="D10" s="510"/>
      <c r="E10" s="510"/>
      <c r="F10" s="510"/>
      <c r="G10" s="511"/>
      <c r="H10" s="294"/>
      <c r="I10" s="294"/>
      <c r="J10" s="294"/>
      <c r="K10" s="295"/>
      <c r="L10" s="311" t="str">
        <f>IF(U2&lt;5,"X","")</f>
        <v/>
      </c>
      <c r="M10" s="233" t="s">
        <v>131</v>
      </c>
      <c r="N10" s="313" t="str">
        <f>IF(U2&lt;5,"X","")</f>
        <v/>
      </c>
      <c r="O10" s="299"/>
      <c r="P10" s="294"/>
      <c r="Q10" s="294"/>
      <c r="R10" s="294"/>
      <c r="S10" s="509"/>
      <c r="T10" s="510"/>
      <c r="U10" s="510"/>
      <c r="V10" s="510"/>
      <c r="W10" s="511"/>
      <c r="X10" s="507"/>
    </row>
    <row r="11" spans="2:27" ht="37.5" thickTop="1" x14ac:dyDescent="0.25">
      <c r="B11" s="507"/>
      <c r="C11" s="303"/>
      <c r="D11" s="512"/>
      <c r="E11" s="513"/>
      <c r="F11" s="514"/>
      <c r="G11" s="314"/>
      <c r="H11" s="294"/>
      <c r="I11" s="294"/>
      <c r="J11" s="294"/>
      <c r="K11" s="295"/>
      <c r="L11" s="311" t="str">
        <f>IF(U2&lt;600,"X","")</f>
        <v>X</v>
      </c>
      <c r="M11" s="233" t="s">
        <v>132</v>
      </c>
      <c r="N11" s="315" t="str">
        <f>IF(U2&lt;600,"X","")</f>
        <v>X</v>
      </c>
      <c r="O11" s="299"/>
      <c r="P11" s="294"/>
      <c r="Q11" s="294"/>
      <c r="R11" s="294"/>
      <c r="S11" s="316"/>
      <c r="T11" s="512"/>
      <c r="U11" s="513"/>
      <c r="V11" s="514"/>
      <c r="W11" s="310"/>
      <c r="X11" s="507"/>
    </row>
    <row r="12" spans="2:27" ht="37.5" thickBot="1" x14ac:dyDescent="0.3">
      <c r="B12" s="508"/>
      <c r="C12" s="317"/>
      <c r="D12" s="515"/>
      <c r="E12" s="516"/>
      <c r="F12" s="517"/>
      <c r="G12" s="318"/>
      <c r="H12" s="294"/>
      <c r="I12" s="294"/>
      <c r="J12" s="294"/>
      <c r="K12" s="295"/>
      <c r="L12" s="313" t="str">
        <f>IF(U2&lt;600,"X","")</f>
        <v>X</v>
      </c>
      <c r="M12" s="319" t="s">
        <v>133</v>
      </c>
      <c r="N12" s="320" t="str">
        <f>IF(U2&lt;600,"X","")</f>
        <v>X</v>
      </c>
      <c r="O12" s="299"/>
      <c r="P12" s="294"/>
      <c r="Q12" s="294"/>
      <c r="R12" s="294"/>
      <c r="S12" s="321"/>
      <c r="T12" s="515"/>
      <c r="U12" s="516"/>
      <c r="V12" s="517"/>
      <c r="W12" s="322"/>
      <c r="X12" s="508"/>
    </row>
    <row r="13" spans="2:27" ht="14.25" thickTop="1" thickBot="1" x14ac:dyDescent="0.3">
      <c r="D13" s="323"/>
    </row>
    <row r="14" spans="2:27" ht="13.5" thickBot="1" x14ac:dyDescent="0.3">
      <c r="B14" s="492" t="s">
        <v>134</v>
      </c>
      <c r="C14" s="493"/>
      <c r="D14" s="324" t="s">
        <v>135</v>
      </c>
      <c r="E14" s="494" t="s">
        <v>136</v>
      </c>
      <c r="F14" s="495"/>
      <c r="G14" s="495"/>
      <c r="H14" s="495"/>
      <c r="I14" s="495"/>
      <c r="J14" s="495"/>
      <c r="K14" s="495"/>
      <c r="L14" s="496"/>
      <c r="M14" s="281"/>
      <c r="N14" s="281"/>
      <c r="O14" s="497" t="s">
        <v>137</v>
      </c>
      <c r="P14" s="498"/>
      <c r="Q14" s="498"/>
      <c r="R14" s="498"/>
      <c r="S14" s="498"/>
      <c r="T14" s="498"/>
      <c r="U14" s="498"/>
      <c r="V14" s="498"/>
      <c r="W14" s="499"/>
      <c r="X14" s="325"/>
    </row>
    <row r="16" spans="2:27" x14ac:dyDescent="0.25">
      <c r="B16" s="500" t="s">
        <v>138</v>
      </c>
      <c r="C16" s="501"/>
      <c r="D16" s="501"/>
      <c r="E16" s="502"/>
      <c r="F16" s="326"/>
      <c r="G16" s="326"/>
      <c r="H16" s="326"/>
      <c r="I16" s="326"/>
      <c r="J16" s="327"/>
      <c r="K16" s="326"/>
      <c r="L16" s="328"/>
      <c r="N16" s="329"/>
      <c r="O16" s="327"/>
      <c r="P16" s="327"/>
      <c r="Q16" s="326"/>
      <c r="R16" s="326"/>
      <c r="S16" s="326"/>
      <c r="T16" s="326"/>
      <c r="U16" s="500" t="s">
        <v>139</v>
      </c>
      <c r="V16" s="501"/>
      <c r="W16" s="501"/>
      <c r="X16" s="502"/>
    </row>
    <row r="17" spans="2:27" ht="6" customHeight="1" x14ac:dyDescent="0.25"/>
    <row r="18" spans="2:27" ht="24.75" customHeight="1" x14ac:dyDescent="0.25">
      <c r="B18" s="497" t="s">
        <v>140</v>
      </c>
      <c r="C18" s="498"/>
      <c r="D18" s="503"/>
      <c r="E18" s="330"/>
      <c r="F18" s="486"/>
      <c r="G18" s="487"/>
      <c r="H18" s="487"/>
      <c r="I18" s="487"/>
      <c r="J18" s="487"/>
      <c r="K18" s="488"/>
      <c r="L18" s="331"/>
      <c r="N18" s="489" t="s">
        <v>141</v>
      </c>
      <c r="O18" s="490"/>
      <c r="P18" s="490"/>
      <c r="Q18" s="491"/>
      <c r="R18" s="332"/>
      <c r="S18" s="332"/>
      <c r="T18" s="332"/>
      <c r="U18" s="332"/>
      <c r="V18" s="333"/>
      <c r="W18" s="332"/>
      <c r="X18" s="334"/>
    </row>
    <row r="19" spans="2:27" ht="24.75" customHeight="1" x14ac:dyDescent="0.25">
      <c r="B19" s="483" t="s">
        <v>142</v>
      </c>
      <c r="C19" s="484"/>
      <c r="D19" s="485"/>
      <c r="E19" s="330"/>
      <c r="F19" s="486"/>
      <c r="G19" s="487"/>
      <c r="H19" s="487"/>
      <c r="I19" s="487"/>
      <c r="J19" s="487"/>
      <c r="K19" s="488"/>
      <c r="L19" s="331"/>
      <c r="N19" s="489" t="s">
        <v>143</v>
      </c>
      <c r="O19" s="490"/>
      <c r="P19" s="490"/>
      <c r="Q19" s="491"/>
      <c r="R19" s="335"/>
      <c r="S19" s="335"/>
      <c r="T19" s="335"/>
      <c r="U19" s="335"/>
      <c r="V19" s="336"/>
      <c r="W19" s="335"/>
      <c r="X19" s="318"/>
    </row>
    <row r="20" spans="2:27" ht="15" customHeight="1" x14ac:dyDescent="0.25">
      <c r="E20" s="281"/>
      <c r="F20" s="281"/>
      <c r="G20" s="281"/>
      <c r="H20" s="281"/>
      <c r="I20" s="281"/>
      <c r="K20" s="281"/>
      <c r="L20" s="281"/>
      <c r="M20" s="281"/>
      <c r="N20" s="281"/>
      <c r="O20" s="281"/>
      <c r="P20" s="281"/>
      <c r="Q20" s="281"/>
      <c r="S20" s="281"/>
      <c r="T20" s="281"/>
      <c r="U20" s="281"/>
      <c r="V20" s="281"/>
    </row>
    <row r="21" spans="2:27" ht="54.75" customHeight="1" thickBot="1" x14ac:dyDescent="0.3">
      <c r="H21" s="281"/>
      <c r="J21" s="282"/>
      <c r="R21" s="282"/>
      <c r="S21" s="281"/>
      <c r="T21" s="281"/>
      <c r="U21" s="281"/>
      <c r="V21" s="281"/>
      <c r="AA21" s="347"/>
    </row>
    <row r="22" spans="2:27" ht="45" customHeight="1" thickBot="1" x14ac:dyDescent="0.3">
      <c r="B22" s="525" t="e" vm="1">
        <v>#VALUE!</v>
      </c>
      <c r="C22" s="526"/>
      <c r="D22" s="526"/>
      <c r="E22" s="526"/>
      <c r="F22" s="526"/>
      <c r="G22" s="526"/>
      <c r="H22" s="526"/>
      <c r="I22" s="526"/>
      <c r="J22" s="526"/>
      <c r="K22" s="526"/>
      <c r="L22" s="526"/>
      <c r="M22" s="526"/>
      <c r="N22" s="526"/>
      <c r="O22" s="526"/>
      <c r="P22" s="526"/>
      <c r="Q22" s="526"/>
      <c r="R22" s="527"/>
      <c r="S22" s="492" t="s">
        <v>117</v>
      </c>
      <c r="T22" s="493"/>
      <c r="U22" s="523">
        <f>1+U2</f>
        <v>9</v>
      </c>
      <c r="V22" s="523"/>
      <c r="W22" s="523"/>
      <c r="X22" s="524"/>
    </row>
    <row r="23" spans="2:27" ht="20.100000000000001" customHeight="1" thickBot="1" x14ac:dyDescent="0.3">
      <c r="B23" s="492" t="s">
        <v>118</v>
      </c>
      <c r="C23" s="493"/>
      <c r="D23" s="518" t="e">
        <f>IF(U22=0,"",VLOOKUP(U22,'LLAVE 8'!$BL$2:$CD$457,16,FALSE))</f>
        <v>#N/A</v>
      </c>
      <c r="E23" s="518"/>
      <c r="F23" s="518"/>
      <c r="G23" s="518"/>
      <c r="H23" s="518"/>
      <c r="I23" s="518"/>
      <c r="J23" s="505"/>
      <c r="K23" s="492" t="s">
        <v>119</v>
      </c>
      <c r="L23" s="493"/>
      <c r="M23" s="518" t="e">
        <f>IF(U22=0,"",VLOOKUP(U22,'LLAVE 8'!$BL$2:$CD$457,17,FALSE))</f>
        <v>#N/A</v>
      </c>
      <c r="N23" s="518"/>
      <c r="O23" s="518"/>
      <c r="P23" s="518"/>
      <c r="Q23" s="518"/>
      <c r="R23" s="505"/>
      <c r="S23" s="519" t="e">
        <f>IF(U22=0,"",VLOOKUP(U22,'LLAVE 8'!$BL$2:$CD$457,2,FALSE))</f>
        <v>#N/A</v>
      </c>
      <c r="T23" s="520"/>
      <c r="U23" s="521" t="e">
        <f>IF(U22=0,"",VLOOKUP(U22,'LLAVE 8'!$BL$2:$CD$457,2,FALSE))</f>
        <v>#N/A</v>
      </c>
      <c r="V23" s="522"/>
      <c r="W23" s="504" t="e">
        <f>IF(U22=0,"","Table "&amp;VLOOKUP(U22,'LLAVE 8'!$BL$2:$DD$457,3,FALSE))</f>
        <v>#N/A</v>
      </c>
      <c r="X23" s="505"/>
    </row>
    <row r="24" spans="2:27" ht="6" customHeight="1" x14ac:dyDescent="0.25"/>
    <row r="25" spans="2:27" ht="13.5" thickBot="1" x14ac:dyDescent="0.3">
      <c r="G25" s="285" t="s">
        <v>120</v>
      </c>
      <c r="H25" s="285" t="s">
        <v>121</v>
      </c>
      <c r="I25" s="285" t="s">
        <v>122</v>
      </c>
      <c r="J25" s="285" t="s">
        <v>123</v>
      </c>
      <c r="K25" s="285" t="s">
        <v>124</v>
      </c>
      <c r="L25" s="286"/>
      <c r="M25" s="287" t="s">
        <v>68</v>
      </c>
      <c r="N25" s="288"/>
      <c r="O25" s="285" t="s">
        <v>124</v>
      </c>
      <c r="P25" s="285" t="s">
        <v>121</v>
      </c>
      <c r="Q25" s="285" t="s">
        <v>122</v>
      </c>
      <c r="R25" s="285" t="s">
        <v>123</v>
      </c>
      <c r="S25" s="285" t="s">
        <v>120</v>
      </c>
      <c r="T25" s="289"/>
    </row>
    <row r="26" spans="2:27" ht="24.75" customHeight="1" thickTop="1" x14ac:dyDescent="0.25">
      <c r="B26" s="506" t="s">
        <v>125</v>
      </c>
      <c r="C26" s="290"/>
      <c r="D26" s="291"/>
      <c r="E26" s="292" t="e">
        <f>IF(U22=0,"",VLOOKUP(U22,'LLAVE 8'!$BL$2:$CD$457,14,FALSE))</f>
        <v>#N/A</v>
      </c>
      <c r="F26" s="293"/>
      <c r="G26" s="294"/>
      <c r="H26" s="294"/>
      <c r="I26" s="294"/>
      <c r="J26" s="294"/>
      <c r="K26" s="295"/>
      <c r="L26" s="296"/>
      <c r="M26" s="297" t="s">
        <v>126</v>
      </c>
      <c r="N26" s="298"/>
      <c r="O26" s="299"/>
      <c r="P26" s="294"/>
      <c r="Q26" s="294"/>
      <c r="R26" s="294"/>
      <c r="S26" s="294"/>
      <c r="T26" s="300"/>
      <c r="U26" s="292" t="e">
        <f>IF(U22=0,"",VLOOKUP(U22,'LLAVE 8'!$BL$2:$CD$457,15,FALSE))</f>
        <v>#N/A</v>
      </c>
      <c r="V26" s="301"/>
      <c r="W26" s="302"/>
      <c r="X26" s="506" t="s">
        <v>127</v>
      </c>
    </row>
    <row r="27" spans="2:27" ht="24.75" customHeight="1" x14ac:dyDescent="0.25">
      <c r="B27" s="507"/>
      <c r="C27" s="303"/>
      <c r="D27" s="304"/>
      <c r="E27" s="304" t="e">
        <f>IF(E26=0,0,VLOOKUP(E26,Inscripciones!$B$1:$L$399,3,FALSE))</f>
        <v>#N/A</v>
      </c>
      <c r="F27" s="304"/>
      <c r="G27" s="305"/>
      <c r="H27" s="294"/>
      <c r="I27" s="294"/>
      <c r="J27" s="294"/>
      <c r="K27" s="295"/>
      <c r="L27" s="306"/>
      <c r="M27" s="233" t="s">
        <v>128</v>
      </c>
      <c r="N27" s="307"/>
      <c r="O27" s="299"/>
      <c r="P27" s="294"/>
      <c r="Q27" s="294"/>
      <c r="R27" s="294"/>
      <c r="S27" s="308"/>
      <c r="T27" s="309"/>
      <c r="U27" s="304" t="e">
        <f>IF(U26=0,0,VLOOKUP(U26,Inscripciones!$B$1:$L$399,3,FALSE))</f>
        <v>#N/A</v>
      </c>
      <c r="V27" s="304"/>
      <c r="W27" s="310"/>
      <c r="X27" s="507"/>
    </row>
    <row r="28" spans="2:27" ht="24.75" customHeight="1" x14ac:dyDescent="0.25">
      <c r="B28" s="507"/>
      <c r="C28" s="509" t="e">
        <f>IF(E26=0,0,VLOOKUP(E26,Inscripciones!$B$1:$L$399,2,FALSE))</f>
        <v>#N/A</v>
      </c>
      <c r="D28" s="510"/>
      <c r="E28" s="510"/>
      <c r="F28" s="510"/>
      <c r="G28" s="511"/>
      <c r="H28" s="294"/>
      <c r="I28" s="294"/>
      <c r="J28" s="294"/>
      <c r="K28" s="295"/>
      <c r="L28" s="306"/>
      <c r="M28" s="233" t="s">
        <v>129</v>
      </c>
      <c r="N28" s="307"/>
      <c r="O28" s="299"/>
      <c r="P28" s="294"/>
      <c r="Q28" s="294"/>
      <c r="R28" s="294"/>
      <c r="S28" s="509" t="e">
        <f>IF(U26=0,0,VLOOKUP(U26,Inscripciones!$B$1:$L$399,2,FALSE))</f>
        <v>#N/A</v>
      </c>
      <c r="T28" s="510"/>
      <c r="U28" s="510"/>
      <c r="V28" s="510"/>
      <c r="W28" s="511"/>
      <c r="X28" s="507"/>
    </row>
    <row r="29" spans="2:27" ht="24.75" customHeight="1" x14ac:dyDescent="0.25">
      <c r="B29" s="507"/>
      <c r="C29" s="303"/>
      <c r="D29" s="292"/>
      <c r="E29" s="292"/>
      <c r="F29" s="292"/>
      <c r="G29" s="305"/>
      <c r="H29" s="294"/>
      <c r="I29" s="294"/>
      <c r="J29" s="294"/>
      <c r="K29" s="295"/>
      <c r="L29" s="311" t="str">
        <f>IF(U22&lt;5,"X","")</f>
        <v/>
      </c>
      <c r="M29" s="233" t="s">
        <v>130</v>
      </c>
      <c r="N29" s="311" t="str">
        <f>IF(U22&lt;5,"X","")</f>
        <v/>
      </c>
      <c r="O29" s="299"/>
      <c r="P29" s="294"/>
      <c r="Q29" s="294"/>
      <c r="R29" s="294"/>
      <c r="S29" s="308"/>
      <c r="T29" s="312"/>
      <c r="U29" s="292"/>
      <c r="V29" s="292"/>
      <c r="W29" s="310"/>
      <c r="X29" s="507"/>
    </row>
    <row r="30" spans="2:27" ht="24.75" customHeight="1" thickBot="1" x14ac:dyDescent="0.3">
      <c r="B30" s="507"/>
      <c r="C30" s="509"/>
      <c r="D30" s="510"/>
      <c r="E30" s="510"/>
      <c r="F30" s="510"/>
      <c r="G30" s="511"/>
      <c r="H30" s="294"/>
      <c r="I30" s="294"/>
      <c r="J30" s="294"/>
      <c r="K30" s="295"/>
      <c r="L30" s="313" t="str">
        <f>IF(U22&lt;5,"X","")</f>
        <v/>
      </c>
      <c r="M30" s="233" t="s">
        <v>131</v>
      </c>
      <c r="N30" s="313" t="str">
        <f>IF(U22&lt;5,"X","")</f>
        <v/>
      </c>
      <c r="O30" s="299"/>
      <c r="P30" s="294"/>
      <c r="Q30" s="294"/>
      <c r="R30" s="294"/>
      <c r="S30" s="509"/>
      <c r="T30" s="510"/>
      <c r="U30" s="510"/>
      <c r="V30" s="510"/>
      <c r="W30" s="511"/>
      <c r="X30" s="507"/>
    </row>
    <row r="31" spans="2:27" ht="24.75" customHeight="1" thickTop="1" x14ac:dyDescent="0.25">
      <c r="B31" s="507"/>
      <c r="C31" s="303"/>
      <c r="D31" s="512"/>
      <c r="E31" s="513"/>
      <c r="F31" s="514"/>
      <c r="G31" s="314"/>
      <c r="H31" s="294"/>
      <c r="I31" s="294"/>
      <c r="J31" s="294"/>
      <c r="K31" s="295"/>
      <c r="L31" s="311" t="str">
        <f>IF(U22&lt;600,"X","")</f>
        <v>X</v>
      </c>
      <c r="M31" s="233" t="s">
        <v>132</v>
      </c>
      <c r="N31" s="315" t="str">
        <f>IF(U22&lt;600,"X","")</f>
        <v>X</v>
      </c>
      <c r="O31" s="299"/>
      <c r="P31" s="294"/>
      <c r="Q31" s="294"/>
      <c r="R31" s="294"/>
      <c r="S31" s="316"/>
      <c r="T31" s="512"/>
      <c r="U31" s="513"/>
      <c r="V31" s="514"/>
      <c r="W31" s="310"/>
      <c r="X31" s="507"/>
    </row>
    <row r="32" spans="2:27" ht="24.75" customHeight="1" thickBot="1" x14ac:dyDescent="0.3">
      <c r="B32" s="508"/>
      <c r="C32" s="317"/>
      <c r="D32" s="515"/>
      <c r="E32" s="516"/>
      <c r="F32" s="517"/>
      <c r="G32" s="318"/>
      <c r="H32" s="294"/>
      <c r="I32" s="294"/>
      <c r="J32" s="294"/>
      <c r="K32" s="295"/>
      <c r="L32" s="313" t="str">
        <f>IF(U22&lt;600,"X","")</f>
        <v>X</v>
      </c>
      <c r="M32" s="319" t="s">
        <v>133</v>
      </c>
      <c r="N32" s="320" t="str">
        <f>IF(U22&lt;600,"X","")</f>
        <v>X</v>
      </c>
      <c r="O32" s="299"/>
      <c r="P32" s="294"/>
      <c r="Q32" s="294"/>
      <c r="R32" s="294"/>
      <c r="S32" s="321"/>
      <c r="T32" s="515"/>
      <c r="U32" s="516"/>
      <c r="V32" s="517"/>
      <c r="W32" s="322"/>
      <c r="X32" s="508"/>
    </row>
    <row r="33" spans="2:24" ht="6" customHeight="1" thickTop="1" thickBot="1" x14ac:dyDescent="0.3">
      <c r="D33" s="323"/>
    </row>
    <row r="34" spans="2:24" ht="24.75" customHeight="1" thickBot="1" x14ac:dyDescent="0.3">
      <c r="B34" s="492" t="s">
        <v>134</v>
      </c>
      <c r="C34" s="493"/>
      <c r="D34" s="324" t="s">
        <v>135</v>
      </c>
      <c r="E34" s="494" t="s">
        <v>136</v>
      </c>
      <c r="F34" s="495"/>
      <c r="G34" s="495"/>
      <c r="H34" s="495"/>
      <c r="I34" s="495"/>
      <c r="J34" s="495"/>
      <c r="K34" s="495"/>
      <c r="L34" s="496"/>
      <c r="M34" s="281"/>
      <c r="N34" s="281"/>
      <c r="O34" s="497" t="s">
        <v>137</v>
      </c>
      <c r="P34" s="498"/>
      <c r="Q34" s="498"/>
      <c r="R34" s="498"/>
      <c r="S34" s="498"/>
      <c r="T34" s="498"/>
      <c r="U34" s="498"/>
      <c r="V34" s="498"/>
      <c r="W34" s="499"/>
      <c r="X34" s="325"/>
    </row>
    <row r="35" spans="2:24" ht="6" customHeight="1" x14ac:dyDescent="0.25"/>
    <row r="36" spans="2:24" ht="24.75" customHeight="1" x14ac:dyDescent="0.25">
      <c r="B36" s="500" t="s">
        <v>138</v>
      </c>
      <c r="C36" s="501"/>
      <c r="D36" s="501"/>
      <c r="E36" s="502"/>
      <c r="F36" s="326"/>
      <c r="G36" s="326"/>
      <c r="H36" s="326"/>
      <c r="I36" s="326"/>
      <c r="J36" s="327"/>
      <c r="K36" s="326"/>
      <c r="L36" s="328"/>
      <c r="N36" s="329"/>
      <c r="O36" s="327"/>
      <c r="P36" s="327"/>
      <c r="Q36" s="326"/>
      <c r="R36" s="326"/>
      <c r="S36" s="326"/>
      <c r="T36" s="326"/>
      <c r="U36" s="500" t="s">
        <v>139</v>
      </c>
      <c r="V36" s="501"/>
      <c r="W36" s="501"/>
      <c r="X36" s="502"/>
    </row>
    <row r="37" spans="2:24" ht="6" customHeight="1" x14ac:dyDescent="0.25"/>
    <row r="38" spans="2:24" ht="24.75" customHeight="1" x14ac:dyDescent="0.25">
      <c r="B38" s="497" t="s">
        <v>140</v>
      </c>
      <c r="C38" s="498"/>
      <c r="D38" s="503"/>
      <c r="E38" s="330"/>
      <c r="F38" s="486"/>
      <c r="G38" s="487"/>
      <c r="H38" s="487"/>
      <c r="I38" s="487"/>
      <c r="J38" s="487"/>
      <c r="K38" s="488"/>
      <c r="L38" s="331"/>
      <c r="N38" s="489" t="s">
        <v>141</v>
      </c>
      <c r="O38" s="490"/>
      <c r="P38" s="490"/>
      <c r="Q38" s="491"/>
      <c r="R38" s="332"/>
      <c r="S38" s="332"/>
      <c r="T38" s="332"/>
      <c r="U38" s="332"/>
      <c r="V38" s="333"/>
      <c r="W38" s="332"/>
      <c r="X38" s="334"/>
    </row>
    <row r="39" spans="2:24" ht="24.75" customHeight="1" x14ac:dyDescent="0.25">
      <c r="B39" s="483" t="s">
        <v>142</v>
      </c>
      <c r="C39" s="484"/>
      <c r="D39" s="485"/>
      <c r="E39" s="330"/>
      <c r="F39" s="486"/>
      <c r="G39" s="487"/>
      <c r="H39" s="487"/>
      <c r="I39" s="487"/>
      <c r="J39" s="487"/>
      <c r="K39" s="488"/>
      <c r="L39" s="331"/>
      <c r="N39" s="489" t="s">
        <v>143</v>
      </c>
      <c r="O39" s="490"/>
      <c r="P39" s="490"/>
      <c r="Q39" s="491"/>
      <c r="R39" s="335"/>
      <c r="S39" s="335"/>
      <c r="T39" s="335"/>
      <c r="U39" s="335"/>
      <c r="V39" s="336"/>
      <c r="W39" s="335"/>
      <c r="X39" s="318"/>
    </row>
  </sheetData>
  <mergeCells count="58">
    <mergeCell ref="B2:R2"/>
    <mergeCell ref="S2:T2"/>
    <mergeCell ref="U2:X2"/>
    <mergeCell ref="B3:C3"/>
    <mergeCell ref="D3:J3"/>
    <mergeCell ref="K3:L3"/>
    <mergeCell ref="M3:R3"/>
    <mergeCell ref="S3:T3"/>
    <mergeCell ref="U3:V3"/>
    <mergeCell ref="W3:X3"/>
    <mergeCell ref="B6:B12"/>
    <mergeCell ref="X6:X12"/>
    <mergeCell ref="C8:G8"/>
    <mergeCell ref="S8:W8"/>
    <mergeCell ref="C10:G10"/>
    <mergeCell ref="S10:W10"/>
    <mergeCell ref="D11:F12"/>
    <mergeCell ref="T11:V12"/>
    <mergeCell ref="U22:X22"/>
    <mergeCell ref="B14:C14"/>
    <mergeCell ref="E14:L14"/>
    <mergeCell ref="O14:W14"/>
    <mergeCell ref="B16:E16"/>
    <mergeCell ref="U16:X16"/>
    <mergeCell ref="B18:D18"/>
    <mergeCell ref="F18:K18"/>
    <mergeCell ref="N18:Q18"/>
    <mergeCell ref="B19:D19"/>
    <mergeCell ref="F19:K19"/>
    <mergeCell ref="N19:Q19"/>
    <mergeCell ref="B22:R22"/>
    <mergeCell ref="S22:T22"/>
    <mergeCell ref="W23:X23"/>
    <mergeCell ref="B26:B32"/>
    <mergeCell ref="X26:X32"/>
    <mergeCell ref="C28:G28"/>
    <mergeCell ref="S28:W28"/>
    <mergeCell ref="C30:G30"/>
    <mergeCell ref="S30:W30"/>
    <mergeCell ref="D31:F32"/>
    <mergeCell ref="T31:V32"/>
    <mergeCell ref="B23:C23"/>
    <mergeCell ref="D23:J23"/>
    <mergeCell ref="K23:L23"/>
    <mergeCell ref="M23:R23"/>
    <mergeCell ref="S23:T23"/>
    <mergeCell ref="U23:V23"/>
    <mergeCell ref="B39:D39"/>
    <mergeCell ref="F39:K39"/>
    <mergeCell ref="N39:Q39"/>
    <mergeCell ref="B34:C34"/>
    <mergeCell ref="E34:L34"/>
    <mergeCell ref="O34:W34"/>
    <mergeCell ref="B36:E36"/>
    <mergeCell ref="U36:X36"/>
    <mergeCell ref="B38:D38"/>
    <mergeCell ref="F38:K38"/>
    <mergeCell ref="N38:Q38"/>
  </mergeCells>
  <printOptions horizontalCentered="1"/>
  <pageMargins left="7.874015748031496E-2" right="7.874015748031496E-2" top="0.19685039370078741" bottom="0.19685039370078741" header="0.19685039370078741" footer="0"/>
  <pageSetup scale="85" orientation="portrait" r:id="rId1"/>
  <headerFooter alignWithMargins="0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25993-00D4-4B05-AB2F-3D7DBD73D8D9}">
  <sheetPr codeName="Sheet19">
    <tabColor rgb="FFFF0000"/>
    <pageSetUpPr fitToPage="1"/>
  </sheetPr>
  <dimension ref="B5:G1001"/>
  <sheetViews>
    <sheetView showGridLines="0" topLeftCell="A7" workbookViewId="0">
      <selection activeCell="J31" sqref="J31"/>
    </sheetView>
  </sheetViews>
  <sheetFormatPr defaultColWidth="14.42578125" defaultRowHeight="15" customHeight="1" x14ac:dyDescent="0.25"/>
  <cols>
    <col min="1" max="2" width="10.7109375" style="337" customWidth="1"/>
    <col min="3" max="3" width="6.7109375" style="337" customWidth="1"/>
    <col min="4" max="4" width="10.85546875" style="337" customWidth="1"/>
    <col min="5" max="5" width="28.140625" style="337" customWidth="1"/>
    <col min="6" max="6" width="28" style="337" customWidth="1"/>
    <col min="7" max="26" width="10.7109375" style="337" customWidth="1"/>
    <col min="27" max="16384" width="14.42578125" style="337"/>
  </cols>
  <sheetData>
    <row r="5" spans="2:7" ht="15" customHeight="1" x14ac:dyDescent="0.25">
      <c r="B5" s="528" t="e" vm="1">
        <v>#VALUE!</v>
      </c>
      <c r="C5" s="528"/>
      <c r="D5" s="528"/>
      <c r="E5" s="528"/>
      <c r="F5" s="528"/>
      <c r="G5" s="528"/>
    </row>
    <row r="6" spans="2:7" ht="15" customHeight="1" x14ac:dyDescent="0.25">
      <c r="B6" s="528"/>
      <c r="C6" s="528"/>
      <c r="D6" s="528"/>
      <c r="E6" s="528"/>
      <c r="F6" s="528"/>
      <c r="G6" s="528"/>
    </row>
    <row r="7" spans="2:7" ht="15" customHeight="1" x14ac:dyDescent="0.25">
      <c r="B7" s="528"/>
      <c r="C7" s="528"/>
      <c r="D7" s="528"/>
      <c r="E7" s="528"/>
      <c r="F7" s="528"/>
      <c r="G7" s="528"/>
    </row>
    <row r="8" spans="2:7" ht="15" customHeight="1" x14ac:dyDescent="0.25">
      <c r="B8" s="528"/>
      <c r="C8" s="528"/>
      <c r="D8" s="528"/>
      <c r="E8" s="528"/>
      <c r="F8" s="528"/>
      <c r="G8" s="528"/>
    </row>
    <row r="10" spans="2:7" ht="15" customHeight="1" thickBot="1" x14ac:dyDescent="0.3"/>
    <row r="11" spans="2:7" ht="23.25" x14ac:dyDescent="0.35">
      <c r="C11" s="529" t="s">
        <v>144</v>
      </c>
      <c r="D11" s="530"/>
      <c r="E11" s="530"/>
      <c r="F11" s="531"/>
    </row>
    <row r="12" spans="2:7" ht="23.25" x14ac:dyDescent="0.35">
      <c r="C12" s="532" t="str">
        <f>Inscripciones!B2</f>
        <v>U9 MASCULINO</v>
      </c>
      <c r="D12" s="533"/>
      <c r="E12" s="533"/>
      <c r="F12" s="534"/>
    </row>
    <row r="13" spans="2:7" ht="19.5" thickBot="1" x14ac:dyDescent="0.35">
      <c r="C13" s="338" t="s">
        <v>145</v>
      </c>
      <c r="D13" s="339" t="s">
        <v>146</v>
      </c>
      <c r="E13" s="339" t="s">
        <v>5</v>
      </c>
      <c r="F13" s="340" t="s">
        <v>6</v>
      </c>
    </row>
    <row r="14" spans="2:7" ht="15.75" thickBot="1" x14ac:dyDescent="0.3">
      <c r="C14" s="341">
        <v>1</v>
      </c>
      <c r="D14" s="342">
        <f ca="1">'LLAVE 8'!H43</f>
        <v>4295</v>
      </c>
      <c r="E14" s="343" t="str">
        <f ca="1">IF(ISBLANK(D14),"",VLOOKUP(D14,Inscripciones!$B$5:$H$130,2,FALSE))</f>
        <v>RICARDO MATEO CHAVES LEÓN</v>
      </c>
      <c r="F14" s="344" t="str">
        <f ca="1">IF(ISBLANK(D14),"",VLOOKUP(D14,Inscripciones!$B$5:$H$130,3,FALSE))</f>
        <v>ESPARZA</v>
      </c>
    </row>
    <row r="15" spans="2:7" ht="15.75" thickBot="1" x14ac:dyDescent="0.3">
      <c r="C15" s="345">
        <v>2</v>
      </c>
      <c r="D15" s="342">
        <f ca="1">'LLAVE 8'!H44</f>
        <v>4520</v>
      </c>
      <c r="E15" s="343" t="str">
        <f ca="1">IF(ISBLANK(D15),"",VLOOKUP(D15,Inscripciones!$B$5:$H$130,2,FALSE))</f>
        <v>GAEL SOLÍS VÁSQUEZ</v>
      </c>
      <c r="F15" s="344" t="str">
        <f ca="1">IF(ISBLANK(D15),"",VLOOKUP(D15,Inscripciones!$B$5:$H$130,3,FALSE))</f>
        <v>ESPARZA</v>
      </c>
    </row>
    <row r="16" spans="2:7" ht="15.75" thickBot="1" x14ac:dyDescent="0.3">
      <c r="C16" s="345">
        <v>3</v>
      </c>
      <c r="D16" s="342">
        <f ca="1">'LLAVE 8'!H45</f>
        <v>4391</v>
      </c>
      <c r="E16" s="343" t="str">
        <f ca="1">IF(ISBLANK(D16),"",VLOOKUP(D16,Inscripciones!$B$5:$H$130,2,FALSE))</f>
        <v xml:space="preserve">EMANUEL UMAÑA RODRIGUEZ </v>
      </c>
      <c r="F16" s="344" t="str">
        <f ca="1">IF(ISBLANK(D16),"",VLOOKUP(D16,Inscripciones!$B$5:$H$130,3,FALSE))</f>
        <v>CURRIDABAT</v>
      </c>
    </row>
    <row r="17" spans="3:6" ht="15.75" thickBot="1" x14ac:dyDescent="0.3">
      <c r="C17" s="346">
        <v>3</v>
      </c>
      <c r="D17" s="342">
        <f ca="1">'LLAVE 8'!H46</f>
        <v>4149</v>
      </c>
      <c r="E17" s="343" t="str">
        <f ca="1">IF(ISBLANK(D17),"",VLOOKUP(D17,Inscripciones!$B$5:$H$130,2,FALSE))</f>
        <v>LUIS MANUEL GARCÍA ARAYA</v>
      </c>
      <c r="F17" s="344" t="str">
        <f ca="1">IF(ISBLANK(D17),"",VLOOKUP(D17,Inscripciones!$B$5:$H$130,3,FALSE))</f>
        <v>ESPARZA</v>
      </c>
    </row>
    <row r="18" spans="3:6" ht="15.75" thickBot="1" x14ac:dyDescent="0.3">
      <c r="C18" s="346">
        <v>5</v>
      </c>
      <c r="D18" s="342">
        <f ca="1">'LLAVE 8'!H47</f>
        <v>4685</v>
      </c>
      <c r="E18" s="343" t="str">
        <f ca="1">IF(ISBLANK(D18),"",VLOOKUP(D18,Inscripciones!$B$5:$H$130,2,FALSE))</f>
        <v>GAEL ROMERO LEÓN</v>
      </c>
      <c r="F18" s="344" t="str">
        <f ca="1">IF(ISBLANK(D18),"",VLOOKUP(D18,Inscripciones!$B$5:$H$130,3,FALSE))</f>
        <v>ESCAZÚ</v>
      </c>
    </row>
    <row r="19" spans="3:6" ht="15.75" thickBot="1" x14ac:dyDescent="0.3">
      <c r="C19" s="346">
        <v>5</v>
      </c>
      <c r="D19" s="342">
        <f ca="1">'LLAVE 8'!H48</f>
        <v>4699</v>
      </c>
      <c r="E19" s="343" t="str">
        <f ca="1">IF(ISBLANK(D19),"",VLOOKUP(D19,Inscripciones!$B$5:$H$130,2,FALSE))</f>
        <v>EZEQUIEL LEAL CHACÓN</v>
      </c>
      <c r="F19" s="344" t="str">
        <f ca="1">IF(ISBLANK(D19),"",VLOOKUP(D19,Inscripciones!$B$5:$H$130,3,FALSE))</f>
        <v>ESPARZA</v>
      </c>
    </row>
    <row r="20" spans="3:6" ht="15.75" thickBot="1" x14ac:dyDescent="0.3">
      <c r="C20" s="346">
        <v>5</v>
      </c>
      <c r="D20" s="342">
        <f ca="1">'LLAVE 8'!H49</f>
        <v>4250</v>
      </c>
      <c r="E20" s="343" t="str">
        <f ca="1">IF(ISBLANK(D20),"",VLOOKUP(D20,Inscripciones!$B$5:$H$130,2,FALSE))</f>
        <v>KEVIN HERNÁNDEZ LÁSCAREZ</v>
      </c>
      <c r="F20" s="344" t="str">
        <f ca="1">IF(ISBLANK(D20),"",VLOOKUP(D20,Inscripciones!$B$5:$H$130,3,FALSE))</f>
        <v>CCDR SAN JOSÉ</v>
      </c>
    </row>
    <row r="21" spans="3:6" ht="15.75" thickBot="1" x14ac:dyDescent="0.3">
      <c r="C21" s="346">
        <v>5</v>
      </c>
      <c r="D21" s="342">
        <f ca="1">'LLAVE 8'!H50</f>
        <v>4834</v>
      </c>
      <c r="E21" s="343" t="str">
        <f ca="1">IF(ISBLANK(D21),"",VLOOKUP(D21,Inscripciones!$B$5:$H$130,2,FALSE))</f>
        <v>PEDRO RIMOLO VILLAGRA</v>
      </c>
      <c r="F21" s="344" t="str">
        <f ca="1">IF(ISBLANK(D21),"",VLOOKUP(D21,Inscripciones!$B$5:$H$130,3,FALSE))</f>
        <v>CURRIDABAT</v>
      </c>
    </row>
    <row r="22" spans="3:6" ht="15.75" customHeight="1" x14ac:dyDescent="0.25"/>
    <row r="23" spans="3:6" ht="15.75" customHeight="1" x14ac:dyDescent="0.25"/>
    <row r="24" spans="3:6" ht="15.75" customHeight="1" x14ac:dyDescent="0.25"/>
    <row r="25" spans="3:6" ht="15.75" customHeight="1" x14ac:dyDescent="0.25"/>
    <row r="26" spans="3:6" ht="15.75" customHeight="1" x14ac:dyDescent="0.25"/>
    <row r="27" spans="3:6" ht="15.75" customHeight="1" x14ac:dyDescent="0.25"/>
    <row r="28" spans="3:6" ht="15.75" customHeight="1" x14ac:dyDescent="0.25"/>
    <row r="29" spans="3:6" ht="15.75" customHeight="1" x14ac:dyDescent="0.25"/>
    <row r="30" spans="3:6" ht="15.75" customHeight="1" x14ac:dyDescent="0.25"/>
    <row r="31" spans="3:6" ht="15.75" customHeight="1" x14ac:dyDescent="0.25"/>
    <row r="32" spans="3:6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</sheetData>
  <mergeCells count="3">
    <mergeCell ref="B5:G8"/>
    <mergeCell ref="C11:F11"/>
    <mergeCell ref="C12:F12"/>
  </mergeCells>
  <pageMargins left="0.7" right="0.7" top="0.75" bottom="0.75" header="0" footer="0"/>
  <pageSetup scale="77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8</vt:i4>
      </vt:variant>
    </vt:vector>
  </HeadingPairs>
  <TitlesOfParts>
    <vt:vector size="19" baseType="lpstr">
      <vt:lpstr>Tabulación</vt:lpstr>
      <vt:lpstr>Ranking Final</vt:lpstr>
      <vt:lpstr>Inscripciones</vt:lpstr>
      <vt:lpstr>Grupo 1</vt:lpstr>
      <vt:lpstr>Grupo 2</vt:lpstr>
      <vt:lpstr>Grupo 3</vt:lpstr>
      <vt:lpstr>Grupo 4</vt:lpstr>
      <vt:lpstr>SORTEO 8</vt:lpstr>
      <vt:lpstr>LLAVE 8</vt:lpstr>
      <vt:lpstr>PLANILLA 8</vt:lpstr>
      <vt:lpstr>PREMIACION</vt:lpstr>
      <vt:lpstr>'Grupo 1'!Print_Area</vt:lpstr>
      <vt:lpstr>'Grupo 2'!Print_Area</vt:lpstr>
      <vt:lpstr>'Grupo 3'!Print_Area</vt:lpstr>
      <vt:lpstr>'Grupo 4'!Print_Area</vt:lpstr>
      <vt:lpstr>Inscripciones!Print_Area</vt:lpstr>
      <vt:lpstr>'LLAVE 8'!Print_Area</vt:lpstr>
      <vt:lpstr>'PLANILLA 8'!Print_Area</vt:lpstr>
      <vt:lpstr>'SORTEO 8'!Print_Area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Maroto Coto</dc:creator>
  <cp:lastModifiedBy>Esteban Maroto Coto</cp:lastModifiedBy>
  <cp:lastPrinted>2026-09-20T19:48:59Z</cp:lastPrinted>
  <dcterms:created xsi:type="dcterms:W3CDTF">2026-09-19T00:54:21Z</dcterms:created>
  <dcterms:modified xsi:type="dcterms:W3CDTF">2026-09-23T16:40:28Z</dcterms:modified>
</cp:coreProperties>
</file>