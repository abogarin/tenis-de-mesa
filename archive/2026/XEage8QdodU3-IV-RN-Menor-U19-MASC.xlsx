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6/Ranking/IV RN Menor 2026/"/>
    </mc:Choice>
  </mc:AlternateContent>
  <xr:revisionPtr revIDLastSave="3" documentId="13_ncr:1_{B8B878D5-7300-48D1-86E5-365E9EED614A}" xr6:coauthVersionLast="47" xr6:coauthVersionMax="47" xr10:uidLastSave="{A5809F44-E5D6-4188-93F6-7DCDB39BD563}"/>
  <bookViews>
    <workbookView xWindow="28680" yWindow="-120" windowWidth="29040" windowHeight="15720" firstSheet="2" activeTab="2" xr2:uid="{F1960E7C-A721-40D6-B596-F26BE88ABDF0}"/>
  </bookViews>
  <sheets>
    <sheet name="Sheet1" sheetId="1" state="hidden" r:id="rId1"/>
    <sheet name="Tabulación" sheetId="2" state="hidden" r:id="rId2"/>
    <sheet name="Ranking Final" sheetId="24" r:id="rId3"/>
    <sheet name="Inscripciones" sheetId="3" r:id="rId4"/>
    <sheet name="Grupo 1" sheetId="4" r:id="rId5"/>
    <sheet name="Grupo 2" sheetId="5" r:id="rId6"/>
    <sheet name="Grupo 3" sheetId="6" r:id="rId7"/>
    <sheet name="Grupo 4" sheetId="7" r:id="rId8"/>
    <sheet name="Grupo 5" sheetId="8" r:id="rId9"/>
    <sheet name="Grupo 6" sheetId="9" r:id="rId10"/>
    <sheet name="Grupo 7" sheetId="10" r:id="rId11"/>
    <sheet name="Grupo 8" sheetId="11" r:id="rId12"/>
    <sheet name="Grupo 9" sheetId="12" r:id="rId13"/>
    <sheet name="Grupo 10" sheetId="13" r:id="rId14"/>
    <sheet name="Grupo 11" sheetId="14" r:id="rId15"/>
    <sheet name="Grupo 12" sheetId="15" r:id="rId16"/>
    <sheet name="Grupo 13" sheetId="16" r:id="rId17"/>
    <sheet name="Grupo 14" sheetId="17" r:id="rId18"/>
    <sheet name="Grupo 15" sheetId="18" r:id="rId19"/>
    <sheet name="Grupo 16" sheetId="19" r:id="rId20"/>
    <sheet name="SORTEO 32" sheetId="20" state="hidden" r:id="rId21"/>
    <sheet name="LLAVE 32" sheetId="21" r:id="rId22"/>
    <sheet name="PLANILLA 32" sheetId="22" state="hidden" r:id="rId23"/>
    <sheet name="PREMIACION" sheetId="23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a" localSheetId="22">#REF!</definedName>
    <definedName name="a">#REF!</definedName>
    <definedName name="acdb" localSheetId="22">#REF!</definedName>
    <definedName name="acdb">#REF!</definedName>
    <definedName name="ACDB1" localSheetId="22">#REF!</definedName>
    <definedName name="ACDB1">#REF!</definedName>
    <definedName name="acdf">#REF!</definedName>
    <definedName name="acdh">#REF!</definedName>
    <definedName name="acdo">#REF!</definedName>
    <definedName name="aceq" localSheetId="1">[1]AE!$A:$IV</definedName>
    <definedName name="aceq">#REF!</definedName>
    <definedName name="acif">#REF!</definedName>
    <definedName name="acin">#REF!</definedName>
    <definedName name="ACIN1">#REF!</definedName>
    <definedName name="acti">#REF!</definedName>
    <definedName name="avc" localSheetId="1">[2]DORSAL!$A$2:$G$120</definedName>
    <definedName name="avc">#REF!</definedName>
    <definedName name="datos" localSheetId="1">[3]Datos!$A$2:$G$140</definedName>
    <definedName name="datos">#REF!</definedName>
    <definedName name="dorsal" localSheetId="1">[2]DORSAL!$A$2:$G$120</definedName>
    <definedName name="dorsal">#REF!</definedName>
    <definedName name="EQ" localSheetId="1">[4]EQU!$A:$IV</definedName>
    <definedName name="EQ">#REF!</definedName>
    <definedName name="IN" localSheetId="1">[4]IND!$A:$IV</definedName>
    <definedName name="IN">#REF!</definedName>
    <definedName name="IND" localSheetId="1">[5]IN!$A$3:$IV$102</definedName>
    <definedName name="IND">#REF!</definedName>
    <definedName name="IPC_Member">#REF!</definedName>
    <definedName name="JBS" localSheetId="1">[6]JB!$A$1:$E$100</definedName>
    <definedName name="JBS">#REF!</definedName>
    <definedName name="JGS">#REF!</definedName>
    <definedName name="JUG" localSheetId="1">[7]Jug!$A$2:$D$13</definedName>
    <definedName name="JUG">#REF!</definedName>
    <definedName name="PC">#REF!</definedName>
    <definedName name="PCS">#REF!</definedName>
    <definedName name="PLAYERS" localSheetId="1">[8]Players!$B$4:$H$124</definedName>
    <definedName name="PLAYERS">#REF!</definedName>
    <definedName name="_xlnm.Print_Area" localSheetId="4">'Grupo 1'!$A$1:$J$35</definedName>
    <definedName name="_xlnm.Print_Area" localSheetId="13">'Grupo 10'!$A$1:$J$35</definedName>
    <definedName name="_xlnm.Print_Area" localSheetId="14">'Grupo 11'!$A$1:$J$35</definedName>
    <definedName name="_xlnm.Print_Area" localSheetId="15">'Grupo 12'!$A$1:$J$35</definedName>
    <definedName name="_xlnm.Print_Area" localSheetId="16">'Grupo 13'!$A$1:$J$35</definedName>
    <definedName name="_xlnm.Print_Area" localSheetId="17">'Grupo 14'!$A$1:$J$35</definedName>
    <definedName name="_xlnm.Print_Area" localSheetId="18">'Grupo 15'!$A$1:$J$35</definedName>
    <definedName name="_xlnm.Print_Area" localSheetId="19">'Grupo 16'!$A$1:$J$35</definedName>
    <definedName name="_xlnm.Print_Area" localSheetId="5">'Grupo 2'!$A$1:$J$35</definedName>
    <definedName name="_xlnm.Print_Area" localSheetId="6">'Grupo 3'!$A$1:$J$35</definedName>
    <definedName name="_xlnm.Print_Area" localSheetId="7">'Grupo 4'!$A$1:$J$35</definedName>
    <definedName name="_xlnm.Print_Area" localSheetId="8">'Grupo 5'!$A$1:$J$35</definedName>
    <definedName name="_xlnm.Print_Area" localSheetId="9">'Grupo 6'!$A$1:$J$35</definedName>
    <definedName name="_xlnm.Print_Area" localSheetId="10">'Grupo 7'!$A$1:$J$35</definedName>
    <definedName name="_xlnm.Print_Area" localSheetId="11">'Grupo 8'!$A$1:$J$35</definedName>
    <definedName name="_xlnm.Print_Area" localSheetId="12">'Grupo 9'!$A$1:$J$35</definedName>
    <definedName name="_xlnm.Print_Area" localSheetId="3">Inscripciones!$B$1:$G$96</definedName>
    <definedName name="_xlnm.Print_Area" localSheetId="22">'PLANILLA 32'!$A$2:$Y$40</definedName>
    <definedName name="RK">#REF!</definedName>
    <definedName name="RKJB">#REF!</definedName>
    <definedName name="RKJG">#REF!</definedName>
    <definedName name="SI">#REF!</definedName>
    <definedName name="ssss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4" i="3" l="1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C12" i="23"/>
  <c r="T27" i="22"/>
  <c r="S27" i="22"/>
  <c r="T25" i="22"/>
  <c r="S25" i="22"/>
  <c r="T21" i="22"/>
  <c r="S21" i="22"/>
  <c r="T17" i="22"/>
  <c r="S17" i="22"/>
  <c r="T16" i="22"/>
  <c r="S16" i="22"/>
  <c r="T14" i="22"/>
  <c r="S14" i="22"/>
  <c r="S13" i="22"/>
  <c r="T12" i="22"/>
  <c r="S12" i="22"/>
  <c r="S11" i="22"/>
  <c r="S10" i="22"/>
  <c r="CA36" i="21"/>
  <c r="BU36" i="21"/>
  <c r="BS36" i="21"/>
  <c r="CA35" i="21"/>
  <c r="CA34" i="21"/>
  <c r="BU34" i="21"/>
  <c r="BS34" i="21"/>
  <c r="CA33" i="21"/>
  <c r="CA32" i="21"/>
  <c r="BU32" i="21"/>
  <c r="BS32" i="21"/>
  <c r="CA31" i="21"/>
  <c r="CA30" i="21"/>
  <c r="CA29" i="21"/>
  <c r="CA28" i="21"/>
  <c r="BU28" i="21"/>
  <c r="BS28" i="21"/>
  <c r="CA27" i="21"/>
  <c r="CA26" i="21"/>
  <c r="CA25" i="21"/>
  <c r="CA24" i="21"/>
  <c r="CA23" i="21"/>
  <c r="CA22" i="21"/>
  <c r="CA21" i="21"/>
  <c r="CA20" i="21"/>
  <c r="BU20" i="21"/>
  <c r="BS20" i="21"/>
  <c r="CA19" i="21"/>
  <c r="CA18" i="21"/>
  <c r="CA17" i="21"/>
  <c r="CA16" i="21"/>
  <c r="CA15" i="21"/>
  <c r="CA14" i="21"/>
  <c r="CA13" i="21"/>
  <c r="CA12" i="21"/>
  <c r="CA11" i="21"/>
  <c r="CA10" i="21"/>
  <c r="CA9" i="21"/>
  <c r="CA8" i="21"/>
  <c r="CA7" i="21"/>
  <c r="CA6" i="21"/>
  <c r="CA5" i="21"/>
  <c r="AV2" i="21"/>
  <c r="D35" i="19"/>
  <c r="D34" i="19"/>
  <c r="D9" i="19"/>
  <c r="D35" i="18"/>
  <c r="D34" i="18"/>
  <c r="D9" i="18"/>
  <c r="D35" i="17"/>
  <c r="D34" i="17"/>
  <c r="D9" i="17"/>
  <c r="D35" i="16"/>
  <c r="D34" i="16"/>
  <c r="D9" i="16"/>
  <c r="D35" i="15"/>
  <c r="D34" i="15"/>
  <c r="D9" i="15"/>
  <c r="D35" i="14"/>
  <c r="D34" i="14"/>
  <c r="D9" i="14"/>
  <c r="D35" i="13"/>
  <c r="D34" i="13"/>
  <c r="D9" i="13"/>
  <c r="D35" i="12"/>
  <c r="D34" i="12"/>
  <c r="D9" i="12"/>
  <c r="D35" i="11"/>
  <c r="D34" i="11"/>
  <c r="D9" i="11"/>
  <c r="D35" i="10"/>
  <c r="D34" i="10"/>
  <c r="D9" i="10"/>
  <c r="D35" i="9"/>
  <c r="D34" i="9"/>
  <c r="D9" i="9"/>
  <c r="D35" i="8"/>
  <c r="D34" i="8"/>
  <c r="D9" i="8"/>
  <c r="D35" i="7"/>
  <c r="D34" i="7"/>
  <c r="D9" i="7"/>
  <c r="D35" i="6"/>
  <c r="D34" i="6"/>
  <c r="D9" i="6"/>
  <c r="D35" i="5"/>
  <c r="D34" i="5"/>
  <c r="D9" i="5"/>
  <c r="D35" i="4"/>
  <c r="D34" i="4"/>
  <c r="D9" i="4"/>
  <c r="Y3" i="22"/>
  <c r="U3" i="22"/>
  <c r="N12" i="22" s="1"/>
  <c r="G146" i="21"/>
  <c r="G68" i="21"/>
  <c r="J68" i="21" s="1"/>
  <c r="AS67" i="21"/>
  <c r="AR67" i="21"/>
  <c r="AQ67" i="21"/>
  <c r="AP67" i="21"/>
  <c r="AO67" i="21"/>
  <c r="AN67" i="21"/>
  <c r="AM67" i="21"/>
  <c r="AL67" i="21"/>
  <c r="AK67" i="21"/>
  <c r="AJ67" i="21"/>
  <c r="AI67" i="21"/>
  <c r="AH67" i="21"/>
  <c r="AG67" i="21"/>
  <c r="AF67" i="21"/>
  <c r="AS66" i="21"/>
  <c r="AR66" i="21"/>
  <c r="AQ66" i="21"/>
  <c r="AP66" i="21"/>
  <c r="AO66" i="21"/>
  <c r="AN66" i="21"/>
  <c r="AM66" i="21"/>
  <c r="AL66" i="21"/>
  <c r="AK66" i="21"/>
  <c r="AJ66" i="21"/>
  <c r="AI66" i="21"/>
  <c r="AH66" i="21"/>
  <c r="AG66" i="21"/>
  <c r="AF66" i="21"/>
  <c r="AB66" i="21"/>
  <c r="AA66" i="21"/>
  <c r="F66" i="21"/>
  <c r="AS65" i="21"/>
  <c r="AR65" i="21"/>
  <c r="AQ65" i="21"/>
  <c r="AP65" i="21"/>
  <c r="AO65" i="21"/>
  <c r="AN65" i="21"/>
  <c r="AM65" i="21"/>
  <c r="AL65" i="21"/>
  <c r="AK65" i="21"/>
  <c r="AJ65" i="21"/>
  <c r="AI65" i="21"/>
  <c r="AH65" i="21"/>
  <c r="AG65" i="21"/>
  <c r="AF65" i="21"/>
  <c r="AS64" i="21"/>
  <c r="AR64" i="21"/>
  <c r="AQ64" i="21"/>
  <c r="AP64" i="21"/>
  <c r="AO64" i="21"/>
  <c r="AN64" i="21"/>
  <c r="AM64" i="21"/>
  <c r="AL64" i="21"/>
  <c r="AK64" i="21"/>
  <c r="AJ64" i="21"/>
  <c r="AI64" i="21"/>
  <c r="AH64" i="21"/>
  <c r="AG64" i="21"/>
  <c r="AF64" i="21"/>
  <c r="AD64" i="21"/>
  <c r="AC64" i="21"/>
  <c r="BI68" i="21" s="1"/>
  <c r="AB64" i="21"/>
  <c r="AA64" i="21"/>
  <c r="AD65" i="21" s="1"/>
  <c r="F64" i="21"/>
  <c r="BF67" i="21" s="1"/>
  <c r="AS63" i="21"/>
  <c r="AR63" i="21"/>
  <c r="AQ63" i="21"/>
  <c r="AP63" i="21"/>
  <c r="AO63" i="21"/>
  <c r="AN63" i="21"/>
  <c r="AM63" i="21"/>
  <c r="AL63" i="21"/>
  <c r="AK63" i="21"/>
  <c r="AJ63" i="21"/>
  <c r="AI63" i="21"/>
  <c r="AH63" i="21"/>
  <c r="AG63" i="21"/>
  <c r="AF63" i="21"/>
  <c r="AS62" i="21"/>
  <c r="AR62" i="21"/>
  <c r="AQ62" i="21"/>
  <c r="AP62" i="21"/>
  <c r="AO62" i="21"/>
  <c r="AE62" i="21" s="1"/>
  <c r="AN62" i="21"/>
  <c r="AM62" i="21"/>
  <c r="AL62" i="21"/>
  <c r="AK62" i="21"/>
  <c r="AJ62" i="21"/>
  <c r="AI62" i="21"/>
  <c r="AH62" i="21"/>
  <c r="AG62" i="21"/>
  <c r="AF62" i="21"/>
  <c r="AA62" i="21"/>
  <c r="F62" i="21"/>
  <c r="BF51" i="21" s="1"/>
  <c r="AS61" i="21"/>
  <c r="AR61" i="21"/>
  <c r="AQ61" i="21"/>
  <c r="AP61" i="21"/>
  <c r="AO61" i="21"/>
  <c r="AN61" i="21"/>
  <c r="AM61" i="21"/>
  <c r="AL61" i="21"/>
  <c r="AK61" i="21"/>
  <c r="AJ61" i="21"/>
  <c r="AI61" i="21"/>
  <c r="AH61" i="21"/>
  <c r="AG61" i="21"/>
  <c r="AF61" i="21"/>
  <c r="AS60" i="21"/>
  <c r="AR60" i="21"/>
  <c r="AQ60" i="21"/>
  <c r="AP60" i="21"/>
  <c r="AO60" i="21"/>
  <c r="AE60" i="21" s="1"/>
  <c r="AN60" i="21"/>
  <c r="AM60" i="21"/>
  <c r="AL60" i="21"/>
  <c r="AK60" i="21"/>
  <c r="AJ60" i="21"/>
  <c r="AI60" i="21"/>
  <c r="AH60" i="21"/>
  <c r="AG60" i="21"/>
  <c r="AF60" i="21"/>
  <c r="F60" i="21"/>
  <c r="AS59" i="21"/>
  <c r="AR59" i="21"/>
  <c r="AQ59" i="21"/>
  <c r="AP59" i="21"/>
  <c r="AO59" i="21"/>
  <c r="AN59" i="21"/>
  <c r="AM59" i="21"/>
  <c r="AL59" i="21"/>
  <c r="AK59" i="21"/>
  <c r="AJ59" i="21"/>
  <c r="AI59" i="21"/>
  <c r="AH59" i="21"/>
  <c r="AG59" i="21"/>
  <c r="AF59" i="21"/>
  <c r="AS58" i="21"/>
  <c r="AR58" i="21"/>
  <c r="AQ58" i="21"/>
  <c r="AP58" i="21"/>
  <c r="AO58" i="21"/>
  <c r="AN58" i="21"/>
  <c r="AM58" i="21"/>
  <c r="AL58" i="21"/>
  <c r="AK58" i="21"/>
  <c r="AJ58" i="21"/>
  <c r="AI58" i="21"/>
  <c r="AH58" i="21"/>
  <c r="AG58" i="21"/>
  <c r="AF58" i="21"/>
  <c r="AA58" i="21" s="1"/>
  <c r="AB58" i="21"/>
  <c r="F58" i="21"/>
  <c r="BC59" i="21" s="1"/>
  <c r="AS57" i="21"/>
  <c r="AR57" i="21"/>
  <c r="AQ57" i="21"/>
  <c r="AP57" i="21"/>
  <c r="AO57" i="21"/>
  <c r="AN57" i="21"/>
  <c r="AM57" i="21"/>
  <c r="AL57" i="21"/>
  <c r="AK57" i="21"/>
  <c r="AJ57" i="21"/>
  <c r="AI57" i="21"/>
  <c r="AH57" i="21"/>
  <c r="AG57" i="21"/>
  <c r="AF57" i="21"/>
  <c r="AB56" i="21" s="1"/>
  <c r="AS56" i="21"/>
  <c r="AR56" i="21"/>
  <c r="AQ56" i="21"/>
  <c r="AP56" i="21"/>
  <c r="AO56" i="21"/>
  <c r="AN56" i="21"/>
  <c r="AE56" i="21" s="1"/>
  <c r="AM56" i="21"/>
  <c r="AL56" i="21"/>
  <c r="AK56" i="21"/>
  <c r="AJ56" i="21"/>
  <c r="AI56" i="21"/>
  <c r="AH56" i="21"/>
  <c r="AG56" i="21"/>
  <c r="AF56" i="21"/>
  <c r="AA56" i="21" s="1"/>
  <c r="F56" i="21"/>
  <c r="AZ55" i="21"/>
  <c r="AS55" i="21"/>
  <c r="AR55" i="21"/>
  <c r="AQ55" i="21"/>
  <c r="AP55" i="21"/>
  <c r="AO55" i="21"/>
  <c r="AN55" i="21"/>
  <c r="AE55" i="21" s="1"/>
  <c r="AM55" i="21"/>
  <c r="AL55" i="21"/>
  <c r="AK55" i="21"/>
  <c r="AJ55" i="21"/>
  <c r="AI55" i="21"/>
  <c r="AH55" i="21"/>
  <c r="AG55" i="21"/>
  <c r="AF55" i="21"/>
  <c r="AB54" i="21" s="1"/>
  <c r="AS54" i="21"/>
  <c r="AR54" i="21"/>
  <c r="AQ54" i="21"/>
  <c r="AP54" i="21"/>
  <c r="AO54" i="21"/>
  <c r="AN54" i="21"/>
  <c r="AM54" i="21"/>
  <c r="AL54" i="21"/>
  <c r="AK54" i="21"/>
  <c r="AJ54" i="21"/>
  <c r="AI54" i="21"/>
  <c r="AH54" i="21"/>
  <c r="AG54" i="21"/>
  <c r="AF54" i="21"/>
  <c r="AE54" i="21"/>
  <c r="AA54" i="21"/>
  <c r="F54" i="21"/>
  <c r="BC27" i="21" s="1"/>
  <c r="AS53" i="21"/>
  <c r="AR53" i="21"/>
  <c r="AQ53" i="21"/>
  <c r="AP53" i="21"/>
  <c r="AO53" i="21"/>
  <c r="AN53" i="21"/>
  <c r="AM53" i="21"/>
  <c r="AL53" i="21"/>
  <c r="AK53" i="21"/>
  <c r="AJ53" i="21"/>
  <c r="AI53" i="21"/>
  <c r="AH53" i="21"/>
  <c r="AB52" i="21" s="1"/>
  <c r="AG53" i="21"/>
  <c r="AF53" i="21"/>
  <c r="AS52" i="21"/>
  <c r="AR52" i="21"/>
  <c r="AQ52" i="21"/>
  <c r="AP52" i="21"/>
  <c r="AO52" i="21"/>
  <c r="AN52" i="21"/>
  <c r="AM52" i="21"/>
  <c r="AL52" i="21"/>
  <c r="AK52" i="21"/>
  <c r="AJ52" i="21"/>
  <c r="AI52" i="21"/>
  <c r="AH52" i="21"/>
  <c r="AG52" i="21"/>
  <c r="AF52" i="21"/>
  <c r="F52" i="21"/>
  <c r="AS51" i="21"/>
  <c r="AR51" i="21"/>
  <c r="AQ51" i="21"/>
  <c r="AP51" i="21"/>
  <c r="AO51" i="21"/>
  <c r="AN51" i="21"/>
  <c r="AM51" i="21"/>
  <c r="AL51" i="21"/>
  <c r="AK51" i="21"/>
  <c r="AJ51" i="21"/>
  <c r="AI51" i="21"/>
  <c r="AH51" i="21"/>
  <c r="AG51" i="21"/>
  <c r="AF51" i="21"/>
  <c r="AS50" i="21"/>
  <c r="AR50" i="21"/>
  <c r="AQ50" i="21"/>
  <c r="AP50" i="21"/>
  <c r="AO50" i="21"/>
  <c r="AN50" i="21"/>
  <c r="AM50" i="21"/>
  <c r="AL50" i="21"/>
  <c r="AK50" i="21"/>
  <c r="AJ50" i="21"/>
  <c r="AI50" i="21"/>
  <c r="AH50" i="21"/>
  <c r="AG50" i="21"/>
  <c r="AF50" i="21"/>
  <c r="AA50" i="21" s="1"/>
  <c r="F50" i="21"/>
  <c r="AZ63" i="21" s="1"/>
  <c r="AS49" i="21"/>
  <c r="AR49" i="21"/>
  <c r="AQ49" i="21"/>
  <c r="AP49" i="21"/>
  <c r="AO49" i="21"/>
  <c r="AN49" i="21"/>
  <c r="AM49" i="21"/>
  <c r="AL49" i="21"/>
  <c r="AK49" i="21"/>
  <c r="AJ49" i="21"/>
  <c r="AI49" i="21"/>
  <c r="AH49" i="21"/>
  <c r="AG49" i="21"/>
  <c r="AF49" i="21"/>
  <c r="AB48" i="21" s="1"/>
  <c r="AS48" i="21"/>
  <c r="AR48" i="21"/>
  <c r="AQ48" i="21"/>
  <c r="AP48" i="21"/>
  <c r="AO48" i="21"/>
  <c r="AN48" i="21"/>
  <c r="AM48" i="21"/>
  <c r="AL48" i="21"/>
  <c r="AK48" i="21"/>
  <c r="AJ48" i="21"/>
  <c r="AI48" i="21"/>
  <c r="AH48" i="21"/>
  <c r="AG48" i="21"/>
  <c r="AF48" i="21"/>
  <c r="F48" i="21"/>
  <c r="AS47" i="21"/>
  <c r="AR47" i="21"/>
  <c r="AQ47" i="21"/>
  <c r="AP47" i="21"/>
  <c r="AO47" i="21"/>
  <c r="AN47" i="21"/>
  <c r="AM47" i="21"/>
  <c r="AL47" i="21"/>
  <c r="AK47" i="21"/>
  <c r="AJ47" i="21"/>
  <c r="AI47" i="21"/>
  <c r="AH47" i="21"/>
  <c r="AG47" i="21"/>
  <c r="AF47" i="21"/>
  <c r="AS46" i="21"/>
  <c r="AR46" i="21"/>
  <c r="AQ46" i="21"/>
  <c r="AP46" i="21"/>
  <c r="AO46" i="21"/>
  <c r="AN46" i="21"/>
  <c r="AM46" i="21"/>
  <c r="AL46" i="21"/>
  <c r="AK46" i="21"/>
  <c r="AJ46" i="21"/>
  <c r="AI46" i="21"/>
  <c r="AH46" i="21"/>
  <c r="AG46" i="21"/>
  <c r="AF46" i="21"/>
  <c r="AA46" i="21" s="1"/>
  <c r="AB46" i="21"/>
  <c r="F46" i="21"/>
  <c r="AZ47" i="21" s="1"/>
  <c r="AS45" i="21"/>
  <c r="AR45" i="21"/>
  <c r="AQ45" i="21"/>
  <c r="AP45" i="21"/>
  <c r="AO45" i="21"/>
  <c r="AN45" i="21"/>
  <c r="AM45" i="21"/>
  <c r="AL45" i="21"/>
  <c r="AK45" i="21"/>
  <c r="AJ45" i="21"/>
  <c r="AI45" i="21"/>
  <c r="AH45" i="21"/>
  <c r="AG45" i="21"/>
  <c r="AF45" i="21"/>
  <c r="AS44" i="21"/>
  <c r="AR44" i="21"/>
  <c r="AQ44" i="21"/>
  <c r="AP44" i="21"/>
  <c r="AO44" i="21"/>
  <c r="AN44" i="21"/>
  <c r="AM44" i="21"/>
  <c r="AL44" i="21"/>
  <c r="AK44" i="21"/>
  <c r="AJ44" i="21"/>
  <c r="AI44" i="21"/>
  <c r="AH44" i="21"/>
  <c r="AG44" i="21"/>
  <c r="AF44" i="21"/>
  <c r="AA44" i="21" s="1"/>
  <c r="AB44" i="21"/>
  <c r="F44" i="21"/>
  <c r="BC43" i="21"/>
  <c r="AS43" i="21"/>
  <c r="AR43" i="21"/>
  <c r="AQ43" i="21"/>
  <c r="AP43" i="21"/>
  <c r="AO43" i="21"/>
  <c r="AN43" i="21"/>
  <c r="AM43" i="21"/>
  <c r="AL43" i="21"/>
  <c r="AK43" i="21"/>
  <c r="AJ43" i="21"/>
  <c r="AI43" i="21"/>
  <c r="AH43" i="21"/>
  <c r="AG43" i="21"/>
  <c r="AF43" i="21"/>
  <c r="AS42" i="21"/>
  <c r="AR42" i="21"/>
  <c r="AQ42" i="21"/>
  <c r="AP42" i="21"/>
  <c r="AO42" i="21"/>
  <c r="AN42" i="21"/>
  <c r="AM42" i="21"/>
  <c r="AL42" i="21"/>
  <c r="AK42" i="21"/>
  <c r="AJ42" i="21"/>
  <c r="AI42" i="21"/>
  <c r="AH42" i="21"/>
  <c r="AG42" i="21"/>
  <c r="AF42" i="21"/>
  <c r="AB42" i="21"/>
  <c r="F42" i="21"/>
  <c r="AS41" i="21"/>
  <c r="AR41" i="21"/>
  <c r="AQ41" i="21"/>
  <c r="AP41" i="21"/>
  <c r="AO41" i="21"/>
  <c r="AN41" i="21"/>
  <c r="AM41" i="21"/>
  <c r="AL41" i="21"/>
  <c r="AK41" i="21"/>
  <c r="AJ41" i="21"/>
  <c r="AI41" i="21"/>
  <c r="AH41" i="21"/>
  <c r="AG41" i="21"/>
  <c r="AF41" i="21"/>
  <c r="AS40" i="21"/>
  <c r="AR40" i="21"/>
  <c r="AQ40" i="21"/>
  <c r="AP40" i="21"/>
  <c r="AO40" i="21"/>
  <c r="AN40" i="21"/>
  <c r="AM40" i="21"/>
  <c r="AL40" i="21"/>
  <c r="AK40" i="21"/>
  <c r="AJ40" i="21"/>
  <c r="AI40" i="21"/>
  <c r="AH40" i="21"/>
  <c r="AG40" i="21"/>
  <c r="AF40" i="21"/>
  <c r="AB40" i="21"/>
  <c r="F40" i="21"/>
  <c r="AZ39" i="21"/>
  <c r="AS39" i="21"/>
  <c r="AR39" i="21"/>
  <c r="AQ39" i="21"/>
  <c r="AP39" i="21"/>
  <c r="AO39" i="21"/>
  <c r="AN39" i="21"/>
  <c r="AE39" i="21" s="1"/>
  <c r="AM39" i="21"/>
  <c r="AL39" i="21"/>
  <c r="AK39" i="21"/>
  <c r="AJ39" i="21"/>
  <c r="AI39" i="21"/>
  <c r="AH39" i="21"/>
  <c r="AG39" i="21"/>
  <c r="AF39" i="21"/>
  <c r="AB38" i="21" s="1"/>
  <c r="AS38" i="21"/>
  <c r="AR38" i="21"/>
  <c r="AQ38" i="21"/>
  <c r="AP38" i="21"/>
  <c r="AO38" i="21"/>
  <c r="AN38" i="21"/>
  <c r="AE38" i="21" s="1"/>
  <c r="AM38" i="21"/>
  <c r="AL38" i="21"/>
  <c r="AK38" i="21"/>
  <c r="AJ38" i="21"/>
  <c r="AI38" i="21"/>
  <c r="AH38" i="21"/>
  <c r="AG38" i="21"/>
  <c r="AA38" i="21" s="1"/>
  <c r="AF38" i="21"/>
  <c r="F38" i="21"/>
  <c r="AZ15" i="21" s="1"/>
  <c r="AS37" i="21"/>
  <c r="AR37" i="21"/>
  <c r="AQ37" i="21"/>
  <c r="AP37" i="21"/>
  <c r="AO37" i="21"/>
  <c r="AN37" i="21"/>
  <c r="AM37" i="21"/>
  <c r="AL37" i="21"/>
  <c r="AK37" i="21"/>
  <c r="AJ37" i="21"/>
  <c r="AI37" i="21"/>
  <c r="AH37" i="21"/>
  <c r="AG37" i="21"/>
  <c r="AF37" i="21"/>
  <c r="BO36" i="21"/>
  <c r="BN36" i="21"/>
  <c r="BM36" i="21"/>
  <c r="AS36" i="21"/>
  <c r="AR36" i="21"/>
  <c r="AQ36" i="21"/>
  <c r="AP36" i="21"/>
  <c r="AO36" i="21"/>
  <c r="AN36" i="21"/>
  <c r="AM36" i="21"/>
  <c r="AL36" i="21"/>
  <c r="AK36" i="21"/>
  <c r="AJ36" i="21"/>
  <c r="AI36" i="21"/>
  <c r="AH36" i="21"/>
  <c r="AG36" i="21"/>
  <c r="AF36" i="21"/>
  <c r="F36" i="21"/>
  <c r="AZ7" i="21" s="1"/>
  <c r="BO35" i="21"/>
  <c r="BN35" i="21"/>
  <c r="BM35" i="21"/>
  <c r="AS35" i="21"/>
  <c r="AR35" i="21"/>
  <c r="AQ35" i="21"/>
  <c r="AP35" i="21"/>
  <c r="AO35" i="21"/>
  <c r="AN35" i="21"/>
  <c r="AM35" i="21"/>
  <c r="AL35" i="21"/>
  <c r="AK35" i="21"/>
  <c r="AJ35" i="21"/>
  <c r="AI35" i="21"/>
  <c r="AH35" i="21"/>
  <c r="AG35" i="21"/>
  <c r="AF35" i="21"/>
  <c r="AB34" i="21" s="1"/>
  <c r="BO34" i="21"/>
  <c r="BN34" i="21"/>
  <c r="BM34" i="21"/>
  <c r="BI34" i="21"/>
  <c r="AS34" i="21"/>
  <c r="AR34" i="21"/>
  <c r="AQ34" i="21"/>
  <c r="AP34" i="21"/>
  <c r="AO34" i="21"/>
  <c r="AN34" i="21"/>
  <c r="AM34" i="21"/>
  <c r="AL34" i="21"/>
  <c r="AK34" i="21"/>
  <c r="AJ34" i="21"/>
  <c r="AI34" i="21"/>
  <c r="AH34" i="21"/>
  <c r="AA34" i="21" s="1"/>
  <c r="AG34" i="21"/>
  <c r="AF34" i="21"/>
  <c r="F34" i="21"/>
  <c r="AW65" i="21" s="1"/>
  <c r="BO33" i="21"/>
  <c r="BN33" i="21"/>
  <c r="BM33" i="21"/>
  <c r="AS33" i="21"/>
  <c r="AR33" i="21"/>
  <c r="AQ33" i="21"/>
  <c r="AP33" i="21"/>
  <c r="AO33" i="21"/>
  <c r="AN33" i="21"/>
  <c r="AM33" i="21"/>
  <c r="AL33" i="21"/>
  <c r="AK33" i="21"/>
  <c r="AJ33" i="21"/>
  <c r="AI33" i="21"/>
  <c r="AH33" i="21"/>
  <c r="AG33" i="21"/>
  <c r="AF33" i="21"/>
  <c r="BO32" i="21"/>
  <c r="BN32" i="21"/>
  <c r="BM32" i="21"/>
  <c r="AS32" i="21"/>
  <c r="AR32" i="21"/>
  <c r="AQ32" i="21"/>
  <c r="AP32" i="21"/>
  <c r="AO32" i="21"/>
  <c r="AN32" i="21"/>
  <c r="AM32" i="21"/>
  <c r="AL32" i="21"/>
  <c r="AK32" i="21"/>
  <c r="AJ32" i="21"/>
  <c r="AI32" i="21"/>
  <c r="AH32" i="21"/>
  <c r="AG32" i="21"/>
  <c r="AF32" i="21"/>
  <c r="AA32" i="21" s="1"/>
  <c r="AB32" i="21"/>
  <c r="F32" i="21"/>
  <c r="AW61" i="21" s="1"/>
  <c r="BO31" i="21"/>
  <c r="BN31" i="21"/>
  <c r="BM31" i="21"/>
  <c r="AZ31" i="21"/>
  <c r="AS31" i="21"/>
  <c r="AR31" i="21"/>
  <c r="AQ31" i="21"/>
  <c r="AP31" i="21"/>
  <c r="AO31" i="21"/>
  <c r="AN31" i="21"/>
  <c r="AM31" i="21"/>
  <c r="AL31" i="21"/>
  <c r="AK31" i="21"/>
  <c r="AJ31" i="21"/>
  <c r="AI31" i="21"/>
  <c r="AH31" i="21"/>
  <c r="AG31" i="21"/>
  <c r="AF31" i="21"/>
  <c r="BO30" i="21"/>
  <c r="BN30" i="21"/>
  <c r="BM30" i="21"/>
  <c r="AS30" i="21"/>
  <c r="AR30" i="21"/>
  <c r="AQ30" i="21"/>
  <c r="AP30" i="21"/>
  <c r="AO30" i="21"/>
  <c r="AN30" i="21"/>
  <c r="AM30" i="21"/>
  <c r="AL30" i="21"/>
  <c r="AK30" i="21"/>
  <c r="AJ30" i="21"/>
  <c r="AI30" i="21"/>
  <c r="AH30" i="21"/>
  <c r="AG30" i="21"/>
  <c r="AF30" i="21"/>
  <c r="AA30" i="21"/>
  <c r="F30" i="21"/>
  <c r="AW57" i="21" s="1"/>
  <c r="BO29" i="21"/>
  <c r="BN29" i="21"/>
  <c r="BM29" i="21"/>
  <c r="AS29" i="21"/>
  <c r="AR29" i="21"/>
  <c r="AQ29" i="21"/>
  <c r="AP29" i="21"/>
  <c r="AO29" i="21"/>
  <c r="AN29" i="21"/>
  <c r="AM29" i="21"/>
  <c r="AL29" i="21"/>
  <c r="AK29" i="21"/>
  <c r="AJ29" i="21"/>
  <c r="AI29" i="21"/>
  <c r="AH29" i="21"/>
  <c r="AG29" i="21"/>
  <c r="AB28" i="21" s="1"/>
  <c r="AF29" i="21"/>
  <c r="BO28" i="21"/>
  <c r="BN28" i="21"/>
  <c r="BM28" i="21"/>
  <c r="AS28" i="21"/>
  <c r="AR28" i="21"/>
  <c r="AQ28" i="21"/>
  <c r="AP28" i="21"/>
  <c r="AO28" i="21"/>
  <c r="AN28" i="21"/>
  <c r="AM28" i="21"/>
  <c r="AL28" i="21"/>
  <c r="AK28" i="21"/>
  <c r="AJ28" i="21"/>
  <c r="AI28" i="21"/>
  <c r="AH28" i="21"/>
  <c r="AG28" i="21"/>
  <c r="AF28" i="21"/>
  <c r="AA28" i="21" s="1"/>
  <c r="F28" i="21"/>
  <c r="AW53" i="21" s="1"/>
  <c r="BO27" i="21"/>
  <c r="BN27" i="21"/>
  <c r="BM27" i="21"/>
  <c r="AS27" i="21"/>
  <c r="AR27" i="21"/>
  <c r="AQ27" i="21"/>
  <c r="AP27" i="21"/>
  <c r="AO27" i="21"/>
  <c r="AN27" i="21"/>
  <c r="AM27" i="21"/>
  <c r="AL27" i="21"/>
  <c r="AK27" i="21"/>
  <c r="AJ27" i="21"/>
  <c r="AI27" i="21"/>
  <c r="AH27" i="21"/>
  <c r="AG27" i="21"/>
  <c r="AF27" i="21"/>
  <c r="AB26" i="21" s="1"/>
  <c r="BO26" i="21"/>
  <c r="BN26" i="21"/>
  <c r="BM26" i="21"/>
  <c r="AS26" i="21"/>
  <c r="AR26" i="21"/>
  <c r="AQ26" i="21"/>
  <c r="AP26" i="21"/>
  <c r="AO26" i="21"/>
  <c r="AN26" i="21"/>
  <c r="AM26" i="21"/>
  <c r="AL26" i="21"/>
  <c r="AK26" i="21"/>
  <c r="AJ26" i="21"/>
  <c r="AI26" i="21"/>
  <c r="AH26" i="21"/>
  <c r="AG26" i="21"/>
  <c r="AA26" i="21" s="1"/>
  <c r="AF26" i="21"/>
  <c r="F26" i="21"/>
  <c r="AW49" i="21" s="1"/>
  <c r="BO25" i="21"/>
  <c r="BN25" i="21"/>
  <c r="BM25" i="21"/>
  <c r="AS25" i="21"/>
  <c r="AR25" i="21"/>
  <c r="AQ25" i="21"/>
  <c r="AP25" i="21"/>
  <c r="AO25" i="21"/>
  <c r="AN25" i="21"/>
  <c r="AM25" i="21"/>
  <c r="AL25" i="21"/>
  <c r="AK25" i="21"/>
  <c r="AJ25" i="21"/>
  <c r="AI25" i="21"/>
  <c r="AH25" i="21"/>
  <c r="AG25" i="21"/>
  <c r="AF25" i="21"/>
  <c r="BO24" i="21"/>
  <c r="BN24" i="21"/>
  <c r="BM24" i="21"/>
  <c r="AS24" i="21"/>
  <c r="AR24" i="21"/>
  <c r="AQ24" i="21"/>
  <c r="AP24" i="21"/>
  <c r="AO24" i="21"/>
  <c r="AN24" i="21"/>
  <c r="AM24" i="21"/>
  <c r="AE24" i="21" s="1"/>
  <c r="AL24" i="21"/>
  <c r="AK24" i="21"/>
  <c r="AJ24" i="21"/>
  <c r="AI24" i="21"/>
  <c r="AH24" i="21"/>
  <c r="AG24" i="21"/>
  <c r="AF24" i="21"/>
  <c r="F24" i="21"/>
  <c r="AW45" i="21" s="1"/>
  <c r="BO23" i="21"/>
  <c r="BN23" i="21"/>
  <c r="BM23" i="21"/>
  <c r="AZ23" i="21"/>
  <c r="AS23" i="21"/>
  <c r="AR23" i="21"/>
  <c r="AQ23" i="21"/>
  <c r="AP23" i="21"/>
  <c r="AO23" i="21"/>
  <c r="AN23" i="21"/>
  <c r="AM23" i="21"/>
  <c r="AL23" i="21"/>
  <c r="AK23" i="21"/>
  <c r="AJ23" i="21"/>
  <c r="AI23" i="21"/>
  <c r="AH23" i="21"/>
  <c r="AG23" i="21"/>
  <c r="AF23" i="21"/>
  <c r="BO22" i="21"/>
  <c r="BN22" i="21"/>
  <c r="BM22" i="21"/>
  <c r="AS22" i="21"/>
  <c r="AR22" i="21"/>
  <c r="AQ22" i="21"/>
  <c r="AP22" i="21"/>
  <c r="AO22" i="21"/>
  <c r="AN22" i="21"/>
  <c r="AM22" i="21"/>
  <c r="AL22" i="21"/>
  <c r="AK22" i="21"/>
  <c r="AJ22" i="21"/>
  <c r="AI22" i="21"/>
  <c r="AH22" i="21"/>
  <c r="AG22" i="21"/>
  <c r="AF22" i="21"/>
  <c r="AA22" i="21"/>
  <c r="F22" i="21"/>
  <c r="AW41" i="21" s="1"/>
  <c r="BO21" i="21"/>
  <c r="BN21" i="21"/>
  <c r="BM21" i="21"/>
  <c r="AS21" i="21"/>
  <c r="AR21" i="21"/>
  <c r="AQ21" i="21"/>
  <c r="AP21" i="21"/>
  <c r="AO21" i="21"/>
  <c r="AN21" i="21"/>
  <c r="AM21" i="21"/>
  <c r="AL21" i="21"/>
  <c r="AK21" i="21"/>
  <c r="AJ21" i="21"/>
  <c r="AI21" i="21"/>
  <c r="AH21" i="21"/>
  <c r="AG21" i="21"/>
  <c r="AF21" i="21"/>
  <c r="BO20" i="21"/>
  <c r="BN20" i="21"/>
  <c r="BM20" i="21"/>
  <c r="AS20" i="21"/>
  <c r="AR20" i="21"/>
  <c r="AQ20" i="21"/>
  <c r="AP20" i="21"/>
  <c r="AO20" i="21"/>
  <c r="AN20" i="21"/>
  <c r="AM20" i="21"/>
  <c r="AL20" i="21"/>
  <c r="AK20" i="21"/>
  <c r="AJ20" i="21"/>
  <c r="AI20" i="21"/>
  <c r="AH20" i="21"/>
  <c r="AG20" i="21"/>
  <c r="AF20" i="21"/>
  <c r="AB20" i="21"/>
  <c r="F20" i="21"/>
  <c r="AW37" i="21" s="1"/>
  <c r="BO19" i="21"/>
  <c r="BN19" i="21"/>
  <c r="BM19" i="21"/>
  <c r="BF19" i="21"/>
  <c r="AS19" i="21"/>
  <c r="AR19" i="21"/>
  <c r="AQ19" i="21"/>
  <c r="AP19" i="21"/>
  <c r="AO19" i="21"/>
  <c r="AN19" i="21"/>
  <c r="AM19" i="21"/>
  <c r="AL19" i="21"/>
  <c r="AK19" i="21"/>
  <c r="AJ19" i="21"/>
  <c r="AI19" i="21"/>
  <c r="AH19" i="21"/>
  <c r="AG19" i="21"/>
  <c r="AF19" i="21"/>
  <c r="AB18" i="21" s="1"/>
  <c r="BO18" i="21"/>
  <c r="BN18" i="21"/>
  <c r="BM18" i="21"/>
  <c r="AS18" i="21"/>
  <c r="AR18" i="21"/>
  <c r="AQ18" i="21"/>
  <c r="AP18" i="21"/>
  <c r="AO18" i="21"/>
  <c r="AN18" i="21"/>
  <c r="AM18" i="21"/>
  <c r="AL18" i="21"/>
  <c r="AK18" i="21"/>
  <c r="AJ18" i="21"/>
  <c r="AI18" i="21"/>
  <c r="AH18" i="21"/>
  <c r="AG18" i="21"/>
  <c r="AF18" i="21"/>
  <c r="AA18" i="21" s="1"/>
  <c r="F18" i="21"/>
  <c r="AW33" i="21" s="1"/>
  <c r="BO17" i="21"/>
  <c r="BN17" i="21"/>
  <c r="BM17" i="21"/>
  <c r="AW17" i="21"/>
  <c r="AS17" i="21"/>
  <c r="AR17" i="21"/>
  <c r="AQ17" i="21"/>
  <c r="AP17" i="21"/>
  <c r="AO17" i="21"/>
  <c r="AN17" i="21"/>
  <c r="AM17" i="21"/>
  <c r="AL17" i="21"/>
  <c r="AK17" i="21"/>
  <c r="AJ17" i="21"/>
  <c r="AI17" i="21"/>
  <c r="AH17" i="21"/>
  <c r="AG17" i="21"/>
  <c r="AF17" i="21"/>
  <c r="BO16" i="21"/>
  <c r="BN16" i="21"/>
  <c r="BM16" i="21"/>
  <c r="AS16" i="21"/>
  <c r="AR16" i="21"/>
  <c r="AQ16" i="21"/>
  <c r="AP16" i="21"/>
  <c r="AO16" i="21"/>
  <c r="AN16" i="21"/>
  <c r="AM16" i="21"/>
  <c r="AL16" i="21"/>
  <c r="AK16" i="21"/>
  <c r="AJ16" i="21"/>
  <c r="AI16" i="21"/>
  <c r="AH16" i="21"/>
  <c r="AG16" i="21"/>
  <c r="AF16" i="21"/>
  <c r="F16" i="21"/>
  <c r="AW29" i="21" s="1"/>
  <c r="BO15" i="21"/>
  <c r="BN15" i="21"/>
  <c r="BM15" i="21"/>
  <c r="AS15" i="21"/>
  <c r="AR15" i="21"/>
  <c r="AQ15" i="21"/>
  <c r="AP15" i="21"/>
  <c r="AO15" i="21"/>
  <c r="AN15" i="21"/>
  <c r="AM15" i="21"/>
  <c r="AL15" i="21"/>
  <c r="AK15" i="21"/>
  <c r="AJ15" i="21"/>
  <c r="AI15" i="21"/>
  <c r="AH15" i="21"/>
  <c r="AG15" i="21"/>
  <c r="AB14" i="21" s="1"/>
  <c r="AF15" i="21"/>
  <c r="BO14" i="21"/>
  <c r="BN14" i="21"/>
  <c r="BM14" i="21"/>
  <c r="AS14" i="21"/>
  <c r="AR14" i="21"/>
  <c r="AQ14" i="21"/>
  <c r="AP14" i="21"/>
  <c r="AO14" i="21"/>
  <c r="AN14" i="21"/>
  <c r="AM14" i="21"/>
  <c r="AL14" i="21"/>
  <c r="AK14" i="21"/>
  <c r="AJ14" i="21"/>
  <c r="AI14" i="21"/>
  <c r="AH14" i="21"/>
  <c r="AG14" i="21"/>
  <c r="AF14" i="21"/>
  <c r="AA14" i="21" s="1"/>
  <c r="F14" i="21"/>
  <c r="AW25" i="21" s="1"/>
  <c r="BO13" i="21"/>
  <c r="BN13" i="21"/>
  <c r="BM13" i="21"/>
  <c r="AS13" i="21"/>
  <c r="AR13" i="21"/>
  <c r="AQ13" i="21"/>
  <c r="AP13" i="21"/>
  <c r="AO13" i="21"/>
  <c r="AN13" i="21"/>
  <c r="AM13" i="21"/>
  <c r="AE13" i="21" s="1"/>
  <c r="AL13" i="21"/>
  <c r="AK13" i="21"/>
  <c r="AJ13" i="21"/>
  <c r="AI13" i="21"/>
  <c r="AH13" i="21"/>
  <c r="AG13" i="21"/>
  <c r="AF13" i="21"/>
  <c r="AB12" i="21" s="1"/>
  <c r="BO12" i="21"/>
  <c r="BN12" i="21"/>
  <c r="BM12" i="21"/>
  <c r="AS12" i="21"/>
  <c r="AR12" i="21"/>
  <c r="AQ12" i="21"/>
  <c r="AP12" i="21"/>
  <c r="AO12" i="21"/>
  <c r="AN12" i="21"/>
  <c r="AE12" i="21" s="1"/>
  <c r="AM12" i="21"/>
  <c r="AL12" i="21"/>
  <c r="AK12" i="21"/>
  <c r="AJ12" i="21"/>
  <c r="AI12" i="21"/>
  <c r="AH12" i="21"/>
  <c r="AG12" i="21"/>
  <c r="AF12" i="21"/>
  <c r="AA12" i="21" s="1"/>
  <c r="F12" i="21"/>
  <c r="AW21" i="21" s="1"/>
  <c r="BO11" i="21"/>
  <c r="BN11" i="21"/>
  <c r="BM11" i="21"/>
  <c r="BC11" i="21"/>
  <c r="AS11" i="21"/>
  <c r="AR11" i="21"/>
  <c r="AQ11" i="21"/>
  <c r="AP11" i="21"/>
  <c r="AO11" i="21"/>
  <c r="AN11" i="21"/>
  <c r="AM11" i="21"/>
  <c r="AL11" i="21"/>
  <c r="AK11" i="21"/>
  <c r="AJ11" i="21"/>
  <c r="AI11" i="21"/>
  <c r="AH11" i="21"/>
  <c r="AG11" i="21"/>
  <c r="AF11" i="21"/>
  <c r="BO10" i="21"/>
  <c r="BN10" i="21"/>
  <c r="BM10" i="21"/>
  <c r="AS10" i="21"/>
  <c r="AR10" i="21"/>
  <c r="AQ10" i="21"/>
  <c r="AP10" i="21"/>
  <c r="AO10" i="21"/>
  <c r="AN10" i="21"/>
  <c r="AM10" i="21"/>
  <c r="AL10" i="21"/>
  <c r="AK10" i="21"/>
  <c r="AJ10" i="21"/>
  <c r="AI10" i="21"/>
  <c r="AH10" i="21"/>
  <c r="AG10" i="21"/>
  <c r="AF10" i="21"/>
  <c r="AA10" i="21" s="1"/>
  <c r="AD10" i="21" s="1"/>
  <c r="AB10" i="21"/>
  <c r="F10" i="21"/>
  <c r="BO9" i="21"/>
  <c r="BN9" i="21"/>
  <c r="BM9" i="21"/>
  <c r="AS9" i="21"/>
  <c r="AR9" i="21"/>
  <c r="AQ9" i="21"/>
  <c r="AP9" i="21"/>
  <c r="AO9" i="21"/>
  <c r="AE9" i="21" s="1"/>
  <c r="AN9" i="21"/>
  <c r="AM9" i="21"/>
  <c r="AL9" i="21"/>
  <c r="AK9" i="21"/>
  <c r="AJ9" i="21"/>
  <c r="AI9" i="21"/>
  <c r="AH9" i="21"/>
  <c r="AG9" i="21"/>
  <c r="AF9" i="21"/>
  <c r="BO8" i="21"/>
  <c r="BN8" i="21"/>
  <c r="BM8" i="21"/>
  <c r="AU8" i="21"/>
  <c r="AU10" i="21" s="1"/>
  <c r="AU12" i="21" s="1"/>
  <c r="AU14" i="21" s="1"/>
  <c r="AU16" i="21" s="1"/>
  <c r="AU18" i="21" s="1"/>
  <c r="AU20" i="21" s="1"/>
  <c r="AU22" i="21" s="1"/>
  <c r="AU24" i="21" s="1"/>
  <c r="AU26" i="21" s="1"/>
  <c r="AU28" i="21" s="1"/>
  <c r="AU30" i="21" s="1"/>
  <c r="AU32" i="21" s="1"/>
  <c r="AU34" i="21" s="1"/>
  <c r="AU36" i="21" s="1"/>
  <c r="AU38" i="21" s="1"/>
  <c r="AU40" i="21" s="1"/>
  <c r="AU42" i="21" s="1"/>
  <c r="AU44" i="21" s="1"/>
  <c r="AU46" i="21" s="1"/>
  <c r="AU48" i="21" s="1"/>
  <c r="AU50" i="21" s="1"/>
  <c r="AU52" i="21" s="1"/>
  <c r="AU54" i="21" s="1"/>
  <c r="AU56" i="21" s="1"/>
  <c r="AU58" i="21" s="1"/>
  <c r="AU60" i="21" s="1"/>
  <c r="AU62" i="21" s="1"/>
  <c r="AU64" i="21" s="1"/>
  <c r="AU66" i="21" s="1"/>
  <c r="AS8" i="21"/>
  <c r="AR8" i="21"/>
  <c r="AQ8" i="21"/>
  <c r="AP8" i="21"/>
  <c r="AO8" i="21"/>
  <c r="AN8" i="21"/>
  <c r="AM8" i="21"/>
  <c r="AE8" i="21" s="1"/>
  <c r="AL8" i="21"/>
  <c r="AK8" i="21"/>
  <c r="AJ8" i="21"/>
  <c r="AI8" i="21"/>
  <c r="AH8" i="21"/>
  <c r="AG8" i="21"/>
  <c r="AF8" i="21"/>
  <c r="AA8" i="21" s="1"/>
  <c r="AB8" i="21"/>
  <c r="F8" i="21"/>
  <c r="AW13" i="21" s="1"/>
  <c r="BO7" i="21"/>
  <c r="BN7" i="21"/>
  <c r="BM7" i="21"/>
  <c r="AS7" i="21"/>
  <c r="AR7" i="21"/>
  <c r="AQ7" i="21"/>
  <c r="AP7" i="21"/>
  <c r="AO7" i="21"/>
  <c r="AN7" i="21"/>
  <c r="AM7" i="21"/>
  <c r="AL7" i="21"/>
  <c r="AK7" i="21"/>
  <c r="AJ7" i="21"/>
  <c r="AI7" i="21"/>
  <c r="AH7" i="21"/>
  <c r="AG7" i="21"/>
  <c r="AF7" i="21"/>
  <c r="BO6" i="21"/>
  <c r="BN6" i="21"/>
  <c r="BM6" i="21"/>
  <c r="BL6" i="21"/>
  <c r="BL7" i="21" s="1"/>
  <c r="BL8" i="21" s="1"/>
  <c r="BL9" i="21" s="1"/>
  <c r="BL10" i="21" s="1"/>
  <c r="BL11" i="21" s="1"/>
  <c r="BL12" i="21" s="1"/>
  <c r="BL13" i="21" s="1"/>
  <c r="BL14" i="21" s="1"/>
  <c r="BL15" i="21" s="1"/>
  <c r="BL16" i="21" s="1"/>
  <c r="BL17" i="21" s="1"/>
  <c r="BL18" i="21" s="1"/>
  <c r="BL19" i="21" s="1"/>
  <c r="BL20" i="21" s="1"/>
  <c r="BL21" i="21" s="1"/>
  <c r="BL22" i="21" s="1"/>
  <c r="BL23" i="21" s="1"/>
  <c r="BL24" i="21" s="1"/>
  <c r="BL25" i="21" s="1"/>
  <c r="BL26" i="21" s="1"/>
  <c r="BL27" i="21" s="1"/>
  <c r="BL28" i="21" s="1"/>
  <c r="BL29" i="21" s="1"/>
  <c r="BL30" i="21" s="1"/>
  <c r="BL31" i="21" s="1"/>
  <c r="BL32" i="21" s="1"/>
  <c r="BL33" i="21" s="1"/>
  <c r="BL34" i="21" s="1"/>
  <c r="BL35" i="21" s="1"/>
  <c r="BL36" i="21" s="1"/>
  <c r="AU6" i="21"/>
  <c r="AS6" i="21"/>
  <c r="AR6" i="21"/>
  <c r="AQ6" i="21"/>
  <c r="AP6" i="21"/>
  <c r="AO6" i="21"/>
  <c r="AN6" i="21"/>
  <c r="AM6" i="21"/>
  <c r="AE6" i="21" s="1"/>
  <c r="AL6" i="21"/>
  <c r="AK6" i="21"/>
  <c r="AJ6" i="21"/>
  <c r="AI6" i="21"/>
  <c r="AH6" i="21"/>
  <c r="AG6" i="21"/>
  <c r="AF6" i="21"/>
  <c r="AB6" i="21"/>
  <c r="AA6" i="21"/>
  <c r="F6" i="21"/>
  <c r="AW9" i="21" s="1"/>
  <c r="BO5" i="21"/>
  <c r="BN5" i="21"/>
  <c r="BM5" i="21"/>
  <c r="AS5" i="21"/>
  <c r="AR5" i="21"/>
  <c r="AQ5" i="21"/>
  <c r="AP5" i="21"/>
  <c r="AO5" i="21"/>
  <c r="AN5" i="21"/>
  <c r="AE5" i="21" s="1"/>
  <c r="AM5" i="21"/>
  <c r="AL5" i="21"/>
  <c r="AK5" i="21"/>
  <c r="AJ5" i="21"/>
  <c r="AI5" i="21"/>
  <c r="AH5" i="21"/>
  <c r="AG5" i="21"/>
  <c r="AF5" i="21"/>
  <c r="AB4" i="21" s="1"/>
  <c r="AS4" i="21"/>
  <c r="AR4" i="21"/>
  <c r="AQ4" i="21"/>
  <c r="AP4" i="21"/>
  <c r="AO4" i="21"/>
  <c r="AN4" i="21"/>
  <c r="AE4" i="21" s="1"/>
  <c r="AM4" i="21"/>
  <c r="AL4" i="21"/>
  <c r="AK4" i="21"/>
  <c r="AJ4" i="21"/>
  <c r="AI4" i="21"/>
  <c r="AH4" i="21"/>
  <c r="AG4" i="21"/>
  <c r="AF4" i="21"/>
  <c r="AA4" i="21"/>
  <c r="F4" i="21"/>
  <c r="AW5" i="21" s="1"/>
  <c r="W24" i="20"/>
  <c r="W41" i="20" s="1"/>
  <c r="W23" i="20"/>
  <c r="W40" i="20" s="1"/>
  <c r="W22" i="20"/>
  <c r="W39" i="20" s="1"/>
  <c r="W21" i="20"/>
  <c r="W38" i="20" s="1"/>
  <c r="W20" i="20"/>
  <c r="W37" i="20" s="1"/>
  <c r="W19" i="20"/>
  <c r="W36" i="20" s="1"/>
  <c r="W18" i="20"/>
  <c r="W35" i="20" s="1"/>
  <c r="W17" i="20"/>
  <c r="W34" i="20" s="1"/>
  <c r="W16" i="20"/>
  <c r="W33" i="20" s="1"/>
  <c r="W15" i="20"/>
  <c r="W32" i="20" s="1"/>
  <c r="W14" i="20"/>
  <c r="W31" i="20" s="1"/>
  <c r="W13" i="20"/>
  <c r="W30" i="20" s="1"/>
  <c r="W12" i="20"/>
  <c r="W29" i="20" s="1"/>
  <c r="W11" i="20"/>
  <c r="W28" i="20" s="1"/>
  <c r="W10" i="20"/>
  <c r="W27" i="20" s="1"/>
  <c r="W9" i="20"/>
  <c r="W26" i="20" s="1"/>
  <c r="J28" i="19" a="1"/>
  <c r="J28" i="19" s="1"/>
  <c r="J26" i="19" a="1"/>
  <c r="J26" i="19" s="1"/>
  <c r="J24" i="19" a="1"/>
  <c r="J24" i="19" s="1"/>
  <c r="J22" i="19" a="1"/>
  <c r="J22" i="19" s="1"/>
  <c r="J20" i="19" a="1"/>
  <c r="J20" i="19" s="1"/>
  <c r="J18" i="19" a="1"/>
  <c r="J18" i="19" s="1"/>
  <c r="J7" i="19"/>
  <c r="J28" i="18" a="1"/>
  <c r="J28" i="18" s="1"/>
  <c r="J26" i="18" a="1"/>
  <c r="J26" i="18" s="1"/>
  <c r="J24" i="18" a="1"/>
  <c r="J24" i="18" s="1"/>
  <c r="J22" i="18" a="1"/>
  <c r="J22" i="18" s="1"/>
  <c r="J20" i="18" a="1"/>
  <c r="J20" i="18" s="1"/>
  <c r="J18" i="18" a="1"/>
  <c r="J18" i="18" s="1"/>
  <c r="J7" i="18"/>
  <c r="J22" i="17" a="1"/>
  <c r="J22" i="17" s="1"/>
  <c r="J20" i="17" a="1"/>
  <c r="J20" i="17" s="1"/>
  <c r="J18" i="17" a="1"/>
  <c r="J18" i="17" s="1"/>
  <c r="J14" i="17"/>
  <c r="J13" i="17"/>
  <c r="J12" i="17"/>
  <c r="J7" i="17"/>
  <c r="J22" i="16" a="1"/>
  <c r="J22" i="16" s="1"/>
  <c r="J20" i="16" a="1"/>
  <c r="J20" i="16" s="1"/>
  <c r="J18" i="16" a="1"/>
  <c r="J18" i="16" s="1"/>
  <c r="J14" i="16"/>
  <c r="J13" i="16"/>
  <c r="J12" i="16"/>
  <c r="J7" i="16"/>
  <c r="J22" i="15" a="1"/>
  <c r="J22" i="15" s="1"/>
  <c r="J20" i="15" a="1"/>
  <c r="J20" i="15" s="1"/>
  <c r="J18" i="15" a="1"/>
  <c r="J18" i="15" s="1"/>
  <c r="J14" i="15"/>
  <c r="J13" i="15"/>
  <c r="J12" i="15"/>
  <c r="J7" i="15"/>
  <c r="J22" i="14" a="1"/>
  <c r="J22" i="14" s="1"/>
  <c r="J20" i="14" a="1"/>
  <c r="J20" i="14" s="1"/>
  <c r="J18" i="14" a="1"/>
  <c r="J18" i="14" s="1"/>
  <c r="J14" i="14"/>
  <c r="J13" i="14"/>
  <c r="J12" i="14"/>
  <c r="J7" i="14"/>
  <c r="J22" i="13" a="1"/>
  <c r="J22" i="13" s="1"/>
  <c r="J20" i="13" a="1"/>
  <c r="J20" i="13" s="1"/>
  <c r="J18" i="13" a="1"/>
  <c r="J18" i="13" s="1"/>
  <c r="J14" i="13"/>
  <c r="J13" i="13"/>
  <c r="J12" i="13"/>
  <c r="J7" i="13"/>
  <c r="J22" i="12" a="1"/>
  <c r="J22" i="12" s="1"/>
  <c r="J20" i="12" a="1"/>
  <c r="J20" i="12" s="1"/>
  <c r="J18" i="12" a="1"/>
  <c r="J18" i="12" s="1"/>
  <c r="J14" i="12"/>
  <c r="J13" i="12"/>
  <c r="J12" i="12"/>
  <c r="J7" i="12"/>
  <c r="J22" i="11" a="1"/>
  <c r="J22" i="11" s="1"/>
  <c r="J20" i="11" a="1"/>
  <c r="J20" i="11" s="1"/>
  <c r="J18" i="11" a="1"/>
  <c r="J18" i="11" s="1"/>
  <c r="J14" i="11"/>
  <c r="J13" i="11"/>
  <c r="J12" i="11"/>
  <c r="J7" i="11"/>
  <c r="J22" i="10" a="1"/>
  <c r="J22" i="10" s="1"/>
  <c r="J20" i="10" a="1"/>
  <c r="J20" i="10" s="1"/>
  <c r="J18" i="10" a="1"/>
  <c r="J18" i="10" s="1"/>
  <c r="J14" i="10"/>
  <c r="J13" i="10"/>
  <c r="J12" i="10"/>
  <c r="J7" i="10"/>
  <c r="J22" i="9" a="1"/>
  <c r="J22" i="9" s="1"/>
  <c r="J20" i="9" a="1"/>
  <c r="J20" i="9" s="1"/>
  <c r="J18" i="9" a="1"/>
  <c r="J18" i="9" s="1"/>
  <c r="J14" i="9"/>
  <c r="J13" i="9"/>
  <c r="J12" i="9"/>
  <c r="J7" i="9"/>
  <c r="J22" i="8" a="1"/>
  <c r="J22" i="8" s="1"/>
  <c r="J20" i="8" a="1"/>
  <c r="J20" i="8" s="1"/>
  <c r="J18" i="8" a="1"/>
  <c r="J18" i="8" s="1"/>
  <c r="J14" i="8"/>
  <c r="J13" i="8"/>
  <c r="J12" i="8"/>
  <c r="J7" i="8"/>
  <c r="J22" i="7" a="1"/>
  <c r="J22" i="7" s="1"/>
  <c r="J20" i="7" a="1"/>
  <c r="J20" i="7" s="1"/>
  <c r="J18" i="7" a="1"/>
  <c r="J18" i="7" s="1"/>
  <c r="J14" i="7"/>
  <c r="J13" i="7"/>
  <c r="J12" i="7"/>
  <c r="J7" i="7"/>
  <c r="J22" i="6" a="1"/>
  <c r="J22" i="6" s="1"/>
  <c r="J20" i="6" a="1"/>
  <c r="J20" i="6" s="1"/>
  <c r="J18" i="6" a="1"/>
  <c r="J18" i="6" s="1"/>
  <c r="J14" i="6"/>
  <c r="J13" i="6"/>
  <c r="J12" i="6"/>
  <c r="J7" i="6"/>
  <c r="J22" i="5" a="1"/>
  <c r="J22" i="5" s="1"/>
  <c r="J20" i="5" a="1"/>
  <c r="J20" i="5" s="1"/>
  <c r="J18" i="5" a="1"/>
  <c r="J18" i="5" s="1"/>
  <c r="J14" i="5"/>
  <c r="J13" i="5"/>
  <c r="J12" i="5"/>
  <c r="J7" i="5"/>
  <c r="J22" i="4" a="1"/>
  <c r="J22" i="4" s="1"/>
  <c r="J20" i="4" a="1"/>
  <c r="J20" i="4" s="1"/>
  <c r="J18" i="4" a="1"/>
  <c r="J18" i="4" s="1"/>
  <c r="J14" i="4"/>
  <c r="J13" i="4"/>
  <c r="J12" i="4"/>
  <c r="J7" i="4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B5" i="2"/>
  <c r="B8" i="2" s="1"/>
  <c r="P6" i="2" a="1"/>
  <c r="F47" i="2" a="1"/>
  <c r="G46" i="2" a="1"/>
  <c r="G48" i="2" a="1"/>
  <c r="G51" i="2" a="1"/>
  <c r="D55" i="2" a="1"/>
  <c r="R40" i="20" a="1"/>
  <c r="C3" i="2" a="1"/>
  <c r="R34" i="20" a="1"/>
  <c r="L4" i="2" a="1"/>
  <c r="C53" i="2" a="1"/>
  <c r="D47" i="2" a="1"/>
  <c r="O4" i="2" a="1"/>
  <c r="G4" i="2" a="1"/>
  <c r="R15" i="20" a="1"/>
  <c r="M4" i="2" a="1"/>
  <c r="R16" i="20" a="1"/>
  <c r="R18" i="20" a="1"/>
  <c r="D48" i="2" a="1"/>
  <c r="R21" i="20" a="1"/>
  <c r="M6" i="2" a="1"/>
  <c r="P2" i="2" a="1"/>
  <c r="O6" i="2" a="1"/>
  <c r="D53" i="2" a="1"/>
  <c r="F45" i="2" a="1"/>
  <c r="L6" i="2" a="1"/>
  <c r="L2" i="2" a="1"/>
  <c r="G3" i="2" a="1"/>
  <c r="P4" i="2" a="1"/>
  <c r="R36" i="20" a="1"/>
  <c r="R13" i="20" a="1"/>
  <c r="R22" i="20" a="1"/>
  <c r="C47" i="2" a="1"/>
  <c r="P1" i="2" a="1"/>
  <c r="C46" i="2" a="1"/>
  <c r="C52" i="2" a="1"/>
  <c r="C4" i="2" a="1"/>
  <c r="R27" i="20" a="1"/>
  <c r="R20" i="20" a="1"/>
  <c r="D44" i="2" a="1"/>
  <c r="R29" i="20" a="1"/>
  <c r="L5" i="2" a="1"/>
  <c r="C54" i="2" a="1"/>
  <c r="R31" i="20" a="1"/>
  <c r="R19" i="20" a="1"/>
  <c r="R24" i="20" a="1"/>
  <c r="C55" i="2" a="1"/>
  <c r="R10" i="20" a="1"/>
  <c r="G2" i="2" a="1"/>
  <c r="O5" i="2" a="1"/>
  <c r="R28" i="20" a="1"/>
  <c r="F44" i="2" a="1"/>
  <c r="R32" i="20" a="1"/>
  <c r="L1" i="2" a="1"/>
  <c r="P5" i="2" a="1"/>
  <c r="R38" i="20" a="1"/>
  <c r="G47" i="2" a="1"/>
  <c r="F54" i="2" a="1"/>
  <c r="G52" i="2" a="1"/>
  <c r="C50" i="2" a="1"/>
  <c r="D45" i="2" a="1"/>
  <c r="R33" i="20" a="1"/>
  <c r="M5" i="2" a="1"/>
  <c r="C48" i="2" a="1"/>
  <c r="R41" i="20" a="1"/>
  <c r="D49" i="2" a="1"/>
  <c r="F53" i="2" a="1"/>
  <c r="R17" i="20" a="1"/>
  <c r="R23" i="20" a="1"/>
  <c r="G55" i="2" a="1"/>
  <c r="C44" i="2" a="1"/>
  <c r="R11" i="20" a="1"/>
  <c r="G45" i="2" a="1"/>
  <c r="G44" i="2" a="1"/>
  <c r="F46" i="2" a="1"/>
  <c r="P3" i="2" a="1"/>
  <c r="R14" i="20" a="1"/>
  <c r="G54" i="2" a="1"/>
  <c r="C51" i="2" a="1"/>
  <c r="R26" i="20" a="1"/>
  <c r="R12" i="20" a="1"/>
  <c r="L3" i="2" a="1"/>
  <c r="C45" i="2" a="1"/>
  <c r="R9" i="20" a="1"/>
  <c r="R35" i="20" a="1"/>
  <c r="R37" i="20" a="1"/>
  <c r="D46" i="2" a="1"/>
  <c r="D54" i="2" a="1"/>
  <c r="C49" i="2" a="1"/>
  <c r="F48" i="2" a="1"/>
  <c r="R39" i="20" a="1"/>
  <c r="G49" i="2" a="1"/>
  <c r="F55" i="2" a="1"/>
  <c r="F49" i="2" a="1"/>
  <c r="R30" i="20" a="1"/>
  <c r="G53" i="2" a="1"/>
  <c r="C2" i="2" a="1"/>
  <c r="G50" i="2" a="1"/>
  <c r="AE66" i="21" l="1"/>
  <c r="AE67" i="21"/>
  <c r="AB62" i="21"/>
  <c r="AE63" i="21"/>
  <c r="AD62" i="21"/>
  <c r="AA60" i="21"/>
  <c r="AB60" i="21"/>
  <c r="AE61" i="21"/>
  <c r="AD60" i="21"/>
  <c r="AC60" i="21" s="1"/>
  <c r="BI18" i="21" s="1"/>
  <c r="AE52" i="21"/>
  <c r="AA52" i="21"/>
  <c r="AE53" i="21"/>
  <c r="AD52" i="21"/>
  <c r="AD54" i="21"/>
  <c r="AC54" i="21" s="1"/>
  <c r="BF28" i="21" s="1"/>
  <c r="AE58" i="21"/>
  <c r="AE59" i="21"/>
  <c r="AE57" i="21"/>
  <c r="AA40" i="21"/>
  <c r="AD40" i="21" s="1"/>
  <c r="AE40" i="21"/>
  <c r="AA48" i="21"/>
  <c r="AD48" i="21"/>
  <c r="AE48" i="21"/>
  <c r="AD49" i="21" s="1"/>
  <c r="AE42" i="21"/>
  <c r="AA42" i="21"/>
  <c r="AE43" i="21"/>
  <c r="AE44" i="21"/>
  <c r="AE45" i="21"/>
  <c r="AD44" i="21"/>
  <c r="AD45" i="21" s="1"/>
  <c r="AD38" i="21"/>
  <c r="AC38" i="21"/>
  <c r="BC16" i="21" s="1"/>
  <c r="AD46" i="21"/>
  <c r="AE46" i="21"/>
  <c r="AE47" i="21"/>
  <c r="AB36" i="21"/>
  <c r="AE36" i="21"/>
  <c r="AA36" i="21"/>
  <c r="AD36" i="21" s="1"/>
  <c r="AC36" i="21" s="1"/>
  <c r="BC6" i="21" s="1"/>
  <c r="AE37" i="21"/>
  <c r="AE50" i="21"/>
  <c r="AB50" i="21"/>
  <c r="AE51" i="21"/>
  <c r="AA20" i="21"/>
  <c r="AD20" i="21" s="1"/>
  <c r="AE21" i="21"/>
  <c r="AE20" i="21"/>
  <c r="AD21" i="21" s="1"/>
  <c r="AB30" i="21"/>
  <c r="AE35" i="21"/>
  <c r="AD34" i="21"/>
  <c r="AE34" i="21"/>
  <c r="AC34" i="21" s="1"/>
  <c r="AZ66" i="21" s="1"/>
  <c r="AE32" i="21"/>
  <c r="AE33" i="21"/>
  <c r="AE30" i="21"/>
  <c r="AD30" i="21"/>
  <c r="AE29" i="21"/>
  <c r="AD28" i="21"/>
  <c r="AE28" i="21"/>
  <c r="AE27" i="21"/>
  <c r="AD26" i="21"/>
  <c r="AC26" i="21"/>
  <c r="AZ50" i="21" s="1"/>
  <c r="AD27" i="21"/>
  <c r="AA24" i="21"/>
  <c r="AE25" i="21"/>
  <c r="AB24" i="21"/>
  <c r="AB22" i="21"/>
  <c r="AD22" i="21" s="1"/>
  <c r="AE23" i="21"/>
  <c r="AE22" i="21"/>
  <c r="AA16" i="21"/>
  <c r="AD18" i="21"/>
  <c r="AE18" i="21"/>
  <c r="AB16" i="21"/>
  <c r="AD16" i="21" s="1"/>
  <c r="AD14" i="21"/>
  <c r="AE15" i="21"/>
  <c r="AE10" i="21"/>
  <c r="AE11" i="21"/>
  <c r="AC10" i="21" s="1"/>
  <c r="AZ18" i="21" s="1"/>
  <c r="AD11" i="21"/>
  <c r="AE7" i="21"/>
  <c r="AD4" i="21"/>
  <c r="AD5" i="21" s="1"/>
  <c r="D4" i="22"/>
  <c r="S24" i="22"/>
  <c r="N10" i="22"/>
  <c r="M4" i="22"/>
  <c r="W4" i="22"/>
  <c r="S4" i="22"/>
  <c r="U4" i="22"/>
  <c r="E15" i="22"/>
  <c r="C14" i="13"/>
  <c r="G14" i="13" s="1"/>
  <c r="C14" i="14"/>
  <c r="E14" i="14" s="1"/>
  <c r="C14" i="19"/>
  <c r="E14" i="19" s="1"/>
  <c r="C12" i="6"/>
  <c r="C12" i="5"/>
  <c r="G12" i="5" s="1"/>
  <c r="C13" i="6"/>
  <c r="C14" i="6"/>
  <c r="G14" i="6" s="1"/>
  <c r="C12" i="19"/>
  <c r="C14" i="4"/>
  <c r="G14" i="4" s="1"/>
  <c r="C13" i="13"/>
  <c r="D13" i="13" s="1"/>
  <c r="F13" i="6"/>
  <c r="I68" i="21"/>
  <c r="D14" i="6"/>
  <c r="E14" i="6"/>
  <c r="F14" i="19"/>
  <c r="F14" i="6"/>
  <c r="L13" i="22"/>
  <c r="U23" i="22"/>
  <c r="N13" i="22"/>
  <c r="L10" i="22"/>
  <c r="L11" i="22"/>
  <c r="N11" i="22"/>
  <c r="L12" i="22"/>
  <c r="AE26" i="21"/>
  <c r="AD12" i="21"/>
  <c r="AC12" i="21" s="1"/>
  <c r="AZ20" i="21" s="1"/>
  <c r="AE49" i="21"/>
  <c r="BH67" i="21"/>
  <c r="AD6" i="21"/>
  <c r="AD7" i="21" s="1"/>
  <c r="AC4" i="21"/>
  <c r="AZ4" i="21" s="1"/>
  <c r="AD32" i="21"/>
  <c r="AD33" i="21" s="1"/>
  <c r="AD42" i="21"/>
  <c r="AC42" i="21" s="1"/>
  <c r="BC32" i="21" s="1"/>
  <c r="AE64" i="21"/>
  <c r="AE19" i="21"/>
  <c r="AD66" i="21"/>
  <c r="AC66" i="21" s="1"/>
  <c r="BI36" i="21" s="1"/>
  <c r="AE16" i="21"/>
  <c r="AD8" i="21"/>
  <c r="AD9" i="21" s="1"/>
  <c r="AE17" i="21"/>
  <c r="AD50" i="21"/>
  <c r="AD51" i="21" s="1"/>
  <c r="AE31" i="21"/>
  <c r="AE41" i="21"/>
  <c r="AE14" i="21"/>
  <c r="AC14" i="21" s="1"/>
  <c r="AZ26" i="21" s="1"/>
  <c r="AD58" i="21"/>
  <c r="AD59" i="21" s="1"/>
  <c r="AE65" i="21"/>
  <c r="AD56" i="21"/>
  <c r="AC56" i="21" s="1"/>
  <c r="BF42" i="21" s="1"/>
  <c r="AD24" i="21"/>
  <c r="AD25" i="21" s="1"/>
  <c r="AD29" i="21"/>
  <c r="AD53" i="21"/>
  <c r="AC44" i="21"/>
  <c r="BC38" i="21" s="1"/>
  <c r="AD47" i="21"/>
  <c r="AD63" i="21"/>
  <c r="AD39" i="21"/>
  <c r="AD55" i="21"/>
  <c r="AC28" i="21"/>
  <c r="AZ52" i="21" s="1"/>
  <c r="R18" i="20"/>
  <c r="R36" i="20"/>
  <c r="R40" i="20"/>
  <c r="R32" i="20"/>
  <c r="R9" i="20"/>
  <c r="R21" i="20"/>
  <c r="R27" i="20"/>
  <c r="R31" i="20"/>
  <c r="R35" i="20"/>
  <c r="R39" i="20"/>
  <c r="R13" i="20"/>
  <c r="R28" i="20"/>
  <c r="R17" i="20"/>
  <c r="R20" i="20"/>
  <c r="R24" i="20"/>
  <c r="R26" i="20"/>
  <c r="R30" i="20"/>
  <c r="R34" i="20"/>
  <c r="R38" i="20"/>
  <c r="R41" i="20"/>
  <c r="R22" i="20"/>
  <c r="R12" i="20"/>
  <c r="R16" i="20"/>
  <c r="R14" i="20"/>
  <c r="R11" i="20"/>
  <c r="R23" i="20"/>
  <c r="R29" i="20"/>
  <c r="R33" i="20"/>
  <c r="R37" i="20"/>
  <c r="R15" i="20"/>
  <c r="R10" i="20"/>
  <c r="R19" i="20"/>
  <c r="A14" i="19"/>
  <c r="A12" i="19"/>
  <c r="A15" i="19"/>
  <c r="C15" i="19" s="1"/>
  <c r="A13" i="19"/>
  <c r="C13" i="19" s="1"/>
  <c r="A14" i="18"/>
  <c r="C14" i="18" s="1"/>
  <c r="D14" i="18" s="1"/>
  <c r="A12" i="18"/>
  <c r="C12" i="18" s="1"/>
  <c r="A15" i="18"/>
  <c r="C15" i="18" s="1"/>
  <c r="G15" i="18" s="1"/>
  <c r="A13" i="18"/>
  <c r="C13" i="18" s="1"/>
  <c r="A13" i="17"/>
  <c r="C13" i="17" s="1"/>
  <c r="A14" i="17"/>
  <c r="C14" i="17" s="1"/>
  <c r="A12" i="17"/>
  <c r="C12" i="17" s="1"/>
  <c r="A13" i="16"/>
  <c r="C13" i="16" s="1"/>
  <c r="A14" i="16"/>
  <c r="C14" i="16" s="1"/>
  <c r="A12" i="16"/>
  <c r="C12" i="16" s="1"/>
  <c r="A13" i="15"/>
  <c r="C13" i="15" s="1"/>
  <c r="D13" i="15" s="1"/>
  <c r="A12" i="15"/>
  <c r="C12" i="15" s="1"/>
  <c r="A14" i="15"/>
  <c r="C14" i="15" s="1"/>
  <c r="A13" i="14"/>
  <c r="C13" i="14" s="1"/>
  <c r="A14" i="14"/>
  <c r="A12" i="14"/>
  <c r="C12" i="14" s="1"/>
  <c r="A13" i="13"/>
  <c r="A14" i="13"/>
  <c r="A12" i="13"/>
  <c r="C12" i="13" s="1"/>
  <c r="A13" i="12"/>
  <c r="C13" i="12" s="1"/>
  <c r="A14" i="12"/>
  <c r="C14" i="12" s="1"/>
  <c r="A12" i="12"/>
  <c r="C12" i="12" s="1"/>
  <c r="A13" i="11"/>
  <c r="C13" i="11" s="1"/>
  <c r="D13" i="11" s="1"/>
  <c r="A14" i="11"/>
  <c r="C14" i="11" s="1"/>
  <c r="A12" i="11"/>
  <c r="C12" i="11" s="1"/>
  <c r="A13" i="10"/>
  <c r="C13" i="10" s="1"/>
  <c r="F13" i="10" s="1"/>
  <c r="A14" i="10"/>
  <c r="C14" i="10" s="1"/>
  <c r="A12" i="10"/>
  <c r="C12" i="10" s="1"/>
  <c r="A12" i="9"/>
  <c r="C12" i="9" s="1"/>
  <c r="G12" i="9" s="1"/>
  <c r="A13" i="9"/>
  <c r="C13" i="9" s="1"/>
  <c r="D13" i="9" s="1"/>
  <c r="A14" i="9"/>
  <c r="C14" i="9" s="1"/>
  <c r="A13" i="8"/>
  <c r="C13" i="8" s="1"/>
  <c r="A14" i="8"/>
  <c r="C14" i="8" s="1"/>
  <c r="A12" i="8"/>
  <c r="C12" i="8" s="1"/>
  <c r="A12" i="7"/>
  <c r="C12" i="7" s="1"/>
  <c r="A13" i="7"/>
  <c r="C13" i="7" s="1"/>
  <c r="D13" i="7" s="1"/>
  <c r="A14" i="7"/>
  <c r="C14" i="7" s="1"/>
  <c r="F14" i="7" s="1"/>
  <c r="A13" i="6"/>
  <c r="A14" i="6"/>
  <c r="A12" i="6"/>
  <c r="A12" i="5"/>
  <c r="A13" i="5"/>
  <c r="C13" i="5" s="1"/>
  <c r="A14" i="5"/>
  <c r="C14" i="5" s="1"/>
  <c r="G14" i="5" s="1"/>
  <c r="A12" i="4"/>
  <c r="C12" i="4" s="1"/>
  <c r="A13" i="4"/>
  <c r="C13" i="4" s="1"/>
  <c r="A14" i="4"/>
  <c r="P3" i="2"/>
  <c r="P6" i="2"/>
  <c r="L5" i="2"/>
  <c r="O4" i="2"/>
  <c r="G3" i="2"/>
  <c r="M5" i="2"/>
  <c r="G2" i="2"/>
  <c r="L3" i="2"/>
  <c r="O6" i="2"/>
  <c r="L2" i="2"/>
  <c r="P1" i="2"/>
  <c r="C2" i="2"/>
  <c r="O5" i="2"/>
  <c r="P2" i="2"/>
  <c r="G4" i="2"/>
  <c r="P4" i="2"/>
  <c r="P5" i="2"/>
  <c r="M6" i="2"/>
  <c r="M4" i="2"/>
  <c r="C4" i="2"/>
  <c r="L6" i="2"/>
  <c r="L1" i="2"/>
  <c r="C3" i="2"/>
  <c r="L4" i="2"/>
  <c r="C44" i="2"/>
  <c r="F45" i="2"/>
  <c r="C47" i="2"/>
  <c r="F48" i="2"/>
  <c r="C50" i="2"/>
  <c r="C53" i="2"/>
  <c r="F54" i="2"/>
  <c r="D44" i="2"/>
  <c r="G45" i="2"/>
  <c r="D47" i="2"/>
  <c r="G48" i="2"/>
  <c r="G51" i="2"/>
  <c r="D53" i="2"/>
  <c r="G54" i="2"/>
  <c r="F44" i="2"/>
  <c r="C46" i="2"/>
  <c r="F47" i="2"/>
  <c r="C49" i="2"/>
  <c r="C52" i="2"/>
  <c r="F53" i="2"/>
  <c r="C55" i="2"/>
  <c r="G44" i="2"/>
  <c r="D46" i="2"/>
  <c r="G47" i="2"/>
  <c r="D49" i="2"/>
  <c r="G50" i="2"/>
  <c r="G53" i="2"/>
  <c r="D55" i="2"/>
  <c r="C45" i="2"/>
  <c r="F46" i="2"/>
  <c r="C48" i="2"/>
  <c r="F49" i="2"/>
  <c r="C51" i="2"/>
  <c r="C54" i="2"/>
  <c r="F55" i="2"/>
  <c r="D45" i="2"/>
  <c r="G46" i="2"/>
  <c r="D48" i="2"/>
  <c r="G49" i="2"/>
  <c r="G52" i="2"/>
  <c r="D54" i="2"/>
  <c r="G55" i="2"/>
  <c r="B11" i="2"/>
  <c r="C7" i="2" a="1"/>
  <c r="O2" i="2" a="1"/>
  <c r="F50" i="2" a="1"/>
  <c r="F4" i="2" a="1"/>
  <c r="G9" i="2" a="1"/>
  <c r="G7" i="2" a="1"/>
  <c r="D5" i="2" a="1"/>
  <c r="C8" i="2" a="1"/>
  <c r="O3" i="2" a="1"/>
  <c r="D6" i="2" a="1"/>
  <c r="D4" i="2" a="1"/>
  <c r="F3" i="2" a="1"/>
  <c r="O1" i="2" a="1"/>
  <c r="C6" i="2" a="1"/>
  <c r="M2" i="2" a="1"/>
  <c r="C9" i="2" a="1"/>
  <c r="G6" i="2" a="1"/>
  <c r="G5" i="2" a="1"/>
  <c r="D3" i="2" a="1"/>
  <c r="D10" i="2" a="1"/>
  <c r="F2" i="2" a="1"/>
  <c r="F10" i="2" a="1"/>
  <c r="F6" i="2" a="1"/>
  <c r="D52" i="2" a="1"/>
  <c r="C5" i="2" a="1"/>
  <c r="F9" i="2" a="1"/>
  <c r="F52" i="2" a="1"/>
  <c r="F8" i="2" a="1"/>
  <c r="G10" i="2" a="1"/>
  <c r="F51" i="2" a="1"/>
  <c r="M3" i="2" a="1"/>
  <c r="D7" i="2" a="1"/>
  <c r="D51" i="2" a="1"/>
  <c r="D50" i="2" a="1"/>
  <c r="C10" i="2" a="1"/>
  <c r="D2" i="2" a="1"/>
  <c r="D8" i="2" a="1"/>
  <c r="D9" i="2" a="1"/>
  <c r="M1" i="2" a="1"/>
  <c r="F7" i="2" a="1"/>
  <c r="G8" i="2" a="1"/>
  <c r="F5" i="2" a="1"/>
  <c r="C5" i="2" l="1"/>
  <c r="G5" i="2"/>
  <c r="C6" i="2"/>
  <c r="G7" i="2"/>
  <c r="C7" i="2"/>
  <c r="AD67" i="21"/>
  <c r="AC62" i="21"/>
  <c r="BI52" i="21" s="1"/>
  <c r="AD61" i="21"/>
  <c r="AC52" i="21"/>
  <c r="BF10" i="21" s="1"/>
  <c r="AC58" i="21"/>
  <c r="BF60" i="21" s="1"/>
  <c r="AD57" i="21"/>
  <c r="AC40" i="21"/>
  <c r="BC22" i="21" s="1"/>
  <c r="AD41" i="21"/>
  <c r="AC48" i="21"/>
  <c r="BC54" i="21" s="1"/>
  <c r="AD43" i="21"/>
  <c r="AC46" i="21"/>
  <c r="BC48" i="21" s="1"/>
  <c r="AD37" i="21"/>
  <c r="AC50" i="21"/>
  <c r="BC64" i="21" s="1"/>
  <c r="AC16" i="21"/>
  <c r="AZ28" i="21" s="1"/>
  <c r="AC20" i="21"/>
  <c r="AZ36" i="21" s="1"/>
  <c r="AD35" i="21"/>
  <c r="AC32" i="21"/>
  <c r="AZ60" i="21" s="1"/>
  <c r="AC30" i="21"/>
  <c r="AZ58" i="21" s="1"/>
  <c r="AD31" i="21"/>
  <c r="AC24" i="21"/>
  <c r="AZ44" i="21" s="1"/>
  <c r="AD23" i="21"/>
  <c r="AC22" i="21"/>
  <c r="AZ42" i="21" s="1"/>
  <c r="AC18" i="21"/>
  <c r="AZ34" i="21" s="1"/>
  <c r="AD19" i="21"/>
  <c r="AD17" i="21"/>
  <c r="AD15" i="21"/>
  <c r="AD13" i="21"/>
  <c r="AC6" i="21"/>
  <c r="AZ10" i="21" s="1"/>
  <c r="AC8" i="21"/>
  <c r="AZ12" i="21" s="1"/>
  <c r="M24" i="22"/>
  <c r="W24" i="22"/>
  <c r="D24" i="22"/>
  <c r="U24" i="22"/>
  <c r="G13" i="19"/>
  <c r="F13" i="19"/>
  <c r="F14" i="17"/>
  <c r="G14" i="17"/>
  <c r="G12" i="17"/>
  <c r="F12" i="17"/>
  <c r="D12" i="17"/>
  <c r="F14" i="16"/>
  <c r="E14" i="16"/>
  <c r="D14" i="16"/>
  <c r="G12" i="15"/>
  <c r="D12" i="15"/>
  <c r="E12" i="15"/>
  <c r="F12" i="15"/>
  <c r="D14" i="15"/>
  <c r="F14" i="15"/>
  <c r="G14" i="15"/>
  <c r="E14" i="15"/>
  <c r="F13" i="14"/>
  <c r="D13" i="14"/>
  <c r="G13" i="14"/>
  <c r="E13" i="14"/>
  <c r="D14" i="14"/>
  <c r="G12" i="13"/>
  <c r="F12" i="13"/>
  <c r="D12" i="13"/>
  <c r="E12" i="13"/>
  <c r="F14" i="13"/>
  <c r="F13" i="12"/>
  <c r="E13" i="12"/>
  <c r="G14" i="12"/>
  <c r="E14" i="12"/>
  <c r="F14" i="12"/>
  <c r="D14" i="12"/>
  <c r="G12" i="11"/>
  <c r="D12" i="11"/>
  <c r="F12" i="11"/>
  <c r="E12" i="11"/>
  <c r="F14" i="11"/>
  <c r="G14" i="11"/>
  <c r="G14" i="10"/>
  <c r="E14" i="10"/>
  <c r="D14" i="10"/>
  <c r="F14" i="10"/>
  <c r="G14" i="9"/>
  <c r="F14" i="9"/>
  <c r="F13" i="8"/>
  <c r="E13" i="8"/>
  <c r="G14" i="8"/>
  <c r="D14" i="8"/>
  <c r="E14" i="8"/>
  <c r="F14" i="8"/>
  <c r="G12" i="7"/>
  <c r="D12" i="7"/>
  <c r="F12" i="7"/>
  <c r="E12" i="7"/>
  <c r="D13" i="5"/>
  <c r="E13" i="5"/>
  <c r="E12" i="5"/>
  <c r="F13" i="4"/>
  <c r="E13" i="4"/>
  <c r="F14" i="4"/>
  <c r="E14" i="4"/>
  <c r="G14" i="7"/>
  <c r="D14" i="4"/>
  <c r="F12" i="9"/>
  <c r="E12" i="9"/>
  <c r="E13" i="10"/>
  <c r="D12" i="9"/>
  <c r="G14" i="16"/>
  <c r="F12" i="4"/>
  <c r="E12" i="4"/>
  <c r="G12" i="4"/>
  <c r="D14" i="5"/>
  <c r="E14" i="5"/>
  <c r="D14" i="11"/>
  <c r="E14" i="11"/>
  <c r="D13" i="19"/>
  <c r="E13" i="19"/>
  <c r="G13" i="6"/>
  <c r="D13" i="6"/>
  <c r="D13" i="17"/>
  <c r="G13" i="17"/>
  <c r="F13" i="17"/>
  <c r="E13" i="17"/>
  <c r="D12" i="10"/>
  <c r="G12" i="10"/>
  <c r="F12" i="10"/>
  <c r="E12" i="10"/>
  <c r="D14" i="9"/>
  <c r="E14" i="9"/>
  <c r="G13" i="4"/>
  <c r="D13" i="4"/>
  <c r="F14" i="18"/>
  <c r="G14" i="18"/>
  <c r="E14" i="18"/>
  <c r="D12" i="19"/>
  <c r="F12" i="19"/>
  <c r="E12" i="19"/>
  <c r="G12" i="19"/>
  <c r="D14" i="7"/>
  <c r="E14" i="7"/>
  <c r="D12" i="12"/>
  <c r="G12" i="12"/>
  <c r="F12" i="12"/>
  <c r="E12" i="12"/>
  <c r="F15" i="19"/>
  <c r="G15" i="19"/>
  <c r="E15" i="19"/>
  <c r="E13" i="6"/>
  <c r="G13" i="10"/>
  <c r="D13" i="10"/>
  <c r="F13" i="18"/>
  <c r="E13" i="18"/>
  <c r="D13" i="18"/>
  <c r="G13" i="18"/>
  <c r="D15" i="19"/>
  <c r="F14" i="5"/>
  <c r="E13" i="13"/>
  <c r="F13" i="13"/>
  <c r="G13" i="13"/>
  <c r="E13" i="9"/>
  <c r="G13" i="9"/>
  <c r="F13" i="9"/>
  <c r="F13" i="16"/>
  <c r="G13" i="16"/>
  <c r="E13" i="16"/>
  <c r="D13" i="16"/>
  <c r="D12" i="5"/>
  <c r="E13" i="15"/>
  <c r="G13" i="15"/>
  <c r="F13" i="15"/>
  <c r="D12" i="6"/>
  <c r="G12" i="6"/>
  <c r="F12" i="6"/>
  <c r="E12" i="6"/>
  <c r="D12" i="16"/>
  <c r="G12" i="16"/>
  <c r="F12" i="16"/>
  <c r="E12" i="16"/>
  <c r="D12" i="4"/>
  <c r="G13" i="12"/>
  <c r="D13" i="12"/>
  <c r="F14" i="14"/>
  <c r="G14" i="14"/>
  <c r="F12" i="5"/>
  <c r="D14" i="17"/>
  <c r="E14" i="17"/>
  <c r="G13" i="5"/>
  <c r="F13" i="5"/>
  <c r="E13" i="11"/>
  <c r="G13" i="11"/>
  <c r="F13" i="11"/>
  <c r="G14" i="19"/>
  <c r="D14" i="19"/>
  <c r="D14" i="13"/>
  <c r="E14" i="13"/>
  <c r="E15" i="18"/>
  <c r="F15" i="18"/>
  <c r="D15" i="18"/>
  <c r="G13" i="8"/>
  <c r="D13" i="8"/>
  <c r="E12" i="17"/>
  <c r="D12" i="8"/>
  <c r="E12" i="8"/>
  <c r="G12" i="8"/>
  <c r="F12" i="8"/>
  <c r="D12" i="14"/>
  <c r="G12" i="14"/>
  <c r="F12" i="14"/>
  <c r="E12" i="14"/>
  <c r="G12" i="18"/>
  <c r="F12" i="18"/>
  <c r="E12" i="18"/>
  <c r="D12" i="18"/>
  <c r="E13" i="7"/>
  <c r="F13" i="7"/>
  <c r="G13" i="7"/>
  <c r="T24" i="20"/>
  <c r="S24" i="20"/>
  <c r="T13" i="20"/>
  <c r="S13" i="20"/>
  <c r="T33" i="20"/>
  <c r="S33" i="20"/>
  <c r="S26" i="20"/>
  <c r="T26" i="20"/>
  <c r="S32" i="20"/>
  <c r="T32" i="20"/>
  <c r="T23" i="20"/>
  <c r="S23" i="20"/>
  <c r="T20" i="20"/>
  <c r="S20" i="20"/>
  <c r="T36" i="20"/>
  <c r="S36" i="20"/>
  <c r="T17" i="20"/>
  <c r="S17" i="20"/>
  <c r="T18" i="20"/>
  <c r="S18" i="20"/>
  <c r="T14" i="20"/>
  <c r="S14" i="20"/>
  <c r="T28" i="20"/>
  <c r="S28" i="20"/>
  <c r="T40" i="20"/>
  <c r="S40" i="20"/>
  <c r="T11" i="20"/>
  <c r="S11" i="20"/>
  <c r="T39" i="20"/>
  <c r="S39" i="20"/>
  <c r="S29" i="20"/>
  <c r="T29" i="20"/>
  <c r="BI67" i="21"/>
  <c r="BJ67" i="21"/>
  <c r="T12" i="20"/>
  <c r="S12" i="20"/>
  <c r="T22" i="20"/>
  <c r="S22" i="20"/>
  <c r="S35" i="20"/>
  <c r="T35" i="20"/>
  <c r="T19" i="20"/>
  <c r="S19" i="20"/>
  <c r="T41" i="20"/>
  <c r="S41" i="20"/>
  <c r="T31" i="20"/>
  <c r="S31" i="20"/>
  <c r="T10" i="20"/>
  <c r="S10" i="20"/>
  <c r="S38" i="20"/>
  <c r="T38" i="20"/>
  <c r="T27" i="20"/>
  <c r="S27" i="20"/>
  <c r="T16" i="20"/>
  <c r="S16" i="20"/>
  <c r="T15" i="20"/>
  <c r="S15" i="20"/>
  <c r="T34" i="20"/>
  <c r="S34" i="20"/>
  <c r="T21" i="20"/>
  <c r="S21" i="20"/>
  <c r="T37" i="20"/>
  <c r="S37" i="20"/>
  <c r="T30" i="20"/>
  <c r="S30" i="20"/>
  <c r="T9" i="20"/>
  <c r="S9" i="20"/>
  <c r="N33" i="22"/>
  <c r="L33" i="22"/>
  <c r="N32" i="22"/>
  <c r="L32" i="22"/>
  <c r="N31" i="22"/>
  <c r="L31" i="22"/>
  <c r="N30" i="22"/>
  <c r="L30" i="22"/>
  <c r="V14" i="20"/>
  <c r="D33" i="20" s="1"/>
  <c r="V28" i="20"/>
  <c r="D27" i="20" s="1"/>
  <c r="V12" i="20"/>
  <c r="V39" i="20"/>
  <c r="D14" i="20" s="1"/>
  <c r="V13" i="20"/>
  <c r="D16" i="20" s="1"/>
  <c r="V22" i="20"/>
  <c r="D28" i="20" s="1"/>
  <c r="V35" i="20"/>
  <c r="D39" i="20" s="1"/>
  <c r="V19" i="20"/>
  <c r="D37" i="20" s="1"/>
  <c r="V41" i="20"/>
  <c r="V31" i="20"/>
  <c r="D18" i="20" s="1"/>
  <c r="V10" i="20"/>
  <c r="D40" i="20" s="1"/>
  <c r="V38" i="20"/>
  <c r="D30" i="20" s="1"/>
  <c r="V27" i="20"/>
  <c r="D11" i="20" s="1"/>
  <c r="V15" i="20"/>
  <c r="D17" i="20" s="1"/>
  <c r="V34" i="20"/>
  <c r="D22" i="20" s="1"/>
  <c r="V21" i="20"/>
  <c r="D20" i="20" s="1"/>
  <c r="V37" i="20"/>
  <c r="D26" i="20" s="1"/>
  <c r="V30" i="20"/>
  <c r="V9" i="20"/>
  <c r="D9" i="20" s="1"/>
  <c r="V33" i="20"/>
  <c r="D10" i="20" s="1"/>
  <c r="V26" i="20"/>
  <c r="D31" i="20" s="1"/>
  <c r="V32" i="20"/>
  <c r="D38" i="20" s="1"/>
  <c r="V16" i="20"/>
  <c r="D32" i="20" s="1"/>
  <c r="V29" i="20"/>
  <c r="D19" i="20" s="1"/>
  <c r="V24" i="20"/>
  <c r="D12" i="20" s="1"/>
  <c r="V40" i="20"/>
  <c r="D23" i="20" s="1"/>
  <c r="V23" i="20"/>
  <c r="D29" i="20" s="1"/>
  <c r="V20" i="20"/>
  <c r="D13" i="20" s="1"/>
  <c r="V36" i="20"/>
  <c r="D15" i="20" s="1"/>
  <c r="V11" i="20"/>
  <c r="V17" i="20"/>
  <c r="D36" i="20" s="1"/>
  <c r="V18" i="20"/>
  <c r="D21" i="20" s="1"/>
  <c r="D19" i="19"/>
  <c r="D24" i="19" s="1"/>
  <c r="D29" i="19" s="1"/>
  <c r="D19" i="18"/>
  <c r="D24" i="18" s="1"/>
  <c r="D29" i="18" s="1"/>
  <c r="D51" i="2"/>
  <c r="F50" i="2"/>
  <c r="D50" i="2"/>
  <c r="F51" i="2"/>
  <c r="O2" i="2"/>
  <c r="M1" i="2"/>
  <c r="M2" i="2"/>
  <c r="O1" i="2"/>
  <c r="F52" i="2"/>
  <c r="D52" i="2"/>
  <c r="O3" i="2"/>
  <c r="M3" i="2"/>
  <c r="D8" i="2"/>
  <c r="F7" i="2"/>
  <c r="F6" i="2"/>
  <c r="D6" i="2"/>
  <c r="F5" i="2"/>
  <c r="D4" i="2"/>
  <c r="F4" i="2"/>
  <c r="F2" i="2"/>
  <c r="D2" i="2"/>
  <c r="F3" i="2"/>
  <c r="D3" i="2"/>
  <c r="G8" i="2"/>
  <c r="F8" i="2"/>
  <c r="D10" i="2"/>
  <c r="G10" i="2"/>
  <c r="G6" i="2"/>
  <c r="C10" i="2"/>
  <c r="F10" i="2"/>
  <c r="D9" i="2"/>
  <c r="D5" i="2"/>
  <c r="F9" i="2"/>
  <c r="G9" i="2"/>
  <c r="C9" i="2"/>
  <c r="C8" i="2"/>
  <c r="D7" i="2"/>
  <c r="B14" i="2"/>
  <c r="G11" i="2" a="1"/>
  <c r="C13" i="2" a="1"/>
  <c r="F13" i="2" a="1"/>
  <c r="D13" i="2" a="1"/>
  <c r="C12" i="2" a="1"/>
  <c r="G12" i="2" a="1"/>
  <c r="F11" i="2" a="1"/>
  <c r="F12" i="2" a="1"/>
  <c r="D11" i="2" a="1"/>
  <c r="C11" i="2" a="1"/>
  <c r="D12" i="2" a="1"/>
  <c r="G13" i="2" a="1"/>
  <c r="G18" i="21" l="1"/>
  <c r="E23" i="20"/>
  <c r="F23" i="20"/>
  <c r="H8" i="21"/>
  <c r="F14" i="20"/>
  <c r="E14" i="20"/>
  <c r="G10" i="21"/>
  <c r="E15" i="20"/>
  <c r="F15" i="20"/>
  <c r="H16" i="21"/>
  <c r="E22" i="20"/>
  <c r="F22" i="20"/>
  <c r="H4" i="21"/>
  <c r="F10" i="20"/>
  <c r="E10" i="20"/>
  <c r="H12" i="21"/>
  <c r="E18" i="20"/>
  <c r="F18" i="20"/>
  <c r="G14" i="21"/>
  <c r="E19" i="20"/>
  <c r="F19" i="20"/>
  <c r="G6" i="21"/>
  <c r="E11" i="20"/>
  <c r="F11" i="20"/>
  <c r="H24" i="21"/>
  <c r="F30" i="20"/>
  <c r="E30" i="20"/>
  <c r="H20" i="21"/>
  <c r="F26" i="20"/>
  <c r="E26" i="20"/>
  <c r="G34" i="21"/>
  <c r="E39" i="20"/>
  <c r="F39" i="20"/>
  <c r="H32" i="21"/>
  <c r="E38" i="20"/>
  <c r="F38" i="20"/>
  <c r="G22" i="21"/>
  <c r="F27" i="20"/>
  <c r="E27" i="20"/>
  <c r="G26" i="21"/>
  <c r="F31" i="20"/>
  <c r="E31" i="20"/>
  <c r="H6" i="21"/>
  <c r="E12" i="20"/>
  <c r="F12" i="20"/>
  <c r="H30" i="21"/>
  <c r="E36" i="20"/>
  <c r="F36" i="20"/>
  <c r="G24" i="21"/>
  <c r="G46" i="21" s="1"/>
  <c r="F29" i="20"/>
  <c r="E29" i="20"/>
  <c r="H22" i="21"/>
  <c r="E28" i="20"/>
  <c r="F28" i="20"/>
  <c r="G32" i="21"/>
  <c r="G50" i="21" s="1"/>
  <c r="H58" i="21" s="1"/>
  <c r="E37" i="20"/>
  <c r="F37" i="20"/>
  <c r="H14" i="21"/>
  <c r="F20" i="20"/>
  <c r="E20" i="20"/>
  <c r="G8" i="21"/>
  <c r="E13" i="20"/>
  <c r="F13" i="20"/>
  <c r="G16" i="21"/>
  <c r="G42" i="21" s="1"/>
  <c r="F21" i="20"/>
  <c r="E21" i="20"/>
  <c r="G12" i="21"/>
  <c r="G40" i="21" s="1"/>
  <c r="F17" i="20"/>
  <c r="E17" i="20"/>
  <c r="E16" i="20"/>
  <c r="H10" i="21"/>
  <c r="F16" i="20"/>
  <c r="G28" i="21"/>
  <c r="G48" i="21" s="1"/>
  <c r="E33" i="20"/>
  <c r="F33" i="20"/>
  <c r="H26" i="21"/>
  <c r="H46" i="21" s="1"/>
  <c r="F32" i="20"/>
  <c r="E32" i="20"/>
  <c r="D35" i="20"/>
  <c r="E35" i="20" s="1"/>
  <c r="D25" i="20"/>
  <c r="D34" i="20"/>
  <c r="E34" i="20" s="1"/>
  <c r="D24" i="20"/>
  <c r="H34" i="21"/>
  <c r="E40" i="20"/>
  <c r="F40" i="20"/>
  <c r="G4" i="21"/>
  <c r="G36" i="21" s="1"/>
  <c r="G52" i="21" s="1"/>
  <c r="F9" i="20"/>
  <c r="E9" i="20"/>
  <c r="D18" i="19"/>
  <c r="D22" i="19"/>
  <c r="D26" i="19"/>
  <c r="D27" i="19"/>
  <c r="D20" i="19"/>
  <c r="D25" i="19" s="1"/>
  <c r="D23" i="19"/>
  <c r="D28" i="19"/>
  <c r="D21" i="19"/>
  <c r="D18" i="18"/>
  <c r="D22" i="18"/>
  <c r="D26" i="18"/>
  <c r="D27" i="18"/>
  <c r="D20" i="18"/>
  <c r="D25" i="18" s="1"/>
  <c r="D23" i="18"/>
  <c r="D28" i="18"/>
  <c r="D21" i="18"/>
  <c r="D22" i="17"/>
  <c r="D21" i="17"/>
  <c r="D23" i="17"/>
  <c r="D19" i="17"/>
  <c r="D18" i="17"/>
  <c r="D20" i="17"/>
  <c r="D22" i="16"/>
  <c r="D21" i="16"/>
  <c r="D23" i="16"/>
  <c r="D19" i="16"/>
  <c r="D18" i="16"/>
  <c r="D20" i="16"/>
  <c r="D22" i="15"/>
  <c r="D21" i="15"/>
  <c r="D18" i="15"/>
  <c r="D20" i="15"/>
  <c r="D23" i="15"/>
  <c r="D19" i="15"/>
  <c r="D22" i="14"/>
  <c r="D21" i="14"/>
  <c r="D23" i="14"/>
  <c r="D19" i="14"/>
  <c r="D18" i="14"/>
  <c r="D20" i="14"/>
  <c r="D22" i="13"/>
  <c r="D21" i="13"/>
  <c r="D23" i="13"/>
  <c r="D19" i="13"/>
  <c r="D18" i="13"/>
  <c r="D20" i="13"/>
  <c r="D22" i="12"/>
  <c r="D21" i="12"/>
  <c r="D23" i="12"/>
  <c r="D19" i="12"/>
  <c r="D18" i="12"/>
  <c r="D20" i="12"/>
  <c r="D22" i="11"/>
  <c r="D21" i="11"/>
  <c r="D23" i="11"/>
  <c r="D19" i="11"/>
  <c r="D18" i="11"/>
  <c r="D20" i="11"/>
  <c r="D22" i="10"/>
  <c r="D21" i="10"/>
  <c r="D23" i="10"/>
  <c r="D19" i="10"/>
  <c r="D18" i="10"/>
  <c r="D20" i="10"/>
  <c r="D18" i="9"/>
  <c r="D20" i="9"/>
  <c r="D22" i="9"/>
  <c r="D21" i="9"/>
  <c r="D23" i="9"/>
  <c r="D19" i="9"/>
  <c r="D22" i="8"/>
  <c r="D21" i="8"/>
  <c r="D23" i="8"/>
  <c r="D19" i="8"/>
  <c r="D18" i="8"/>
  <c r="D20" i="8"/>
  <c r="D22" i="7"/>
  <c r="D21" i="7"/>
  <c r="D23" i="7"/>
  <c r="D19" i="7"/>
  <c r="D18" i="7"/>
  <c r="D20" i="7"/>
  <c r="D22" i="6"/>
  <c r="D21" i="6"/>
  <c r="D23" i="6"/>
  <c r="D19" i="6"/>
  <c r="D18" i="6"/>
  <c r="D20" i="6"/>
  <c r="D18" i="5"/>
  <c r="D20" i="5"/>
  <c r="D22" i="5"/>
  <c r="D21" i="5"/>
  <c r="D23" i="5"/>
  <c r="D19" i="5"/>
  <c r="D18" i="4"/>
  <c r="D20" i="4"/>
  <c r="D22" i="4"/>
  <c r="D21" i="4"/>
  <c r="D23" i="4"/>
  <c r="D19" i="4"/>
  <c r="D11" i="2"/>
  <c r="F11" i="2"/>
  <c r="C13" i="2"/>
  <c r="G12" i="2"/>
  <c r="G11" i="2"/>
  <c r="D13" i="2"/>
  <c r="C12" i="2"/>
  <c r="F13" i="2"/>
  <c r="D12" i="2"/>
  <c r="C11" i="2"/>
  <c r="G13" i="2"/>
  <c r="F12" i="2"/>
  <c r="B17" i="2"/>
  <c r="D14" i="2" a="1"/>
  <c r="F16" i="2" a="1"/>
  <c r="G14" i="2" a="1"/>
  <c r="F15" i="2" a="1"/>
  <c r="D15" i="2" a="1"/>
  <c r="G15" i="2" a="1"/>
  <c r="F14" i="2" a="1"/>
  <c r="C15" i="2" a="1"/>
  <c r="G16" i="2" a="1"/>
  <c r="C14" i="2" a="1"/>
  <c r="D16" i="2" a="1"/>
  <c r="C16" i="2" a="1"/>
  <c r="G38" i="21" l="1"/>
  <c r="H56" i="21"/>
  <c r="L84" i="21" s="1"/>
  <c r="L81" i="21"/>
  <c r="I52" i="21"/>
  <c r="J52" i="21"/>
  <c r="BB7" i="21"/>
  <c r="BY29" i="21"/>
  <c r="K80" i="21"/>
  <c r="K87" i="21"/>
  <c r="BZ32" i="21"/>
  <c r="BU31" i="21" s="1"/>
  <c r="L86" i="21"/>
  <c r="BB63" i="21"/>
  <c r="H50" i="21"/>
  <c r="K103" i="21" s="1"/>
  <c r="AY61" i="21"/>
  <c r="L103" i="21"/>
  <c r="K102" i="21"/>
  <c r="BY28" i="21"/>
  <c r="BS27" i="21" s="1"/>
  <c r="I50" i="21"/>
  <c r="J50" i="21"/>
  <c r="AY53" i="21"/>
  <c r="L101" i="21"/>
  <c r="I48" i="21"/>
  <c r="K100" i="21"/>
  <c r="BY27" i="21"/>
  <c r="BS26" i="21" s="1"/>
  <c r="J48" i="21"/>
  <c r="K99" i="21"/>
  <c r="BZ26" i="21"/>
  <c r="BU25" i="21" s="1"/>
  <c r="L98" i="21"/>
  <c r="AY49" i="21"/>
  <c r="AY45" i="21"/>
  <c r="BY26" i="21"/>
  <c r="BS25" i="21" s="1"/>
  <c r="I46" i="21"/>
  <c r="K98" i="21"/>
  <c r="J46" i="21"/>
  <c r="L99" i="21"/>
  <c r="H44" i="21"/>
  <c r="K97" i="21" s="1"/>
  <c r="K94" i="21"/>
  <c r="BY24" i="21"/>
  <c r="BS23" i="21" s="1"/>
  <c r="I42" i="21"/>
  <c r="J42" i="21"/>
  <c r="AY29" i="21"/>
  <c r="L95" i="21"/>
  <c r="H40" i="21"/>
  <c r="BZ23" i="21" s="1"/>
  <c r="BU22" i="21" s="1"/>
  <c r="L93" i="21"/>
  <c r="AY21" i="21"/>
  <c r="BY23" i="21"/>
  <c r="BS22" i="21" s="1"/>
  <c r="I40" i="21"/>
  <c r="J40" i="21"/>
  <c r="K92" i="21"/>
  <c r="H38" i="21"/>
  <c r="L90" i="21" s="1"/>
  <c r="H36" i="21"/>
  <c r="BZ21" i="21" s="1"/>
  <c r="J36" i="21"/>
  <c r="BY21" i="21"/>
  <c r="AY5" i="21"/>
  <c r="I36" i="21"/>
  <c r="K88" i="21"/>
  <c r="L89" i="21"/>
  <c r="L91" i="21"/>
  <c r="BY22" i="21"/>
  <c r="BS21" i="21" s="1"/>
  <c r="AY13" i="21"/>
  <c r="J38" i="21"/>
  <c r="K90" i="21"/>
  <c r="I38" i="21"/>
  <c r="K118" i="21"/>
  <c r="BY12" i="21"/>
  <c r="BS11" i="21" s="1"/>
  <c r="L119" i="21"/>
  <c r="I18" i="21"/>
  <c r="J18" i="21"/>
  <c r="AV32" i="21"/>
  <c r="K109" i="21"/>
  <c r="L108" i="21"/>
  <c r="AV14" i="21"/>
  <c r="BZ7" i="21"/>
  <c r="BU6" i="21" s="1"/>
  <c r="L111" i="21"/>
  <c r="I10" i="21"/>
  <c r="J10" i="21"/>
  <c r="BY8" i="21"/>
  <c r="BS7" i="21" s="1"/>
  <c r="K110" i="21"/>
  <c r="AV16" i="21"/>
  <c r="K117" i="21"/>
  <c r="BZ11" i="21"/>
  <c r="BU10" i="21" s="1"/>
  <c r="AV30" i="21"/>
  <c r="L116" i="21"/>
  <c r="AV6" i="21"/>
  <c r="BZ5" i="21"/>
  <c r="K105" i="21"/>
  <c r="L104" i="21"/>
  <c r="L112" i="21"/>
  <c r="BZ9" i="21"/>
  <c r="BU8" i="21" s="1"/>
  <c r="K113" i="21"/>
  <c r="AV22" i="21"/>
  <c r="AV24" i="21"/>
  <c r="K114" i="21"/>
  <c r="L115" i="21"/>
  <c r="J14" i="21"/>
  <c r="BY10" i="21"/>
  <c r="BS9" i="21" s="1"/>
  <c r="I14" i="21"/>
  <c r="K106" i="21"/>
  <c r="J6" i="21"/>
  <c r="L107" i="21"/>
  <c r="BY6" i="21"/>
  <c r="AV8" i="21"/>
  <c r="I6" i="21"/>
  <c r="K125" i="21"/>
  <c r="AV46" i="21"/>
  <c r="BZ15" i="21"/>
  <c r="BU14" i="21" s="1"/>
  <c r="L124" i="21"/>
  <c r="K121" i="21"/>
  <c r="BZ13" i="21"/>
  <c r="BU12" i="21" s="1"/>
  <c r="AV38" i="21"/>
  <c r="L120" i="21"/>
  <c r="J34" i="21"/>
  <c r="L135" i="21"/>
  <c r="K134" i="21"/>
  <c r="BY20" i="21"/>
  <c r="BS19" i="21" s="1"/>
  <c r="I34" i="21"/>
  <c r="AV64" i="21"/>
  <c r="BZ19" i="21"/>
  <c r="BU18" i="21" s="1"/>
  <c r="L132" i="21"/>
  <c r="K133" i="21"/>
  <c r="AV62" i="21"/>
  <c r="G30" i="21"/>
  <c r="AV56" i="21" s="1"/>
  <c r="L123" i="21"/>
  <c r="AV40" i="21"/>
  <c r="J22" i="21"/>
  <c r="K122" i="21"/>
  <c r="I22" i="21"/>
  <c r="BY14" i="21"/>
  <c r="BS13" i="21" s="1"/>
  <c r="I26" i="21"/>
  <c r="AV48" i="21"/>
  <c r="BY16" i="21"/>
  <c r="BS15" i="21" s="1"/>
  <c r="J26" i="21"/>
  <c r="K126" i="21"/>
  <c r="L127" i="21"/>
  <c r="L106" i="21"/>
  <c r="K107" i="21"/>
  <c r="AV10" i="21"/>
  <c r="BZ6" i="21"/>
  <c r="K131" i="21"/>
  <c r="L130" i="21"/>
  <c r="BZ18" i="21"/>
  <c r="BU17" i="21" s="1"/>
  <c r="AV58" i="21"/>
  <c r="L125" i="21"/>
  <c r="K124" i="21"/>
  <c r="BY15" i="21"/>
  <c r="BS14" i="21" s="1"/>
  <c r="I24" i="21"/>
  <c r="AV44" i="21"/>
  <c r="J24" i="21"/>
  <c r="K123" i="21"/>
  <c r="AV42" i="21"/>
  <c r="L122" i="21"/>
  <c r="BZ14" i="21"/>
  <c r="BU13" i="21" s="1"/>
  <c r="BY19" i="21"/>
  <c r="BS18" i="21" s="1"/>
  <c r="J32" i="21"/>
  <c r="AV60" i="21"/>
  <c r="I32" i="21"/>
  <c r="K132" i="21"/>
  <c r="L133" i="21"/>
  <c r="BZ10" i="21"/>
  <c r="BU9" i="21" s="1"/>
  <c r="AV26" i="21"/>
  <c r="K115" i="21"/>
  <c r="L114" i="21"/>
  <c r="J8" i="21"/>
  <c r="K108" i="21"/>
  <c r="L109" i="21"/>
  <c r="AV12" i="21"/>
  <c r="I8" i="21"/>
  <c r="BY7" i="21"/>
  <c r="BS6" i="21" s="1"/>
  <c r="BY11" i="21"/>
  <c r="BS10" i="21" s="1"/>
  <c r="J16" i="21"/>
  <c r="L117" i="21"/>
  <c r="I16" i="21"/>
  <c r="K116" i="21"/>
  <c r="AV28" i="21"/>
  <c r="F34" i="20"/>
  <c r="L113" i="21"/>
  <c r="K112" i="21"/>
  <c r="J12" i="21"/>
  <c r="BY9" i="21"/>
  <c r="BS8" i="21" s="1"/>
  <c r="AV20" i="21"/>
  <c r="I12" i="21"/>
  <c r="H28" i="21"/>
  <c r="BZ17" i="21" s="1"/>
  <c r="BU16" i="21" s="1"/>
  <c r="K111" i="21"/>
  <c r="AV18" i="21"/>
  <c r="L110" i="21"/>
  <c r="BZ8" i="21"/>
  <c r="BU7" i="21" s="1"/>
  <c r="AV52" i="21"/>
  <c r="I28" i="21"/>
  <c r="K128" i="21"/>
  <c r="L129" i="21"/>
  <c r="J28" i="21"/>
  <c r="BY17" i="21"/>
  <c r="BS16" i="21" s="1"/>
  <c r="F35" i="20"/>
  <c r="BZ16" i="21"/>
  <c r="BU15" i="21" s="1"/>
  <c r="L126" i="21"/>
  <c r="K127" i="21"/>
  <c r="AV50" i="21"/>
  <c r="G20" i="21"/>
  <c r="G44" i="21" s="1"/>
  <c r="G56" i="21" s="1"/>
  <c r="G62" i="21" s="1"/>
  <c r="E25" i="20"/>
  <c r="F25" i="20"/>
  <c r="H18" i="21"/>
  <c r="H42" i="21" s="1"/>
  <c r="H54" i="21" s="1"/>
  <c r="E24" i="20"/>
  <c r="F24" i="20"/>
  <c r="L134" i="21"/>
  <c r="K135" i="21"/>
  <c r="AV66" i="21"/>
  <c r="BZ20" i="21"/>
  <c r="BU19" i="21" s="1"/>
  <c r="AV4" i="21"/>
  <c r="J4" i="21"/>
  <c r="BY5" i="21"/>
  <c r="L105" i="21"/>
  <c r="I4" i="21"/>
  <c r="K104" i="21"/>
  <c r="G16" i="2"/>
  <c r="C14" i="2"/>
  <c r="D15" i="2"/>
  <c r="D14" i="2"/>
  <c r="G15" i="2"/>
  <c r="F14" i="2"/>
  <c r="C16" i="2"/>
  <c r="G14" i="2"/>
  <c r="D16" i="2"/>
  <c r="C15" i="2"/>
  <c r="F15" i="2"/>
  <c r="F16" i="2"/>
  <c r="B20" i="2"/>
  <c r="D18" i="2" a="1"/>
  <c r="C17" i="2" a="1"/>
  <c r="G17" i="2" a="1"/>
  <c r="G19" i="2" a="1"/>
  <c r="F18" i="2" a="1"/>
  <c r="D19" i="2" a="1"/>
  <c r="F17" i="2" a="1"/>
  <c r="F19" i="2" a="1"/>
  <c r="D17" i="2" a="1"/>
  <c r="C19" i="2" a="1"/>
  <c r="G18" i="2" a="1"/>
  <c r="C18" i="2" a="1"/>
  <c r="L79" i="21" l="1"/>
  <c r="BY34" i="21"/>
  <c r="BS33" i="21" s="1"/>
  <c r="I62" i="21"/>
  <c r="J62" i="21"/>
  <c r="BE43" i="21"/>
  <c r="K78" i="21"/>
  <c r="G54" i="21"/>
  <c r="H60" i="21" s="1"/>
  <c r="G64" i="21" s="1"/>
  <c r="K85" i="21"/>
  <c r="BB47" i="21"/>
  <c r="BD47" i="21" s="1"/>
  <c r="BZ30" i="21"/>
  <c r="BU29" i="21" s="1"/>
  <c r="L82" i="21"/>
  <c r="BB31" i="21"/>
  <c r="BD31" i="21" s="1"/>
  <c r="K83" i="21"/>
  <c r="BZ31" i="21"/>
  <c r="BU30" i="21" s="1"/>
  <c r="K84" i="21"/>
  <c r="BY31" i="21"/>
  <c r="BS30" i="21" s="1"/>
  <c r="BB39" i="21"/>
  <c r="J56" i="21"/>
  <c r="L85" i="21"/>
  <c r="I56" i="21"/>
  <c r="H52" i="21"/>
  <c r="BY18" i="21"/>
  <c r="BS17" i="21" s="1"/>
  <c r="J30" i="21"/>
  <c r="AY65" i="21"/>
  <c r="BA65" i="21" s="1"/>
  <c r="BD7" i="21"/>
  <c r="BC7" i="21"/>
  <c r="L102" i="21"/>
  <c r="BZ28" i="21"/>
  <c r="BU27" i="21" s="1"/>
  <c r="BD63" i="21"/>
  <c r="BC63" i="21"/>
  <c r="K96" i="21"/>
  <c r="J44" i="21"/>
  <c r="BY25" i="21"/>
  <c r="BS24" i="21" s="1"/>
  <c r="L97" i="21"/>
  <c r="I44" i="21"/>
  <c r="AY37" i="21"/>
  <c r="L50" i="21"/>
  <c r="K50" i="21"/>
  <c r="BA61" i="21"/>
  <c r="AZ61" i="21"/>
  <c r="I30" i="21"/>
  <c r="K30" i="21" s="1"/>
  <c r="H48" i="21"/>
  <c r="BA53" i="21"/>
  <c r="AZ53" i="21"/>
  <c r="BA49" i="21"/>
  <c r="AZ49" i="21"/>
  <c r="BZ25" i="21"/>
  <c r="BU24" i="21" s="1"/>
  <c r="AY41" i="21"/>
  <c r="AZ41" i="21" s="1"/>
  <c r="L46" i="21"/>
  <c r="K46" i="21"/>
  <c r="L96" i="21"/>
  <c r="BA45" i="21"/>
  <c r="AZ45" i="21"/>
  <c r="K95" i="21"/>
  <c r="L94" i="21"/>
  <c r="AY33" i="21"/>
  <c r="BA33" i="21" s="1"/>
  <c r="BZ24" i="21"/>
  <c r="BU23" i="21" s="1"/>
  <c r="K93" i="21"/>
  <c r="L92" i="21"/>
  <c r="L42" i="21"/>
  <c r="K42" i="21"/>
  <c r="AY25" i="21"/>
  <c r="AZ25" i="21" s="1"/>
  <c r="BA29" i="21"/>
  <c r="AZ29" i="21"/>
  <c r="L131" i="21"/>
  <c r="K130" i="21"/>
  <c r="BZ22" i="21"/>
  <c r="BU21" i="21" s="1"/>
  <c r="K91" i="21"/>
  <c r="L40" i="21"/>
  <c r="K40" i="21"/>
  <c r="AY9" i="21"/>
  <c r="AZ9" i="21" s="1"/>
  <c r="AY17" i="21"/>
  <c r="AZ17" i="21" s="1"/>
  <c r="BA21" i="21"/>
  <c r="AZ21" i="21"/>
  <c r="L88" i="21"/>
  <c r="K89" i="21"/>
  <c r="L36" i="21"/>
  <c r="K36" i="21"/>
  <c r="BA5" i="21"/>
  <c r="AZ5" i="21"/>
  <c r="BA13" i="21"/>
  <c r="AZ13" i="21"/>
  <c r="L38" i="21"/>
  <c r="K38" i="21"/>
  <c r="BU5" i="21"/>
  <c r="BS5" i="21"/>
  <c r="K18" i="21"/>
  <c r="L18" i="21"/>
  <c r="AW32" i="21"/>
  <c r="AX32" i="21"/>
  <c r="AW14" i="21"/>
  <c r="AX14" i="21"/>
  <c r="AX16" i="21"/>
  <c r="AW16" i="21"/>
  <c r="L10" i="21"/>
  <c r="K10" i="21"/>
  <c r="AW30" i="21"/>
  <c r="AX30" i="21"/>
  <c r="AX6" i="21"/>
  <c r="AW6" i="21"/>
  <c r="AW22" i="21"/>
  <c r="AX22" i="21"/>
  <c r="K14" i="21"/>
  <c r="L14" i="21"/>
  <c r="AX24" i="21"/>
  <c r="AW24" i="21"/>
  <c r="L6" i="21"/>
  <c r="K6" i="21"/>
  <c r="AW8" i="21"/>
  <c r="AX8" i="21"/>
  <c r="AX46" i="21"/>
  <c r="AW46" i="21"/>
  <c r="AX38" i="21"/>
  <c r="AW38" i="21"/>
  <c r="AW64" i="21"/>
  <c r="AX64" i="21"/>
  <c r="K34" i="21"/>
  <c r="L34" i="21"/>
  <c r="AX62" i="21"/>
  <c r="AW62" i="21"/>
  <c r="AW40" i="21"/>
  <c r="AX40" i="21"/>
  <c r="L22" i="21"/>
  <c r="K22" i="21"/>
  <c r="AX48" i="21"/>
  <c r="AW48" i="21"/>
  <c r="K26" i="21"/>
  <c r="L26" i="21"/>
  <c r="AX10" i="21"/>
  <c r="AW10" i="21"/>
  <c r="AX58" i="21"/>
  <c r="AW58" i="21"/>
  <c r="AV54" i="21"/>
  <c r="AW54" i="21" s="1"/>
  <c r="L24" i="21"/>
  <c r="K24" i="21"/>
  <c r="AW44" i="21"/>
  <c r="AX44" i="21"/>
  <c r="AW42" i="21"/>
  <c r="AX42" i="21"/>
  <c r="L32" i="21"/>
  <c r="K32" i="21"/>
  <c r="AX60" i="21"/>
  <c r="AW60" i="21"/>
  <c r="AW26" i="21"/>
  <c r="AX26" i="21"/>
  <c r="AX12" i="21"/>
  <c r="AW12" i="21"/>
  <c r="K129" i="21"/>
  <c r="K8" i="21"/>
  <c r="L8" i="21"/>
  <c r="L16" i="21"/>
  <c r="K16" i="21"/>
  <c r="AX28" i="21"/>
  <c r="AW28" i="21"/>
  <c r="K12" i="21"/>
  <c r="L12" i="21"/>
  <c r="L128" i="21"/>
  <c r="AW20" i="21"/>
  <c r="AX20" i="21"/>
  <c r="AX18" i="21"/>
  <c r="AW18" i="21"/>
  <c r="L28" i="21"/>
  <c r="K28" i="21"/>
  <c r="AX52" i="21"/>
  <c r="AW52" i="21"/>
  <c r="AW50" i="21"/>
  <c r="AX50" i="21"/>
  <c r="BY13" i="21"/>
  <c r="BS12" i="21" s="1"/>
  <c r="L121" i="21"/>
  <c r="I20" i="21"/>
  <c r="K120" i="21"/>
  <c r="J20" i="21"/>
  <c r="AV36" i="21"/>
  <c r="AV34" i="21"/>
  <c r="K119" i="21"/>
  <c r="L118" i="21"/>
  <c r="BZ12" i="21"/>
  <c r="BU11" i="21" s="1"/>
  <c r="AX56" i="21"/>
  <c r="AW56" i="21"/>
  <c r="AX66" i="21"/>
  <c r="AW66" i="21"/>
  <c r="L4" i="21"/>
  <c r="K4" i="21"/>
  <c r="AX4" i="21"/>
  <c r="AW4" i="21"/>
  <c r="G19" i="2"/>
  <c r="F18" i="2"/>
  <c r="D17" i="2"/>
  <c r="G18" i="2"/>
  <c r="F17" i="2"/>
  <c r="C19" i="2"/>
  <c r="G17" i="2"/>
  <c r="C17" i="2"/>
  <c r="D19" i="2"/>
  <c r="C18" i="2"/>
  <c r="D18" i="2"/>
  <c r="F19" i="2"/>
  <c r="B23" i="2"/>
  <c r="C22" i="2" a="1"/>
  <c r="F22" i="2" a="1"/>
  <c r="C21" i="2" a="1"/>
  <c r="D20" i="2" a="1"/>
  <c r="C20" i="2" a="1"/>
  <c r="D21" i="2" a="1"/>
  <c r="G22" i="2" a="1"/>
  <c r="F20" i="2" a="1"/>
  <c r="D22" i="2" a="1"/>
  <c r="G20" i="2" a="1"/>
  <c r="F21" i="2" a="1"/>
  <c r="G21" i="2" a="1"/>
  <c r="BC47" i="21" l="1"/>
  <c r="J64" i="21"/>
  <c r="I64" i="21"/>
  <c r="BY35" i="21"/>
  <c r="BE66" i="21"/>
  <c r="L52" i="21"/>
  <c r="G60" i="21"/>
  <c r="G66" i="21" s="1"/>
  <c r="K77" i="21"/>
  <c r="BZ33" i="21"/>
  <c r="L76" i="21"/>
  <c r="BE27" i="21"/>
  <c r="BG43" i="21"/>
  <c r="BF43" i="21"/>
  <c r="L83" i="21"/>
  <c r="K82" i="21"/>
  <c r="I54" i="21"/>
  <c r="BY30" i="21"/>
  <c r="J54" i="21"/>
  <c r="BB23" i="21"/>
  <c r="L48" i="21"/>
  <c r="G58" i="21"/>
  <c r="H62" i="21" s="1"/>
  <c r="K52" i="21"/>
  <c r="BC31" i="21"/>
  <c r="BD39" i="21"/>
  <c r="BC39" i="21"/>
  <c r="L56" i="21"/>
  <c r="K56" i="21"/>
  <c r="AZ65" i="21"/>
  <c r="L80" i="21"/>
  <c r="K81" i="21"/>
  <c r="BZ29" i="21"/>
  <c r="BB15" i="21"/>
  <c r="L30" i="21"/>
  <c r="BA37" i="21"/>
  <c r="AZ37" i="21"/>
  <c r="L44" i="21"/>
  <c r="K44" i="21"/>
  <c r="K48" i="21"/>
  <c r="K101" i="21"/>
  <c r="BZ27" i="21"/>
  <c r="AY57" i="21"/>
  <c r="L100" i="21"/>
  <c r="BA41" i="21"/>
  <c r="BA25" i="21"/>
  <c r="AZ33" i="21"/>
  <c r="BA17" i="21"/>
  <c r="BA9" i="21"/>
  <c r="AX54" i="21"/>
  <c r="L20" i="21"/>
  <c r="K20" i="21"/>
  <c r="AX36" i="21"/>
  <c r="AW36" i="21"/>
  <c r="AX34" i="21"/>
  <c r="AW34" i="21"/>
  <c r="G22" i="2"/>
  <c r="C21" i="2"/>
  <c r="F22" i="2"/>
  <c r="C20" i="2"/>
  <c r="F21" i="2"/>
  <c r="D20" i="2"/>
  <c r="G21" i="2"/>
  <c r="F20" i="2"/>
  <c r="C22" i="2"/>
  <c r="G20" i="2"/>
  <c r="D21" i="2"/>
  <c r="D22" i="2"/>
  <c r="B26" i="2"/>
  <c r="C23" i="2" a="1"/>
  <c r="C24" i="2" a="1"/>
  <c r="G23" i="2" a="1"/>
  <c r="G25" i="2" a="1"/>
  <c r="D25" i="2" a="1"/>
  <c r="C25" i="2" a="1"/>
  <c r="G24" i="2" a="1"/>
  <c r="D23" i="2" a="1"/>
  <c r="F23" i="2" a="1"/>
  <c r="D24" i="2" a="1"/>
  <c r="F24" i="2" a="1"/>
  <c r="F25" i="2" a="1"/>
  <c r="H66" i="21" l="1"/>
  <c r="G70" i="21" s="1"/>
  <c r="H64" i="21"/>
  <c r="L64" i="21" s="1"/>
  <c r="BF66" i="21"/>
  <c r="BG66" i="21"/>
  <c r="J66" i="21"/>
  <c r="BY36" i="21"/>
  <c r="BS35" i="21" s="1"/>
  <c r="I66" i="21"/>
  <c r="BH19" i="21"/>
  <c r="BY33" i="21"/>
  <c r="L77" i="21"/>
  <c r="I60" i="21"/>
  <c r="BE11" i="21"/>
  <c r="K76" i="21"/>
  <c r="J60" i="21"/>
  <c r="BG27" i="21"/>
  <c r="BF27" i="21"/>
  <c r="K79" i="21"/>
  <c r="BE59" i="21"/>
  <c r="BZ34" i="21"/>
  <c r="L78" i="21"/>
  <c r="K62" i="21"/>
  <c r="L62" i="21"/>
  <c r="BS29" i="21"/>
  <c r="E27" i="22"/>
  <c r="K54" i="21"/>
  <c r="L54" i="21"/>
  <c r="BD23" i="21"/>
  <c r="BC23" i="21"/>
  <c r="K86" i="21"/>
  <c r="J58" i="21"/>
  <c r="BY32" i="21"/>
  <c r="BS31" i="21" s="1"/>
  <c r="BB55" i="21"/>
  <c r="L87" i="21"/>
  <c r="I58" i="21"/>
  <c r="BD15" i="21"/>
  <c r="BC15" i="21"/>
  <c r="BU26" i="21"/>
  <c r="BA57" i="21"/>
  <c r="AZ57" i="21"/>
  <c r="F25" i="2"/>
  <c r="G25" i="2"/>
  <c r="C23" i="2"/>
  <c r="F24" i="2"/>
  <c r="D24" i="2"/>
  <c r="D23" i="2"/>
  <c r="G24" i="2"/>
  <c r="F23" i="2"/>
  <c r="C25" i="2"/>
  <c r="G23" i="2"/>
  <c r="C24" i="2"/>
  <c r="D25" i="2"/>
  <c r="B29" i="2"/>
  <c r="F26" i="2" a="1"/>
  <c r="C27" i="2" a="1"/>
  <c r="C26" i="2" a="1"/>
  <c r="D27" i="2" a="1"/>
  <c r="G28" i="2" a="1"/>
  <c r="C28" i="2" a="1"/>
  <c r="F27" i="2" a="1"/>
  <c r="G26" i="2" a="1"/>
  <c r="D26" i="2" a="1"/>
  <c r="F28" i="2" a="1"/>
  <c r="G27" i="2" a="1"/>
  <c r="D28" i="2" a="1"/>
  <c r="E7" i="22" l="1"/>
  <c r="C9" i="22" s="1"/>
  <c r="K64" i="21"/>
  <c r="G76" i="21"/>
  <c r="BH35" i="21"/>
  <c r="J70" i="21"/>
  <c r="I70" i="21"/>
  <c r="BZ35" i="21"/>
  <c r="BE68" i="21"/>
  <c r="BH51" i="21"/>
  <c r="BZ36" i="21"/>
  <c r="BJ19" i="21"/>
  <c r="BI19" i="21"/>
  <c r="K66" i="21"/>
  <c r="L66" i="21"/>
  <c r="BU33" i="21"/>
  <c r="U27" i="22"/>
  <c r="BG11" i="21"/>
  <c r="BF11" i="21"/>
  <c r="L60" i="21"/>
  <c r="K60" i="21"/>
  <c r="BG59" i="21"/>
  <c r="BF59" i="21"/>
  <c r="C29" i="22"/>
  <c r="E28" i="22"/>
  <c r="G84" i="21"/>
  <c r="H147" i="21" s="1"/>
  <c r="BC55" i="21"/>
  <c r="BD55" i="21"/>
  <c r="L58" i="21"/>
  <c r="K58" i="21"/>
  <c r="F28" i="2"/>
  <c r="D28" i="2"/>
  <c r="D27" i="2"/>
  <c r="G28" i="2"/>
  <c r="G26" i="2"/>
  <c r="C26" i="2"/>
  <c r="F27" i="2"/>
  <c r="D26" i="2"/>
  <c r="G27" i="2"/>
  <c r="F26" i="2"/>
  <c r="C27" i="2"/>
  <c r="C28" i="2"/>
  <c r="B32" i="2"/>
  <c r="G29" i="2" a="1"/>
  <c r="F29" i="2" a="1"/>
  <c r="G30" i="2" a="1"/>
  <c r="C31" i="2" a="1"/>
  <c r="C30" i="2" a="1"/>
  <c r="G31" i="2" a="1"/>
  <c r="D30" i="2" a="1"/>
  <c r="F30" i="2" a="1"/>
  <c r="F31" i="2" a="1"/>
  <c r="D29" i="2" a="1"/>
  <c r="D31" i="2" a="1"/>
  <c r="C29" i="2" a="1"/>
  <c r="E8" i="22" l="1"/>
  <c r="BJ35" i="21"/>
  <c r="BI35" i="21"/>
  <c r="J76" i="21"/>
  <c r="H143" i="21"/>
  <c r="I76" i="21"/>
  <c r="G120" i="21"/>
  <c r="G77" i="21"/>
  <c r="G96" i="21"/>
  <c r="G78" i="21"/>
  <c r="BU35" i="21"/>
  <c r="U7" i="22"/>
  <c r="BJ51" i="21"/>
  <c r="BI51" i="21"/>
  <c r="BG68" i="21"/>
  <c r="BF68" i="21"/>
  <c r="S29" i="22"/>
  <c r="U28" i="22"/>
  <c r="G124" i="21"/>
  <c r="I124" i="21" s="1"/>
  <c r="J84" i="21"/>
  <c r="I84" i="21"/>
  <c r="G100" i="21"/>
  <c r="G132" i="21" s="1"/>
  <c r="D18" i="23"/>
  <c r="I147" i="21"/>
  <c r="J147" i="21"/>
  <c r="D31" i="2"/>
  <c r="C29" i="2"/>
  <c r="F31" i="2"/>
  <c r="F30" i="2"/>
  <c r="D30" i="2"/>
  <c r="D29" i="2"/>
  <c r="G30" i="2"/>
  <c r="C30" i="2"/>
  <c r="G31" i="2"/>
  <c r="F29" i="2"/>
  <c r="G29" i="2"/>
  <c r="C31" i="2"/>
  <c r="B35" i="2"/>
  <c r="D32" i="2" a="1"/>
  <c r="F32" i="2" a="1"/>
  <c r="C33" i="2" a="1"/>
  <c r="C32" i="2" a="1"/>
  <c r="C34" i="2" a="1"/>
  <c r="D34" i="2" a="1"/>
  <c r="G34" i="2" a="1"/>
  <c r="D33" i="2" a="1"/>
  <c r="G32" i="2" a="1"/>
  <c r="F34" i="2" a="1"/>
  <c r="F33" i="2" a="1"/>
  <c r="G33" i="2" a="1"/>
  <c r="G97" i="21" l="1"/>
  <c r="J77" i="21"/>
  <c r="G85" i="21"/>
  <c r="G121" i="21"/>
  <c r="H144" i="21"/>
  <c r="I77" i="21"/>
  <c r="I96" i="21"/>
  <c r="G128" i="21"/>
  <c r="H151" i="21"/>
  <c r="J96" i="21"/>
  <c r="J120" i="21"/>
  <c r="H159" i="21"/>
  <c r="I120" i="21"/>
  <c r="D14" i="23"/>
  <c r="I143" i="21"/>
  <c r="J143" i="21"/>
  <c r="G98" i="21"/>
  <c r="G86" i="21"/>
  <c r="H145" i="21"/>
  <c r="G122" i="21"/>
  <c r="I78" i="21"/>
  <c r="G79" i="21"/>
  <c r="J78" i="21"/>
  <c r="U8" i="22"/>
  <c r="S9" i="22"/>
  <c r="J124" i="21"/>
  <c r="H163" i="21"/>
  <c r="I163" i="21" s="1"/>
  <c r="I100" i="21"/>
  <c r="J100" i="21"/>
  <c r="H155" i="21"/>
  <c r="J155" i="21" s="1"/>
  <c r="F18" i="23"/>
  <c r="E18" i="23"/>
  <c r="H171" i="21"/>
  <c r="J132" i="21"/>
  <c r="I132" i="21"/>
  <c r="G34" i="2"/>
  <c r="D34" i="2"/>
  <c r="C32" i="2"/>
  <c r="F32" i="2"/>
  <c r="F33" i="2"/>
  <c r="F34" i="2"/>
  <c r="C33" i="2"/>
  <c r="D32" i="2"/>
  <c r="C34" i="2"/>
  <c r="D33" i="2"/>
  <c r="G32" i="2"/>
  <c r="G33" i="2"/>
  <c r="B38" i="2"/>
  <c r="G35" i="2" a="1"/>
  <c r="C35" i="2" a="1"/>
  <c r="C37" i="2" a="1"/>
  <c r="D37" i="2" a="1"/>
  <c r="F37" i="2" a="1"/>
  <c r="G36" i="2" a="1"/>
  <c r="D35" i="2" a="1"/>
  <c r="G37" i="2" a="1"/>
  <c r="C36" i="2" a="1"/>
  <c r="F35" i="2" a="1"/>
  <c r="F36" i="2" a="1"/>
  <c r="D36" i="2" a="1"/>
  <c r="I159" i="21" l="1"/>
  <c r="J159" i="21"/>
  <c r="G101" i="21"/>
  <c r="J85" i="21"/>
  <c r="I85" i="21"/>
  <c r="G125" i="21"/>
  <c r="H148" i="21"/>
  <c r="J128" i="21"/>
  <c r="I128" i="21"/>
  <c r="H167" i="21"/>
  <c r="G87" i="21"/>
  <c r="G99" i="21"/>
  <c r="J79" i="21"/>
  <c r="I79" i="21"/>
  <c r="H146" i="21"/>
  <c r="G123" i="21"/>
  <c r="G102" i="21"/>
  <c r="G126" i="21"/>
  <c r="H149" i="21"/>
  <c r="J86" i="21"/>
  <c r="I86" i="21"/>
  <c r="F14" i="23"/>
  <c r="E14" i="23"/>
  <c r="I122" i="21"/>
  <c r="H161" i="21"/>
  <c r="J122" i="21"/>
  <c r="H160" i="21"/>
  <c r="J121" i="21"/>
  <c r="I121" i="21"/>
  <c r="D16" i="23"/>
  <c r="J145" i="21"/>
  <c r="I145" i="21"/>
  <c r="J98" i="21"/>
  <c r="H153" i="21"/>
  <c r="G130" i="21"/>
  <c r="I98" i="21"/>
  <c r="I151" i="21"/>
  <c r="J151" i="21"/>
  <c r="I144" i="21"/>
  <c r="D15" i="23"/>
  <c r="J144" i="21"/>
  <c r="J97" i="21"/>
  <c r="H152" i="21"/>
  <c r="I97" i="21"/>
  <c r="G129" i="21"/>
  <c r="J163" i="21"/>
  <c r="I155" i="21"/>
  <c r="J171" i="21"/>
  <c r="I171" i="21"/>
  <c r="D37" i="2"/>
  <c r="C35" i="2"/>
  <c r="C36" i="2"/>
  <c r="F37" i="2"/>
  <c r="F36" i="2"/>
  <c r="G35" i="2"/>
  <c r="G37" i="2"/>
  <c r="C37" i="2"/>
  <c r="D36" i="2"/>
  <c r="D35" i="2"/>
  <c r="F35" i="2"/>
  <c r="G36" i="2"/>
  <c r="B41" i="2"/>
  <c r="D39" i="2" a="1"/>
  <c r="C39" i="2" a="1"/>
  <c r="F39" i="2" a="1"/>
  <c r="C40" i="2" a="1"/>
  <c r="D38" i="2" a="1"/>
  <c r="G40" i="2" a="1"/>
  <c r="D40" i="2" a="1"/>
  <c r="G39" i="2" a="1"/>
  <c r="G38" i="2" a="1"/>
  <c r="F40" i="2" a="1"/>
  <c r="F38" i="2" a="1"/>
  <c r="C38" i="2" a="1"/>
  <c r="F15" i="23" l="1"/>
  <c r="E15" i="23"/>
  <c r="H169" i="21"/>
  <c r="I130" i="21"/>
  <c r="J130" i="21"/>
  <c r="J160" i="21"/>
  <c r="I160" i="21"/>
  <c r="I149" i="21"/>
  <c r="D20" i="23"/>
  <c r="J149" i="21"/>
  <c r="J146" i="21"/>
  <c r="D17" i="23"/>
  <c r="I146" i="21"/>
  <c r="G103" i="21"/>
  <c r="I87" i="21"/>
  <c r="G127" i="21"/>
  <c r="J87" i="21"/>
  <c r="H150" i="21"/>
  <c r="J148" i="21"/>
  <c r="I148" i="21"/>
  <c r="D19" i="23"/>
  <c r="J101" i="21"/>
  <c r="G133" i="21"/>
  <c r="H156" i="21"/>
  <c r="I101" i="21"/>
  <c r="J123" i="21"/>
  <c r="H162" i="21"/>
  <c r="I123" i="21"/>
  <c r="I153" i="21"/>
  <c r="J153" i="21"/>
  <c r="F16" i="23"/>
  <c r="E16" i="23"/>
  <c r="J126" i="21"/>
  <c r="H165" i="21"/>
  <c r="I126" i="21"/>
  <c r="I167" i="21"/>
  <c r="J167" i="21"/>
  <c r="J125" i="21"/>
  <c r="I125" i="21"/>
  <c r="H164" i="21"/>
  <c r="G131" i="21"/>
  <c r="H154" i="21"/>
  <c r="I99" i="21"/>
  <c r="J99" i="21"/>
  <c r="I152" i="21"/>
  <c r="J152" i="21"/>
  <c r="H168" i="21"/>
  <c r="J129" i="21"/>
  <c r="I129" i="21"/>
  <c r="J161" i="21"/>
  <c r="I161" i="21"/>
  <c r="J102" i="21"/>
  <c r="I102" i="21"/>
  <c r="G134" i="21"/>
  <c r="H157" i="21"/>
  <c r="C40" i="2"/>
  <c r="G38" i="2"/>
  <c r="D40" i="2"/>
  <c r="C38" i="2"/>
  <c r="D38" i="2"/>
  <c r="F40" i="2"/>
  <c r="G40" i="2"/>
  <c r="F39" i="2"/>
  <c r="G39" i="2"/>
  <c r="C39" i="2"/>
  <c r="D39" i="2"/>
  <c r="F38" i="2"/>
  <c r="D43" i="2" a="1"/>
  <c r="F42" i="2" a="1"/>
  <c r="D42" i="2" a="1"/>
  <c r="F43" i="2" a="1"/>
  <c r="G43" i="2" a="1"/>
  <c r="F41" i="2" a="1"/>
  <c r="C42" i="2" a="1"/>
  <c r="G41" i="2" a="1"/>
  <c r="C43" i="2" a="1"/>
  <c r="C41" i="2" a="1"/>
  <c r="D41" i="2" a="1"/>
  <c r="G42" i="2" a="1"/>
  <c r="H166" i="21" l="1"/>
  <c r="I127" i="21"/>
  <c r="J127" i="21"/>
  <c r="F17" i="23"/>
  <c r="E17" i="23"/>
  <c r="H172" i="21"/>
  <c r="I133" i="21"/>
  <c r="J133" i="21"/>
  <c r="J169" i="21"/>
  <c r="I169" i="21"/>
  <c r="I157" i="21"/>
  <c r="J157" i="21"/>
  <c r="J162" i="21"/>
  <c r="I162" i="21"/>
  <c r="I154" i="21"/>
  <c r="J154" i="21"/>
  <c r="J165" i="21"/>
  <c r="I165" i="21"/>
  <c r="I150" i="21"/>
  <c r="D21" i="23"/>
  <c r="J150" i="21"/>
  <c r="G135" i="21"/>
  <c r="J103" i="21"/>
  <c r="H158" i="21"/>
  <c r="I103" i="21"/>
  <c r="I164" i="21"/>
  <c r="J164" i="21"/>
  <c r="I156" i="21"/>
  <c r="J156" i="21"/>
  <c r="J168" i="21"/>
  <c r="I168" i="21"/>
  <c r="I134" i="21"/>
  <c r="H173" i="21"/>
  <c r="J134" i="21"/>
  <c r="J131" i="21"/>
  <c r="I131" i="21"/>
  <c r="H170" i="21"/>
  <c r="E19" i="23"/>
  <c r="F19" i="23"/>
  <c r="E20" i="23"/>
  <c r="F20" i="23"/>
  <c r="F41" i="2"/>
  <c r="G42" i="2"/>
  <c r="D43" i="2"/>
  <c r="C42" i="2"/>
  <c r="C41" i="2"/>
  <c r="G41" i="2"/>
  <c r="F43" i="2"/>
  <c r="D42" i="2"/>
  <c r="F42" i="2"/>
  <c r="C43" i="2"/>
  <c r="G43" i="2"/>
  <c r="D41" i="2"/>
  <c r="E21" i="23" l="1"/>
  <c r="F21" i="23"/>
  <c r="J135" i="21"/>
  <c r="I135" i="21"/>
  <c r="H174" i="21"/>
  <c r="J172" i="21"/>
  <c r="I172" i="21"/>
  <c r="J158" i="21"/>
  <c r="I158" i="21"/>
  <c r="J170" i="21"/>
  <c r="I170" i="21"/>
  <c r="J173" i="21"/>
  <c r="I173" i="21"/>
  <c r="I166" i="21"/>
  <c r="J166" i="21"/>
  <c r="I174" i="21" l="1"/>
  <c r="J174" i="2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<sst xmlns="http://schemas.openxmlformats.org/spreadsheetml/2006/main" count="2483" uniqueCount="1016">
  <si>
    <t>Ganadores</t>
  </si>
  <si>
    <t>Perdedores</t>
  </si>
  <si>
    <t xml:space="preserve"> </t>
  </si>
  <si>
    <t>CARNÉ</t>
  </si>
  <si>
    <t>NOMBRE</t>
  </si>
  <si>
    <t>CLUB</t>
  </si>
  <si>
    <t>RANKING</t>
  </si>
  <si>
    <t>PUNTOS</t>
  </si>
  <si>
    <t>Grupo</t>
  </si>
  <si>
    <t>X</t>
  </si>
  <si>
    <t>BYE</t>
  </si>
  <si>
    <t>En Caso de ocupar 3 de 5, mostrar columnas H - I         En caso de 2 de 2, ocultarlas.</t>
  </si>
  <si>
    <t>Fecha:</t>
  </si>
  <si>
    <t>Categoría</t>
  </si>
  <si>
    <t>Grupo nº</t>
  </si>
  <si>
    <t>Mesa nº</t>
  </si>
  <si>
    <t>Orden</t>
  </si>
  <si>
    <t>Carné</t>
  </si>
  <si>
    <t>Jugadores</t>
  </si>
  <si>
    <t>Lugar</t>
  </si>
  <si>
    <t>Ranking</t>
  </si>
  <si>
    <t>Puntos</t>
  </si>
  <si>
    <t xml:space="preserve">Partida </t>
  </si>
  <si>
    <t>JUGADOR</t>
  </si>
  <si>
    <t>1º set</t>
  </si>
  <si>
    <t>2º set</t>
  </si>
  <si>
    <t>3º set</t>
  </si>
  <si>
    <t>4º set</t>
  </si>
  <si>
    <t>5º set</t>
  </si>
  <si>
    <t xml:space="preserve">Ganador </t>
  </si>
  <si>
    <t>Clasificados (# de carne)</t>
  </si>
  <si>
    <t>Revisión de Camisas y Raquetas</t>
  </si>
  <si>
    <t>Carnet</t>
  </si>
  <si>
    <t>Nombre</t>
  </si>
  <si>
    <t>Revisión de nombres y resultados</t>
  </si>
  <si>
    <t>Árbitro</t>
  </si>
  <si>
    <t>Marque si hay informe</t>
  </si>
  <si>
    <t>En Caso de ocupar 3 de 5, mostrar columnas H - I             En caso de 2 de 2, ocultarlas.</t>
  </si>
  <si>
    <t>Todo</t>
  </si>
  <si>
    <t>Imprimir</t>
  </si>
  <si>
    <t>Par</t>
  </si>
  <si>
    <t xml:space="preserve">Fecha: </t>
  </si>
  <si>
    <t>Impar</t>
  </si>
  <si>
    <t>Categoría:</t>
  </si>
  <si>
    <t>Nº</t>
  </si>
  <si>
    <t>SORTEO LLAVE U-19 Masculino</t>
  </si>
  <si>
    <t>PRIMEROS DE GRUPO</t>
  </si>
  <si>
    <t>1ro G1</t>
  </si>
  <si>
    <t>Gr</t>
  </si>
  <si>
    <t>2do</t>
  </si>
  <si>
    <t>1ro G9-16</t>
  </si>
  <si>
    <t>1ro G5-8</t>
  </si>
  <si>
    <t>1ro G3-4</t>
  </si>
  <si>
    <t>SEGUNDOS DE GRUPO</t>
  </si>
  <si>
    <t>1ro G2</t>
  </si>
  <si>
    <t>-</t>
  </si>
  <si>
    <t>Match</t>
  </si>
  <si>
    <t>Round</t>
  </si>
  <si>
    <t>Day</t>
  </si>
  <si>
    <t>Time</t>
  </si>
  <si>
    <t>T</t>
  </si>
  <si>
    <t>A</t>
    <phoneticPr fontId="0" type="noConversion"/>
  </si>
  <si>
    <t>B</t>
    <phoneticPr fontId="0" type="noConversion"/>
  </si>
  <si>
    <t>pla 1</t>
    <phoneticPr fontId="0" type="noConversion"/>
  </si>
  <si>
    <t>Ass</t>
  </si>
  <si>
    <t>pla 2</t>
    <phoneticPr fontId="0" type="noConversion"/>
  </si>
  <si>
    <t>Ass</t>
    <phoneticPr fontId="0" type="noConversion"/>
  </si>
  <si>
    <t>G A</t>
  </si>
  <si>
    <t>G X</t>
  </si>
  <si>
    <t>Score</t>
  </si>
  <si>
    <t>Games</t>
  </si>
  <si>
    <t>1/16</t>
    <phoneticPr fontId="0" type="noConversion"/>
  </si>
  <si>
    <t>28/Sep</t>
  </si>
  <si>
    <t>MATCH_ID</t>
  </si>
  <si>
    <t>DAT</t>
  </si>
  <si>
    <t>TIME</t>
  </si>
  <si>
    <t>TABLE</t>
  </si>
  <si>
    <t>EVT</t>
  </si>
  <si>
    <t>GRP</t>
  </si>
  <si>
    <t>SEQ</t>
  </si>
  <si>
    <t>P1ID_1</t>
  </si>
  <si>
    <t>P1ID_2</t>
  </si>
  <si>
    <t>P2ID_1</t>
  </si>
  <si>
    <t>P2ID_2</t>
  </si>
  <si>
    <t>WINNER ID</t>
  </si>
  <si>
    <t>P1</t>
  </si>
  <si>
    <t>P2</t>
  </si>
  <si>
    <t>EVENT</t>
  </si>
  <si>
    <t>ROUND</t>
  </si>
  <si>
    <t>JBS</t>
  </si>
  <si>
    <t>Ronda de 32 - 1</t>
    <phoneticPr fontId="0" type="noConversion"/>
  </si>
  <si>
    <t>Ronda de 32 - 2</t>
  </si>
  <si>
    <t>Ronda de 32 - 3</t>
  </si>
  <si>
    <t>1/16</t>
  </si>
  <si>
    <t>Ronda de 32 - 4</t>
  </si>
  <si>
    <t>Ronda de 32 - 5</t>
  </si>
  <si>
    <t>Ronda de 32 - 6</t>
  </si>
  <si>
    <t>Ronda de 32 - 7</t>
  </si>
  <si>
    <t>Ronda de 32 - 8</t>
  </si>
  <si>
    <t>Ronda de 32 - 9</t>
  </si>
  <si>
    <t>Ronda de 32 - 10</t>
  </si>
  <si>
    <t>Ronda de 32 - 11</t>
  </si>
  <si>
    <t>Ronda de 32 - 12</t>
  </si>
  <si>
    <t>Ronda de 32 - 13</t>
  </si>
  <si>
    <t>Ronda de 32 - 14</t>
  </si>
  <si>
    <t>Ronda de 32 - 15</t>
  </si>
  <si>
    <t>Ronda de 32 - 16</t>
  </si>
  <si>
    <t>Ronda de 16 - 1</t>
    <phoneticPr fontId="0" type="noConversion"/>
  </si>
  <si>
    <t>Ronda de 16 - 2</t>
  </si>
  <si>
    <t>Ronda de 16 - 3</t>
  </si>
  <si>
    <t>Ronda de 16 - 4</t>
  </si>
  <si>
    <t>Ronda de 16 - 5</t>
  </si>
  <si>
    <t>Ronda de 16 - 6</t>
  </si>
  <si>
    <t>Ronda de 16 - 7</t>
  </si>
  <si>
    <t>Ronda de 16 - 8</t>
  </si>
  <si>
    <t>Cuartos</t>
    <phoneticPr fontId="0" type="noConversion"/>
  </si>
  <si>
    <t>Semifinal</t>
    <phoneticPr fontId="0" type="noConversion"/>
  </si>
  <si>
    <t>CAMPEÓN:</t>
    <phoneticPr fontId="0" type="noConversion"/>
  </si>
  <si>
    <t>3 y 4 puesto</t>
    <phoneticPr fontId="0" type="noConversion"/>
  </si>
  <si>
    <t>1/8</t>
    <phoneticPr fontId="0" type="noConversion"/>
  </si>
  <si>
    <t>FINAL</t>
    <phoneticPr fontId="0" type="noConversion"/>
  </si>
  <si>
    <t>1/8</t>
  </si>
  <si>
    <t>QF</t>
    <phoneticPr fontId="0" type="noConversion"/>
  </si>
  <si>
    <t>SF</t>
    <phoneticPr fontId="0" type="noConversion"/>
  </si>
  <si>
    <t>3 Y 4</t>
    <phoneticPr fontId="0" type="noConversion"/>
  </si>
  <si>
    <t>F</t>
  </si>
  <si>
    <t>TERCERO:</t>
    <phoneticPr fontId="0" type="noConversion"/>
  </si>
  <si>
    <t>SI SE JUEGA TERCER PUESTO MARQUE 1, SI NO DEJE EN BLANCO</t>
    <phoneticPr fontId="0" type="noConversion"/>
  </si>
  <si>
    <t>1</t>
    <phoneticPr fontId="0" type="noConversion"/>
  </si>
  <si>
    <t>SEMI</t>
    <phoneticPr fontId="0" type="noConversion"/>
  </si>
  <si>
    <t>2</t>
    <phoneticPr fontId="0" type="noConversion"/>
  </si>
  <si>
    <t>3</t>
    <phoneticPr fontId="0" type="noConversion"/>
  </si>
  <si>
    <t>4</t>
    <phoneticPr fontId="0" type="noConversion"/>
  </si>
  <si>
    <t>CUARTOS</t>
    <phoneticPr fontId="0" type="noConversion"/>
  </si>
  <si>
    <t>5</t>
    <phoneticPr fontId="0" type="noConversion"/>
  </si>
  <si>
    <t>6</t>
    <phoneticPr fontId="0" type="noConversion"/>
  </si>
  <si>
    <t>7</t>
    <phoneticPr fontId="0" type="noConversion"/>
  </si>
  <si>
    <t>8</t>
    <phoneticPr fontId="0" type="noConversion"/>
  </si>
  <si>
    <t>OCTAVOS</t>
    <phoneticPr fontId="0" type="noConversion"/>
  </si>
  <si>
    <t>9</t>
    <phoneticPr fontId="0" type="noConversion"/>
  </si>
  <si>
    <t>10</t>
    <phoneticPr fontId="0" type="noConversion"/>
  </si>
  <si>
    <t>11</t>
  </si>
  <si>
    <t>12</t>
  </si>
  <si>
    <t>13</t>
  </si>
  <si>
    <t>14</t>
  </si>
  <si>
    <t>15</t>
  </si>
  <si>
    <t>16</t>
  </si>
  <si>
    <t>LOS 32</t>
    <phoneticPr fontId="0" type="noConversion"/>
  </si>
  <si>
    <t>17</t>
    <phoneticPr fontId="0" type="noConversion"/>
  </si>
  <si>
    <t>18</t>
    <phoneticPr fontId="0" type="noConversion"/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</si>
  <si>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</si>
  <si>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</si>
  <si>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</si>
  <si>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</si>
  <si>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</si>
  <si>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</si>
  <si>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</si>
  <si>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</si>
  <si>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</si>
  <si>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</si>
  <si>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</si>
  <si>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</si>
  <si>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</si>
  <si>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</si>
  <si>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POSICIONES FINALES QUINTA</t>
  </si>
  <si>
    <t>5 A 8</t>
    <phoneticPr fontId="0" type="noConversion"/>
  </si>
  <si>
    <t>9 A 16</t>
    <phoneticPr fontId="0" type="noConversion"/>
  </si>
  <si>
    <t>17 A 32</t>
    <phoneticPr fontId="0" type="noConversion"/>
  </si>
  <si>
    <t>SCORE SHEETS PRELIMINARY GROUPS</t>
  </si>
  <si>
    <t>Match ID</t>
  </si>
  <si>
    <t>Event:</t>
  </si>
  <si>
    <t>Stage:</t>
  </si>
  <si>
    <t>Serv.</t>
  </si>
  <si>
    <t>Y</t>
  </si>
  <si>
    <t>YR1</t>
  </si>
  <si>
    <t>YR2</t>
  </si>
  <si>
    <t>T O</t>
  </si>
  <si>
    <t>Player/Pair A/AB</t>
  </si>
  <si>
    <t>1st</t>
  </si>
  <si>
    <t>Player/Pair X/XY</t>
  </si>
  <si>
    <t>2nd</t>
  </si>
  <si>
    <t>3rd</t>
  </si>
  <si>
    <t>4th</t>
  </si>
  <si>
    <t>5th</t>
  </si>
  <si>
    <t>6th</t>
  </si>
  <si>
    <t>7th</t>
  </si>
  <si>
    <t>Winner:</t>
  </si>
  <si>
    <t>Number:</t>
  </si>
  <si>
    <t>If written report attached please mark here:</t>
  </si>
  <si>
    <t>A/AB SIGNATURE</t>
  </si>
  <si>
    <t>X/XY SIGNATURE</t>
  </si>
  <si>
    <t>Umpire 1:</t>
  </si>
  <si>
    <t>Signature Umpires:</t>
  </si>
  <si>
    <t>Umpire 2:</t>
  </si>
  <si>
    <t>Validation Referee:</t>
  </si>
  <si>
    <t>Name:</t>
  </si>
  <si>
    <t xml:space="preserve">PREMIACIÓN </t>
  </si>
  <si>
    <t>POS</t>
  </si>
  <si>
    <t>CARNET</t>
  </si>
  <si>
    <t>GABRIEL CHAVEZ QUIROS</t>
  </si>
  <si>
    <t>SANTA ANA</t>
  </si>
  <si>
    <t>GABRIEL ANTONIO AMADOR GARITA</t>
  </si>
  <si>
    <t>CCDR SANTA CRUZ</t>
  </si>
  <si>
    <t>KAY MATHIAS PERAZA MURILLO</t>
  </si>
  <si>
    <t>ASERRÍ</t>
  </si>
  <si>
    <t>ALEJANDRO MONTOYA MORERA</t>
  </si>
  <si>
    <t>ALAJUELA - UNA</t>
  </si>
  <si>
    <t>SEBASTIAN CHAVEZ QUIROS</t>
  </si>
  <si>
    <t>ANDRÉS PARRA CHACÓN</t>
  </si>
  <si>
    <t>SANTO DOMINGO</t>
  </si>
  <si>
    <t>IAN DAVID GARRO ALONSO</t>
  </si>
  <si>
    <t>CCDR SAN JOSÉ</t>
  </si>
  <si>
    <t>LUIS GAEL SILES LOBO</t>
  </si>
  <si>
    <t>ESPARZA</t>
  </si>
  <si>
    <t>ALEJANDRO CRUZ BONILLA</t>
  </si>
  <si>
    <t>ALAJUELA</t>
  </si>
  <si>
    <t>JAYDRICK SHAMALL BAKER CRAWFORD</t>
  </si>
  <si>
    <t>ASERRÍ - UCR</t>
  </si>
  <si>
    <t>ALEJANDRO COTO RAMIREZ</t>
  </si>
  <si>
    <t>GUARCO</t>
  </si>
  <si>
    <t>ISAAC GAMBOA MORERA</t>
  </si>
  <si>
    <t>ANDRES JOSE VEGA VALERIO</t>
  </si>
  <si>
    <t>ALAJUELA - UCR</t>
  </si>
  <si>
    <t>JOSUE CALVO CRUZ</t>
  </si>
  <si>
    <t>OSWALDO IGNACIO SILVA NOVOA</t>
  </si>
  <si>
    <t>MATEO MONGE ARROYO</t>
  </si>
  <si>
    <t>ISAAC ANDRÉS LEAL CHACÓN</t>
  </si>
  <si>
    <t>BRAD GÓMEZ CASTILLO</t>
  </si>
  <si>
    <t>ESCAZÚ</t>
  </si>
  <si>
    <t>ARIEL IGNACIO BARTELS BARQUERO</t>
  </si>
  <si>
    <t>PÉREZ ZELEDÓN - UNA</t>
  </si>
  <si>
    <t>SANTIAGO GUARDADO ROJAS</t>
  </si>
  <si>
    <t>SAN CARLOS</t>
  </si>
  <si>
    <t>IAN SOLÍS CARRANZA</t>
  </si>
  <si>
    <t>ALBERTO BLANCO LEDEZMA</t>
  </si>
  <si>
    <t>PÉREZ ZELEDÓN</t>
  </si>
  <si>
    <t>ISMAEL CÁRDENAS ACOSTA</t>
  </si>
  <si>
    <t>JOSEPH BRENES QUESADA</t>
  </si>
  <si>
    <t>LUCIANO QUIROS AVILA</t>
  </si>
  <si>
    <t>LUKAS CECILIANO ESQUIVEL</t>
  </si>
  <si>
    <t>JOSEPH ANGEL LOPEZ ARAUZ</t>
  </si>
  <si>
    <t>ATM SANTA CRUZ</t>
  </si>
  <si>
    <t>NICOLAS OVARES CASTRO</t>
  </si>
  <si>
    <t>REINEL ANTONIO VANEGAS LACAYO</t>
  </si>
  <si>
    <t>SANTIAGO BRENES HERRERA</t>
  </si>
  <si>
    <t>CURRIDABAT</t>
  </si>
  <si>
    <t>ESTEBAN MURILLO CHAVES</t>
  </si>
  <si>
    <t>UCR-PÉREZ ZELEDÓN</t>
  </si>
  <si>
    <t>IAN VARGAS JIMENEZ</t>
  </si>
  <si>
    <t>JESÚS ADRIÁN VÁSQUEZ TURCIOS</t>
  </si>
  <si>
    <t>NICOLAS CECILIANO ESQUIVEL</t>
  </si>
  <si>
    <t>DANIEL DAVID ALPIZAR VILLALOBOS</t>
  </si>
  <si>
    <t>JOSEMARIO ARREDONDO CORDERO</t>
  </si>
  <si>
    <t>SEBASTIAN MASIS MURILLO</t>
  </si>
  <si>
    <t>SANTIAGO ALVAREZ LONGHI</t>
  </si>
  <si>
    <t>SANTIAGO HERNANDEZ CHAVEZ</t>
  </si>
  <si>
    <t>CESAR DAM BLANCO</t>
  </si>
  <si>
    <t>CCDR ALAJUELA</t>
  </si>
  <si>
    <t>JOSEF ARIAS BRAVO</t>
  </si>
  <si>
    <t>DAVID GABRIEL NORORI VINDAS</t>
  </si>
  <si>
    <t>MONTES DE OCA</t>
  </si>
  <si>
    <t>MARCELO MASIS RODRÍGUEZ</t>
  </si>
  <si>
    <t>EMANUEL RIVERA TORRES</t>
  </si>
  <si>
    <t>SANTIAGO FAIT BARRIOS</t>
  </si>
  <si>
    <t>NICOLAS ESPINOZA ALFARO</t>
  </si>
  <si>
    <t>SEBASTIAN MORA FUENTES</t>
  </si>
  <si>
    <t>LUIS ALONSO VILLALOBOS CAMPOS</t>
  </si>
  <si>
    <t>DERECK JAIR BOLAÑOS GUTIÉRREZ</t>
  </si>
  <si>
    <t>MATÍAS RAMÍREZ MARÍN</t>
  </si>
  <si>
    <t>Ranking Menor</t>
  </si>
  <si>
    <t>U19 MASCULINO</t>
  </si>
  <si>
    <t>wo</t>
  </si>
  <si>
    <t>CARNE</t>
  </si>
  <si>
    <t>SEBASTIAN ALBERTO AVILES BRENES</t>
  </si>
  <si>
    <t>CHRISTIAN ISAAC CARVAJAL DIAZ</t>
  </si>
  <si>
    <t>PABLO ARCE ROJAS</t>
  </si>
  <si>
    <t>ANTHONY SANTIN FERNANDEZ</t>
  </si>
  <si>
    <t>FRANCISCO GUERRERO UMAÑA</t>
  </si>
  <si>
    <t>IAN LARA JIMENEZ</t>
  </si>
  <si>
    <t>LIBERIA</t>
  </si>
  <si>
    <t>DAVID JOSUE SANCHEZ MURILLO</t>
  </si>
  <si>
    <t>ESTEBAN CHACÓN ALTAMIRANO</t>
  </si>
  <si>
    <t>DANIEL GÓMEZ ACUÑA</t>
  </si>
  <si>
    <t>LUIS GUILLERMO RODRIGUEZ SOLIS</t>
  </si>
  <si>
    <t>JKING VELASQUEZ PEÑA</t>
  </si>
  <si>
    <t>KEVIN ARIAS BRAVO</t>
  </si>
  <si>
    <t>STEVEN ANDREY SOTO NUÑEZ</t>
  </si>
  <si>
    <t>ISAAC JOSUE ARGUEDAS SUAREZ</t>
  </si>
  <si>
    <t>JOAQUIN TAN GE</t>
  </si>
  <si>
    <t>ALEX LIU CEN</t>
  </si>
  <si>
    <t>CRISTOPHER ISAAC BARQUERO BADILLA</t>
  </si>
  <si>
    <t>POCOCÍ</t>
  </si>
  <si>
    <t>LUIS ALONSO ANDRADE SALAZAR</t>
  </si>
  <si>
    <t>OREAMUNOT3 AMETROTEME</t>
  </si>
  <si>
    <t>SANTIAGO CAMACHO ÁVILA</t>
  </si>
  <si>
    <t>DAVID ARTURO VEGA FARRER</t>
  </si>
  <si>
    <t>JULIAN ALBERTO SOTO BIANCO</t>
  </si>
  <si>
    <t>SEBASTIÁN MOREIRA SANDOVAL</t>
  </si>
  <si>
    <t>ESTEBAN CHINCHILLA AVALOS</t>
  </si>
  <si>
    <t>DANIEL BARBOZA FLORES</t>
  </si>
  <si>
    <t>ALDRIN JABETH BASTOS CHAN</t>
  </si>
  <si>
    <t>JOSUE CHAVARRIA CHACÓN</t>
  </si>
  <si>
    <t>ADRIAN MORALES CAMACHO</t>
  </si>
  <si>
    <t>ANDRES CORTES VICTOR</t>
  </si>
  <si>
    <t>JOHNNY FRANCISCO VASQUEZ SANCHEZ</t>
  </si>
  <si>
    <t>SKAWELL HUMBERTO PICADO CAMACHO</t>
  </si>
  <si>
    <t>BENJAMIN PANIAGUA ROJAS</t>
  </si>
  <si>
    <t>ESPARZA - UCR PACÍFICO</t>
  </si>
  <si>
    <t>STEVEN AGUILAR VÍQUEZ</t>
  </si>
  <si>
    <t>JORBEN JESUS GARCIA DIAZ</t>
  </si>
  <si>
    <t>POCOCI</t>
  </si>
  <si>
    <t>TEM TEC</t>
  </si>
  <si>
    <t>EMANUEL ESPINOZA PIEDRA</t>
  </si>
  <si>
    <t>Daniel Araya González</t>
  </si>
  <si>
    <t>Darío Alvarado González</t>
  </si>
  <si>
    <t>BALLARDO MIGUEL ARGUELLO ROJAS</t>
  </si>
  <si>
    <t>Sebastian Castro Madrigal</t>
  </si>
  <si>
    <t>Gabriel Alberto Ramirez Jaimes</t>
  </si>
  <si>
    <t>Adriel Gerardo Ugarte Fuentes</t>
  </si>
  <si>
    <t>Luis Daniel Vargas Guzman</t>
  </si>
  <si>
    <t>Jose Julian Flores Mora</t>
  </si>
  <si>
    <t>David Alejandro Mendez Castro</t>
  </si>
  <si>
    <t>Amaury Ignacio Bolaños Angulo</t>
  </si>
  <si>
    <t>CORREDORES</t>
  </si>
  <si>
    <t>Julian Garita Chacon</t>
  </si>
  <si>
    <t>Gustavo Julian Castro Lobo</t>
  </si>
  <si>
    <t>Fabricio Arce Rojas</t>
  </si>
  <si>
    <t>Alejandro Cordero Molina</t>
  </si>
  <si>
    <t>Marvin Alonso Valerio Morales</t>
  </si>
  <si>
    <t>Gadiel Vargas Morales</t>
  </si>
  <si>
    <t>Nicolas Duran Medina</t>
  </si>
  <si>
    <t>Leonardo Liu Chen</t>
  </si>
  <si>
    <t>Roger Liu Chen</t>
  </si>
  <si>
    <t>Sebastian Granados Vasquez</t>
  </si>
  <si>
    <t>SAMUEL MADRIZ MONTERO</t>
  </si>
  <si>
    <t>Jorge Carlos Arias Vega</t>
  </si>
  <si>
    <t>IAN JOSUE SOLIS MILLON</t>
  </si>
  <si>
    <t>Sebastian Cruz Guerra</t>
  </si>
  <si>
    <t>HEREDIA</t>
  </si>
  <si>
    <t>Maximiliano Araya Gomez</t>
  </si>
  <si>
    <t>Keylor Yoel Araya Erazo</t>
  </si>
  <si>
    <t>ALAJUELITA</t>
  </si>
  <si>
    <t>Angel Mathias Arguello Rojas</t>
  </si>
  <si>
    <t>Sebastian Soto Roses</t>
  </si>
  <si>
    <t>SIQUIRRES</t>
  </si>
  <si>
    <t>Matias Vega Mendoza</t>
  </si>
  <si>
    <t>MATHIAS REYES BONILLA</t>
  </si>
  <si>
    <t>CCDR MORA</t>
  </si>
  <si>
    <t>SAMUEL CASTRO SEGURA</t>
  </si>
  <si>
    <t>SANTIAGO UREÑA CALDERÓN</t>
  </si>
  <si>
    <t>ALLAN VALVERDE OLIVARES</t>
  </si>
  <si>
    <t>Isaac Gomez Garita</t>
  </si>
  <si>
    <t>OREAMUNO</t>
  </si>
  <si>
    <t>Josue Martinez Brenes</t>
  </si>
  <si>
    <t>Kenneth Cordero Chaves</t>
  </si>
  <si>
    <t>JULIÁN HERNÁNDEZ ZÚÑIGA</t>
  </si>
  <si>
    <t>YAIR QUISPE CASTILLO</t>
  </si>
  <si>
    <t>JULIAN DANIEL FALLAS RODRÍGUEZ</t>
  </si>
  <si>
    <t>JULIAN DANIEL FALLAS RODRIGUEZ</t>
  </si>
  <si>
    <t>ANGELO ARLEY CHACÓN</t>
  </si>
  <si>
    <t>GRECIA</t>
  </si>
  <si>
    <t>AARON MUÑOZ ARGÜELLO</t>
  </si>
  <si>
    <t>LUIS DANIEL QUIROS ALVARADO</t>
  </si>
  <si>
    <t>CHRISTOPHER SAÚL OCONITRILLO CRUZ</t>
  </si>
  <si>
    <t>JUAN PABLO HERRERA NAVARRO</t>
  </si>
  <si>
    <t>SANTIAGO UZCATEGUI</t>
  </si>
  <si>
    <t>AARON EDUARDO RAMIREZ CRUZ</t>
  </si>
  <si>
    <t>Gabriel David Cordero Abarca</t>
  </si>
  <si>
    <t>Alberto Jose Guerrero Cubillo</t>
  </si>
  <si>
    <t>CCDR DESAMPARADOS</t>
  </si>
  <si>
    <t>Sebastian Castillo Rodriguez</t>
  </si>
  <si>
    <t>DESAMPARADOS</t>
  </si>
  <si>
    <t>Francisco Guerrero Umaña</t>
  </si>
  <si>
    <t>Jose Mario Ramirez Naranjo</t>
  </si>
  <si>
    <t>Carlos Ismael Bonilla Mora</t>
  </si>
  <si>
    <t>Bastian Montero Leon</t>
  </si>
  <si>
    <t>Martin Guzman Gonzalez</t>
  </si>
  <si>
    <t>Mathias Garbanzo Ulate</t>
  </si>
  <si>
    <t>Samuel Alejandro Mora Espino</t>
  </si>
  <si>
    <t>Adrian Segura Lopez</t>
  </si>
  <si>
    <t>Jean Luca Vega Botmer</t>
  </si>
  <si>
    <t>Roy Andres Carranza Chaves</t>
  </si>
  <si>
    <t>PUNTARENAS</t>
  </si>
  <si>
    <t>LUCCA NAEL LOBO DIAZ</t>
  </si>
  <si>
    <t>Jose Leonardo Solano Morales</t>
  </si>
  <si>
    <t>CARTAGO</t>
  </si>
  <si>
    <t>Felipe Gomez Sanchez</t>
  </si>
  <si>
    <t>Carlos Andres Brenes Piedra</t>
  </si>
  <si>
    <t>Jose Ignacio Gomez Alvardo</t>
  </si>
  <si>
    <t>Samir Joel Sanabria Fernandez</t>
  </si>
  <si>
    <t>MORAVIA</t>
  </si>
  <si>
    <t>Andrés Charpentier Morera</t>
  </si>
  <si>
    <t>Andrés Chaves Espinoza</t>
  </si>
  <si>
    <t>Thiago Alessandro Espinoza Navarro</t>
  </si>
  <si>
    <t>Esteban Josué Flores Delgado</t>
  </si>
  <si>
    <t>Santiago Cordoba Alvarado</t>
  </si>
  <si>
    <t>VASQUEZ DE CORONADO</t>
  </si>
  <si>
    <t>Emanuel Gomez Alpizar</t>
  </si>
  <si>
    <t>Santiago Cabrera Arroyo</t>
  </si>
  <si>
    <t>MOISES DANI CAMPOS CRUZ</t>
  </si>
  <si>
    <t>Anderson Yahir Carpio Ortega</t>
  </si>
  <si>
    <t>Aaron Vargas Alfaro</t>
  </si>
  <si>
    <t>Baldwin Lopez Hernandez</t>
  </si>
  <si>
    <t>JAIR MARTINEZ MONTENEGRO</t>
  </si>
  <si>
    <t>YOHAV GADIEL ALVARADO RETANA</t>
  </si>
  <si>
    <t>Alessandro Leiton Naranjo</t>
  </si>
  <si>
    <t>Dereck Jhesua Araya Hernandez</t>
  </si>
  <si>
    <t>Anderson Jesus Solis Martinez</t>
  </si>
  <si>
    <t>Dominic Sabier Delgado Montiel</t>
  </si>
  <si>
    <t>GOLFITO</t>
  </si>
  <si>
    <t>Axel Jimenez Trejos</t>
  </si>
  <si>
    <t>Caleb Josue Godoy Cascante</t>
  </si>
  <si>
    <t>Ethan Thitao Benavides Wen</t>
  </si>
  <si>
    <t>Matias Gomez Sibaja</t>
  </si>
  <si>
    <t>Elian Quesada Sanchez</t>
  </si>
  <si>
    <t>Matías Rojas Pérez</t>
  </si>
  <si>
    <t>Benjamin Azu Hiago Ramsay</t>
  </si>
  <si>
    <t>Allen Andrés Soto Villatoro</t>
  </si>
  <si>
    <t>FRANCISCO JESSE MUÑOZ COGNUCK</t>
  </si>
  <si>
    <t>EVANS FALLAS BARQUERO</t>
  </si>
  <si>
    <t>JOSUÉ ARTURO BLANCO HERRERA</t>
  </si>
  <si>
    <t>SAÚL VILLALOBOS VÍQUEZ</t>
  </si>
  <si>
    <t>Patrick Matías Castillo Collao</t>
  </si>
  <si>
    <t>Santiago Segura Bonilla</t>
  </si>
  <si>
    <t>Kaleff Miranda Solano</t>
  </si>
  <si>
    <t>MATTEUS SERRANO VARGAS</t>
  </si>
  <si>
    <t>Joel Montero Astua</t>
  </si>
  <si>
    <t>MATÍAS UMAÑA CANO</t>
  </si>
  <si>
    <t>Justin Torres Moreno</t>
  </si>
  <si>
    <t>Kendall Andrés Espinoza Hernández</t>
  </si>
  <si>
    <t>FRANKLING CHEN FENG</t>
  </si>
  <si>
    <t>FABIÁN GONZÁLEZ RODRÍGUEZ</t>
  </si>
  <si>
    <t>SEBASTIÁN MUÑOZ RUIZ</t>
  </si>
  <si>
    <t>Randall Díaz León</t>
  </si>
  <si>
    <t>Cristian Yariel Román Rodríguez</t>
  </si>
  <si>
    <t>RONALDO CONDE TRELLES</t>
  </si>
  <si>
    <t>LUIS CARLOS CONTRERAS MEJIA</t>
  </si>
  <si>
    <t>JOSUE DAVID TENORIO PANIAGUA</t>
  </si>
  <si>
    <t>Carlos Leiva Mora</t>
  </si>
  <si>
    <t>Adrian Arroyo Jimenez</t>
  </si>
  <si>
    <t>Rubén Muñoz</t>
  </si>
  <si>
    <t>Benjamin Rojas Arce</t>
  </si>
  <si>
    <t>Daniel Machado Garcia</t>
  </si>
  <si>
    <t>Gabriel Mata Alvarez</t>
  </si>
  <si>
    <t>CARLOS LUIS CHAVES GOMEZ</t>
  </si>
  <si>
    <t>Gabriel Naranjo Ramirez</t>
  </si>
  <si>
    <t>Axel Rios Linares</t>
  </si>
  <si>
    <t>Gabriel Aguilar Gutierrez</t>
  </si>
  <si>
    <t>LIBERIA TABLE TENNIS ACADEMY</t>
  </si>
  <si>
    <t>Santiago Carranza Alvarado</t>
  </si>
  <si>
    <t>ADRIAN MELTZER AIZENMAN</t>
  </si>
  <si>
    <t>Jaim Rosenstock Gutreiman</t>
  </si>
  <si>
    <t>Ernesto Hidalgo Araya</t>
  </si>
  <si>
    <t>Santiago Leonardo Barrantes Ramirez</t>
  </si>
  <si>
    <t>Diego Molina Matamoros</t>
  </si>
  <si>
    <t>Juan Matias Araya Corrales</t>
  </si>
  <si>
    <t>Samuel Barrios Castro</t>
  </si>
  <si>
    <t>Dorian Ernesto Castro Urbina</t>
  </si>
  <si>
    <t>ALEJANDRO CHAVES GALLO</t>
  </si>
  <si>
    <t>Zaid Reyes Avendaño</t>
  </si>
  <si>
    <t>José Pablo Valverde Valerín</t>
  </si>
  <si>
    <t>Cesar Andrés Valdelomar Saborío</t>
  </si>
  <si>
    <t>Emilio Arce González</t>
  </si>
  <si>
    <t>Fabián Sosa Cambronero</t>
  </si>
  <si>
    <t>Mathias Chaves Arce</t>
  </si>
  <si>
    <t>Roy Luna Castillo</t>
  </si>
  <si>
    <t>MARLON ANDREY RIGGIONI RODRIGUEZ</t>
  </si>
  <si>
    <t>JOSE PABLO ARAYA VILLALOBOS</t>
  </si>
  <si>
    <t>JOSÉ IGNACIO RETANA AGUILAR</t>
  </si>
  <si>
    <t>Sebastian Sanchez Delgado</t>
  </si>
  <si>
    <t>Jose María Piedra Monge</t>
  </si>
  <si>
    <t>Davis Santiago Bolaños Sanchez</t>
  </si>
  <si>
    <t>CLUB GRIEGO TENIS DE MESA</t>
  </si>
  <si>
    <t>Kyrshan Weeks Campos</t>
  </si>
  <si>
    <t>Danikson Arroyo Fernández</t>
  </si>
  <si>
    <t>Sebastián Fernández Portuguez</t>
  </si>
  <si>
    <t>JUAN PABLO ARCE VÁSQUEZ</t>
  </si>
  <si>
    <t>DEREK ECHEVERRÍA HIDALGO</t>
  </si>
  <si>
    <t>DANIEL ALBERTO MADRIZ GÛMEZ</t>
  </si>
  <si>
    <t>YAKOV VASQUEZ SPENDLINGWIMMER</t>
  </si>
  <si>
    <t>JOSE RAFAEL MORALES SALAZAR</t>
  </si>
  <si>
    <t>GAEL DINARTE GRAEFF</t>
  </si>
  <si>
    <t>MATIAS FENG NIE</t>
  </si>
  <si>
    <t>JOSEPH TERCERO ZÚÑIGA PICADO</t>
  </si>
  <si>
    <t>LUIS JAVIER MARTÍNEZ HONG</t>
  </si>
  <si>
    <t>CRISTIAN GUO WU</t>
  </si>
  <si>
    <t>AARÓN OROZCO UGALDE</t>
  </si>
  <si>
    <t>ESTEBAN CHACÓN</t>
  </si>
  <si>
    <t>AGUSTÍN CERDAS SANCHO</t>
  </si>
  <si>
    <t>DARÍO LÓPEZ VARGAS</t>
  </si>
  <si>
    <t>Jorge Guido Badilla</t>
  </si>
  <si>
    <t>Kevin Quesada  Gonzalez</t>
  </si>
  <si>
    <t>Abraham Grima González</t>
  </si>
  <si>
    <t>Fernando José Carvajal Varela</t>
  </si>
  <si>
    <t>Matthew Román Chinchilla</t>
  </si>
  <si>
    <t>Santiago Gómez Correa</t>
  </si>
  <si>
    <t>Braulio Carrillo Muñoz</t>
  </si>
  <si>
    <t>Didier Chacon Mora</t>
  </si>
  <si>
    <t>Emanuel Jesus Vazquez Rodriguez</t>
  </si>
  <si>
    <t>Allan Vinicio Paniagua Arrieta</t>
  </si>
  <si>
    <t>Brandon Perez Mejias</t>
  </si>
  <si>
    <t>Esteban Vasquez Mora</t>
  </si>
  <si>
    <t>Juan Vicente Araya Corrales</t>
  </si>
  <si>
    <t>Keilor Gerardo Castillo Garcia</t>
  </si>
  <si>
    <t>COTO BRUS A.B.</t>
  </si>
  <si>
    <t>Libre Libre</t>
  </si>
  <si>
    <t>Santiago Villalobos Sanchez</t>
  </si>
  <si>
    <t>Sebastian Villalobos Sanchez</t>
  </si>
  <si>
    <t>Ramsses Villalobos Segura</t>
  </si>
  <si>
    <t>Alejandro Espinoza Benavides</t>
  </si>
  <si>
    <t>Hammryns Goku Vargas Barquero</t>
  </si>
  <si>
    <t>Mathias Lopez Porras</t>
  </si>
  <si>
    <t>Jeyco Fabian Chaves Morales</t>
  </si>
  <si>
    <t>Tomas Aguilar Obando</t>
  </si>
  <si>
    <t>Luis Alejandro Matamoros Rodriguez</t>
  </si>
  <si>
    <t>NARANJO</t>
  </si>
  <si>
    <t>Dereck Joao Valle Carranza</t>
  </si>
  <si>
    <t>NARANJA</t>
  </si>
  <si>
    <t>Isaac Fabriel Baltodano Jimenez</t>
  </si>
  <si>
    <t>Luis Felipe Picado Esquivel</t>
  </si>
  <si>
    <t>Franty Campos Vargas</t>
  </si>
  <si>
    <t>Daniel Andres Castro Saavedra</t>
  </si>
  <si>
    <t>Joseph Brenes Quesada</t>
  </si>
  <si>
    <t>Manuel Antonio Andrade Mendez</t>
  </si>
  <si>
    <t>Isaac Felipe Vega Valerio</t>
  </si>
  <si>
    <t>Daniel Gonzalez Picado</t>
  </si>
  <si>
    <t>Jose Mario Gonzalez Picado</t>
  </si>
  <si>
    <t>Oscar Zuñiga Sanchez</t>
  </si>
  <si>
    <t>Luis Esteban Abarca Jimenez</t>
  </si>
  <si>
    <t>Juan David Guevara Zuñiga</t>
  </si>
  <si>
    <t>Luis Felipe Millon Solis</t>
  </si>
  <si>
    <t>Andres Villegas Camacho</t>
  </si>
  <si>
    <t>Roberto Jose Alvarado Espinoza</t>
  </si>
  <si>
    <t>Jose Gabriel Porras Blanco</t>
  </si>
  <si>
    <t>Kendall Arturo Valverde Mora</t>
  </si>
  <si>
    <t>Gabriel Felipe Benavides Bolaños</t>
  </si>
  <si>
    <t>Jose Mario Solano Corrales</t>
  </si>
  <si>
    <t>Victor Mata Quiros</t>
  </si>
  <si>
    <t>Axel Stif Duran Madrigal</t>
  </si>
  <si>
    <t>Rigoberto Mendez Abarca</t>
  </si>
  <si>
    <t>BUENOS AIRES</t>
  </si>
  <si>
    <t>Anthony Fabian Moreno Santamaria</t>
  </si>
  <si>
    <t>Braylan Gustavo Reyes Diaz</t>
  </si>
  <si>
    <t>Mathew Josue Azofeifa Alpizar</t>
  </si>
  <si>
    <t>Ethan Roldan Soto</t>
  </si>
  <si>
    <t>Carlos Andrés Espinoza</t>
  </si>
  <si>
    <t>Luis Romero</t>
  </si>
  <si>
    <t>TEC</t>
  </si>
  <si>
    <t>Gabriel López</t>
  </si>
  <si>
    <t>Edgar Vega</t>
  </si>
  <si>
    <t>CIUDAD NEILLY</t>
  </si>
  <si>
    <t>Felipe Cruz</t>
  </si>
  <si>
    <t>Javier Walters</t>
  </si>
  <si>
    <t>MATINA</t>
  </si>
  <si>
    <t>Oliver Rivera</t>
  </si>
  <si>
    <t>Javier Corrales</t>
  </si>
  <si>
    <t>Carlos Andrés Vargas</t>
  </si>
  <si>
    <t>Nelson Anthony</t>
  </si>
  <si>
    <t>Pablo Soro</t>
  </si>
  <si>
    <t>Aaron Chavarría Chacón</t>
  </si>
  <si>
    <t>Duhán Zuñiga Bolivar</t>
  </si>
  <si>
    <t>Otoniel Amoretti Moran</t>
  </si>
  <si>
    <t>Gianluca Pernudi Molina</t>
  </si>
  <si>
    <t>Marco Romero Umaña</t>
  </si>
  <si>
    <t>CAÑAS</t>
  </si>
  <si>
    <t>Jorge Valderomar Saborio</t>
  </si>
  <si>
    <t>Michael Torres Wong</t>
  </si>
  <si>
    <t>Keithan Abarca Calderon</t>
  </si>
  <si>
    <t>Josue David Alvarez Villalobos</t>
  </si>
  <si>
    <t>Emanuel Josué Arias Mora</t>
  </si>
  <si>
    <t>Sebastián Baltodano Pacheco</t>
  </si>
  <si>
    <t>Juan Diego Hernández Vindas</t>
  </si>
  <si>
    <t>Fabian Chacón</t>
  </si>
  <si>
    <t>Carlos Campos Chacon</t>
  </si>
  <si>
    <t>Enrique Elizondo Cordero</t>
  </si>
  <si>
    <t>Aron Josue Navarro Mena</t>
  </si>
  <si>
    <t>ADRIAN CORDERO ABARCA</t>
  </si>
  <si>
    <t>UCR</t>
  </si>
  <si>
    <t>Ethan Josue Cabalceta Rojas</t>
  </si>
  <si>
    <t>Jonathan David Stirling Lobo</t>
  </si>
  <si>
    <t>Wayner Castro Segura</t>
  </si>
  <si>
    <t>Rudy Josue Miranda Cambronero</t>
  </si>
  <si>
    <t>Andrew Josue Castro Barrientos</t>
  </si>
  <si>
    <t>Victor Guillen Mendez</t>
  </si>
  <si>
    <t>Andres Bolaños Fuentes</t>
  </si>
  <si>
    <t>Alejandro Barquero Noguera</t>
  </si>
  <si>
    <t>Gabriel Zuñiga Hernadez</t>
  </si>
  <si>
    <t>Yecy Steven Vivas Asofeifa</t>
  </si>
  <si>
    <t>Antoni Jose Jimenez Iglesias</t>
  </si>
  <si>
    <t>TALAMANCA</t>
  </si>
  <si>
    <t>Juan Pablo Rivera Aguilar</t>
  </si>
  <si>
    <t>Marcel Felipe De Mezerville Arce</t>
  </si>
  <si>
    <t>Keiwel Jaffeth Salazar Zelaya</t>
  </si>
  <si>
    <t>Daniel Morales Jimenez</t>
  </si>
  <si>
    <t>Alejandro Josue Araya Mora</t>
  </si>
  <si>
    <t>Pablo Andrés Marroquin Sanchez</t>
  </si>
  <si>
    <t>Mathias Uba Miranda</t>
  </si>
  <si>
    <t>Franco López Sequeira</t>
  </si>
  <si>
    <t>Daniel Santamaría Sánchez</t>
  </si>
  <si>
    <t>Jose Pablo Gonzalez Mata</t>
  </si>
  <si>
    <t>Kevin Johel Deliyore Arce</t>
  </si>
  <si>
    <t>Josafath Antonio Blandon Isaguirre</t>
  </si>
  <si>
    <t>David Hernandez</t>
  </si>
  <si>
    <t>CCDR JIMENEZ</t>
  </si>
  <si>
    <t>Jose Daniel Ford</t>
  </si>
  <si>
    <t>Jose Ignacio Azuaje Marin</t>
  </si>
  <si>
    <t>Julian Andres Quesada Serrano</t>
  </si>
  <si>
    <t>David Jimenez Mendez</t>
  </si>
  <si>
    <t>DEIVER MACLEAN CASTRO</t>
  </si>
  <si>
    <t>DANIEL JACOBO GONZÁLEZ</t>
  </si>
  <si>
    <t>ALEJANDRO PEREIRA GUTIERREZ</t>
  </si>
  <si>
    <t>SANTIAGO MONGE ARROYO</t>
  </si>
  <si>
    <t>ELIAS VEGA REYES</t>
  </si>
  <si>
    <t>CRISTOPHER CASCANTE MARIN</t>
  </si>
  <si>
    <t>JOHN STEVE MOLINA PACHECO</t>
  </si>
  <si>
    <t>Ariel Martínez Montenegro</t>
  </si>
  <si>
    <t>KEVIN JAEN FALLAS HAZERA</t>
  </si>
  <si>
    <t>KENDALL CERDAS MORAGA</t>
  </si>
  <si>
    <t>Yuen Zuñiga Murillo</t>
  </si>
  <si>
    <t>EYDER BRENES SMITH</t>
  </si>
  <si>
    <t>STEVEN ALEXANDER MORAGA LACAYO</t>
  </si>
  <si>
    <t>Asaf Caravaca Ramirez</t>
  </si>
  <si>
    <t>DANIEL MADRIZ GÓMEZ</t>
  </si>
  <si>
    <t>SAUL BENAVIDES MUÑOZ</t>
  </si>
  <si>
    <t>JOEL SELVA ALVARADO</t>
  </si>
  <si>
    <t>DANIEL ENRIQUE CONTRERAS OBANDO</t>
  </si>
  <si>
    <t>Andres De Jesus Roque Bonilla</t>
  </si>
  <si>
    <t>Denisson Fallas Rojas</t>
  </si>
  <si>
    <t>SANTIAGO RAMIREZ MELENDEZ</t>
  </si>
  <si>
    <t>JOSE ANDRES RODRÍGUEZ VARGAS</t>
  </si>
  <si>
    <t>CCDR CARTAGO</t>
  </si>
  <si>
    <t>Ismael Enríquez Rojas</t>
  </si>
  <si>
    <t>FELIPE ARTURO ARRIAGA LIZANO</t>
  </si>
  <si>
    <t>SAN JOSÉ - UCR</t>
  </si>
  <si>
    <t>JOSEPH ANDREY JIMENEZ CARRILLO</t>
  </si>
  <si>
    <t>UCR - CORREDORES</t>
  </si>
  <si>
    <t>MAURO UGARTE MEZA</t>
  </si>
  <si>
    <t>Cristopher Acevedo Calderon</t>
  </si>
  <si>
    <t>Yasmir Estrada Chavarria</t>
  </si>
  <si>
    <t>David Norori Vindas</t>
  </si>
  <si>
    <t>Michael Barquero Torres</t>
  </si>
  <si>
    <t>Andres Monge Monge</t>
  </si>
  <si>
    <t>Jimmy Bonilla Cerdads</t>
  </si>
  <si>
    <t>ISAAC MORERA CARRILLO</t>
  </si>
  <si>
    <t>Juan Pablo Chacon Navarro</t>
  </si>
  <si>
    <t>Joan Andres Aguero Vargas</t>
  </si>
  <si>
    <t>Yasdany Mena Segura</t>
  </si>
  <si>
    <t>Jose Daniel Mora Fuentes</t>
  </si>
  <si>
    <t>ANGEL JOSEPH ENRÍQUEZ ROJAS</t>
  </si>
  <si>
    <t>Juan Fuentes Mora</t>
  </si>
  <si>
    <t>Damian Alejandro Herrera Salas</t>
  </si>
  <si>
    <t>ANTHONY DELAY PORRAS</t>
  </si>
  <si>
    <t>Josue Miranda Lozano</t>
  </si>
  <si>
    <t>Aaron Segura Sánchez</t>
  </si>
  <si>
    <t>OLMAN MONTERO BADILLA</t>
  </si>
  <si>
    <t>CARIARI</t>
  </si>
  <si>
    <t>Kaleth Reyes Villalobos</t>
  </si>
  <si>
    <t>Isaac Corella Cascante</t>
  </si>
  <si>
    <t>Matías Pérez De La Cuesta</t>
  </si>
  <si>
    <t>Gabriel Arias Mora</t>
  </si>
  <si>
    <t>Alberto Denzel Rojas Quesada</t>
  </si>
  <si>
    <t>JUAN PABLO RODRÍGUEZ MEDINA</t>
  </si>
  <si>
    <t>UNA</t>
  </si>
  <si>
    <t>Samuel Jose Granados Padilla</t>
  </si>
  <si>
    <t>Yamil Yan Wu</t>
  </si>
  <si>
    <t>Keril Valle Vásquez</t>
  </si>
  <si>
    <t>Dayton Jose Selva Ramirez</t>
  </si>
  <si>
    <t>Leonardo Arguello Rojas</t>
  </si>
  <si>
    <t>JAYDEN PICADO BARQUERO</t>
  </si>
  <si>
    <t>ANDRÉ LÓPEZ SEQUEIRA</t>
  </si>
  <si>
    <t>Michael Lu Lu</t>
  </si>
  <si>
    <t>DYLAN JOEL ROMERO VARGAS</t>
  </si>
  <si>
    <t>Douglas Arrieta Barrantes</t>
  </si>
  <si>
    <t>Jose Julian Leiton Villavicencio</t>
  </si>
  <si>
    <t>Santiago Artavia Madrigal</t>
  </si>
  <si>
    <t>Joshua Zeledon Polanco</t>
  </si>
  <si>
    <t>Daniel Arturo Araya Perez</t>
  </si>
  <si>
    <t>Timothy Ogilvie Gonzalez</t>
  </si>
  <si>
    <t>Miguel Vega Trejos</t>
  </si>
  <si>
    <t>Steven Liang Wu</t>
  </si>
  <si>
    <t>Juan Gabriel Lopez Goni</t>
  </si>
  <si>
    <t>Javier Ureña Reyes</t>
  </si>
  <si>
    <t>Nicolas Quesada Arguedas</t>
  </si>
  <si>
    <t>Luis Diego Bolaños Cuendis</t>
  </si>
  <si>
    <t>Jose Daniel Cordero Araya</t>
  </si>
  <si>
    <t>Jose Alberto Velasquez Marin</t>
  </si>
  <si>
    <t>Sebastian Esquivel Delgado</t>
  </si>
  <si>
    <t>Mahonry Ramirez Gonzalez</t>
  </si>
  <si>
    <t>Jose David Lopez Segura</t>
  </si>
  <si>
    <t>Farensaith Murillo Duarte</t>
  </si>
  <si>
    <t>Victor Stip Mendez Villalobos</t>
  </si>
  <si>
    <t>Mario Guevara Raigada</t>
  </si>
  <si>
    <t>Diego Guevara Raigada</t>
  </si>
  <si>
    <t>Anthony Valerín Gomez</t>
  </si>
  <si>
    <t>Sebastian Jaen Coto</t>
  </si>
  <si>
    <t>Adriel Brenes Duran</t>
  </si>
  <si>
    <t>Julián Samid Cerdas Solano</t>
  </si>
  <si>
    <t>Gabriel Marín Solano</t>
  </si>
  <si>
    <t>Ismael Andrés Morales Pérez</t>
  </si>
  <si>
    <t>José Carlos Estrada Arriola</t>
  </si>
  <si>
    <t>Abdias Acosta Alvarez</t>
  </si>
  <si>
    <t>Benjamín Abdías Jiménez Vásquez</t>
  </si>
  <si>
    <t>Axel Daniel Flores Vilchez</t>
  </si>
  <si>
    <t>Bryan Rene Gutiérrez Miranda</t>
  </si>
  <si>
    <t>Christopher Gutiérrez Méndez</t>
  </si>
  <si>
    <t>Gabriel Eduardo Mora Silva</t>
  </si>
  <si>
    <t>Dany Alonso Matarrita Ruiz</t>
  </si>
  <si>
    <t>Alejandro Borbón Quirós</t>
  </si>
  <si>
    <t>Emmanuel Antonio González Campos</t>
  </si>
  <si>
    <t>Silvanna Campos Corrales</t>
  </si>
  <si>
    <t>SAN FRANCISCO</t>
  </si>
  <si>
    <t>Daniel Melendez Diaz</t>
  </si>
  <si>
    <t>Jose Angel Valoa Guerrero</t>
  </si>
  <si>
    <t>David Alfaro Layton</t>
  </si>
  <si>
    <t>Fabian Melendez Dias</t>
  </si>
  <si>
    <t>Isaac Arce Fallas</t>
  </si>
  <si>
    <t>Edgar Antonio Acuña Fernandez</t>
  </si>
  <si>
    <t>Angel Bolivar Lopez Duarte</t>
  </si>
  <si>
    <t>BAGACES</t>
  </si>
  <si>
    <t>Jose Antonio Lopez Vega</t>
  </si>
  <si>
    <t>Anthonny William Flores Rojas</t>
  </si>
  <si>
    <t>Marcelo Rivera Monge</t>
  </si>
  <si>
    <t>Alejandro Obregón Salazar</t>
  </si>
  <si>
    <t>Mario Andres Rojas Varela</t>
  </si>
  <si>
    <t>Andres Ramirez Naranjo</t>
  </si>
  <si>
    <t>Pablo Javier Lopez Mendez</t>
  </si>
  <si>
    <t>Alejandro Cardenas Corella</t>
  </si>
  <si>
    <t>Andres Fernandez Scott</t>
  </si>
  <si>
    <t>Kenneth Gomez Torres</t>
  </si>
  <si>
    <t>Joan Sebastian Gutierrez Zelaya</t>
  </si>
  <si>
    <t>David Campos Benavides</t>
  </si>
  <si>
    <t>Ignacio Henriquez Chan</t>
  </si>
  <si>
    <t>Hector Uriel Moya Alfaro</t>
  </si>
  <si>
    <t>Jordan Francisco Castillo Roche</t>
  </si>
  <si>
    <t>Jorge Alejandro Zarate Jarquin</t>
  </si>
  <si>
    <t>Snayder Alexander Villegas Rodriguez</t>
  </si>
  <si>
    <t>Franderson Steve Chinchilla Ceciliano</t>
  </si>
  <si>
    <t>Pedro Joel Torres Newball</t>
  </si>
  <si>
    <t>Jordi Arturo Parajeres Torres</t>
  </si>
  <si>
    <t>Dennis Esteban Vasquez  Espinoza</t>
  </si>
  <si>
    <t>Juan Diego Castro Badilla</t>
  </si>
  <si>
    <t>Javier Alonso Alfaro Rojas</t>
  </si>
  <si>
    <t>Matias Mora Mendez</t>
  </si>
  <si>
    <t>Jose Daniel Nuñez Villalobos</t>
  </si>
  <si>
    <t>Aaron De  Jesus Gonzalez Solano</t>
  </si>
  <si>
    <t>Ivan Hernandez Marin</t>
  </si>
  <si>
    <t>Acel Rodriguez Cespedez</t>
  </si>
  <si>
    <t>Ignacio Heriquez Chan</t>
  </si>
  <si>
    <t>OLMAN JOSUE ALVARADO VILLALOBOS</t>
  </si>
  <si>
    <t>Leonardo De Jesus Ramos Matute</t>
  </si>
  <si>
    <t>ZARCERO</t>
  </si>
  <si>
    <t>Andrey Esquivel Vargas</t>
  </si>
  <si>
    <t>Wagner Fabian Cerdas Sibaja</t>
  </si>
  <si>
    <t>Bryan Andrey Valverde Hernandez</t>
  </si>
  <si>
    <t>Jonathan Hidalgo Morales</t>
  </si>
  <si>
    <t>Isaac Gonzalez Salazar</t>
  </si>
  <si>
    <t>Rodolfo Miguel Peña Cordero</t>
  </si>
  <si>
    <t>Andre Josue Salgado Bonilla</t>
  </si>
  <si>
    <t>Kenta Uega Erdwig</t>
  </si>
  <si>
    <t>Juan Manuel Matos Patrocino</t>
  </si>
  <si>
    <t>Ian Daniel Chacon Ureña</t>
  </si>
  <si>
    <t>Santiago Villalobos Ramirez</t>
  </si>
  <si>
    <t>Jose Manuel Navarro Quesada</t>
  </si>
  <si>
    <t>Jose Andres Salazar Rodriguez</t>
  </si>
  <si>
    <t>Abner Josue Jimenez Vega</t>
  </si>
  <si>
    <t>Jared Gerardo Bolaños Soto</t>
  </si>
  <si>
    <t>Ricardo Antonio Víquez Gómez</t>
  </si>
  <si>
    <t>Manfred Joel Barrantes Elizondo</t>
  </si>
  <si>
    <t>Antonio Amador Alvarado</t>
  </si>
  <si>
    <t>Benjamín Carranza Sánchez</t>
  </si>
  <si>
    <t>Carlos Salazar Porras</t>
  </si>
  <si>
    <t>Olman Esteban Gonzalez Salazar</t>
  </si>
  <si>
    <t>Camilo José Castro Correa</t>
  </si>
  <si>
    <t>Pablo Esteban Valverde Mena</t>
  </si>
  <si>
    <t>Darío Alberto Chaves González</t>
  </si>
  <si>
    <t>Ignacio Arrieta Bravo</t>
  </si>
  <si>
    <t>Carlo Fabian Luna Rodriguez</t>
  </si>
  <si>
    <t>Jeancarlo Morales Castro</t>
  </si>
  <si>
    <t>Isaac Meneses Gomez</t>
  </si>
  <si>
    <t>Andres Eduardo Herrera Vargas</t>
  </si>
  <si>
    <t>Juan Pablo Maroto Brenes</t>
  </si>
  <si>
    <t>Daniel De Jesus Gonzalez Rojas</t>
  </si>
  <si>
    <t>Jose Roberto Espinoza Benavides</t>
  </si>
  <si>
    <t>Marcos Andres Marin Junez</t>
  </si>
  <si>
    <t>Bryan Josue Azofeifa Rodriguez</t>
  </si>
  <si>
    <t>Jaaziel Carvajal Paniagua</t>
  </si>
  <si>
    <t>Clayton Ahuatzi Miranda Fallas</t>
  </si>
  <si>
    <t>Sebastian Alonso Madrigal Ubeda</t>
  </si>
  <si>
    <t>Esteban Jesus Shion Solis</t>
  </si>
  <si>
    <t>David Alfaro Rey</t>
  </si>
  <si>
    <t>Oscar Andres Zuñiga Sanchez</t>
  </si>
  <si>
    <t>Bladimir Quesada Solano</t>
  </si>
  <si>
    <t>LA LUCHA-BUENOS AIRES</t>
  </si>
  <si>
    <t>Raul Andres Madrigal Solis</t>
  </si>
  <si>
    <t>Sebastian Miranda Jimenez</t>
  </si>
  <si>
    <t>Matias Uribe Cardona</t>
  </si>
  <si>
    <t>Aaron Sanchez Chavarria</t>
  </si>
  <si>
    <t>Sebastian Delgado Ramirez</t>
  </si>
  <si>
    <t>Andres Acuña Robles</t>
  </si>
  <si>
    <t>Gabriel Monestel Baltodano</t>
  </si>
  <si>
    <t>Isacc Cordero Fallas</t>
  </si>
  <si>
    <t>Rendell Sebastian Quintero Boniche</t>
  </si>
  <si>
    <t>Carlos Brenes Mendez</t>
  </si>
  <si>
    <t>Luis Andrey Moreno Marín</t>
  </si>
  <si>
    <t>Jose Pablo Rojas Peraza</t>
  </si>
  <si>
    <t>Andres Meneses Loaiza</t>
  </si>
  <si>
    <t>Caleb Jimenez Jimenez</t>
  </si>
  <si>
    <t>Matias Abarca Ureña</t>
  </si>
  <si>
    <t>Erick Yafeth Carrillo Picado</t>
  </si>
  <si>
    <t>TDM PUERTO JIMÉNEZ</t>
  </si>
  <si>
    <t>Sebastian Oconitrillo Lopez</t>
  </si>
  <si>
    <t>Adonis Jermey Espinoza Mora</t>
  </si>
  <si>
    <t>Wiljen Duarte Campos</t>
  </si>
  <si>
    <t>CLUB GRIEGO DE TENIS DE MESA</t>
  </si>
  <si>
    <t>Taylor Andres Coto Umaña</t>
  </si>
  <si>
    <t>ZAPOTE</t>
  </si>
  <si>
    <t>Josué David Fletes Somarribas</t>
  </si>
  <si>
    <t>José Andrés Chavarría Gamboa</t>
  </si>
  <si>
    <t>Gabriel Castro Brenes</t>
  </si>
  <si>
    <t>VÁZQUEZ DE CORONADO</t>
  </si>
  <si>
    <t>Andrés Araya González</t>
  </si>
  <si>
    <t>Jimmy Fallas Aguilar</t>
  </si>
  <si>
    <t>Jossiomar Mercado Bustos</t>
  </si>
  <si>
    <t>ANDRES ALBERTO BRENES HERRERA</t>
  </si>
  <si>
    <t>Dereck Jose Jimenez Quesada</t>
  </si>
  <si>
    <t>Kendall Valverde Calderón</t>
  </si>
  <si>
    <t>Josué Miranda Lozano</t>
  </si>
  <si>
    <t>Daniel Josue Marin Aguero</t>
  </si>
  <si>
    <t>Orion Stallo Jaramillo</t>
  </si>
  <si>
    <t>Jakob Gebler</t>
  </si>
  <si>
    <t>Claudio Valverde</t>
  </si>
  <si>
    <t>Jason Sprague</t>
  </si>
  <si>
    <t>Diego Navas</t>
  </si>
  <si>
    <t>Rodrigo Valverde</t>
  </si>
  <si>
    <t>LUIS EDUARDO LOPEZ VILLALOBOS</t>
  </si>
  <si>
    <t>Carlos Alvarado Araya</t>
  </si>
  <si>
    <t>Gabriel Leandro Ulloa</t>
  </si>
  <si>
    <t>Santiago José Torres Brenes</t>
  </si>
  <si>
    <t>JOHAN FRANCISCO NUÑEZ GUTIERREZ</t>
  </si>
  <si>
    <t>Moises Alvarez Salas</t>
  </si>
  <si>
    <t>Aaron Jimenez Gonzalez</t>
  </si>
  <si>
    <t>Josue Diaz Umaña</t>
  </si>
  <si>
    <t>Santiago Arce Garita</t>
  </si>
  <si>
    <t>Fabrizio Rivera Segura</t>
  </si>
  <si>
    <t>Gabriel Benavidez Bolaños</t>
  </si>
  <si>
    <t>Eduardo Samuel Alvarado Giro</t>
  </si>
  <si>
    <t>Victor Josue Perez Reyes</t>
  </si>
  <si>
    <t>Diego Hernandez Aguero</t>
  </si>
  <si>
    <t>Ronald Ignacio Solano Méndez</t>
  </si>
  <si>
    <t>Daniel Guerrero Umaña</t>
  </si>
  <si>
    <t>Kendall Perez Mejia</t>
  </si>
  <si>
    <t>Aaron Mauricio Bolañoz Angulo</t>
  </si>
  <si>
    <t>Yahath Stewart Hernandez Arrieta</t>
  </si>
  <si>
    <t>Keylor Alejandro Maclean Calderon</t>
  </si>
  <si>
    <t>Lucas Cubillo Fallas</t>
  </si>
  <si>
    <t>Jose Andres Araya Sancho</t>
  </si>
  <si>
    <t>Sebastian Alvarado Molina</t>
  </si>
  <si>
    <t>Nathan Lazzaro Hernandez</t>
  </si>
  <si>
    <t>Donald Araya Campos</t>
  </si>
  <si>
    <t>Luis Felipe Roman Ching</t>
  </si>
  <si>
    <t>Erlermeier Tim Laurens</t>
  </si>
  <si>
    <t>Mateo Jose Rodriguez Ugalde</t>
  </si>
  <si>
    <t>PALMARES</t>
  </si>
  <si>
    <t>Santiago Isaac Alpizar Fernandez</t>
  </si>
  <si>
    <t>Jacob Vasquez Oviedo</t>
  </si>
  <si>
    <t>Samuel Jose Vargas Segura</t>
  </si>
  <si>
    <t>Keller Ferrey Sanchez</t>
  </si>
  <si>
    <t>Isaac Daniel Ramirez Quesada</t>
  </si>
  <si>
    <t>Isaac Castillo Aguilar</t>
  </si>
  <si>
    <t>Mariana Cartin Anchia</t>
  </si>
  <si>
    <t>Marcelo Andres Vargas Hernandez</t>
  </si>
  <si>
    <t>Alessandro Rojas Castro</t>
  </si>
  <si>
    <t>Alessandro Jesus Fernandez Cascante</t>
  </si>
  <si>
    <t>Alejandro Alfaro Diaz</t>
  </si>
  <si>
    <t>Jeaustin Villareal Jarquin</t>
  </si>
  <si>
    <t>Kevin Garita Gomez</t>
  </si>
  <si>
    <t>Daniel Elizondo Murillo</t>
  </si>
  <si>
    <t>Billy Vong Situ</t>
  </si>
  <si>
    <t>Sebastián Ortega Castro</t>
  </si>
  <si>
    <t>José Julián Andrade Saballo</t>
  </si>
  <si>
    <t>Jan Antonio Azofeifa Jimenez</t>
  </si>
  <si>
    <t>Abdiel Jossias Gomez Arias</t>
  </si>
  <si>
    <t>Olman Eduardo Camacho Jerez</t>
  </si>
  <si>
    <t>Juan Ignacio Leon Guzman</t>
  </si>
  <si>
    <t>Dylan Josue Serrano Rodriguez</t>
  </si>
  <si>
    <t>David Emmanuel Ramirez Angulo</t>
  </si>
  <si>
    <t>Santiago Robles Obando</t>
  </si>
  <si>
    <t>Gerald Jafet Mora Muñoz</t>
  </si>
  <si>
    <t>ALEJANDRO PEÑARANDA SOTO</t>
  </si>
  <si>
    <t>Matias Andres Villanueva Galdo</t>
  </si>
  <si>
    <t>Alejandro Murillo Zen</t>
  </si>
  <si>
    <t>Lucio Mendez Rojas</t>
  </si>
  <si>
    <t>Ignacio Gamboa Guillèn</t>
  </si>
  <si>
    <t>Javier Solano Fernandez</t>
  </si>
  <si>
    <t>Bryan Valverde Hernandez</t>
  </si>
  <si>
    <t>Rodrigo Daniel Valverde Fallas</t>
  </si>
  <si>
    <t>Carlos David Badilla Villegas</t>
  </si>
  <si>
    <t>William Fernandez Duarte</t>
  </si>
  <si>
    <t>Hans Rojas Cordoba</t>
  </si>
  <si>
    <t>Erick Guillermo Naranjo Monge</t>
  </si>
  <si>
    <t>Yamil Andres Campos Garita</t>
  </si>
  <si>
    <t>Anthony Richmond Contreras</t>
  </si>
  <si>
    <t>Joshua Andres Flores Ledezma</t>
  </si>
  <si>
    <t>Luis Diego Mesen Rosales</t>
  </si>
  <si>
    <t>Saul Gomez Alpizar</t>
  </si>
  <si>
    <t>Fabian Juarez Montero</t>
  </si>
  <si>
    <t>Darrel Samuel Alfaro Ruiz</t>
  </si>
  <si>
    <t>Alessandro Jiron Garnier</t>
  </si>
  <si>
    <t>Jostin Fabian Juarez Montero</t>
  </si>
  <si>
    <t>Franco Daniel Castro Salgado</t>
  </si>
  <si>
    <t>Josue David Cordoba Garmendia</t>
  </si>
  <si>
    <t>Sebastian Jesus Dahmen Quesada</t>
  </si>
  <si>
    <t>Brandon Gabriel Araya Erazo</t>
  </si>
  <si>
    <t>Brandon Antonio Blandon Isaguirrez</t>
  </si>
  <si>
    <t>Asaf Fanuel Alvarado Retana</t>
  </si>
  <si>
    <t>Fabian Alexis Guerrero Chaves</t>
  </si>
  <si>
    <t>David Barquero Araya</t>
  </si>
  <si>
    <t xml:space="preserve">	FABIAN ZUÑIGA AGUERO</t>
  </si>
  <si>
    <t>INDEPENDIENTE</t>
  </si>
  <si>
    <t>Isacc Alonso Araya Muñoz</t>
  </si>
  <si>
    <t>Mikel Andres Rojas Rodriguez</t>
  </si>
  <si>
    <t>Antonio Urbano Murillo</t>
  </si>
  <si>
    <t>Eliezer Jarvier Jarquin Martinez</t>
  </si>
  <si>
    <t>Jose Daniel Valverde Herrera</t>
  </si>
  <si>
    <t>Yener Jafet Moreno Matarrita</t>
  </si>
  <si>
    <t>EDWIN ALONSO PEREZ BRENES</t>
  </si>
  <si>
    <t>Marco Antonio Lopez Perez</t>
  </si>
  <si>
    <t>Manuel Hu Lan</t>
  </si>
  <si>
    <t>Deian Antonio Villegas Carballo</t>
  </si>
  <si>
    <t>Gabriel Chaves Quiros</t>
  </si>
  <si>
    <t>Fantasma Cc</t>
  </si>
  <si>
    <t>CC</t>
  </si>
  <si>
    <t>Sebastian Estrada Garcia</t>
  </si>
  <si>
    <t>Fernando Ignacio Silva Novoa</t>
  </si>
  <si>
    <t>Jose Pablo Quesada Valerio</t>
  </si>
  <si>
    <t>AARON FONSECA SOLANO</t>
  </si>
  <si>
    <t>Isaac Madrigal Cardenas</t>
  </si>
  <si>
    <t>Yuren Caleb Cordoba Arce</t>
  </si>
  <si>
    <t>Hector David Vicioso Parra</t>
  </si>
  <si>
    <t>Efrain Vargas Hernandez</t>
  </si>
  <si>
    <t>Antonio Rojas Cortes</t>
  </si>
  <si>
    <t>David Acevedo Fallas</t>
  </si>
  <si>
    <t>Lester Alexandro Lopez Mendez</t>
  </si>
  <si>
    <t>Santiago Gerardo Valenciano Salas</t>
  </si>
  <si>
    <t>Carlos Humberto Rojas Nuñez</t>
  </si>
  <si>
    <t>Santiago Jose Ramirez Alvarado</t>
  </si>
  <si>
    <t>Luis Yahir Chaves Alpizar</t>
  </si>
  <si>
    <t>Italo Lizano Calvo</t>
  </si>
  <si>
    <t>Isaac Chavarrìa Herrera</t>
  </si>
  <si>
    <t>Johan Mairena Maradiaga</t>
  </si>
  <si>
    <t>Sebastin Alonso Fernandez Araya</t>
  </si>
  <si>
    <t>Sebastian Gomez Alvarado</t>
  </si>
  <si>
    <t>Douglas Andres Lopez Araya</t>
  </si>
  <si>
    <t>Keudin Jair Acosta Morales</t>
  </si>
  <si>
    <t>Gerald Ricardo Peraza Altamirano</t>
  </si>
  <si>
    <t>Jose Gabriel Cabezas Gutierrez</t>
  </si>
  <si>
    <t>Ignacio Lorenzo Blanco Acosta</t>
  </si>
  <si>
    <t>Ricardo Elias Charpentier Quesada</t>
  </si>
  <si>
    <t>Matt Araica Rodriguez</t>
  </si>
  <si>
    <t>FABIAN ALBERTO GARBANZO ZUÑIGA</t>
  </si>
  <si>
    <t>Niger Elioth Perez Chacon</t>
  </si>
  <si>
    <t>Wen Cong Hu Lan</t>
  </si>
  <si>
    <t>Marvin Enrique Rodriguez Alvarado</t>
  </si>
  <si>
    <t>Matias Rodriguez Pazmiño</t>
  </si>
  <si>
    <t>Jose David Sandi Arrieta</t>
  </si>
  <si>
    <t>Torin Seth Gaines</t>
  </si>
  <si>
    <t>Matias Alpizar Mayorga</t>
  </si>
  <si>
    <t>Jose Manuel Lobo Gonzalez</t>
  </si>
  <si>
    <t>Oliver Alvan Ramirez Solorzano</t>
  </si>
  <si>
    <t>Taylor Jesus Acosta Morales</t>
  </si>
  <si>
    <t>Jose Gabriel Ramirez  Jimenez</t>
  </si>
  <si>
    <t>Eduardo Betanco Diaz</t>
  </si>
  <si>
    <t>Mariano Mora Trejos</t>
  </si>
  <si>
    <t>Santiago Daniel Bustos Lorìa</t>
  </si>
  <si>
    <t>Heiker David Tenorio Estacio</t>
  </si>
  <si>
    <t>Antonio Vega Arroyo</t>
  </si>
  <si>
    <t>Sebastian Campos Murillo</t>
  </si>
  <si>
    <t>JOSE PABLO GONZALEZ CUBILLO</t>
  </si>
  <si>
    <t>Luis Diego Badilla Santamaria</t>
  </si>
  <si>
    <t>Adrian Eduardo Lopez Vivas</t>
  </si>
  <si>
    <t>Aaron Jose Picado Lopez</t>
  </si>
  <si>
    <t>MATÍAS MORA AGUILAR</t>
  </si>
  <si>
    <t>JOSHUA CECILIANO BONILLA</t>
  </si>
  <si>
    <t>Samuel Lopez Porras</t>
  </si>
  <si>
    <t>Sebastián Cordero Alfaro</t>
  </si>
  <si>
    <t>Jason Gilberto Guerrero Oviedo</t>
  </si>
  <si>
    <t>ALEJANDRO ROJAS ARAYA</t>
  </si>
  <si>
    <t>AARON DURAN ROJAS</t>
  </si>
  <si>
    <t>SANTIAGO JARA VARGAS</t>
  </si>
  <si>
    <t>Isaac Brenes López</t>
  </si>
  <si>
    <t>Alonso Bogantes Araya</t>
  </si>
  <si>
    <t>Fabian Carrera Vallejo</t>
  </si>
  <si>
    <t>Mauricio Josue Arguedas Rodriguez</t>
  </si>
  <si>
    <t>Tomás Chavarría</t>
  </si>
  <si>
    <t>Leandro Maltes Montiel</t>
  </si>
  <si>
    <t>Cesar Fabricio Herrera Rodriguez</t>
  </si>
  <si>
    <t>Luis Daniel Morales</t>
  </si>
  <si>
    <t>Jeimer Martinez Alvarado</t>
  </si>
  <si>
    <t>CIUDAD DE LOS NIÑOS</t>
  </si>
  <si>
    <t>Dean Dariell Waggon Moya</t>
  </si>
  <si>
    <t>Andres Madrigal Castro</t>
  </si>
  <si>
    <t>Sebastián Alvarado Giro</t>
  </si>
  <si>
    <t>Santiago Murillo Barrantes</t>
  </si>
  <si>
    <t>Pablo González Romero</t>
  </si>
  <si>
    <t>Eduardo Alberto Shum Estrada</t>
  </si>
  <si>
    <t>Santiago Miranda Jimenez</t>
  </si>
  <si>
    <t>Juan Diego Castro Correa</t>
  </si>
  <si>
    <t>Alejandro Alfaro Alfaro</t>
  </si>
  <si>
    <t>Aaron Orozco Villalobos</t>
  </si>
  <si>
    <t>Kenneth Javier Sanchez Cantarero</t>
  </si>
  <si>
    <t>Juan Pablo Bolaños Cordero</t>
  </si>
  <si>
    <t>Emmanuel Estrada Garcia</t>
  </si>
  <si>
    <t>Diego Tristhan Delgado Montiel</t>
  </si>
  <si>
    <t>Gary Andre Romero Perez</t>
  </si>
  <si>
    <t>Nicolas Miller Muñoz</t>
  </si>
  <si>
    <t>PEREZ ZELEDÓN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</si>
</sst>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\ h:mm"/>
    <numFmt numFmtId="165" formatCode="[$-409]d\-mmm\-yy;@"/>
    <numFmt numFmtId="166" formatCode="[$-409]d\-mmm;@"/>
  </numFmts>
  <fonts count="7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24"/>
      <color indexed="8"/>
      <name val="Aptos Narrow"/>
      <family val="2"/>
      <scheme val="minor"/>
    </font>
    <font>
      <sz val="18"/>
      <color indexed="8"/>
      <name val="Aptos Narrow"/>
      <family val="2"/>
      <scheme val="minor"/>
    </font>
    <font>
      <sz val="18"/>
      <color rgb="FF000000"/>
      <name val="Times New Roman"/>
      <family val="1"/>
    </font>
    <font>
      <sz val="11"/>
      <color rgb="FF000000"/>
      <name val="Times New Roman"/>
      <family val="1"/>
    </font>
    <font>
      <b/>
      <sz val="13.5"/>
      <name val="MS Sans Serif"/>
      <family val="2"/>
    </font>
    <font>
      <b/>
      <sz val="10"/>
      <name val="MS Sans Serif"/>
      <family val="2"/>
    </font>
    <font>
      <b/>
      <sz val="12"/>
      <name val="MS Sans Serif"/>
      <family val="2"/>
    </font>
    <font>
      <sz val="12"/>
      <name val="MS Sans Serif"/>
      <family val="2"/>
    </font>
    <font>
      <b/>
      <sz val="14"/>
      <name val="MS Sans Serif"/>
      <family val="2"/>
    </font>
    <font>
      <b/>
      <sz val="18"/>
      <color indexed="8"/>
      <name val="Aptos Narrow"/>
      <family val="2"/>
      <scheme val="minor"/>
    </font>
    <font>
      <sz val="14"/>
      <name val="MS Sans Serif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MS Sans Serif"/>
      <family val="2"/>
    </font>
    <font>
      <sz val="8.5"/>
      <name val="MS Sans Serif"/>
      <family val="2"/>
    </font>
    <font>
      <b/>
      <sz val="11"/>
      <color indexed="8"/>
      <name val="Aptos Narrow"/>
      <family val="2"/>
      <scheme val="minor"/>
    </font>
    <font>
      <b/>
      <u/>
      <sz val="11"/>
      <color indexed="8"/>
      <name val="Aptos Narrow"/>
      <family val="2"/>
      <scheme val="minor"/>
    </font>
    <font>
      <sz val="16"/>
      <name val="MS Sans Serif"/>
      <family val="2"/>
    </font>
    <font>
      <sz val="9"/>
      <name val="Times New Roman"/>
      <family val="1"/>
    </font>
    <font>
      <b/>
      <sz val="20"/>
      <color indexed="9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9"/>
      <color indexed="9"/>
      <name val="Arial"/>
      <family val="2"/>
    </font>
    <font>
      <b/>
      <sz val="9"/>
      <color indexed="10"/>
      <name val="Arial"/>
      <family val="2"/>
    </font>
    <font>
      <b/>
      <sz val="15"/>
      <name val="Arial"/>
      <family val="2"/>
    </font>
    <font>
      <sz val="9"/>
      <color indexed="9"/>
      <name val="Arial"/>
      <family val="2"/>
    </font>
    <font>
      <sz val="8"/>
      <name val="Franklin Gothic Medium Cond"/>
      <family val="2"/>
    </font>
    <font>
      <sz val="8"/>
      <color indexed="9"/>
      <name val="Franklin Gothic Medium Cond"/>
      <family val="2"/>
    </font>
    <font>
      <sz val="9"/>
      <name val="Franklin Gothic Medium Cond"/>
      <family val="2"/>
    </font>
    <font>
      <sz val="8"/>
      <color indexed="12"/>
      <name val="Franklin Gothic Medium Cond"/>
      <family val="2"/>
    </font>
    <font>
      <b/>
      <sz val="14"/>
      <name val="Arial"/>
      <family val="2"/>
    </font>
    <font>
      <sz val="10"/>
      <name val="Franklin Gothic Medium Cond"/>
      <family val="2"/>
    </font>
    <font>
      <sz val="6"/>
      <name val="Franklin Gothic Medium Cond"/>
      <family val="2"/>
    </font>
    <font>
      <sz val="7"/>
      <name val="Franklin Gothic Medium Cond"/>
      <family val="2"/>
    </font>
    <font>
      <sz val="8"/>
      <name val="Arial"/>
      <family val="2"/>
    </font>
    <font>
      <sz val="8"/>
      <color indexed="10"/>
      <name val="Franklin Gothic Medium Cond"/>
      <family val="2"/>
    </font>
    <font>
      <sz val="9"/>
      <color indexed="10"/>
      <name val="Franklin Gothic Medium Cond"/>
      <family val="2"/>
    </font>
    <font>
      <b/>
      <sz val="8"/>
      <name val="Arial"/>
      <family val="2"/>
    </font>
    <font>
      <b/>
      <sz val="10"/>
      <name val="Franklin Gothic Medium Cond"/>
      <family val="2"/>
    </font>
    <font>
      <sz val="8"/>
      <color indexed="207"/>
      <name val="Franklin Gothic Medium Cond"/>
      <family val="2"/>
    </font>
    <font>
      <b/>
      <sz val="12"/>
      <name val="Franklin Gothic Medium Cond"/>
      <family val="2"/>
    </font>
    <font>
      <sz val="12"/>
      <name val="Franklin Gothic Medium Cond"/>
      <family val="2"/>
    </font>
    <font>
      <b/>
      <sz val="12"/>
      <color indexed="10"/>
      <name val="Franklin Gothic Medium Cond"/>
      <family val="2"/>
    </font>
    <font>
      <b/>
      <sz val="12"/>
      <color indexed="48"/>
      <name val="Franklin Gothic Medium Cond"/>
      <family val="2"/>
    </font>
    <font>
      <b/>
      <sz val="8"/>
      <color indexed="10"/>
      <name val="Franklin Gothic Medium Cond"/>
      <family val="2"/>
    </font>
    <font>
      <b/>
      <sz val="8"/>
      <color indexed="48"/>
      <name val="Franklin Gothic Medium Cond"/>
      <family val="2"/>
    </font>
    <font>
      <b/>
      <sz val="20"/>
      <name val="Arial"/>
      <family val="2"/>
    </font>
    <font>
      <sz val="14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 Narrow"/>
      <family val="2"/>
    </font>
    <font>
      <b/>
      <sz val="10"/>
      <color indexed="17"/>
      <name val="Comic Sans MS"/>
      <family val="4"/>
    </font>
    <font>
      <b/>
      <sz val="15"/>
      <color indexed="17"/>
      <name val="Comic Sans MS"/>
      <family val="4"/>
    </font>
    <font>
      <b/>
      <sz val="10"/>
      <name val="Arial"/>
      <family val="2"/>
    </font>
    <font>
      <b/>
      <sz val="12"/>
      <color indexed="12"/>
      <name val="Arial"/>
      <family val="2"/>
    </font>
    <font>
      <sz val="24"/>
      <color indexed="17"/>
      <name val="Arial Black"/>
      <family val="2"/>
    </font>
    <font>
      <b/>
      <sz val="24"/>
      <color indexed="17"/>
      <name val="Arial Black"/>
      <family val="2"/>
    </font>
    <font>
      <b/>
      <sz val="25"/>
      <color indexed="17"/>
      <name val="Comic Sans MS"/>
      <family val="4"/>
    </font>
    <font>
      <sz val="6"/>
      <color indexed="23"/>
      <name val="Arial"/>
      <family val="2"/>
    </font>
    <font>
      <b/>
      <sz val="10"/>
      <color indexed="17"/>
      <name val="Arial"/>
      <family val="2"/>
    </font>
    <font>
      <b/>
      <sz val="12"/>
      <color indexed="17"/>
      <name val="Arial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6D6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rgb="FFFFFF00"/>
      </patternFill>
    </fill>
  </fills>
  <borders count="9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8">
    <xf numFmtId="0" fontId="0" fillId="0" borderId="0"/>
    <xf numFmtId="0" fontId="3" fillId="0" borderId="0"/>
    <xf numFmtId="0" fontId="3" fillId="0" borderId="0"/>
    <xf numFmtId="0" fontId="23" fillId="0" borderId="0"/>
    <xf numFmtId="0" fontId="1" fillId="0" borderId="0"/>
    <xf numFmtId="0" fontId="15" fillId="0" borderId="0"/>
    <xf numFmtId="0" fontId="15" fillId="0" borderId="0"/>
    <xf numFmtId="0" fontId="1" fillId="0" borderId="0"/>
  </cellStyleXfs>
  <cellXfs count="610">
    <xf numFmtId="0" fontId="0" fillId="0" borderId="0" xfId="0"/>
    <xf numFmtId="0" fontId="3" fillId="0" borderId="0" xfId="1"/>
    <xf numFmtId="0" fontId="3" fillId="0" borderId="2" xfId="1" applyBorder="1"/>
    <xf numFmtId="0" fontId="3" fillId="4" borderId="3" xfId="2" applyFill="1" applyBorder="1"/>
    <xf numFmtId="0" fontId="3" fillId="5" borderId="4" xfId="2" applyFill="1" applyBorder="1"/>
    <xf numFmtId="0" fontId="3" fillId="5" borderId="3" xfId="2" applyFill="1" applyBorder="1"/>
    <xf numFmtId="0" fontId="3" fillId="4" borderId="4" xfId="2" applyFill="1" applyBorder="1"/>
    <xf numFmtId="0" fontId="3" fillId="0" borderId="5" xfId="1" applyBorder="1"/>
    <xf numFmtId="0" fontId="3" fillId="4" borderId="6" xfId="2" applyFill="1" applyBorder="1"/>
    <xf numFmtId="0" fontId="3" fillId="5" borderId="7" xfId="2" applyFill="1" applyBorder="1"/>
    <xf numFmtId="0" fontId="3" fillId="5" borderId="6" xfId="2" applyFill="1" applyBorder="1"/>
    <xf numFmtId="0" fontId="3" fillId="4" borderId="7" xfId="2" applyFill="1" applyBorder="1"/>
    <xf numFmtId="0" fontId="3" fillId="4" borderId="8" xfId="2" applyFill="1" applyBorder="1"/>
    <xf numFmtId="0" fontId="3" fillId="5" borderId="9" xfId="2" applyFill="1" applyBorder="1"/>
    <xf numFmtId="0" fontId="3" fillId="5" borderId="8" xfId="2" applyFill="1" applyBorder="1"/>
    <xf numFmtId="0" fontId="3" fillId="4" borderId="9" xfId="2" applyFill="1" applyBorder="1"/>
    <xf numFmtId="0" fontId="0" fillId="0" borderId="0" xfId="1" applyFont="1"/>
    <xf numFmtId="0" fontId="3" fillId="0" borderId="0" xfId="2"/>
    <xf numFmtId="0" fontId="4" fillId="6" borderId="18" xfId="2" applyFont="1" applyFill="1" applyBorder="1"/>
    <xf numFmtId="0" fontId="4" fillId="6" borderId="19" xfId="2" applyFont="1" applyFill="1" applyBorder="1"/>
    <xf numFmtId="0" fontId="4" fillId="6" borderId="20" xfId="2" applyFont="1" applyFill="1" applyBorder="1" applyAlignment="1">
      <alignment horizontal="center"/>
    </xf>
    <xf numFmtId="0" fontId="5" fillId="0" borderId="0" xfId="2" applyFont="1"/>
    <xf numFmtId="0" fontId="6" fillId="0" borderId="13" xfId="2" applyFont="1" applyBorder="1" applyAlignment="1">
      <alignment horizontal="left" vertical="top"/>
    </xf>
    <xf numFmtId="0" fontId="6" fillId="0" borderId="21" xfId="2" applyFont="1" applyBorder="1" applyAlignment="1">
      <alignment horizontal="center" vertical="center"/>
    </xf>
    <xf numFmtId="0" fontId="5" fillId="0" borderId="22" xfId="2" applyFont="1" applyBorder="1"/>
    <xf numFmtId="0" fontId="6" fillId="0" borderId="0" xfId="2" applyFont="1" applyAlignment="1">
      <alignment horizontal="left" vertical="top"/>
    </xf>
    <xf numFmtId="0" fontId="6" fillId="0" borderId="16" xfId="2" applyFont="1" applyBorder="1" applyAlignment="1">
      <alignment horizontal="left" vertical="top"/>
    </xf>
    <xf numFmtId="0" fontId="6" fillId="7" borderId="13" xfId="2" applyFont="1" applyFill="1" applyBorder="1" applyAlignment="1">
      <alignment horizontal="left" vertical="top"/>
    </xf>
    <xf numFmtId="0" fontId="6" fillId="7" borderId="21" xfId="2" applyFont="1" applyFill="1" applyBorder="1" applyAlignment="1">
      <alignment horizontal="center" vertical="center"/>
    </xf>
    <xf numFmtId="0" fontId="6" fillId="0" borderId="23" xfId="2" applyFont="1" applyBorder="1" applyAlignment="1">
      <alignment horizontal="left" vertical="top"/>
    </xf>
    <xf numFmtId="0" fontId="6" fillId="0" borderId="0" xfId="2" applyFont="1" applyAlignment="1">
      <alignment horizontal="center" vertical="top"/>
    </xf>
    <xf numFmtId="0" fontId="6" fillId="0" borderId="21" xfId="2" applyFont="1" applyBorder="1" applyAlignment="1">
      <alignment vertical="center"/>
    </xf>
    <xf numFmtId="0" fontId="6" fillId="7" borderId="0" xfId="2" applyFont="1" applyFill="1" applyAlignment="1">
      <alignment horizontal="left" vertical="top"/>
    </xf>
    <xf numFmtId="0" fontId="6" fillId="0" borderId="25" xfId="2" applyFont="1" applyBorder="1" applyAlignment="1">
      <alignment vertical="center"/>
    </xf>
    <xf numFmtId="0" fontId="6" fillId="7" borderId="16" xfId="2" applyFont="1" applyFill="1" applyBorder="1" applyAlignment="1">
      <alignment horizontal="left" vertical="top"/>
    </xf>
    <xf numFmtId="0" fontId="6" fillId="0" borderId="15" xfId="2" applyFont="1" applyBorder="1" applyAlignment="1">
      <alignment horizontal="left" vertical="top"/>
    </xf>
    <xf numFmtId="0" fontId="6" fillId="0" borderId="16" xfId="2" applyFont="1" applyBorder="1" applyAlignment="1">
      <alignment horizontal="center" vertical="top"/>
    </xf>
    <xf numFmtId="0" fontId="6" fillId="0" borderId="26" xfId="2" applyFont="1" applyBorder="1" applyAlignment="1">
      <alignment vertical="center"/>
    </xf>
    <xf numFmtId="0" fontId="6" fillId="8" borderId="12" xfId="2" applyFont="1" applyFill="1" applyBorder="1" applyAlignment="1">
      <alignment horizontal="left" vertical="top"/>
    </xf>
    <xf numFmtId="0" fontId="6" fillId="8" borderId="13" xfId="2" applyFont="1" applyFill="1" applyBorder="1" applyAlignment="1">
      <alignment horizontal="left" vertical="top"/>
    </xf>
    <xf numFmtId="0" fontId="6" fillId="8" borderId="13" xfId="2" applyFont="1" applyFill="1" applyBorder="1" applyAlignment="1">
      <alignment horizontal="center" vertical="top"/>
    </xf>
    <xf numFmtId="0" fontId="6" fillId="9" borderId="21" xfId="2" applyFont="1" applyFill="1" applyBorder="1" applyAlignment="1">
      <alignment vertical="center"/>
    </xf>
    <xf numFmtId="0" fontId="6" fillId="8" borderId="15" xfId="2" applyFont="1" applyFill="1" applyBorder="1" applyAlignment="1">
      <alignment horizontal="left" vertical="top"/>
    </xf>
    <xf numFmtId="0" fontId="6" fillId="8" borderId="16" xfId="2" applyFont="1" applyFill="1" applyBorder="1" applyAlignment="1">
      <alignment horizontal="left" vertical="top"/>
    </xf>
    <xf numFmtId="0" fontId="6" fillId="8" borderId="16" xfId="2" applyFont="1" applyFill="1" applyBorder="1" applyAlignment="1">
      <alignment horizontal="center" vertical="top"/>
    </xf>
    <xf numFmtId="0" fontId="6" fillId="8" borderId="23" xfId="2" applyFont="1" applyFill="1" applyBorder="1" applyAlignment="1">
      <alignment horizontal="left" vertical="top"/>
    </xf>
    <xf numFmtId="0" fontId="6" fillId="8" borderId="0" xfId="2" applyFont="1" applyFill="1" applyAlignment="1">
      <alignment horizontal="left" vertical="top"/>
    </xf>
    <xf numFmtId="0" fontId="6" fillId="8" borderId="0" xfId="2" applyFont="1" applyFill="1" applyAlignment="1">
      <alignment horizontal="center" vertical="top"/>
    </xf>
    <xf numFmtId="0" fontId="6" fillId="9" borderId="25" xfId="2" applyFont="1" applyFill="1" applyBorder="1" applyAlignment="1">
      <alignment vertical="center"/>
    </xf>
    <xf numFmtId="0" fontId="6" fillId="9" borderId="26" xfId="2" applyFont="1" applyFill="1" applyBorder="1" applyAlignment="1">
      <alignment vertical="center"/>
    </xf>
    <xf numFmtId="0" fontId="6" fillId="0" borderId="24" xfId="2" applyFont="1" applyBorder="1" applyAlignment="1">
      <alignment horizontal="center" vertical="top"/>
    </xf>
    <xf numFmtId="0" fontId="7" fillId="8" borderId="0" xfId="2" applyFont="1" applyFill="1" applyAlignment="1">
      <alignment horizontal="center" vertical="top"/>
    </xf>
    <xf numFmtId="0" fontId="7" fillId="8" borderId="16" xfId="2" applyFont="1" applyFill="1" applyBorder="1" applyAlignment="1">
      <alignment horizontal="center" vertical="top"/>
    </xf>
    <xf numFmtId="0" fontId="7" fillId="0" borderId="0" xfId="2" applyFont="1" applyAlignment="1">
      <alignment horizontal="center" vertical="top"/>
    </xf>
    <xf numFmtId="0" fontId="6" fillId="0" borderId="17" xfId="2" applyFont="1" applyBorder="1" applyAlignment="1">
      <alignment horizontal="center" vertical="top"/>
    </xf>
    <xf numFmtId="0" fontId="7" fillId="0" borderId="16" xfId="2" applyFont="1" applyBorder="1" applyAlignment="1">
      <alignment horizontal="center" vertical="top"/>
    </xf>
    <xf numFmtId="0" fontId="6" fillId="7" borderId="12" xfId="2" applyFont="1" applyFill="1" applyBorder="1" applyAlignment="1">
      <alignment horizontal="left" vertical="top"/>
    </xf>
    <xf numFmtId="0" fontId="6" fillId="7" borderId="13" xfId="2" applyFont="1" applyFill="1" applyBorder="1" applyAlignment="1">
      <alignment horizontal="center" vertical="top"/>
    </xf>
    <xf numFmtId="0" fontId="6" fillId="7" borderId="14" xfId="2" applyFont="1" applyFill="1" applyBorder="1" applyAlignment="1">
      <alignment horizontal="center" vertical="top"/>
    </xf>
    <xf numFmtId="0" fontId="7" fillId="8" borderId="13" xfId="2" applyFont="1" applyFill="1" applyBorder="1" applyAlignment="1">
      <alignment horizontal="center" vertical="top"/>
    </xf>
    <xf numFmtId="0" fontId="6" fillId="7" borderId="23" xfId="2" applyFont="1" applyFill="1" applyBorder="1" applyAlignment="1">
      <alignment horizontal="left" vertical="top"/>
    </xf>
    <xf numFmtId="0" fontId="6" fillId="7" borderId="0" xfId="2" applyFont="1" applyFill="1" applyAlignment="1">
      <alignment horizontal="center" vertical="top"/>
    </xf>
    <xf numFmtId="0" fontId="6" fillId="7" borderId="24" xfId="2" applyFont="1" applyFill="1" applyBorder="1" applyAlignment="1">
      <alignment horizontal="center" vertical="top"/>
    </xf>
    <xf numFmtId="0" fontId="6" fillId="7" borderId="15" xfId="2" applyFont="1" applyFill="1" applyBorder="1" applyAlignment="1">
      <alignment horizontal="left" vertical="top"/>
    </xf>
    <xf numFmtId="0" fontId="6" fillId="7" borderId="16" xfId="2" applyFont="1" applyFill="1" applyBorder="1" applyAlignment="1">
      <alignment horizontal="center" vertical="top"/>
    </xf>
    <xf numFmtId="0" fontId="6" fillId="7" borderId="17" xfId="2" applyFont="1" applyFill="1" applyBorder="1" applyAlignment="1">
      <alignment horizontal="center" vertical="top"/>
    </xf>
    <xf numFmtId="0" fontId="6" fillId="0" borderId="12" xfId="2" applyFont="1" applyBorder="1" applyAlignment="1">
      <alignment horizontal="left" vertical="top"/>
    </xf>
    <xf numFmtId="0" fontId="6" fillId="0" borderId="13" xfId="2" applyFont="1" applyBorder="1" applyAlignment="1">
      <alignment horizontal="center" vertical="top"/>
    </xf>
    <xf numFmtId="0" fontId="6" fillId="0" borderId="14" xfId="2" applyFont="1" applyBorder="1" applyAlignment="1">
      <alignment horizontal="center" vertical="top"/>
    </xf>
    <xf numFmtId="0" fontId="6" fillId="0" borderId="2" xfId="2" applyFont="1" applyBorder="1" applyAlignment="1">
      <alignment horizontal="center" vertical="center"/>
    </xf>
    <xf numFmtId="0" fontId="6" fillId="7" borderId="2" xfId="2" applyFont="1" applyFill="1" applyBorder="1" applyAlignment="1">
      <alignment horizontal="center" vertical="center"/>
    </xf>
    <xf numFmtId="0" fontId="6" fillId="0" borderId="25" xfId="2" applyFont="1" applyBorder="1" applyAlignment="1">
      <alignment horizontal="center" vertical="center"/>
    </xf>
    <xf numFmtId="0" fontId="7" fillId="8" borderId="12" xfId="2" applyFont="1" applyFill="1" applyBorder="1" applyAlignment="1">
      <alignment horizontal="left" vertical="top"/>
    </xf>
    <xf numFmtId="0" fontId="7" fillId="8" borderId="13" xfId="2" applyFont="1" applyFill="1" applyBorder="1" applyAlignment="1">
      <alignment horizontal="left" vertical="top"/>
    </xf>
    <xf numFmtId="0" fontId="7" fillId="8" borderId="23" xfId="2" applyFont="1" applyFill="1" applyBorder="1" applyAlignment="1">
      <alignment horizontal="left" vertical="top"/>
    </xf>
    <xf numFmtId="0" fontId="7" fillId="8" borderId="0" xfId="2" applyFont="1" applyFill="1" applyAlignment="1">
      <alignment horizontal="left" vertical="top"/>
    </xf>
    <xf numFmtId="0" fontId="7" fillId="8" borderId="15" xfId="2" applyFont="1" applyFill="1" applyBorder="1" applyAlignment="1">
      <alignment horizontal="left" vertical="top"/>
    </xf>
    <xf numFmtId="0" fontId="7" fillId="8" borderId="16" xfId="2" applyFont="1" applyFill="1" applyBorder="1" applyAlignment="1">
      <alignment horizontal="left" vertical="top"/>
    </xf>
    <xf numFmtId="0" fontId="7" fillId="0" borderId="23" xfId="2" applyFont="1" applyBorder="1" applyAlignment="1">
      <alignment horizontal="left" vertical="top"/>
    </xf>
    <xf numFmtId="0" fontId="7" fillId="0" borderId="0" xfId="2" applyFont="1" applyAlignment="1">
      <alignment horizontal="left" vertical="top"/>
    </xf>
    <xf numFmtId="0" fontId="7" fillId="0" borderId="15" xfId="2" applyFont="1" applyBorder="1" applyAlignment="1">
      <alignment horizontal="left" vertical="top"/>
    </xf>
    <xf numFmtId="0" fontId="7" fillId="0" borderId="16" xfId="2" applyFont="1" applyBorder="1" applyAlignment="1">
      <alignment horizontal="left" vertical="top"/>
    </xf>
    <xf numFmtId="0" fontId="3" fillId="0" borderId="0" xfId="2" applyAlignment="1">
      <alignment horizontal="center"/>
    </xf>
    <xf numFmtId="0" fontId="8" fillId="0" borderId="0" xfId="2" applyFont="1"/>
    <xf numFmtId="14" fontId="9" fillId="0" borderId="0" xfId="2" applyNumberFormat="1" applyFont="1"/>
    <xf numFmtId="0" fontId="10" fillId="0" borderId="0" xfId="2" applyFont="1"/>
    <xf numFmtId="0" fontId="11" fillId="0" borderId="0" xfId="2" applyFont="1"/>
    <xf numFmtId="0" fontId="1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0" fontId="10" fillId="0" borderId="0" xfId="2" applyFont="1" applyAlignment="1">
      <alignment horizontal="center"/>
    </xf>
    <xf numFmtId="0" fontId="13" fillId="10" borderId="0" xfId="2" applyFont="1" applyFill="1" applyAlignment="1">
      <alignment horizontal="center" vertical="center"/>
    </xf>
    <xf numFmtId="0" fontId="14" fillId="0" borderId="0" xfId="2" applyFont="1" applyAlignment="1">
      <alignment horizontal="center"/>
    </xf>
    <xf numFmtId="0" fontId="15" fillId="0" borderId="27" xfId="2" applyFont="1" applyBorder="1"/>
    <xf numFmtId="0" fontId="16" fillId="0" borderId="27" xfId="2" applyFont="1" applyBorder="1" applyAlignment="1">
      <alignment vertical="center"/>
    </xf>
    <xf numFmtId="0" fontId="17" fillId="0" borderId="27" xfId="2" applyFont="1" applyBorder="1" applyAlignment="1">
      <alignment vertical="center"/>
    </xf>
    <xf numFmtId="0" fontId="17" fillId="0" borderId="0" xfId="2" applyFont="1" applyAlignment="1">
      <alignment vertical="center"/>
    </xf>
    <xf numFmtId="0" fontId="18" fillId="0" borderId="27" xfId="2" applyFont="1" applyBorder="1" applyAlignment="1">
      <alignment horizontal="center"/>
    </xf>
    <xf numFmtId="0" fontId="18" fillId="0" borderId="1" xfId="2" applyFont="1" applyBorder="1" applyAlignment="1">
      <alignment horizontal="center"/>
    </xf>
    <xf numFmtId="0" fontId="11" fillId="0" borderId="1" xfId="2" applyFont="1" applyBorder="1" applyAlignment="1">
      <alignment horizontal="center"/>
    </xf>
    <xf numFmtId="0" fontId="11" fillId="0" borderId="28" xfId="2" applyFont="1" applyBorder="1"/>
    <xf numFmtId="0" fontId="19" fillId="0" borderId="27" xfId="2" applyFont="1" applyBorder="1"/>
    <xf numFmtId="0" fontId="11" fillId="0" borderId="27" xfId="2" applyFont="1" applyBorder="1"/>
    <xf numFmtId="0" fontId="11" fillId="0" borderId="29" xfId="2" applyFont="1" applyBorder="1" applyAlignment="1">
      <alignment horizontal="center"/>
    </xf>
    <xf numFmtId="0" fontId="11" fillId="0" borderId="0" xfId="2" applyFont="1" applyAlignment="1">
      <alignment horizontal="center" vertical="center"/>
    </xf>
    <xf numFmtId="0" fontId="3" fillId="0" borderId="0" xfId="2" applyAlignment="1">
      <alignment horizontal="center" vertical="center"/>
    </xf>
    <xf numFmtId="0" fontId="0" fillId="0" borderId="27" xfId="2" applyFont="1" applyBorder="1" applyAlignment="1">
      <alignment horizontal="center" vertical="center"/>
    </xf>
    <xf numFmtId="0" fontId="3" fillId="0" borderId="27" xfId="2" applyBorder="1" applyAlignment="1">
      <alignment horizontal="center" vertical="center"/>
    </xf>
    <xf numFmtId="0" fontId="3" fillId="10" borderId="27" xfId="2" applyFill="1" applyBorder="1"/>
    <xf numFmtId="0" fontId="18" fillId="0" borderId="27" xfId="2" applyFont="1" applyBorder="1"/>
    <xf numFmtId="0" fontId="20" fillId="0" borderId="2" xfId="2" applyFont="1" applyBorder="1" applyAlignment="1">
      <alignment horizontal="center" vertical="center"/>
    </xf>
    <xf numFmtId="0" fontId="3" fillId="0" borderId="26" xfId="2" applyBorder="1" applyAlignment="1">
      <alignment vertical="center"/>
    </xf>
    <xf numFmtId="0" fontId="0" fillId="0" borderId="0" xfId="2" applyFont="1"/>
    <xf numFmtId="0" fontId="0" fillId="0" borderId="27" xfId="2" applyFont="1" applyBorder="1"/>
    <xf numFmtId="0" fontId="12" fillId="0" borderId="0" xfId="2" applyFont="1"/>
    <xf numFmtId="14" fontId="10" fillId="0" borderId="0" xfId="2" applyNumberFormat="1" applyFont="1"/>
    <xf numFmtId="0" fontId="22" fillId="0" borderId="0" xfId="2" applyFont="1" applyAlignment="1">
      <alignment horizontal="center"/>
    </xf>
    <xf numFmtId="0" fontId="17" fillId="0" borderId="27" xfId="2" applyFont="1" applyBorder="1"/>
    <xf numFmtId="0" fontId="17" fillId="11" borderId="0" xfId="3" applyFont="1" applyFill="1" applyAlignment="1">
      <alignment vertical="center"/>
    </xf>
    <xf numFmtId="0" fontId="17" fillId="0" borderId="0" xfId="3" applyFont="1" applyAlignment="1">
      <alignment vertical="center"/>
    </xf>
    <xf numFmtId="0" fontId="17" fillId="11" borderId="0" xfId="3" applyFont="1" applyFill="1" applyAlignment="1">
      <alignment horizontal="center" vertical="center"/>
    </xf>
    <xf numFmtId="0" fontId="17" fillId="12" borderId="0" xfId="3" applyFont="1" applyFill="1" applyAlignment="1">
      <alignment horizontal="center" vertical="center"/>
    </xf>
    <xf numFmtId="0" fontId="17" fillId="12" borderId="0" xfId="3" applyFont="1" applyFill="1" applyAlignment="1">
      <alignment vertical="center"/>
    </xf>
    <xf numFmtId="0" fontId="24" fillId="13" borderId="35" xfId="3" applyFont="1" applyFill="1" applyBorder="1" applyAlignment="1">
      <alignment vertical="center"/>
    </xf>
    <xf numFmtId="0" fontId="24" fillId="13" borderId="36" xfId="3" applyFont="1" applyFill="1" applyBorder="1" applyAlignment="1">
      <alignment vertical="center"/>
    </xf>
    <xf numFmtId="0" fontId="24" fillId="13" borderId="33" xfId="3" applyFont="1" applyFill="1" applyBorder="1" applyAlignment="1">
      <alignment vertical="center"/>
    </xf>
    <xf numFmtId="0" fontId="24" fillId="13" borderId="38" xfId="3" applyFont="1" applyFill="1" applyBorder="1" applyAlignment="1">
      <alignment vertical="center"/>
    </xf>
    <xf numFmtId="0" fontId="16" fillId="14" borderId="39" xfId="3" applyFont="1" applyFill="1" applyBorder="1" applyAlignment="1">
      <alignment horizontal="center" vertical="center"/>
    </xf>
    <xf numFmtId="0" fontId="26" fillId="0" borderId="40" xfId="3" applyFont="1" applyBorder="1" applyAlignment="1">
      <alignment horizontal="center" vertical="center"/>
    </xf>
    <xf numFmtId="0" fontId="17" fillId="12" borderId="41" xfId="3" applyFont="1" applyFill="1" applyBorder="1" applyAlignment="1">
      <alignment horizontal="center" vertical="center"/>
    </xf>
    <xf numFmtId="0" fontId="16" fillId="0" borderId="13" xfId="3" applyFont="1" applyBorder="1" applyAlignment="1">
      <alignment horizontal="left" vertical="center"/>
    </xf>
    <xf numFmtId="0" fontId="16" fillId="0" borderId="14" xfId="3" applyFont="1" applyBorder="1" applyAlignment="1">
      <alignment horizontal="center" vertical="center"/>
    </xf>
    <xf numFmtId="0" fontId="16" fillId="14" borderId="42" xfId="3" applyFont="1" applyFill="1" applyBorder="1" applyAlignment="1">
      <alignment horizontal="center" vertical="center"/>
    </xf>
    <xf numFmtId="0" fontId="17" fillId="0" borderId="43" xfId="3" applyFont="1" applyBorder="1" applyAlignment="1" applyProtection="1">
      <alignment horizontal="right" vertical="center"/>
      <protection locked="0"/>
    </xf>
    <xf numFmtId="0" fontId="16" fillId="0" borderId="43" xfId="3" applyFont="1" applyBorder="1" applyAlignment="1">
      <alignment vertical="center"/>
    </xf>
    <xf numFmtId="0" fontId="17" fillId="11" borderId="13" xfId="3" applyFont="1" applyFill="1" applyBorder="1" applyAlignment="1">
      <alignment horizontal="center" vertical="center"/>
    </xf>
    <xf numFmtId="0" fontId="27" fillId="15" borderId="43" xfId="3" applyFont="1" applyFill="1" applyBorder="1" applyAlignment="1" applyProtection="1">
      <alignment horizontal="center" vertical="center"/>
      <protection locked="0"/>
    </xf>
    <xf numFmtId="0" fontId="17" fillId="0" borderId="43" xfId="3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/>
    </xf>
    <xf numFmtId="0" fontId="17" fillId="0" borderId="6" xfId="3" applyFont="1" applyBorder="1" applyAlignment="1">
      <alignment horizontal="center" vertical="center"/>
    </xf>
    <xf numFmtId="0" fontId="26" fillId="0" borderId="27" xfId="3" applyFont="1" applyBorder="1" applyAlignment="1">
      <alignment horizontal="center" vertical="center"/>
    </xf>
    <xf numFmtId="0" fontId="17" fillId="12" borderId="34" xfId="3" applyFont="1" applyFill="1" applyBorder="1" applyAlignment="1">
      <alignment horizontal="center" vertical="center"/>
    </xf>
    <xf numFmtId="0" fontId="16" fillId="0" borderId="45" xfId="3" applyFont="1" applyBorder="1" applyAlignment="1">
      <alignment horizontal="left" vertical="center"/>
    </xf>
    <xf numFmtId="0" fontId="16" fillId="0" borderId="46" xfId="3" applyFont="1" applyBorder="1" applyAlignment="1">
      <alignment horizontal="center" vertical="center"/>
    </xf>
    <xf numFmtId="0" fontId="17" fillId="11" borderId="36" xfId="3" applyFont="1" applyFill="1" applyBorder="1" applyAlignment="1">
      <alignment vertical="center"/>
    </xf>
    <xf numFmtId="0" fontId="16" fillId="14" borderId="47" xfId="3" applyFont="1" applyFill="1" applyBorder="1" applyAlignment="1">
      <alignment horizontal="center" vertical="center"/>
    </xf>
    <xf numFmtId="0" fontId="16" fillId="14" borderId="48" xfId="3" applyFont="1" applyFill="1" applyBorder="1" applyAlignment="1">
      <alignment horizontal="center" vertical="center"/>
    </xf>
    <xf numFmtId="0" fontId="17" fillId="0" borderId="49" xfId="3" applyFont="1" applyBorder="1" applyAlignment="1" applyProtection="1">
      <alignment horizontal="right" vertical="center"/>
      <protection locked="0"/>
    </xf>
    <xf numFmtId="0" fontId="16" fillId="0" borderId="49" xfId="3" applyFont="1" applyBorder="1" applyAlignment="1">
      <alignment vertical="center"/>
    </xf>
    <xf numFmtId="0" fontId="17" fillId="11" borderId="35" xfId="3" applyFont="1" applyFill="1" applyBorder="1" applyAlignment="1">
      <alignment horizontal="center" vertical="center"/>
    </xf>
    <xf numFmtId="0" fontId="27" fillId="15" borderId="49" xfId="3" applyFont="1" applyFill="1" applyBorder="1" applyAlignment="1" applyProtection="1">
      <alignment horizontal="center" vertical="center"/>
      <protection locked="0"/>
    </xf>
    <xf numFmtId="0" fontId="17" fillId="0" borderId="49" xfId="3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/>
    </xf>
    <xf numFmtId="0" fontId="28" fillId="16" borderId="51" xfId="3" applyFont="1" applyFill="1" applyBorder="1" applyAlignment="1">
      <alignment horizontal="left" vertical="center"/>
    </xf>
    <xf numFmtId="0" fontId="28" fillId="16" borderId="52" xfId="3" applyFont="1" applyFill="1" applyBorder="1" applyAlignment="1">
      <alignment horizontal="center" vertical="center"/>
    </xf>
    <xf numFmtId="0" fontId="17" fillId="11" borderId="38" xfId="3" applyFont="1" applyFill="1" applyBorder="1" applyAlignment="1">
      <alignment vertical="center"/>
    </xf>
    <xf numFmtId="0" fontId="27" fillId="17" borderId="47" xfId="3" applyFont="1" applyFill="1" applyBorder="1" applyAlignment="1">
      <alignment horizontal="center" vertical="center"/>
    </xf>
    <xf numFmtId="0" fontId="27" fillId="17" borderId="48" xfId="3" applyFont="1" applyFill="1" applyBorder="1" applyAlignment="1">
      <alignment horizontal="center" vertical="center"/>
    </xf>
    <xf numFmtId="0" fontId="17" fillId="11" borderId="0" xfId="3" applyFont="1" applyFill="1" applyAlignment="1" applyProtection="1">
      <alignment horizontal="center" vertical="center"/>
      <protection locked="0"/>
    </xf>
    <xf numFmtId="0" fontId="16" fillId="16" borderId="6" xfId="3" applyFont="1" applyFill="1" applyBorder="1" applyAlignment="1">
      <alignment horizontal="center" vertical="center"/>
    </xf>
    <xf numFmtId="0" fontId="28" fillId="16" borderId="45" xfId="3" applyFont="1" applyFill="1" applyBorder="1" applyAlignment="1">
      <alignment horizontal="left" vertical="center"/>
    </xf>
    <xf numFmtId="0" fontId="28" fillId="16" borderId="46" xfId="3" applyFont="1" applyFill="1" applyBorder="1" applyAlignment="1">
      <alignment horizontal="center" vertical="center"/>
    </xf>
    <xf numFmtId="0" fontId="17" fillId="11" borderId="22" xfId="3" applyFont="1" applyFill="1" applyBorder="1" applyAlignment="1">
      <alignment vertical="center"/>
    </xf>
    <xf numFmtId="0" fontId="16" fillId="0" borderId="51" xfId="3" applyFont="1" applyBorder="1" applyAlignment="1">
      <alignment horizontal="left" vertical="center"/>
    </xf>
    <xf numFmtId="0" fontId="16" fillId="0" borderId="52" xfId="3" applyFont="1" applyBorder="1" applyAlignment="1">
      <alignment horizontal="center" vertical="center"/>
    </xf>
    <xf numFmtId="0" fontId="16" fillId="18" borderId="47" xfId="3" applyFont="1" applyFill="1" applyBorder="1" applyAlignment="1">
      <alignment horizontal="center" vertical="center"/>
    </xf>
    <xf numFmtId="0" fontId="16" fillId="18" borderId="48" xfId="3" applyFont="1" applyFill="1" applyBorder="1" applyAlignment="1">
      <alignment horizontal="center" vertical="center"/>
    </xf>
    <xf numFmtId="0" fontId="17" fillId="12" borderId="0" xfId="3" applyFont="1" applyFill="1" applyAlignment="1" applyProtection="1">
      <alignment horizontal="center" vertical="center"/>
      <protection locked="0"/>
    </xf>
    <xf numFmtId="0" fontId="16" fillId="16" borderId="47" xfId="3" applyFont="1" applyFill="1" applyBorder="1" applyAlignment="1">
      <alignment horizontal="center" vertical="center"/>
    </xf>
    <xf numFmtId="0" fontId="16" fillId="16" borderId="48" xfId="3" applyFont="1" applyFill="1" applyBorder="1" applyAlignment="1">
      <alignment horizontal="center" vertical="center"/>
    </xf>
    <xf numFmtId="0" fontId="29" fillId="0" borderId="0" xfId="3" applyFont="1" applyAlignment="1">
      <alignment horizontal="center" vertical="center"/>
    </xf>
    <xf numFmtId="0" fontId="17" fillId="12" borderId="0" xfId="3" quotePrefix="1" applyFont="1" applyFill="1" applyAlignment="1" applyProtection="1">
      <alignment horizontal="center" vertical="center"/>
      <protection locked="0"/>
    </xf>
    <xf numFmtId="0" fontId="17" fillId="12" borderId="0" xfId="3" applyFont="1" applyFill="1" applyAlignment="1" applyProtection="1">
      <alignment vertical="center"/>
      <protection locked="0"/>
    </xf>
    <xf numFmtId="0" fontId="26" fillId="0" borderId="1" xfId="3" applyFont="1" applyBorder="1" applyAlignment="1">
      <alignment horizontal="center" vertical="center"/>
    </xf>
    <xf numFmtId="0" fontId="28" fillId="16" borderId="0" xfId="3" applyFont="1" applyFill="1" applyAlignment="1">
      <alignment horizontal="left" vertical="center"/>
    </xf>
    <xf numFmtId="0" fontId="28" fillId="16" borderId="24" xfId="3" applyFont="1" applyFill="1" applyBorder="1" applyAlignment="1">
      <alignment horizontal="center" vertical="center"/>
    </xf>
    <xf numFmtId="0" fontId="17" fillId="13" borderId="1" xfId="3" applyFont="1" applyFill="1" applyBorder="1" applyAlignment="1">
      <alignment vertical="center"/>
    </xf>
    <xf numFmtId="0" fontId="16" fillId="16" borderId="53" xfId="3" applyFont="1" applyFill="1" applyBorder="1" applyAlignment="1">
      <alignment horizontal="center" vertical="center"/>
    </xf>
    <xf numFmtId="0" fontId="16" fillId="16" borderId="54" xfId="3" applyFont="1" applyFill="1" applyBorder="1" applyAlignment="1">
      <alignment horizontal="center" vertical="center"/>
    </xf>
    <xf numFmtId="0" fontId="17" fillId="0" borderId="55" xfId="3" applyFont="1" applyBorder="1" applyAlignment="1" applyProtection="1">
      <alignment horizontal="right" vertical="center"/>
      <protection locked="0"/>
    </xf>
    <xf numFmtId="0" fontId="16" fillId="0" borderId="55" xfId="3" applyFont="1" applyBorder="1" applyAlignment="1">
      <alignment vertical="center"/>
    </xf>
    <xf numFmtId="0" fontId="17" fillId="11" borderId="56" xfId="3" applyFont="1" applyFill="1" applyBorder="1" applyAlignment="1">
      <alignment horizontal="center" vertical="center"/>
    </xf>
    <xf numFmtId="0" fontId="27" fillId="15" borderId="55" xfId="3" applyFont="1" applyFill="1" applyBorder="1" applyAlignment="1" applyProtection="1">
      <alignment horizontal="center" vertical="center"/>
      <protection locked="0"/>
    </xf>
    <xf numFmtId="0" fontId="17" fillId="0" borderId="55" xfId="3" applyFont="1" applyBorder="1" applyAlignment="1">
      <alignment horizontal="center" vertical="center"/>
    </xf>
    <xf numFmtId="0" fontId="16" fillId="0" borderId="57" xfId="3" applyFont="1" applyBorder="1" applyAlignment="1">
      <alignment horizontal="center" vertical="center"/>
    </xf>
    <xf numFmtId="0" fontId="30" fillId="13" borderId="29" xfId="3" applyFont="1" applyFill="1" applyBorder="1" applyAlignment="1">
      <alignment vertical="center"/>
    </xf>
    <xf numFmtId="0" fontId="30" fillId="0" borderId="0" xfId="3" applyFont="1" applyAlignment="1">
      <alignment vertical="center"/>
    </xf>
    <xf numFmtId="0" fontId="30" fillId="11" borderId="0" xfId="3" applyFont="1" applyFill="1" applyAlignment="1">
      <alignment vertical="center"/>
    </xf>
    <xf numFmtId="0" fontId="30" fillId="13" borderId="39" xfId="3" applyFont="1" applyFill="1" applyBorder="1" applyAlignment="1">
      <alignment horizontal="center" vertical="center"/>
    </xf>
    <xf numFmtId="0" fontId="30" fillId="13" borderId="42" xfId="3" applyFont="1" applyFill="1" applyBorder="1" applyAlignment="1">
      <alignment horizontal="center" vertical="center"/>
    </xf>
    <xf numFmtId="0" fontId="30" fillId="13" borderId="47" xfId="3" applyFont="1" applyFill="1" applyBorder="1" applyAlignment="1">
      <alignment horizontal="center" vertical="center"/>
    </xf>
    <xf numFmtId="0" fontId="30" fillId="13" borderId="48" xfId="3" applyFont="1" applyFill="1" applyBorder="1" applyAlignment="1">
      <alignment horizontal="center" vertical="center"/>
    </xf>
    <xf numFmtId="0" fontId="17" fillId="11" borderId="35" xfId="3" applyFont="1" applyFill="1" applyBorder="1" applyAlignment="1">
      <alignment vertical="center"/>
    </xf>
    <xf numFmtId="0" fontId="16" fillId="14" borderId="59" xfId="3" applyFont="1" applyFill="1" applyBorder="1" applyAlignment="1">
      <alignment horizontal="center" vertical="center"/>
    </xf>
    <xf numFmtId="0" fontId="26" fillId="0" borderId="60" xfId="3" applyFont="1" applyBorder="1" applyAlignment="1">
      <alignment horizontal="center" vertical="center"/>
    </xf>
    <xf numFmtId="0" fontId="17" fillId="12" borderId="61" xfId="3" applyFont="1" applyFill="1" applyBorder="1" applyAlignment="1">
      <alignment horizontal="center" vertical="center"/>
    </xf>
    <xf numFmtId="0" fontId="28" fillId="16" borderId="16" xfId="3" applyFont="1" applyFill="1" applyBorder="1" applyAlignment="1">
      <alignment horizontal="left" vertical="center"/>
    </xf>
    <xf numFmtId="0" fontId="28" fillId="16" borderId="17" xfId="3" applyFont="1" applyFill="1" applyBorder="1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1" fillId="0" borderId="0" xfId="4"/>
    <xf numFmtId="0" fontId="31" fillId="0" borderId="0" xfId="5" applyFont="1" applyAlignment="1">
      <alignment horizontal="center" vertical="center"/>
    </xf>
    <xf numFmtId="49" fontId="31" fillId="0" borderId="0" xfId="5" applyNumberFormat="1" applyFont="1" applyAlignment="1">
      <alignment horizontal="center" vertical="center"/>
    </xf>
    <xf numFmtId="0" fontId="32" fillId="0" borderId="0" xfId="5" applyFont="1" applyAlignment="1">
      <alignment horizontal="center" vertical="center"/>
    </xf>
    <xf numFmtId="0" fontId="33" fillId="0" borderId="0" xfId="5" applyFont="1" applyAlignment="1">
      <alignment vertical="center"/>
    </xf>
    <xf numFmtId="0" fontId="34" fillId="0" borderId="0" xfId="5" applyFont="1" applyAlignment="1">
      <alignment vertical="center"/>
    </xf>
    <xf numFmtId="0" fontId="31" fillId="0" borderId="0" xfId="5" applyFont="1" applyAlignment="1">
      <alignment vertical="center"/>
    </xf>
    <xf numFmtId="0" fontId="31" fillId="0" borderId="0" xfId="5" applyFont="1" applyAlignment="1">
      <alignment horizontal="right" vertical="center"/>
    </xf>
    <xf numFmtId="0" fontId="34" fillId="0" borderId="0" xfId="5" applyFont="1" applyAlignment="1">
      <alignment horizontal="center" vertical="center"/>
    </xf>
    <xf numFmtId="0" fontId="31" fillId="20" borderId="35" xfId="5" applyFont="1" applyFill="1" applyBorder="1" applyAlignment="1">
      <alignment vertical="center"/>
    </xf>
    <xf numFmtId="0" fontId="31" fillId="20" borderId="35" xfId="5" applyFont="1" applyFill="1" applyBorder="1" applyAlignment="1">
      <alignment vertical="center" shrinkToFit="1"/>
    </xf>
    <xf numFmtId="0" fontId="38" fillId="20" borderId="36" xfId="5" applyFont="1" applyFill="1" applyBorder="1" applyAlignment="1">
      <alignment horizontal="right" vertical="center"/>
    </xf>
    <xf numFmtId="0" fontId="31" fillId="12" borderId="0" xfId="5" applyFont="1" applyFill="1" applyAlignment="1">
      <alignment vertical="center"/>
    </xf>
    <xf numFmtId="0" fontId="31" fillId="12" borderId="0" xfId="5" applyFont="1" applyFill="1" applyAlignment="1">
      <alignment horizontal="center" vertical="center"/>
    </xf>
    <xf numFmtId="0" fontId="39" fillId="21" borderId="0" xfId="4" applyFont="1" applyFill="1" applyAlignment="1">
      <alignment horizontal="center" vertical="center"/>
    </xf>
    <xf numFmtId="0" fontId="39" fillId="0" borderId="0" xfId="4" applyFont="1" applyAlignment="1">
      <alignment vertical="center"/>
    </xf>
    <xf numFmtId="0" fontId="39" fillId="12" borderId="27" xfId="4" applyFont="1" applyFill="1" applyBorder="1" applyAlignment="1">
      <alignment horizontal="center" vertical="center"/>
    </xf>
    <xf numFmtId="0" fontId="39" fillId="22" borderId="27" xfId="4" applyFont="1" applyFill="1" applyBorder="1" applyAlignment="1">
      <alignment horizontal="center" vertical="center"/>
    </xf>
    <xf numFmtId="0" fontId="39" fillId="16" borderId="0" xfId="4" applyFont="1" applyFill="1" applyAlignment="1">
      <alignment vertical="center"/>
    </xf>
    <xf numFmtId="0" fontId="39" fillId="22" borderId="0" xfId="4" applyFont="1" applyFill="1" applyAlignment="1">
      <alignment vertical="center"/>
    </xf>
    <xf numFmtId="0" fontId="31" fillId="22" borderId="0" xfId="5" applyFont="1" applyFill="1" applyAlignment="1">
      <alignment horizontal="center" vertical="center"/>
    </xf>
    <xf numFmtId="0" fontId="40" fillId="0" borderId="0" xfId="5" applyFont="1" applyAlignment="1">
      <alignment horizontal="center" vertical="center"/>
    </xf>
    <xf numFmtId="0" fontId="38" fillId="0" borderId="22" xfId="5" applyFont="1" applyBorder="1" applyAlignment="1">
      <alignment horizontal="right" vertical="center"/>
    </xf>
    <xf numFmtId="0" fontId="39" fillId="23" borderId="0" xfId="4" applyFont="1" applyFill="1" applyAlignment="1">
      <alignment horizontal="center" vertical="center"/>
    </xf>
    <xf numFmtId="165" fontId="39" fillId="23" borderId="0" xfId="4" applyNumberFormat="1" applyFont="1" applyFill="1" applyAlignment="1">
      <alignment horizontal="center" vertical="center"/>
    </xf>
    <xf numFmtId="1" fontId="39" fillId="23" borderId="0" xfId="4" applyNumberFormat="1" applyFont="1" applyFill="1" applyAlignment="1">
      <alignment horizontal="center" vertical="center"/>
    </xf>
    <xf numFmtId="20" fontId="39" fillId="23" borderId="0" xfId="4" applyNumberFormat="1" applyFont="1" applyFill="1" applyAlignment="1">
      <alignment horizontal="center" vertical="center"/>
    </xf>
    <xf numFmtId="0" fontId="33" fillId="23" borderId="0" xfId="5" applyFont="1" applyFill="1" applyAlignment="1">
      <alignment horizontal="center" vertical="center"/>
    </xf>
    <xf numFmtId="0" fontId="39" fillId="0" borderId="0" xfId="4" applyFont="1" applyAlignment="1">
      <alignment horizontal="center" vertical="center"/>
    </xf>
    <xf numFmtId="1" fontId="39" fillId="12" borderId="27" xfId="4" applyNumberFormat="1" applyFont="1" applyFill="1" applyBorder="1" applyAlignment="1">
      <alignment horizontal="center" vertical="center"/>
    </xf>
    <xf numFmtId="1" fontId="39" fillId="22" borderId="27" xfId="4" applyNumberFormat="1" applyFont="1" applyFill="1" applyBorder="1" applyAlignment="1">
      <alignment horizontal="center" vertical="center"/>
    </xf>
    <xf numFmtId="0" fontId="31" fillId="20" borderId="33" xfId="5" applyFont="1" applyFill="1" applyBorder="1" applyAlignment="1">
      <alignment vertical="center"/>
    </xf>
    <xf numFmtId="0" fontId="38" fillId="20" borderId="38" xfId="5" applyFont="1" applyFill="1" applyBorder="1" applyAlignment="1">
      <alignment horizontal="right" vertical="center"/>
    </xf>
    <xf numFmtId="0" fontId="31" fillId="0" borderId="22" xfId="5" applyFont="1" applyBorder="1" applyAlignment="1">
      <alignment vertical="center"/>
    </xf>
    <xf numFmtId="0" fontId="38" fillId="0" borderId="0" xfId="5" applyFont="1" applyAlignment="1">
      <alignment horizontal="right" vertical="center"/>
    </xf>
    <xf numFmtId="0" fontId="40" fillId="0" borderId="22" xfId="5" applyFont="1" applyBorder="1" applyAlignment="1">
      <alignment horizontal="center" vertical="center"/>
    </xf>
    <xf numFmtId="0" fontId="31" fillId="0" borderId="58" xfId="5" applyFont="1" applyBorder="1" applyAlignment="1">
      <alignment vertical="center"/>
    </xf>
    <xf numFmtId="0" fontId="33" fillId="0" borderId="22" xfId="5" applyFont="1" applyBorder="1" applyAlignment="1">
      <alignment vertical="center"/>
    </xf>
    <xf numFmtId="0" fontId="39" fillId="24" borderId="0" xfId="4" applyFont="1" applyFill="1" applyAlignment="1">
      <alignment horizontal="center" vertical="center"/>
    </xf>
    <xf numFmtId="165" fontId="39" fillId="24" borderId="0" xfId="4" applyNumberFormat="1" applyFont="1" applyFill="1" applyAlignment="1">
      <alignment horizontal="center" vertical="center"/>
    </xf>
    <xf numFmtId="1" fontId="39" fillId="24" borderId="0" xfId="4" applyNumberFormat="1" applyFont="1" applyFill="1" applyAlignment="1">
      <alignment horizontal="center" vertical="center"/>
    </xf>
    <xf numFmtId="20" fontId="39" fillId="24" borderId="0" xfId="4" applyNumberFormat="1" applyFont="1" applyFill="1" applyAlignment="1">
      <alignment horizontal="center" vertical="center"/>
    </xf>
    <xf numFmtId="0" fontId="33" fillId="24" borderId="0" xfId="5" applyFont="1" applyFill="1" applyAlignment="1">
      <alignment horizontal="center" vertical="center"/>
    </xf>
    <xf numFmtId="0" fontId="39" fillId="25" borderId="0" xfId="4" applyFont="1" applyFill="1" applyAlignment="1">
      <alignment horizontal="center" vertical="center"/>
    </xf>
    <xf numFmtId="165" fontId="39" fillId="25" borderId="0" xfId="4" applyNumberFormat="1" applyFont="1" applyFill="1" applyAlignment="1">
      <alignment horizontal="center" vertical="center"/>
    </xf>
    <xf numFmtId="1" fontId="39" fillId="25" borderId="0" xfId="4" applyNumberFormat="1" applyFont="1" applyFill="1" applyAlignment="1">
      <alignment horizontal="center" vertical="center"/>
    </xf>
    <xf numFmtId="20" fontId="39" fillId="25" borderId="0" xfId="4" applyNumberFormat="1" applyFont="1" applyFill="1" applyAlignment="1">
      <alignment horizontal="center" vertical="center"/>
    </xf>
    <xf numFmtId="0" fontId="33" fillId="25" borderId="0" xfId="5" applyFont="1" applyFill="1" applyAlignment="1">
      <alignment horizontal="center" vertical="center"/>
    </xf>
    <xf numFmtId="0" fontId="39" fillId="26" borderId="0" xfId="4" applyFont="1" applyFill="1" applyAlignment="1">
      <alignment horizontal="center" vertical="center"/>
    </xf>
    <xf numFmtId="165" fontId="39" fillId="26" borderId="0" xfId="4" applyNumberFormat="1" applyFont="1" applyFill="1" applyAlignment="1">
      <alignment horizontal="center" vertical="center"/>
    </xf>
    <xf numFmtId="1" fontId="39" fillId="26" borderId="0" xfId="4" applyNumberFormat="1" applyFont="1" applyFill="1" applyAlignment="1">
      <alignment horizontal="center" vertical="center"/>
    </xf>
    <xf numFmtId="20" fontId="39" fillId="26" borderId="0" xfId="4" applyNumberFormat="1" applyFont="1" applyFill="1" applyAlignment="1">
      <alignment horizontal="center" vertical="center"/>
    </xf>
    <xf numFmtId="0" fontId="33" fillId="26" borderId="0" xfId="5" applyFont="1" applyFill="1" applyAlignment="1">
      <alignment horizontal="center" vertical="center"/>
    </xf>
    <xf numFmtId="0" fontId="36" fillId="0" borderId="0" xfId="5" applyFont="1" applyAlignment="1">
      <alignment horizontal="right" vertical="center"/>
    </xf>
    <xf numFmtId="0" fontId="31" fillId="20" borderId="62" xfId="5" applyFont="1" applyFill="1" applyBorder="1" applyAlignment="1">
      <alignment vertical="center"/>
    </xf>
    <xf numFmtId="0" fontId="33" fillId="20" borderId="63" xfId="5" applyFont="1" applyFill="1" applyBorder="1" applyAlignment="1">
      <alignment vertical="center"/>
    </xf>
    <xf numFmtId="0" fontId="38" fillId="20" borderId="28" xfId="5" applyFont="1" applyFill="1" applyBorder="1" applyAlignment="1">
      <alignment horizontal="right" vertical="center"/>
    </xf>
    <xf numFmtId="0" fontId="39" fillId="16" borderId="0" xfId="4" applyFont="1" applyFill="1" applyAlignment="1">
      <alignment horizontal="center" vertical="center"/>
    </xf>
    <xf numFmtId="165" fontId="39" fillId="16" borderId="0" xfId="4" applyNumberFormat="1" applyFont="1" applyFill="1" applyAlignment="1">
      <alignment horizontal="center" vertical="center"/>
    </xf>
    <xf numFmtId="1" fontId="39" fillId="16" borderId="0" xfId="4" applyNumberFormat="1" applyFont="1" applyFill="1" applyAlignment="1">
      <alignment horizontal="center" vertical="center"/>
    </xf>
    <xf numFmtId="20" fontId="39" fillId="16" borderId="0" xfId="4" applyNumberFormat="1" applyFont="1" applyFill="1" applyAlignment="1">
      <alignment horizontal="center" vertical="center"/>
    </xf>
    <xf numFmtId="0" fontId="33" fillId="16" borderId="0" xfId="5" applyFont="1" applyFill="1" applyAlignment="1">
      <alignment horizontal="center" vertical="center"/>
    </xf>
    <xf numFmtId="0" fontId="31" fillId="12" borderId="36" xfId="5" applyFont="1" applyFill="1" applyBorder="1" applyAlignment="1">
      <alignment vertical="center"/>
    </xf>
    <xf numFmtId="0" fontId="41" fillId="0" borderId="0" xfId="5" applyFont="1" applyAlignment="1">
      <alignment vertical="center"/>
    </xf>
    <xf numFmtId="0" fontId="31" fillId="20" borderId="63" xfId="5" applyFont="1" applyFill="1" applyBorder="1" applyAlignment="1">
      <alignment vertical="center"/>
    </xf>
    <xf numFmtId="0" fontId="36" fillId="0" borderId="0" xfId="5" applyFont="1" applyAlignment="1">
      <alignment vertical="center"/>
    </xf>
    <xf numFmtId="0" fontId="31" fillId="20" borderId="33" xfId="5" applyFont="1" applyFill="1" applyBorder="1" applyAlignment="1">
      <alignment vertical="center" shrinkToFit="1"/>
    </xf>
    <xf numFmtId="0" fontId="31" fillId="0" borderId="34" xfId="5" applyFont="1" applyBorder="1" applyAlignment="1">
      <alignment horizontal="center" vertical="center"/>
    </xf>
    <xf numFmtId="0" fontId="31" fillId="0" borderId="36" xfId="5" applyFont="1" applyBorder="1" applyAlignment="1">
      <alignment horizontal="center" vertical="center"/>
    </xf>
    <xf numFmtId="0" fontId="31" fillId="0" borderId="58" xfId="5" applyFont="1" applyBorder="1" applyAlignment="1">
      <alignment horizontal="center" vertical="center"/>
    </xf>
    <xf numFmtId="0" fontId="31" fillId="0" borderId="22" xfId="5" applyFont="1" applyBorder="1" applyAlignment="1">
      <alignment horizontal="center" vertical="center"/>
    </xf>
    <xf numFmtId="0" fontId="31" fillId="0" borderId="37" xfId="5" applyFont="1" applyBorder="1" applyAlignment="1">
      <alignment horizontal="center" vertical="center"/>
    </xf>
    <xf numFmtId="0" fontId="31" fillId="0" borderId="38" xfId="5" applyFont="1" applyBorder="1" applyAlignment="1">
      <alignment horizontal="center" vertical="center"/>
    </xf>
    <xf numFmtId="0" fontId="46" fillId="0" borderId="0" xfId="5" applyFont="1" applyAlignment="1">
      <alignment horizontal="center" vertical="center"/>
    </xf>
    <xf numFmtId="49" fontId="47" fillId="0" borderId="0" xfId="5" applyNumberFormat="1" applyFont="1" applyAlignment="1">
      <alignment horizontal="center" vertical="center"/>
    </xf>
    <xf numFmtId="0" fontId="48" fillId="0" borderId="0" xfId="5" applyFont="1" applyAlignment="1">
      <alignment horizontal="center" vertical="center"/>
    </xf>
    <xf numFmtId="0" fontId="47" fillId="0" borderId="0" xfId="5" applyFont="1" applyAlignment="1">
      <alignment horizontal="center" vertical="center"/>
    </xf>
    <xf numFmtId="49" fontId="49" fillId="0" borderId="0" xfId="5" applyNumberFormat="1" applyFont="1" applyAlignment="1">
      <alignment horizontal="center" vertical="center"/>
    </xf>
    <xf numFmtId="0" fontId="50" fillId="0" borderId="0" xfId="5" applyFont="1" applyAlignment="1">
      <alignment horizontal="center" vertical="center"/>
    </xf>
    <xf numFmtId="0" fontId="15" fillId="0" borderId="0" xfId="6" applyAlignment="1">
      <alignment vertical="center"/>
    </xf>
    <xf numFmtId="0" fontId="15" fillId="0" borderId="0" xfId="6" applyAlignment="1">
      <alignment horizontal="center" vertical="center"/>
    </xf>
    <xf numFmtId="0" fontId="51" fillId="0" borderId="0" xfId="6" applyFont="1" applyAlignment="1">
      <alignment vertical="center"/>
    </xf>
    <xf numFmtId="0" fontId="53" fillId="16" borderId="0" xfId="6" applyFont="1" applyFill="1" applyAlignment="1" applyProtection="1">
      <alignment vertical="center"/>
      <protection locked="0"/>
    </xf>
    <xf numFmtId="0" fontId="55" fillId="12" borderId="1" xfId="6" applyFont="1" applyFill="1" applyBorder="1" applyAlignment="1">
      <alignment horizontal="center" vertical="center"/>
    </xf>
    <xf numFmtId="0" fontId="15" fillId="12" borderId="34" xfId="6" applyFill="1" applyBorder="1" applyAlignment="1">
      <alignment horizontal="center" vertical="center"/>
    </xf>
    <xf numFmtId="0" fontId="55" fillId="12" borderId="35" xfId="6" applyFont="1" applyFill="1" applyBorder="1" applyAlignment="1">
      <alignment horizontal="center" vertical="center"/>
    </xf>
    <xf numFmtId="0" fontId="15" fillId="12" borderId="36" xfId="6" applyFill="1" applyBorder="1" applyAlignment="1">
      <alignment horizontal="center" vertical="center"/>
    </xf>
    <xf numFmtId="0" fontId="55" fillId="0" borderId="0" xfId="6" applyFont="1" applyAlignment="1">
      <alignment horizontal="center" vertical="center"/>
    </xf>
    <xf numFmtId="0" fontId="15" fillId="0" borderId="34" xfId="6" applyBorder="1" applyAlignment="1">
      <alignment vertical="center"/>
    </xf>
    <xf numFmtId="0" fontId="15" fillId="0" borderId="35" xfId="6" applyBorder="1" applyAlignment="1">
      <alignment vertical="center"/>
    </xf>
    <xf numFmtId="0" fontId="54" fillId="0" borderId="35" xfId="6" applyFont="1" applyBorder="1" applyAlignment="1">
      <alignment horizontal="center" vertical="center"/>
    </xf>
    <xf numFmtId="0" fontId="15" fillId="0" borderId="35" xfId="6" applyBorder="1" applyAlignment="1">
      <alignment horizontal="right" vertical="center"/>
    </xf>
    <xf numFmtId="0" fontId="56" fillId="0" borderId="27" xfId="6" applyFont="1" applyBorder="1" applyAlignment="1">
      <alignment horizontal="center" vertical="center"/>
    </xf>
    <xf numFmtId="0" fontId="56" fillId="0" borderId="62" xfId="6" applyFont="1" applyBorder="1" applyAlignment="1">
      <alignment horizontal="center" vertical="center"/>
    </xf>
    <xf numFmtId="0" fontId="57" fillId="0" borderId="68" xfId="6" applyFont="1" applyBorder="1" applyAlignment="1">
      <alignment horizontal="center" vertical="center"/>
    </xf>
    <xf numFmtId="0" fontId="39" fillId="12" borderId="69" xfId="6" applyFont="1" applyFill="1" applyBorder="1" applyAlignment="1">
      <alignment horizontal="center" vertical="center"/>
    </xf>
    <xf numFmtId="0" fontId="57" fillId="0" borderId="70" xfId="6" applyFont="1" applyBorder="1" applyAlignment="1">
      <alignment horizontal="center" vertical="center"/>
    </xf>
    <xf numFmtId="0" fontId="56" fillId="0" borderId="28" xfId="6" applyFont="1" applyBorder="1" applyAlignment="1">
      <alignment horizontal="center" vertical="center"/>
    </xf>
    <xf numFmtId="0" fontId="15" fillId="0" borderId="35" xfId="6" applyBorder="1" applyAlignment="1">
      <alignment horizontal="center" vertical="center"/>
    </xf>
    <xf numFmtId="0" fontId="58" fillId="0" borderId="35" xfId="6" applyFont="1" applyBorder="1" applyAlignment="1">
      <alignment horizontal="center" vertical="center"/>
    </xf>
    <xf numFmtId="0" fontId="15" fillId="0" borderId="36" xfId="6" applyBorder="1" applyAlignment="1">
      <alignment vertical="center"/>
    </xf>
    <xf numFmtId="0" fontId="15" fillId="0" borderId="58" xfId="6" applyBorder="1" applyAlignment="1">
      <alignment vertical="center"/>
    </xf>
    <xf numFmtId="0" fontId="54" fillId="0" borderId="0" xfId="6" applyFont="1" applyAlignment="1">
      <alignment horizontal="center" vertical="center"/>
    </xf>
    <xf numFmtId="0" fontId="54" fillId="0" borderId="22" xfId="6" applyFont="1" applyBorder="1" applyAlignment="1">
      <alignment horizontal="center" vertical="center"/>
    </xf>
    <xf numFmtId="0" fontId="57" fillId="0" borderId="71" xfId="6" applyFont="1" applyBorder="1" applyAlignment="1">
      <alignment horizontal="center" vertical="center"/>
    </xf>
    <xf numFmtId="0" fontId="39" fillId="12" borderId="27" xfId="6" applyFont="1" applyFill="1" applyBorder="1" applyAlignment="1">
      <alignment horizontal="center" vertical="center"/>
    </xf>
    <xf numFmtId="0" fontId="57" fillId="0" borderId="72" xfId="6" applyFont="1" applyBorder="1" applyAlignment="1">
      <alignment horizontal="center" vertical="center"/>
    </xf>
    <xf numFmtId="0" fontId="54" fillId="0" borderId="58" xfId="6" applyFont="1" applyBorder="1" applyAlignment="1">
      <alignment vertical="center"/>
    </xf>
    <xf numFmtId="0" fontId="54" fillId="0" borderId="0" xfId="6" applyFont="1" applyAlignment="1">
      <alignment vertical="center"/>
    </xf>
    <xf numFmtId="0" fontId="15" fillId="0" borderId="22" xfId="6" applyBorder="1" applyAlignment="1">
      <alignment vertical="center"/>
    </xf>
    <xf numFmtId="0" fontId="60" fillId="0" borderId="71" xfId="6" applyFont="1" applyBorder="1" applyAlignment="1">
      <alignment horizontal="center" vertical="center"/>
    </xf>
    <xf numFmtId="0" fontId="61" fillId="0" borderId="72" xfId="6" applyFont="1" applyBorder="1" applyAlignment="1">
      <alignment horizontal="center" vertical="center"/>
    </xf>
    <xf numFmtId="0" fontId="54" fillId="0" borderId="35" xfId="6" applyFont="1" applyBorder="1" applyAlignment="1">
      <alignment vertical="center"/>
    </xf>
    <xf numFmtId="0" fontId="61" fillId="0" borderId="73" xfId="6" applyFont="1" applyBorder="1" applyAlignment="1">
      <alignment horizontal="center" vertical="center"/>
    </xf>
    <xf numFmtId="0" fontId="15" fillId="0" borderId="22" xfId="6" applyBorder="1" applyAlignment="1">
      <alignment horizontal="center" vertical="center"/>
    </xf>
    <xf numFmtId="0" fontId="15" fillId="0" borderId="58" xfId="6" applyBorder="1" applyAlignment="1">
      <alignment horizontal="center" vertical="center"/>
    </xf>
    <xf numFmtId="0" fontId="15" fillId="0" borderId="37" xfId="6" applyBorder="1" applyAlignment="1">
      <alignment vertical="center"/>
    </xf>
    <xf numFmtId="0" fontId="15" fillId="0" borderId="38" xfId="6" applyBorder="1" applyAlignment="1">
      <alignment horizontal="center" vertical="center"/>
    </xf>
    <xf numFmtId="0" fontId="61" fillId="0" borderId="74" xfId="6" applyFont="1" applyBorder="1" applyAlignment="1">
      <alignment horizontal="center" vertical="center"/>
    </xf>
    <xf numFmtId="0" fontId="39" fillId="12" borderId="75" xfId="6" applyFont="1" applyFill="1" applyBorder="1" applyAlignment="1">
      <alignment horizontal="center" vertical="center"/>
    </xf>
    <xf numFmtId="0" fontId="15" fillId="0" borderId="37" xfId="6" applyBorder="1" applyAlignment="1">
      <alignment horizontal="center" vertical="center"/>
    </xf>
    <xf numFmtId="0" fontId="15" fillId="0" borderId="38" xfId="6" applyBorder="1" applyAlignment="1">
      <alignment vertical="center"/>
    </xf>
    <xf numFmtId="0" fontId="63" fillId="0" borderId="0" xfId="6" applyFont="1" applyAlignment="1">
      <alignment vertical="center"/>
    </xf>
    <xf numFmtId="0" fontId="63" fillId="0" borderId="76" xfId="6" applyFont="1" applyBorder="1" applyAlignment="1">
      <alignment horizontal="center" vertical="top"/>
    </xf>
    <xf numFmtId="0" fontId="64" fillId="0" borderId="79" xfId="6" applyFont="1" applyBorder="1" applyAlignment="1">
      <alignment horizontal="center" vertical="center"/>
    </xf>
    <xf numFmtId="0" fontId="39" fillId="0" borderId="63" xfId="6" applyFont="1" applyBorder="1" applyAlignment="1">
      <alignment horizontal="center" vertical="center"/>
    </xf>
    <xf numFmtId="0" fontId="39" fillId="0" borderId="63" xfId="6" applyFont="1" applyBorder="1" applyAlignment="1">
      <alignment vertical="center"/>
    </xf>
    <xf numFmtId="0" fontId="39" fillId="0" borderId="28" xfId="6" applyFont="1" applyBorder="1" applyAlignment="1">
      <alignment horizontal="center" vertical="center"/>
    </xf>
    <xf numFmtId="0" fontId="39" fillId="0" borderId="62" xfId="6" applyFont="1" applyBorder="1" applyAlignment="1">
      <alignment vertical="center"/>
    </xf>
    <xf numFmtId="0" fontId="65" fillId="0" borderId="62" xfId="6" applyFont="1" applyBorder="1" applyAlignment="1">
      <alignment horizontal="center" vertical="center"/>
    </xf>
    <xf numFmtId="0" fontId="65" fillId="0" borderId="28" xfId="6" applyFont="1" applyBorder="1" applyAlignment="1">
      <alignment horizontal="center" vertical="center" shrinkToFit="1"/>
    </xf>
    <xf numFmtId="0" fontId="15" fillId="0" borderId="63" xfId="6" applyBorder="1" applyAlignment="1">
      <alignment horizontal="center" vertical="center"/>
    </xf>
    <xf numFmtId="0" fontId="15" fillId="0" borderId="63" xfId="6" applyBorder="1" applyAlignment="1">
      <alignment vertical="center"/>
    </xf>
    <xf numFmtId="0" fontId="15" fillId="0" borderId="28" xfId="6" applyBorder="1" applyAlignment="1">
      <alignment horizontal="center" vertical="center"/>
    </xf>
    <xf numFmtId="0" fontId="15" fillId="0" borderId="33" xfId="6" applyBorder="1" applyAlignment="1">
      <alignment horizontal="center" vertical="center"/>
    </xf>
    <xf numFmtId="0" fontId="15" fillId="0" borderId="33" xfId="6" applyBorder="1" applyAlignment="1">
      <alignment vertical="center"/>
    </xf>
    <xf numFmtId="0" fontId="1" fillId="0" borderId="0" xfId="7"/>
    <xf numFmtId="0" fontId="68" fillId="30" borderId="87" xfId="7" applyFont="1" applyFill="1" applyBorder="1"/>
    <xf numFmtId="0" fontId="68" fillId="30" borderId="88" xfId="7" applyFont="1" applyFill="1" applyBorder="1"/>
    <xf numFmtId="0" fontId="68" fillId="30" borderId="89" xfId="7" applyFont="1" applyFill="1" applyBorder="1"/>
    <xf numFmtId="0" fontId="69" fillId="0" borderId="90" xfId="7" applyFont="1" applyBorder="1"/>
    <xf numFmtId="0" fontId="69" fillId="0" borderId="91" xfId="7" applyFont="1" applyBorder="1"/>
    <xf numFmtId="0" fontId="69" fillId="0" borderId="92" xfId="7" applyFont="1" applyBorder="1"/>
    <xf numFmtId="0" fontId="69" fillId="0" borderId="93" xfId="7" applyFont="1" applyBorder="1"/>
    <xf numFmtId="0" fontId="69" fillId="0" borderId="94" xfId="7" applyFont="1" applyBorder="1"/>
    <xf numFmtId="0" fontId="69" fillId="0" borderId="95" xfId="7" applyFont="1" applyBorder="1"/>
    <xf numFmtId="0" fontId="5" fillId="0" borderId="0" xfId="0" applyFont="1"/>
    <xf numFmtId="1" fontId="6" fillId="0" borderId="12" xfId="0" applyNumberFormat="1" applyFont="1" applyBorder="1" applyAlignment="1">
      <alignment horizontal="left" vertical="top"/>
    </xf>
    <xf numFmtId="0" fontId="6" fillId="0" borderId="13" xfId="0" applyFont="1" applyBorder="1" applyAlignment="1">
      <alignment horizontal="left" vertical="top"/>
    </xf>
    <xf numFmtId="1" fontId="6" fillId="0" borderId="13" xfId="0" applyNumberFormat="1" applyFont="1" applyBorder="1" applyAlignment="1">
      <alignment horizontal="center" vertical="top"/>
    </xf>
    <xf numFmtId="1" fontId="6" fillId="0" borderId="14" xfId="0" applyNumberFormat="1" applyFont="1" applyBorder="1" applyAlignment="1">
      <alignment horizontal="center" vertical="top"/>
    </xf>
    <xf numFmtId="0" fontId="6" fillId="0" borderId="21" xfId="0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1" fontId="6" fillId="0" borderId="0" xfId="0" applyNumberFormat="1" applyFont="1" applyAlignment="1">
      <alignment horizontal="center" vertical="top"/>
    </xf>
    <xf numFmtId="1" fontId="6" fillId="0" borderId="24" xfId="0" applyNumberFormat="1" applyFont="1" applyBorder="1" applyAlignment="1">
      <alignment horizontal="center" vertical="top"/>
    </xf>
    <xf numFmtId="1" fontId="6" fillId="0" borderId="15" xfId="0" applyNumberFormat="1" applyFont="1" applyBorder="1" applyAlignment="1">
      <alignment horizontal="left" vertical="top"/>
    </xf>
    <xf numFmtId="0" fontId="6" fillId="0" borderId="16" xfId="0" applyFont="1" applyBorder="1" applyAlignment="1">
      <alignment horizontal="left" vertical="top"/>
    </xf>
    <xf numFmtId="1" fontId="6" fillId="0" borderId="16" xfId="0" applyNumberFormat="1" applyFont="1" applyBorder="1" applyAlignment="1">
      <alignment horizontal="center" vertical="top"/>
    </xf>
    <xf numFmtId="1" fontId="6" fillId="0" borderId="17" xfId="0" applyNumberFormat="1" applyFont="1" applyBorder="1" applyAlignment="1">
      <alignment horizontal="center" vertical="top"/>
    </xf>
    <xf numFmtId="1" fontId="6" fillId="7" borderId="12" xfId="0" applyNumberFormat="1" applyFont="1" applyFill="1" applyBorder="1" applyAlignment="1">
      <alignment horizontal="left" vertical="top"/>
    </xf>
    <xf numFmtId="0" fontId="6" fillId="7" borderId="13" xfId="0" applyFont="1" applyFill="1" applyBorder="1" applyAlignment="1">
      <alignment horizontal="left" vertical="top"/>
    </xf>
    <xf numFmtId="1" fontId="6" fillId="7" borderId="13" xfId="0" applyNumberFormat="1" applyFont="1" applyFill="1" applyBorder="1" applyAlignment="1">
      <alignment horizontal="center" vertical="top"/>
    </xf>
    <xf numFmtId="1" fontId="6" fillId="7" borderId="14" xfId="0" applyNumberFormat="1" applyFont="1" applyFill="1" applyBorder="1" applyAlignment="1">
      <alignment horizontal="center" vertical="top"/>
    </xf>
    <xf numFmtId="0" fontId="6" fillId="7" borderId="21" xfId="0" applyFont="1" applyFill="1" applyBorder="1" applyAlignment="1">
      <alignment horizontal="center" vertical="center"/>
    </xf>
    <xf numFmtId="1" fontId="6" fillId="7" borderId="23" xfId="0" applyNumberFormat="1" applyFont="1" applyFill="1" applyBorder="1" applyAlignment="1">
      <alignment horizontal="left" vertical="top"/>
    </xf>
    <xf numFmtId="0" fontId="6" fillId="7" borderId="0" xfId="0" applyFont="1" applyFill="1" applyAlignment="1">
      <alignment horizontal="left" vertical="top"/>
    </xf>
    <xf numFmtId="1" fontId="6" fillId="7" borderId="0" xfId="0" applyNumberFormat="1" applyFont="1" applyFill="1" applyAlignment="1">
      <alignment horizontal="center" vertical="top"/>
    </xf>
    <xf numFmtId="1" fontId="6" fillId="7" borderId="24" xfId="0" applyNumberFormat="1" applyFont="1" applyFill="1" applyBorder="1" applyAlignment="1">
      <alignment horizontal="center" vertical="top"/>
    </xf>
    <xf numFmtId="1" fontId="6" fillId="7" borderId="15" xfId="0" applyNumberFormat="1" applyFont="1" applyFill="1" applyBorder="1" applyAlignment="1">
      <alignment horizontal="left" vertical="top"/>
    </xf>
    <xf numFmtId="0" fontId="6" fillId="7" borderId="16" xfId="0" applyFont="1" applyFill="1" applyBorder="1" applyAlignment="1">
      <alignment horizontal="left" vertical="top"/>
    </xf>
    <xf numFmtId="1" fontId="6" fillId="7" borderId="16" xfId="0" applyNumberFormat="1" applyFont="1" applyFill="1" applyBorder="1" applyAlignment="1">
      <alignment horizontal="center" vertical="top"/>
    </xf>
    <xf numFmtId="1" fontId="6" fillId="7" borderId="17" xfId="0" applyNumberFormat="1" applyFont="1" applyFill="1" applyBorder="1" applyAlignment="1">
      <alignment horizontal="center" vertical="top"/>
    </xf>
    <xf numFmtId="0" fontId="6" fillId="0" borderId="23" xfId="0" applyFont="1" applyBorder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24" xfId="0" applyFont="1" applyBorder="1" applyAlignment="1">
      <alignment horizontal="center" vertical="top"/>
    </xf>
    <xf numFmtId="0" fontId="6" fillId="0" borderId="15" xfId="0" applyFont="1" applyBorder="1" applyAlignment="1">
      <alignment horizontal="left" vertical="top"/>
    </xf>
    <xf numFmtId="0" fontId="6" fillId="0" borderId="16" xfId="0" applyFont="1" applyBorder="1" applyAlignment="1">
      <alignment horizontal="center" vertical="top"/>
    </xf>
    <xf numFmtId="0" fontId="6" fillId="0" borderId="17" xfId="0" applyFont="1" applyBorder="1" applyAlignment="1">
      <alignment horizontal="center" vertical="top"/>
    </xf>
    <xf numFmtId="0" fontId="6" fillId="7" borderId="23" xfId="0" applyFont="1" applyFill="1" applyBorder="1" applyAlignment="1">
      <alignment horizontal="left" vertical="top"/>
    </xf>
    <xf numFmtId="0" fontId="6" fillId="7" borderId="0" xfId="0" applyFont="1" applyFill="1" applyAlignment="1">
      <alignment horizontal="center" vertical="top"/>
    </xf>
    <xf numFmtId="0" fontId="6" fillId="7" borderId="24" xfId="0" applyFont="1" applyFill="1" applyBorder="1" applyAlignment="1">
      <alignment horizontal="center" vertical="top"/>
    </xf>
    <xf numFmtId="0" fontId="11" fillId="0" borderId="27" xfId="2" applyFont="1" applyBorder="1" applyAlignment="1">
      <alignment horizontal="center"/>
    </xf>
    <xf numFmtId="0" fontId="0" fillId="0" borderId="27" xfId="2" applyFont="1" applyBorder="1" applyAlignment="1">
      <alignment horizontal="center" vertical="center"/>
    </xf>
    <xf numFmtId="0" fontId="3" fillId="0" borderId="27" xfId="2" applyBorder="1" applyAlignment="1">
      <alignment horizontal="center" vertical="center"/>
    </xf>
    <xf numFmtId="0" fontId="0" fillId="0" borderId="1" xfId="2" applyFont="1" applyBorder="1" applyAlignment="1">
      <alignment horizontal="center" vertical="center"/>
    </xf>
    <xf numFmtId="0" fontId="3" fillId="0" borderId="1" xfId="2" applyBorder="1" applyAlignment="1">
      <alignment horizontal="center" vertical="center"/>
    </xf>
    <xf numFmtId="0" fontId="3" fillId="0" borderId="0" xfId="2" applyAlignment="1">
      <alignment horizontal="center"/>
    </xf>
    <xf numFmtId="0" fontId="3" fillId="0" borderId="12" xfId="2" applyBorder="1" applyAlignment="1">
      <alignment horizontal="center" vertical="center" wrapText="1"/>
    </xf>
    <xf numFmtId="0" fontId="3" fillId="0" borderId="14" xfId="2" applyBorder="1" applyAlignment="1">
      <alignment horizontal="center" vertical="center" wrapText="1"/>
    </xf>
    <xf numFmtId="0" fontId="3" fillId="0" borderId="23" xfId="2" applyBorder="1" applyAlignment="1">
      <alignment horizontal="center" vertical="center" wrapText="1"/>
    </xf>
    <xf numFmtId="0" fontId="3" fillId="0" borderId="24" xfId="2" applyBorder="1" applyAlignment="1">
      <alignment horizontal="center" vertical="center" wrapText="1"/>
    </xf>
    <xf numFmtId="0" fontId="3" fillId="0" borderId="15" xfId="2" applyBorder="1" applyAlignment="1">
      <alignment horizontal="center" vertical="center" wrapText="1"/>
    </xf>
    <xf numFmtId="0" fontId="3" fillId="0" borderId="17" xfId="2" applyBorder="1" applyAlignment="1">
      <alignment horizontal="center" vertical="center" wrapText="1"/>
    </xf>
    <xf numFmtId="0" fontId="8" fillId="0" borderId="0" xfId="2" applyFont="1" applyAlignment="1">
      <alignment horizontal="center"/>
    </xf>
    <xf numFmtId="0" fontId="11" fillId="0" borderId="1" xfId="2" applyFont="1" applyBorder="1" applyAlignment="1">
      <alignment horizontal="center" vertical="center"/>
    </xf>
    <xf numFmtId="0" fontId="11" fillId="0" borderId="29" xfId="2" applyFont="1" applyBorder="1" applyAlignment="1">
      <alignment horizontal="center" vertical="center"/>
    </xf>
    <xf numFmtId="0" fontId="3" fillId="0" borderId="5" xfId="2" applyBorder="1" applyAlignment="1">
      <alignment horizontal="center" vertical="center"/>
    </xf>
    <xf numFmtId="0" fontId="3" fillId="0" borderId="10" xfId="2" applyBorder="1" applyAlignment="1">
      <alignment horizontal="center" vertical="center"/>
    </xf>
    <xf numFmtId="0" fontId="3" fillId="0" borderId="11" xfId="2" applyBorder="1" applyAlignment="1">
      <alignment horizontal="center" vertical="center"/>
    </xf>
    <xf numFmtId="0" fontId="21" fillId="0" borderId="30" xfId="2" applyFont="1" applyBorder="1" applyAlignment="1">
      <alignment horizontal="center" vertical="center"/>
    </xf>
    <xf numFmtId="0" fontId="21" fillId="0" borderId="31" xfId="2" applyFont="1" applyBorder="1" applyAlignment="1">
      <alignment horizontal="center" vertical="center"/>
    </xf>
    <xf numFmtId="0" fontId="21" fillId="0" borderId="32" xfId="2" applyFont="1" applyBorder="1" applyAlignment="1">
      <alignment horizontal="center" vertical="center"/>
    </xf>
    <xf numFmtId="0" fontId="3" fillId="2" borderId="1" xfId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4" fillId="6" borderId="5" xfId="2" applyFont="1" applyFill="1" applyBorder="1" applyAlignment="1">
      <alignment horizontal="center"/>
    </xf>
    <xf numFmtId="0" fontId="4" fillId="6" borderId="10" xfId="2" applyFont="1" applyFill="1" applyBorder="1" applyAlignment="1">
      <alignment horizontal="center"/>
    </xf>
    <xf numFmtId="0" fontId="4" fillId="6" borderId="11" xfId="2" applyFont="1" applyFill="1" applyBorder="1" applyAlignment="1">
      <alignment horizontal="center"/>
    </xf>
    <xf numFmtId="0" fontId="4" fillId="6" borderId="12" xfId="2" applyFont="1" applyFill="1" applyBorder="1" applyAlignment="1">
      <alignment horizontal="center"/>
    </xf>
    <xf numFmtId="0" fontId="4" fillId="6" borderId="13" xfId="2" applyFont="1" applyFill="1" applyBorder="1" applyAlignment="1">
      <alignment horizontal="center"/>
    </xf>
    <xf numFmtId="0" fontId="4" fillId="6" borderId="14" xfId="2" applyFont="1" applyFill="1" applyBorder="1" applyAlignment="1">
      <alignment horizontal="center"/>
    </xf>
    <xf numFmtId="0" fontId="4" fillId="6" borderId="15" xfId="2" applyFont="1" applyFill="1" applyBorder="1" applyAlignment="1">
      <alignment horizontal="center"/>
    </xf>
    <xf numFmtId="0" fontId="4" fillId="6" borderId="16" xfId="2" applyFont="1" applyFill="1" applyBorder="1" applyAlignment="1">
      <alignment horizontal="center"/>
    </xf>
    <xf numFmtId="0" fontId="4" fillId="6" borderId="17" xfId="2" applyFont="1" applyFill="1" applyBorder="1" applyAlignment="1">
      <alignment horizontal="center"/>
    </xf>
    <xf numFmtId="0" fontId="3" fillId="0" borderId="13" xfId="2" applyBorder="1" applyAlignment="1">
      <alignment horizontal="center" vertical="center" wrapText="1"/>
    </xf>
    <xf numFmtId="0" fontId="3" fillId="0" borderId="0" xfId="2" applyAlignment="1">
      <alignment horizontal="center" vertical="center" wrapText="1"/>
    </xf>
    <xf numFmtId="0" fontId="17" fillId="11" borderId="0" xfId="3" applyFont="1" applyFill="1" applyAlignment="1">
      <alignment horizontal="center" vertical="center"/>
    </xf>
    <xf numFmtId="0" fontId="17" fillId="11" borderId="33" xfId="3" applyFont="1" applyFill="1" applyBorder="1" applyAlignment="1">
      <alignment horizontal="center" vertical="center"/>
    </xf>
    <xf numFmtId="0" fontId="24" fillId="13" borderId="34" xfId="3" applyFont="1" applyFill="1" applyBorder="1" applyAlignment="1">
      <alignment horizontal="center" vertical="center"/>
    </xf>
    <xf numFmtId="0" fontId="24" fillId="13" borderId="35" xfId="3" applyFont="1" applyFill="1" applyBorder="1" applyAlignment="1">
      <alignment horizontal="center" vertical="center"/>
    </xf>
    <xf numFmtId="0" fontId="24" fillId="13" borderId="37" xfId="3" applyFont="1" applyFill="1" applyBorder="1" applyAlignment="1">
      <alignment horizontal="center" vertical="center"/>
    </xf>
    <xf numFmtId="0" fontId="24" fillId="13" borderId="33" xfId="3" applyFont="1" applyFill="1" applyBorder="1" applyAlignment="1">
      <alignment horizontal="center" vertical="center"/>
    </xf>
    <xf numFmtId="0" fontId="25" fillId="0" borderId="34" xfId="3" applyFont="1" applyBorder="1" applyAlignment="1">
      <alignment horizontal="center" vertical="center"/>
    </xf>
    <xf numFmtId="0" fontId="25" fillId="0" borderId="35" xfId="3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/>
    </xf>
    <xf numFmtId="0" fontId="25" fillId="0" borderId="58" xfId="3" applyFont="1" applyBorder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5" fillId="0" borderId="22" xfId="3" applyFont="1" applyBorder="1" applyAlignment="1">
      <alignment horizontal="center" vertical="center"/>
    </xf>
    <xf numFmtId="0" fontId="31" fillId="19" borderId="34" xfId="5" applyFont="1" applyFill="1" applyBorder="1" applyAlignment="1">
      <alignment horizontal="center" vertical="center"/>
    </xf>
    <xf numFmtId="0" fontId="31" fillId="19" borderId="37" xfId="5" applyFont="1" applyFill="1" applyBorder="1" applyAlignment="1">
      <alignment horizontal="center" vertical="center"/>
    </xf>
    <xf numFmtId="0" fontId="1" fillId="0" borderId="0" xfId="4" applyAlignment="1">
      <alignment horizontal="center"/>
    </xf>
    <xf numFmtId="0" fontId="32" fillId="0" borderId="0" xfId="5" applyFont="1" applyAlignment="1">
      <alignment horizontal="center" vertical="center"/>
    </xf>
    <xf numFmtId="0" fontId="35" fillId="0" borderId="0" xfId="5" applyFont="1" applyAlignment="1">
      <alignment horizontal="center" vertical="center"/>
    </xf>
    <xf numFmtId="0" fontId="31" fillId="12" borderId="35" xfId="5" applyFont="1" applyFill="1" applyBorder="1" applyAlignment="1">
      <alignment horizontal="center" vertical="center"/>
    </xf>
    <xf numFmtId="0" fontId="31" fillId="12" borderId="33" xfId="5" applyFont="1" applyFill="1" applyBorder="1" applyAlignment="1">
      <alignment horizontal="center" vertical="center"/>
    </xf>
    <xf numFmtId="0" fontId="31" fillId="19" borderId="36" xfId="5" applyFont="1" applyFill="1" applyBorder="1" applyAlignment="1">
      <alignment horizontal="center" vertical="center"/>
    </xf>
    <xf numFmtId="0" fontId="31" fillId="19" borderId="38" xfId="5" applyFont="1" applyFill="1" applyBorder="1" applyAlignment="1">
      <alignment horizontal="center" vertical="center"/>
    </xf>
    <xf numFmtId="0" fontId="31" fillId="0" borderId="0" xfId="5" applyFont="1" applyAlignment="1">
      <alignment horizontal="center" vertical="center"/>
    </xf>
    <xf numFmtId="0" fontId="31" fillId="19" borderId="35" xfId="5" applyFont="1" applyFill="1" applyBorder="1" applyAlignment="1">
      <alignment horizontal="center" vertical="center"/>
    </xf>
    <xf numFmtId="0" fontId="31" fillId="19" borderId="33" xfId="5" applyFont="1" applyFill="1" applyBorder="1" applyAlignment="1">
      <alignment horizontal="center" vertical="center"/>
    </xf>
    <xf numFmtId="0" fontId="31" fillId="12" borderId="36" xfId="5" applyFont="1" applyFill="1" applyBorder="1" applyAlignment="1">
      <alignment horizontal="center" vertical="center"/>
    </xf>
    <xf numFmtId="0" fontId="31" fillId="12" borderId="38" xfId="5" applyFont="1" applyFill="1" applyBorder="1" applyAlignment="1">
      <alignment horizontal="center" vertical="center"/>
    </xf>
    <xf numFmtId="0" fontId="36" fillId="0" borderId="0" xfId="5" applyFont="1" applyAlignment="1">
      <alignment horizontal="center" vertical="center"/>
    </xf>
    <xf numFmtId="17" fontId="31" fillId="12" borderId="34" xfId="5" quotePrefix="1" applyNumberFormat="1" applyFont="1" applyFill="1" applyBorder="1" applyAlignment="1">
      <alignment horizontal="center" vertical="center"/>
    </xf>
    <xf numFmtId="17" fontId="31" fillId="12" borderId="37" xfId="5" quotePrefix="1" applyNumberFormat="1" applyFont="1" applyFill="1" applyBorder="1" applyAlignment="1">
      <alignment horizontal="center" vertical="center"/>
    </xf>
    <xf numFmtId="49" fontId="31" fillId="12" borderId="35" xfId="5" applyNumberFormat="1" applyFont="1" applyFill="1" applyBorder="1" applyAlignment="1">
      <alignment horizontal="center" vertical="center"/>
    </xf>
    <xf numFmtId="49" fontId="31" fillId="12" borderId="33" xfId="5" applyNumberFormat="1" applyFont="1" applyFill="1" applyBorder="1" applyAlignment="1">
      <alignment horizontal="center" vertical="center"/>
    </xf>
    <xf numFmtId="164" fontId="37" fillId="12" borderId="35" xfId="5" applyNumberFormat="1" applyFont="1" applyFill="1" applyBorder="1" applyAlignment="1">
      <alignment horizontal="center" vertical="center"/>
    </xf>
    <xf numFmtId="164" fontId="37" fillId="12" borderId="33" xfId="5" applyNumberFormat="1" applyFont="1" applyFill="1" applyBorder="1" applyAlignment="1">
      <alignment horizontal="center" vertical="center"/>
    </xf>
    <xf numFmtId="17" fontId="31" fillId="19" borderId="34" xfId="5" quotePrefix="1" applyNumberFormat="1" applyFont="1" applyFill="1" applyBorder="1" applyAlignment="1">
      <alignment horizontal="center" vertical="center"/>
    </xf>
    <xf numFmtId="17" fontId="31" fillId="19" borderId="37" xfId="5" quotePrefix="1" applyNumberFormat="1" applyFont="1" applyFill="1" applyBorder="1" applyAlignment="1">
      <alignment horizontal="center" vertical="center"/>
    </xf>
    <xf numFmtId="49" fontId="31" fillId="19" borderId="35" xfId="5" applyNumberFormat="1" applyFont="1" applyFill="1" applyBorder="1" applyAlignment="1">
      <alignment horizontal="center" vertical="center"/>
    </xf>
    <xf numFmtId="49" fontId="31" fillId="19" borderId="33" xfId="5" applyNumberFormat="1" applyFont="1" applyFill="1" applyBorder="1" applyAlignment="1">
      <alignment horizontal="center" vertical="center"/>
    </xf>
    <xf numFmtId="164" fontId="37" fillId="19" borderId="35" xfId="5" applyNumberFormat="1" applyFont="1" applyFill="1" applyBorder="1" applyAlignment="1">
      <alignment horizontal="center" vertical="center"/>
    </xf>
    <xf numFmtId="164" fontId="37" fillId="19" borderId="33" xfId="5" applyNumberFormat="1" applyFont="1" applyFill="1" applyBorder="1" applyAlignment="1">
      <alignment horizontal="center" vertical="center"/>
    </xf>
    <xf numFmtId="0" fontId="31" fillId="12" borderId="34" xfId="5" applyFont="1" applyFill="1" applyBorder="1" applyAlignment="1">
      <alignment horizontal="center" vertical="center"/>
    </xf>
    <xf numFmtId="0" fontId="31" fillId="12" borderId="37" xfId="5" applyFont="1" applyFill="1" applyBorder="1" applyAlignment="1">
      <alignment horizontal="center" vertical="center"/>
    </xf>
    <xf numFmtId="0" fontId="31" fillId="26" borderId="35" xfId="5" applyFont="1" applyFill="1" applyBorder="1" applyAlignment="1">
      <alignment horizontal="center" vertical="center"/>
    </xf>
    <xf numFmtId="0" fontId="31" fillId="26" borderId="33" xfId="5" applyFont="1" applyFill="1" applyBorder="1" applyAlignment="1">
      <alignment horizontal="center" vertical="center"/>
    </xf>
    <xf numFmtId="17" fontId="31" fillId="26" borderId="34" xfId="5" quotePrefix="1" applyNumberFormat="1" applyFont="1" applyFill="1" applyBorder="1" applyAlignment="1">
      <alignment horizontal="center" vertical="center"/>
    </xf>
    <xf numFmtId="17" fontId="31" fillId="26" borderId="37" xfId="5" quotePrefix="1" applyNumberFormat="1" applyFont="1" applyFill="1" applyBorder="1" applyAlignment="1">
      <alignment horizontal="center" vertical="center"/>
    </xf>
    <xf numFmtId="49" fontId="31" fillId="26" borderId="35" xfId="5" applyNumberFormat="1" applyFont="1" applyFill="1" applyBorder="1" applyAlignment="1">
      <alignment horizontal="center" vertical="center"/>
    </xf>
    <xf numFmtId="49" fontId="31" fillId="26" borderId="33" xfId="5" applyNumberFormat="1" applyFont="1" applyFill="1" applyBorder="1" applyAlignment="1">
      <alignment horizontal="center" vertical="center"/>
    </xf>
    <xf numFmtId="0" fontId="31" fillId="26" borderId="36" xfId="5" applyFont="1" applyFill="1" applyBorder="1" applyAlignment="1">
      <alignment horizontal="center" vertical="center"/>
    </xf>
    <xf numFmtId="0" fontId="31" fillId="26" borderId="38" xfId="5" applyFont="1" applyFill="1" applyBorder="1" applyAlignment="1">
      <alignment horizontal="center" vertical="center"/>
    </xf>
    <xf numFmtId="17" fontId="31" fillId="20" borderId="34" xfId="5" quotePrefix="1" applyNumberFormat="1" applyFont="1" applyFill="1" applyBorder="1" applyAlignment="1">
      <alignment horizontal="center" vertical="center"/>
    </xf>
    <xf numFmtId="17" fontId="31" fillId="20" borderId="37" xfId="5" quotePrefix="1" applyNumberFormat="1" applyFont="1" applyFill="1" applyBorder="1" applyAlignment="1">
      <alignment horizontal="center" vertical="center"/>
    </xf>
    <xf numFmtId="49" fontId="31" fillId="20" borderId="35" xfId="5" applyNumberFormat="1" applyFont="1" applyFill="1" applyBorder="1" applyAlignment="1">
      <alignment horizontal="center" vertical="center"/>
    </xf>
    <xf numFmtId="49" fontId="31" fillId="20" borderId="33" xfId="5" applyNumberFormat="1" applyFont="1" applyFill="1" applyBorder="1" applyAlignment="1">
      <alignment horizontal="center" vertical="center"/>
    </xf>
    <xf numFmtId="0" fontId="31" fillId="20" borderId="35" xfId="5" applyFont="1" applyFill="1" applyBorder="1" applyAlignment="1">
      <alignment horizontal="center" vertical="center"/>
    </xf>
    <xf numFmtId="0" fontId="31" fillId="20" borderId="33" xfId="5" applyFont="1" applyFill="1" applyBorder="1" applyAlignment="1">
      <alignment horizontal="center" vertical="center"/>
    </xf>
    <xf numFmtId="0" fontId="31" fillId="26" borderId="34" xfId="5" applyFont="1" applyFill="1" applyBorder="1" applyAlignment="1">
      <alignment horizontal="center" vertical="center"/>
    </xf>
    <xf numFmtId="0" fontId="31" fillId="26" borderId="37" xfId="5" applyFont="1" applyFill="1" applyBorder="1" applyAlignment="1">
      <alignment horizontal="center" vertical="center"/>
    </xf>
    <xf numFmtId="164" fontId="37" fillId="26" borderId="35" xfId="5" applyNumberFormat="1" applyFont="1" applyFill="1" applyBorder="1" applyAlignment="1">
      <alignment horizontal="center" vertical="center"/>
    </xf>
    <xf numFmtId="164" fontId="37" fillId="26" borderId="33" xfId="5" applyNumberFormat="1" applyFont="1" applyFill="1" applyBorder="1" applyAlignment="1">
      <alignment horizontal="center" vertical="center"/>
    </xf>
    <xf numFmtId="164" fontId="37" fillId="20" borderId="35" xfId="5" applyNumberFormat="1" applyFont="1" applyFill="1" applyBorder="1" applyAlignment="1">
      <alignment horizontal="center" vertical="center"/>
    </xf>
    <xf numFmtId="164" fontId="37" fillId="20" borderId="33" xfId="5" applyNumberFormat="1" applyFont="1" applyFill="1" applyBorder="1" applyAlignment="1">
      <alignment horizontal="center" vertical="center"/>
    </xf>
    <xf numFmtId="0" fontId="31" fillId="20" borderId="34" xfId="5" applyFont="1" applyFill="1" applyBorder="1" applyAlignment="1">
      <alignment horizontal="center" vertical="center"/>
    </xf>
    <xf numFmtId="0" fontId="31" fillId="20" borderId="37" xfId="5" applyFont="1" applyFill="1" applyBorder="1" applyAlignment="1">
      <alignment horizontal="center" vertical="center"/>
    </xf>
    <xf numFmtId="0" fontId="31" fillId="20" borderId="36" xfId="5" applyFont="1" applyFill="1" applyBorder="1" applyAlignment="1">
      <alignment horizontal="center" vertical="center"/>
    </xf>
    <xf numFmtId="0" fontId="31" fillId="20" borderId="38" xfId="5" applyFont="1" applyFill="1" applyBorder="1" applyAlignment="1">
      <alignment horizontal="center" vertical="center"/>
    </xf>
    <xf numFmtId="0" fontId="31" fillId="27" borderId="35" xfId="5" applyFont="1" applyFill="1" applyBorder="1" applyAlignment="1">
      <alignment horizontal="center" vertical="center"/>
    </xf>
    <xf numFmtId="0" fontId="31" fillId="27" borderId="33" xfId="5" applyFont="1" applyFill="1" applyBorder="1" applyAlignment="1">
      <alignment horizontal="center" vertical="center"/>
    </xf>
    <xf numFmtId="0" fontId="31" fillId="27" borderId="36" xfId="5" applyFont="1" applyFill="1" applyBorder="1" applyAlignment="1">
      <alignment horizontal="center" vertical="center"/>
    </xf>
    <xf numFmtId="0" fontId="31" fillId="27" borderId="38" xfId="5" applyFont="1" applyFill="1" applyBorder="1" applyAlignment="1">
      <alignment horizontal="center" vertical="center"/>
    </xf>
    <xf numFmtId="17" fontId="31" fillId="23" borderId="34" xfId="5" applyNumberFormat="1" applyFont="1" applyFill="1" applyBorder="1" applyAlignment="1">
      <alignment horizontal="center" vertical="center"/>
    </xf>
    <xf numFmtId="17" fontId="31" fillId="23" borderId="37" xfId="5" quotePrefix="1" applyNumberFormat="1" applyFont="1" applyFill="1" applyBorder="1" applyAlignment="1">
      <alignment horizontal="center" vertical="center"/>
    </xf>
    <xf numFmtId="49" fontId="31" fillId="23" borderId="35" xfId="5" applyNumberFormat="1" applyFont="1" applyFill="1" applyBorder="1" applyAlignment="1">
      <alignment horizontal="center" vertical="center"/>
    </xf>
    <xf numFmtId="49" fontId="31" fillId="23" borderId="33" xfId="5" applyNumberFormat="1" applyFont="1" applyFill="1" applyBorder="1" applyAlignment="1">
      <alignment horizontal="center" vertical="center"/>
    </xf>
    <xf numFmtId="0" fontId="31" fillId="23" borderId="35" xfId="5" applyFont="1" applyFill="1" applyBorder="1" applyAlignment="1">
      <alignment horizontal="center" vertical="center"/>
    </xf>
    <xf numFmtId="0" fontId="31" fillId="23" borderId="33" xfId="5" applyFont="1" applyFill="1" applyBorder="1" applyAlignment="1">
      <alignment horizontal="center" vertical="center"/>
    </xf>
    <xf numFmtId="0" fontId="31" fillId="27" borderId="34" xfId="5" applyFont="1" applyFill="1" applyBorder="1" applyAlignment="1">
      <alignment horizontal="center" vertical="center"/>
    </xf>
    <xf numFmtId="0" fontId="31" fillId="27" borderId="37" xfId="5" applyFont="1" applyFill="1" applyBorder="1" applyAlignment="1">
      <alignment horizontal="center" vertical="center"/>
    </xf>
    <xf numFmtId="164" fontId="37" fillId="27" borderId="35" xfId="5" applyNumberFormat="1" applyFont="1" applyFill="1" applyBorder="1" applyAlignment="1">
      <alignment horizontal="center" vertical="center"/>
    </xf>
    <xf numFmtId="164" fontId="37" fillId="27" borderId="33" xfId="5" applyNumberFormat="1" applyFont="1" applyFill="1" applyBorder="1" applyAlignment="1">
      <alignment horizontal="center" vertical="center"/>
    </xf>
    <xf numFmtId="17" fontId="31" fillId="27" borderId="34" xfId="5" applyNumberFormat="1" applyFont="1" applyFill="1" applyBorder="1" applyAlignment="1">
      <alignment horizontal="center" vertical="center"/>
    </xf>
    <xf numFmtId="17" fontId="31" fillId="27" borderId="37" xfId="5" quotePrefix="1" applyNumberFormat="1" applyFont="1" applyFill="1" applyBorder="1" applyAlignment="1">
      <alignment horizontal="center" vertical="center"/>
    </xf>
    <xf numFmtId="49" fontId="31" fillId="27" borderId="35" xfId="5" applyNumberFormat="1" applyFont="1" applyFill="1" applyBorder="1" applyAlignment="1">
      <alignment horizontal="center" vertical="center"/>
    </xf>
    <xf numFmtId="49" fontId="31" fillId="27" borderId="33" xfId="5" applyNumberFormat="1" applyFont="1" applyFill="1" applyBorder="1" applyAlignment="1">
      <alignment horizontal="center" vertical="center"/>
    </xf>
    <xf numFmtId="164" fontId="37" fillId="23" borderId="35" xfId="5" applyNumberFormat="1" applyFont="1" applyFill="1" applyBorder="1" applyAlignment="1">
      <alignment horizontal="center" vertical="center"/>
    </xf>
    <xf numFmtId="164" fontId="37" fillId="23" borderId="33" xfId="5" applyNumberFormat="1" applyFont="1" applyFill="1" applyBorder="1" applyAlignment="1">
      <alignment horizontal="center" vertical="center"/>
    </xf>
    <xf numFmtId="0" fontId="31" fillId="23" borderId="34" xfId="5" applyFont="1" applyFill="1" applyBorder="1" applyAlignment="1">
      <alignment horizontal="center" vertical="center"/>
    </xf>
    <xf numFmtId="0" fontId="31" fillId="23" borderId="37" xfId="5" applyFont="1" applyFill="1" applyBorder="1" applyAlignment="1">
      <alignment horizontal="center" vertical="center"/>
    </xf>
    <xf numFmtId="0" fontId="31" fillId="23" borderId="36" xfId="5" applyFont="1" applyFill="1" applyBorder="1" applyAlignment="1">
      <alignment horizontal="center" vertical="center"/>
    </xf>
    <xf numFmtId="0" fontId="31" fillId="23" borderId="38" xfId="5" applyFont="1" applyFill="1" applyBorder="1" applyAlignment="1">
      <alignment horizontal="center" vertical="center"/>
    </xf>
    <xf numFmtId="0" fontId="31" fillId="28" borderId="35" xfId="5" applyFont="1" applyFill="1" applyBorder="1" applyAlignment="1">
      <alignment horizontal="center" vertical="center"/>
    </xf>
    <xf numFmtId="0" fontId="31" fillId="28" borderId="33" xfId="5" applyFont="1" applyFill="1" applyBorder="1" applyAlignment="1">
      <alignment horizontal="center" vertical="center"/>
    </xf>
    <xf numFmtId="0" fontId="31" fillId="28" borderId="36" xfId="5" applyFont="1" applyFill="1" applyBorder="1" applyAlignment="1">
      <alignment horizontal="center" vertical="center"/>
    </xf>
    <xf numFmtId="0" fontId="31" fillId="28" borderId="38" xfId="5" applyFont="1" applyFill="1" applyBorder="1" applyAlignment="1">
      <alignment horizontal="center" vertical="center"/>
    </xf>
    <xf numFmtId="17" fontId="31" fillId="20" borderId="34" xfId="5" applyNumberFormat="1" applyFont="1" applyFill="1" applyBorder="1" applyAlignment="1">
      <alignment horizontal="center" vertical="center"/>
    </xf>
    <xf numFmtId="0" fontId="31" fillId="28" borderId="34" xfId="5" applyFont="1" applyFill="1" applyBorder="1" applyAlignment="1">
      <alignment horizontal="center" vertical="center"/>
    </xf>
    <xf numFmtId="0" fontId="31" fillId="28" borderId="37" xfId="5" applyFont="1" applyFill="1" applyBorder="1" applyAlignment="1">
      <alignment horizontal="center" vertical="center"/>
    </xf>
    <xf numFmtId="164" fontId="37" fillId="28" borderId="35" xfId="5" applyNumberFormat="1" applyFont="1" applyFill="1" applyBorder="1" applyAlignment="1">
      <alignment horizontal="center" vertical="center"/>
    </xf>
    <xf numFmtId="164" fontId="37" fillId="28" borderId="33" xfId="5" applyNumberFormat="1" applyFont="1" applyFill="1" applyBorder="1" applyAlignment="1">
      <alignment horizontal="center" vertical="center"/>
    </xf>
    <xf numFmtId="17" fontId="31" fillId="28" borderId="34" xfId="5" applyNumberFormat="1" applyFont="1" applyFill="1" applyBorder="1" applyAlignment="1">
      <alignment horizontal="center" vertical="center"/>
    </xf>
    <xf numFmtId="17" fontId="31" fillId="28" borderId="37" xfId="5" quotePrefix="1" applyNumberFormat="1" applyFont="1" applyFill="1" applyBorder="1" applyAlignment="1">
      <alignment horizontal="center" vertical="center"/>
    </xf>
    <xf numFmtId="49" fontId="31" fillId="28" borderId="35" xfId="5" applyNumberFormat="1" applyFont="1" applyFill="1" applyBorder="1" applyAlignment="1">
      <alignment horizontal="center" vertical="center"/>
    </xf>
    <xf numFmtId="49" fontId="31" fillId="28" borderId="33" xfId="5" applyNumberFormat="1" applyFont="1" applyFill="1" applyBorder="1" applyAlignment="1">
      <alignment horizontal="center" vertical="center"/>
    </xf>
    <xf numFmtId="0" fontId="31" fillId="29" borderId="35" xfId="5" applyFont="1" applyFill="1" applyBorder="1" applyAlignment="1">
      <alignment horizontal="center" vertical="center"/>
    </xf>
    <xf numFmtId="0" fontId="31" fillId="29" borderId="33" xfId="5" applyFont="1" applyFill="1" applyBorder="1" applyAlignment="1">
      <alignment horizontal="center" vertical="center"/>
    </xf>
    <xf numFmtId="0" fontId="31" fillId="29" borderId="36" xfId="5" applyFont="1" applyFill="1" applyBorder="1" applyAlignment="1">
      <alignment horizontal="center" vertical="center"/>
    </xf>
    <xf numFmtId="0" fontId="31" fillId="29" borderId="38" xfId="5" applyFont="1" applyFill="1" applyBorder="1" applyAlignment="1">
      <alignment horizontal="center" vertical="center"/>
    </xf>
    <xf numFmtId="0" fontId="40" fillId="0" borderId="0" xfId="5" applyFont="1" applyAlignment="1">
      <alignment horizontal="center" vertical="center"/>
    </xf>
    <xf numFmtId="17" fontId="31" fillId="13" borderId="34" xfId="5" quotePrefix="1" applyNumberFormat="1" applyFont="1" applyFill="1" applyBorder="1" applyAlignment="1">
      <alignment horizontal="center" vertical="center"/>
    </xf>
    <xf numFmtId="17" fontId="31" fillId="13" borderId="37" xfId="5" quotePrefix="1" applyNumberFormat="1" applyFont="1" applyFill="1" applyBorder="1" applyAlignment="1">
      <alignment horizontal="center" vertical="center"/>
    </xf>
    <xf numFmtId="49" fontId="31" fillId="13" borderId="35" xfId="5" applyNumberFormat="1" applyFont="1" applyFill="1" applyBorder="1" applyAlignment="1">
      <alignment horizontal="center" vertical="center"/>
    </xf>
    <xf numFmtId="49" fontId="31" fillId="13" borderId="33" xfId="5" applyNumberFormat="1" applyFont="1" applyFill="1" applyBorder="1" applyAlignment="1">
      <alignment horizontal="center" vertical="center"/>
    </xf>
    <xf numFmtId="0" fontId="31" fillId="13" borderId="35" xfId="5" applyFont="1" applyFill="1" applyBorder="1" applyAlignment="1">
      <alignment horizontal="center" vertical="center"/>
    </xf>
    <xf numFmtId="0" fontId="31" fillId="13" borderId="33" xfId="5" applyFont="1" applyFill="1" applyBorder="1" applyAlignment="1">
      <alignment horizontal="center" vertical="center"/>
    </xf>
    <xf numFmtId="0" fontId="31" fillId="29" borderId="34" xfId="5" applyFont="1" applyFill="1" applyBorder="1" applyAlignment="1">
      <alignment horizontal="center" vertical="center"/>
    </xf>
    <xf numFmtId="0" fontId="31" fillId="29" borderId="37" xfId="5" applyFont="1" applyFill="1" applyBorder="1" applyAlignment="1">
      <alignment horizontal="center" vertical="center"/>
    </xf>
    <xf numFmtId="164" fontId="37" fillId="29" borderId="35" xfId="5" applyNumberFormat="1" applyFont="1" applyFill="1" applyBorder="1" applyAlignment="1">
      <alignment horizontal="center" vertical="center"/>
    </xf>
    <xf numFmtId="164" fontId="37" fillId="29" borderId="33" xfId="5" applyNumberFormat="1" applyFont="1" applyFill="1" applyBorder="1" applyAlignment="1">
      <alignment horizontal="center" vertical="center"/>
    </xf>
    <xf numFmtId="17" fontId="31" fillId="29" borderId="34" xfId="5" applyNumberFormat="1" applyFont="1" applyFill="1" applyBorder="1" applyAlignment="1">
      <alignment horizontal="center" vertical="center"/>
    </xf>
    <xf numFmtId="17" fontId="31" fillId="29" borderId="37" xfId="5" quotePrefix="1" applyNumberFormat="1" applyFont="1" applyFill="1" applyBorder="1" applyAlignment="1">
      <alignment horizontal="center" vertical="center"/>
    </xf>
    <xf numFmtId="49" fontId="31" fillId="29" borderId="35" xfId="5" applyNumberFormat="1" applyFont="1" applyFill="1" applyBorder="1" applyAlignment="1">
      <alignment horizontal="center" vertical="center"/>
    </xf>
    <xf numFmtId="49" fontId="31" fillId="29" borderId="33" xfId="5" applyNumberFormat="1" applyFont="1" applyFill="1" applyBorder="1" applyAlignment="1">
      <alignment horizontal="center" vertical="center"/>
    </xf>
    <xf numFmtId="0" fontId="42" fillId="16" borderId="34" xfId="5" applyFont="1" applyFill="1" applyBorder="1" applyAlignment="1">
      <alignment horizontal="center" vertical="center" wrapText="1" shrinkToFit="1"/>
    </xf>
    <xf numFmtId="0" fontId="42" fillId="16" borderId="35" xfId="5" applyFont="1" applyFill="1" applyBorder="1" applyAlignment="1">
      <alignment horizontal="center" vertical="center" wrapText="1" shrinkToFit="1"/>
    </xf>
    <xf numFmtId="0" fontId="42" fillId="16" borderId="58" xfId="5" applyFont="1" applyFill="1" applyBorder="1" applyAlignment="1">
      <alignment horizontal="center" vertical="center" wrapText="1" shrinkToFit="1"/>
    </xf>
    <xf numFmtId="0" fontId="42" fillId="16" borderId="0" xfId="5" applyFont="1" applyFill="1" applyAlignment="1">
      <alignment horizontal="center" vertical="center" wrapText="1" shrinkToFit="1"/>
    </xf>
    <xf numFmtId="0" fontId="42" fillId="16" borderId="37" xfId="5" applyFont="1" applyFill="1" applyBorder="1" applyAlignment="1">
      <alignment horizontal="center" vertical="center" wrapText="1" shrinkToFit="1"/>
    </xf>
    <xf numFmtId="0" fontId="42" fillId="16" borderId="33" xfId="5" applyFont="1" applyFill="1" applyBorder="1" applyAlignment="1">
      <alignment horizontal="center" vertical="center" wrapText="1" shrinkToFit="1"/>
    </xf>
    <xf numFmtId="0" fontId="43" fillId="19" borderId="21" xfId="5" applyFont="1" applyFill="1" applyBorder="1" applyAlignment="1">
      <alignment horizontal="center" vertical="center"/>
    </xf>
    <xf numFmtId="0" fontId="43" fillId="19" borderId="25" xfId="5" applyFont="1" applyFill="1" applyBorder="1" applyAlignment="1">
      <alignment horizontal="center" vertical="center"/>
    </xf>
    <xf numFmtId="0" fontId="43" fillId="19" borderId="26" xfId="5" applyFont="1" applyFill="1" applyBorder="1" applyAlignment="1">
      <alignment horizontal="center" vertical="center"/>
    </xf>
    <xf numFmtId="0" fontId="31" fillId="13" borderId="34" xfId="5" applyFont="1" applyFill="1" applyBorder="1" applyAlignment="1">
      <alignment horizontal="center" vertical="center"/>
    </xf>
    <xf numFmtId="0" fontId="31" fillId="13" borderId="37" xfId="5" applyFont="1" applyFill="1" applyBorder="1" applyAlignment="1">
      <alignment horizontal="center" vertical="center"/>
    </xf>
    <xf numFmtId="164" fontId="37" fillId="13" borderId="35" xfId="5" applyNumberFormat="1" applyFont="1" applyFill="1" applyBorder="1" applyAlignment="1">
      <alignment horizontal="center" vertical="center"/>
    </xf>
    <xf numFmtId="164" fontId="37" fillId="13" borderId="33" xfId="5" applyNumberFormat="1" applyFont="1" applyFill="1" applyBorder="1" applyAlignment="1">
      <alignment horizontal="center" vertical="center"/>
    </xf>
    <xf numFmtId="0" fontId="44" fillId="0" borderId="1" xfId="5" applyFont="1" applyBorder="1" applyAlignment="1">
      <alignment horizontal="center" vertical="center" textRotation="90"/>
    </xf>
    <xf numFmtId="0" fontId="44" fillId="0" borderId="64" xfId="5" applyFont="1" applyBorder="1" applyAlignment="1">
      <alignment horizontal="center" vertical="center" textRotation="90"/>
    </xf>
    <xf numFmtId="0" fontId="44" fillId="0" borderId="29" xfId="5" applyFont="1" applyBorder="1" applyAlignment="1">
      <alignment horizontal="center" vertical="center" textRotation="90"/>
    </xf>
    <xf numFmtId="0" fontId="31" fillId="0" borderId="1" xfId="5" applyFont="1" applyBorder="1" applyAlignment="1">
      <alignment horizontal="center" vertical="center" textRotation="90"/>
    </xf>
    <xf numFmtId="0" fontId="31" fillId="0" borderId="64" xfId="5" applyFont="1" applyBorder="1" applyAlignment="1">
      <alignment horizontal="center" vertical="center" textRotation="90"/>
    </xf>
    <xf numFmtId="0" fontId="31" fillId="0" borderId="29" xfId="5" applyFont="1" applyBorder="1" applyAlignment="1">
      <alignment horizontal="center" vertical="center" textRotation="90"/>
    </xf>
    <xf numFmtId="17" fontId="31" fillId="0" borderId="1" xfId="5" applyNumberFormat="1" applyFont="1" applyBorder="1" applyAlignment="1">
      <alignment horizontal="center" vertical="center" textRotation="90"/>
    </xf>
    <xf numFmtId="0" fontId="45" fillId="0" borderId="0" xfId="5" applyFont="1" applyAlignment="1">
      <alignment horizontal="center" vertical="center"/>
    </xf>
    <xf numFmtId="0" fontId="31" fillId="13" borderId="36" xfId="5" applyFont="1" applyFill="1" applyBorder="1" applyAlignment="1">
      <alignment horizontal="center" vertical="center"/>
    </xf>
    <xf numFmtId="0" fontId="31" fillId="13" borderId="38" xfId="5" applyFont="1" applyFill="1" applyBorder="1" applyAlignment="1">
      <alignment horizontal="center" vertical="center"/>
    </xf>
    <xf numFmtId="0" fontId="52" fillId="12" borderId="5" xfId="6" applyFont="1" applyFill="1" applyBorder="1" applyAlignment="1">
      <alignment horizontal="center" vertical="center" shrinkToFit="1"/>
    </xf>
    <xf numFmtId="0" fontId="52" fillId="12" borderId="10" xfId="6" applyFont="1" applyFill="1" applyBorder="1" applyAlignment="1">
      <alignment horizontal="center" vertical="center" shrinkToFit="1"/>
    </xf>
    <xf numFmtId="0" fontId="52" fillId="12" borderId="11" xfId="6" applyFont="1" applyFill="1" applyBorder="1" applyAlignment="1">
      <alignment horizontal="center" vertical="center" shrinkToFit="1"/>
    </xf>
    <xf numFmtId="0" fontId="15" fillId="12" borderId="5" xfId="6" applyFill="1" applyBorder="1" applyAlignment="1">
      <alignment horizontal="center" vertical="center"/>
    </xf>
    <xf numFmtId="0" fontId="15" fillId="12" borderId="65" xfId="6" applyFill="1" applyBorder="1" applyAlignment="1">
      <alignment horizontal="center" vertical="center"/>
    </xf>
    <xf numFmtId="0" fontId="35" fillId="0" borderId="10" xfId="6" applyFont="1" applyBorder="1" applyAlignment="1">
      <alignment horizontal="center" vertical="center" shrinkToFit="1"/>
    </xf>
    <xf numFmtId="0" fontId="35" fillId="0" borderId="11" xfId="6" applyFont="1" applyBorder="1" applyAlignment="1">
      <alignment horizontal="center" vertical="center" shrinkToFit="1"/>
    </xf>
    <xf numFmtId="0" fontId="54" fillId="0" borderId="10" xfId="6" applyFont="1" applyBorder="1" applyAlignment="1">
      <alignment horizontal="center" vertical="center" shrinkToFit="1"/>
    </xf>
    <xf numFmtId="0" fontId="54" fillId="0" borderId="11" xfId="6" applyFont="1" applyBorder="1" applyAlignment="1">
      <alignment horizontal="center" vertical="center" shrinkToFit="1"/>
    </xf>
    <xf numFmtId="166" fontId="54" fillId="0" borderId="5" xfId="6" applyNumberFormat="1" applyFont="1" applyBorder="1" applyAlignment="1">
      <alignment horizontal="center" vertical="center" shrinkToFit="1"/>
    </xf>
    <xf numFmtId="166" fontId="54" fillId="0" borderId="66" xfId="6" applyNumberFormat="1" applyFont="1" applyBorder="1" applyAlignment="1">
      <alignment horizontal="center" vertical="center" shrinkToFit="1"/>
    </xf>
    <xf numFmtId="20" fontId="54" fillId="0" borderId="67" xfId="6" applyNumberFormat="1" applyFont="1" applyBorder="1" applyAlignment="1">
      <alignment horizontal="center" vertical="center" shrinkToFit="1"/>
    </xf>
    <xf numFmtId="0" fontId="54" fillId="0" borderId="66" xfId="6" applyFont="1" applyBorder="1" applyAlignment="1">
      <alignment horizontal="center" vertical="center" shrinkToFit="1"/>
    </xf>
    <xf numFmtId="0" fontId="54" fillId="0" borderId="67" xfId="6" applyFont="1" applyBorder="1" applyAlignment="1">
      <alignment horizontal="center" vertical="center" shrinkToFit="1"/>
    </xf>
    <xf numFmtId="0" fontId="29" fillId="12" borderId="1" xfId="6" applyFont="1" applyFill="1" applyBorder="1" applyAlignment="1">
      <alignment horizontal="center" vertical="center" textRotation="90"/>
    </xf>
    <xf numFmtId="0" fontId="29" fillId="12" borderId="64" xfId="6" applyFont="1" applyFill="1" applyBorder="1" applyAlignment="1">
      <alignment horizontal="center" vertical="center" textRotation="90"/>
    </xf>
    <xf numFmtId="0" fontId="29" fillId="12" borderId="29" xfId="6" applyFont="1" applyFill="1" applyBorder="1" applyAlignment="1">
      <alignment horizontal="center" vertical="center" textRotation="90"/>
    </xf>
    <xf numFmtId="0" fontId="59" fillId="0" borderId="58" xfId="6" applyFont="1" applyBorder="1" applyAlignment="1">
      <alignment horizontal="center" vertical="center" shrinkToFit="1"/>
    </xf>
    <xf numFmtId="0" fontId="59" fillId="0" borderId="0" xfId="6" applyFont="1" applyAlignment="1">
      <alignment horizontal="center" vertical="center" shrinkToFit="1"/>
    </xf>
    <xf numFmtId="0" fontId="59" fillId="0" borderId="22" xfId="6" applyFont="1" applyBorder="1" applyAlignment="1">
      <alignment horizontal="center" vertical="center" shrinkToFit="1"/>
    </xf>
    <xf numFmtId="0" fontId="62" fillId="0" borderId="34" xfId="6" applyFont="1" applyBorder="1" applyAlignment="1">
      <alignment horizontal="center" vertical="center"/>
    </xf>
    <xf numFmtId="0" fontId="62" fillId="0" borderId="35" xfId="6" applyFont="1" applyBorder="1" applyAlignment="1">
      <alignment horizontal="center" vertical="center"/>
    </xf>
    <xf numFmtId="0" fontId="62" fillId="0" borderId="36" xfId="6" applyFont="1" applyBorder="1" applyAlignment="1">
      <alignment horizontal="center" vertical="center"/>
    </xf>
    <xf numFmtId="0" fontId="62" fillId="0" borderId="37" xfId="6" applyFont="1" applyBorder="1" applyAlignment="1">
      <alignment horizontal="center" vertical="center"/>
    </xf>
    <xf numFmtId="0" fontId="62" fillId="0" borderId="33" xfId="6" applyFont="1" applyBorder="1" applyAlignment="1">
      <alignment horizontal="center" vertical="center"/>
    </xf>
    <xf numFmtId="0" fontId="62" fillId="0" borderId="38" xfId="6" applyFont="1" applyBorder="1" applyAlignment="1">
      <alignment horizontal="center" vertical="center"/>
    </xf>
    <xf numFmtId="0" fontId="63" fillId="0" borderId="77" xfId="6" applyFont="1" applyBorder="1" applyAlignment="1">
      <alignment vertical="top"/>
    </xf>
    <xf numFmtId="0" fontId="63" fillId="0" borderId="10" xfId="6" applyFont="1" applyBorder="1" applyAlignment="1">
      <alignment vertical="top"/>
    </xf>
    <xf numFmtId="0" fontId="63" fillId="0" borderId="11" xfId="6" applyFont="1" applyBorder="1" applyAlignment="1">
      <alignment vertical="top"/>
    </xf>
    <xf numFmtId="0" fontId="15" fillId="12" borderId="62" xfId="6" applyFill="1" applyBorder="1" applyAlignment="1">
      <alignment horizontal="center" vertical="center"/>
    </xf>
    <xf numFmtId="0" fontId="15" fillId="12" borderId="63" xfId="6" applyFill="1" applyBorder="1" applyAlignment="1">
      <alignment horizontal="center" vertical="center"/>
    </xf>
    <xf numFmtId="0" fontId="15" fillId="12" borderId="78" xfId="6" applyFill="1" applyBorder="1" applyAlignment="1">
      <alignment horizontal="center" vertical="center"/>
    </xf>
    <xf numFmtId="0" fontId="39" fillId="12" borderId="62" xfId="6" applyFont="1" applyFill="1" applyBorder="1" applyAlignment="1">
      <alignment horizontal="center" vertical="center"/>
    </xf>
    <xf numFmtId="0" fontId="39" fillId="12" borderId="63" xfId="6" applyFont="1" applyFill="1" applyBorder="1" applyAlignment="1">
      <alignment horizontal="center" vertical="center"/>
    </xf>
    <xf numFmtId="0" fontId="39" fillId="12" borderId="28" xfId="6" applyFont="1" applyFill="1" applyBorder="1" applyAlignment="1">
      <alignment horizontal="center" vertical="center"/>
    </xf>
    <xf numFmtId="0" fontId="15" fillId="12" borderId="28" xfId="6" applyFill="1" applyBorder="1" applyAlignment="1">
      <alignment horizontal="center" vertical="center"/>
    </xf>
    <xf numFmtId="0" fontId="65" fillId="0" borderId="80" xfId="6" applyFont="1" applyBorder="1" applyAlignment="1">
      <alignment horizontal="left" vertical="center"/>
    </xf>
    <xf numFmtId="0" fontId="65" fillId="0" borderId="63" xfId="6" applyFont="1" applyBorder="1" applyAlignment="1">
      <alignment horizontal="left" vertical="center"/>
    </xf>
    <xf numFmtId="0" fontId="65" fillId="0" borderId="78" xfId="6" applyFont="1" applyBorder="1" applyAlignment="1">
      <alignment horizontal="left" vertical="center"/>
    </xf>
    <xf numFmtId="0" fontId="17" fillId="12" borderId="62" xfId="6" applyFont="1" applyFill="1" applyBorder="1" applyAlignment="1">
      <alignment horizontal="center" vertical="center"/>
    </xf>
    <xf numFmtId="0" fontId="17" fillId="12" borderId="63" xfId="6" applyFont="1" applyFill="1" applyBorder="1" applyAlignment="1">
      <alignment horizontal="center" vertical="center"/>
    </xf>
    <xf numFmtId="0" fontId="17" fillId="12" borderId="78" xfId="6" applyFont="1" applyFill="1" applyBorder="1" applyAlignment="1">
      <alignment horizontal="center" vertical="center"/>
    </xf>
    <xf numFmtId="0" fontId="15" fillId="12" borderId="37" xfId="6" applyFill="1" applyBorder="1" applyAlignment="1">
      <alignment horizontal="center" vertical="center"/>
    </xf>
    <xf numFmtId="0" fontId="15" fillId="12" borderId="33" xfId="6" applyFill="1" applyBorder="1" applyAlignment="1">
      <alignment horizontal="center" vertical="center"/>
    </xf>
    <xf numFmtId="0" fontId="15" fillId="12" borderId="38" xfId="6" applyFill="1" applyBorder="1" applyAlignment="1">
      <alignment horizontal="center" vertical="center"/>
    </xf>
    <xf numFmtId="0" fontId="1" fillId="0" borderId="0" xfId="7" applyAlignment="1">
      <alignment horizontal="center"/>
    </xf>
    <xf numFmtId="0" fontId="66" fillId="30" borderId="81" xfId="7" applyFont="1" applyFill="1" applyBorder="1" applyAlignment="1">
      <alignment horizontal="center"/>
    </xf>
    <xf numFmtId="0" fontId="67" fillId="0" borderId="82" xfId="7" applyFont="1" applyBorder="1"/>
    <xf numFmtId="0" fontId="67" fillId="0" borderId="83" xfId="7" applyFont="1" applyBorder="1"/>
    <xf numFmtId="0" fontId="66" fillId="30" borderId="84" xfId="7" applyFont="1" applyFill="1" applyBorder="1" applyAlignment="1">
      <alignment horizontal="center"/>
    </xf>
    <xf numFmtId="0" fontId="66" fillId="30" borderId="85" xfId="7" applyFont="1" applyFill="1" applyBorder="1" applyAlignment="1">
      <alignment horizontal="center"/>
    </xf>
    <xf numFmtId="0" fontId="66" fillId="30" borderId="86" xfId="7" applyFont="1" applyFill="1" applyBorder="1" applyAlignment="1">
      <alignment horizontal="center"/>
    </xf>
  </cellXfs>
  <cellStyles count="8">
    <cellStyle name="Normal" xfId="0" builtinId="0"/>
    <cellStyle name="Normal 2" xfId="7" xr:uid="{35562A55-630F-4574-87F4-6F0D011DC526}"/>
    <cellStyle name="Normal 2 2" xfId="6" xr:uid="{DCDD2FBD-4732-40B3-B528-61AA890EF5DE}"/>
    <cellStyle name="Normal 4" xfId="2" xr:uid="{367AA09A-4632-41CF-99A6-3327F21F02E5}"/>
    <cellStyle name="Normal 5" xfId="4" xr:uid="{712D95D7-7F53-4036-A55B-5959D069ECCA}"/>
    <cellStyle name="Normal 7" xfId="1" xr:uid="{945DAA70-8305-4683-8BD0-D32B2C89D1D6}"/>
    <cellStyle name="Normal_LINZ" xfId="3" xr:uid="{75F7517B-EFC9-41F5-89AE-6716E20284EE}"/>
    <cellStyle name="Normal_SYOC 2006" xfId="5" xr:uid="{5A8C1CC5-02A3-4764-8899-B7D321C2D0C9}"/>
  </cellStyles>
  <dxfs count="18">
    <dxf>
      <font>
        <condense val="0"/>
        <extend val="0"/>
        <color indexed="9"/>
      </font>
    </dxf>
    <dxf>
      <fill>
        <patternFill>
          <bgColor indexed="35"/>
        </patternFill>
      </fill>
    </dxf>
    <dxf>
      <font>
        <condense val="0"/>
        <extend val="0"/>
        <color indexed="10"/>
      </font>
      <fill>
        <patternFill>
          <bgColor indexed="34"/>
        </patternFill>
      </fill>
    </dxf>
    <dxf>
      <font>
        <condense val="0"/>
        <extend val="0"/>
        <color indexed="13"/>
      </font>
    </dxf>
    <dxf>
      <font>
        <condense val="0"/>
        <extend val="0"/>
        <color indexed="9"/>
      </font>
    </dxf>
    <dxf>
      <font>
        <condense val="0"/>
        <extend val="0"/>
        <color indexed="43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microsoft.com/office/2017/06/relationships/rdRichValueStructure" Target="richData/rdrichvaluestructure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5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microsoft.com/office/2022/10/relationships/richValueRel" Target="richData/richValueRel.xml"/><Relationship Id="rId40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theme" Target="theme/theme1.xml"/><Relationship Id="rId38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201705</xdr:colOff>
      <xdr:row>3</xdr:row>
      <xdr:rowOff>7471</xdr:rowOff>
    </xdr:from>
    <xdr:to>
      <xdr:col>9</xdr:col>
      <xdr:colOff>451228</xdr:colOff>
      <xdr:row>6</xdr:row>
      <xdr:rowOff>29882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997FC8-363B-464F-8F61-C52BD51AE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999" y="545353"/>
          <a:ext cx="6562170" cy="7395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59765</xdr:colOff>
      <xdr:row>2</xdr:row>
      <xdr:rowOff>127000</xdr:rowOff>
    </xdr:from>
    <xdr:to>
      <xdr:col>9</xdr:col>
      <xdr:colOff>637994</xdr:colOff>
      <xdr:row>5</xdr:row>
      <xdr:rowOff>298823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CBC1482-36A5-40AB-B338-F090346E7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059" y="485588"/>
          <a:ext cx="6562170" cy="7395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283882</xdr:colOff>
      <xdr:row>3</xdr:row>
      <xdr:rowOff>7471</xdr:rowOff>
    </xdr:from>
    <xdr:to>
      <xdr:col>9</xdr:col>
      <xdr:colOff>891993</xdr:colOff>
      <xdr:row>6</xdr:row>
      <xdr:rowOff>29882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7094E0-6F44-42FD-9AEC-9179D1D34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82" y="545353"/>
          <a:ext cx="6562170" cy="7395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74705</xdr:colOff>
      <xdr:row>2</xdr:row>
      <xdr:rowOff>149412</xdr:rowOff>
    </xdr:from>
    <xdr:to>
      <xdr:col>9</xdr:col>
      <xdr:colOff>391463</xdr:colOff>
      <xdr:row>5</xdr:row>
      <xdr:rowOff>321235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9C69610-F865-4174-9417-2F067D9A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508000"/>
          <a:ext cx="6562170" cy="73958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164353</xdr:rowOff>
    </xdr:from>
    <xdr:to>
      <xdr:col>9</xdr:col>
      <xdr:colOff>555817</xdr:colOff>
      <xdr:row>6</xdr:row>
      <xdr:rowOff>7470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9FE2EE-9CDB-465C-A5EA-2C467D7A9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294" y="522941"/>
          <a:ext cx="6562170" cy="73958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216647</xdr:colOff>
      <xdr:row>2</xdr:row>
      <xdr:rowOff>149412</xdr:rowOff>
    </xdr:from>
    <xdr:to>
      <xdr:col>10</xdr:col>
      <xdr:colOff>47817</xdr:colOff>
      <xdr:row>5</xdr:row>
      <xdr:rowOff>321235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083DB34-88CC-4D92-BE14-8B1B7A8DE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647" y="508000"/>
          <a:ext cx="6562170" cy="73958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283882</xdr:colOff>
      <xdr:row>2</xdr:row>
      <xdr:rowOff>156882</xdr:rowOff>
    </xdr:from>
    <xdr:to>
      <xdr:col>6</xdr:col>
      <xdr:colOff>794876</xdr:colOff>
      <xdr:row>5</xdr:row>
      <xdr:rowOff>328705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8BA1CFB-632E-48F7-9F0F-AB5CDF187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82" y="515470"/>
          <a:ext cx="6562170" cy="73958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67235</xdr:colOff>
      <xdr:row>2</xdr:row>
      <xdr:rowOff>164353</xdr:rowOff>
    </xdr:from>
    <xdr:to>
      <xdr:col>10</xdr:col>
      <xdr:colOff>2993</xdr:colOff>
      <xdr:row>6</xdr:row>
      <xdr:rowOff>7470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0058A1F-4D66-47E4-8811-68926709B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529" y="522941"/>
          <a:ext cx="6562170" cy="739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283882</xdr:colOff>
      <xdr:row>2</xdr:row>
      <xdr:rowOff>141941</xdr:rowOff>
    </xdr:from>
    <xdr:to>
      <xdr:col>9</xdr:col>
      <xdr:colOff>682817</xdr:colOff>
      <xdr:row>5</xdr:row>
      <xdr:rowOff>313764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7881689-490C-40A4-BBB3-8173379AB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82" y="500529"/>
          <a:ext cx="6562170" cy="73958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104588</xdr:colOff>
      <xdr:row>3</xdr:row>
      <xdr:rowOff>1</xdr:rowOff>
    </xdr:from>
    <xdr:to>
      <xdr:col>9</xdr:col>
      <xdr:colOff>697758</xdr:colOff>
      <xdr:row>6</xdr:row>
      <xdr:rowOff>22412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F038DE8-3464-49B6-926F-45FCFC706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882" y="537883"/>
          <a:ext cx="6562170" cy="73958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164353</xdr:rowOff>
    </xdr:from>
    <xdr:to>
      <xdr:col>9</xdr:col>
      <xdr:colOff>204699</xdr:colOff>
      <xdr:row>6</xdr:row>
      <xdr:rowOff>7470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699BDD3-7391-4940-8329-F2EA02CA7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294" y="522941"/>
          <a:ext cx="6562170" cy="73958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44824</xdr:colOff>
      <xdr:row>2</xdr:row>
      <xdr:rowOff>164353</xdr:rowOff>
    </xdr:from>
    <xdr:to>
      <xdr:col>9</xdr:col>
      <xdr:colOff>406406</xdr:colOff>
      <xdr:row>6</xdr:row>
      <xdr:rowOff>7470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E35F466-3917-4188-9504-49E717666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118" y="522941"/>
          <a:ext cx="6562170" cy="73958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89647</xdr:colOff>
      <xdr:row>2</xdr:row>
      <xdr:rowOff>164353</xdr:rowOff>
    </xdr:from>
    <xdr:to>
      <xdr:col>9</xdr:col>
      <xdr:colOff>690287</xdr:colOff>
      <xdr:row>6</xdr:row>
      <xdr:rowOff>7470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D4028C-682A-4A5D-AB85-C8C56D34F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5941" y="522941"/>
          <a:ext cx="6562170" cy="73958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37353</xdr:colOff>
      <xdr:row>2</xdr:row>
      <xdr:rowOff>127000</xdr:rowOff>
    </xdr:from>
    <xdr:to>
      <xdr:col>9</xdr:col>
      <xdr:colOff>645464</xdr:colOff>
      <xdr:row>5</xdr:row>
      <xdr:rowOff>298823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7882ABC-DF06-465B-86B2-4FD687ED2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647" y="485588"/>
          <a:ext cx="6562170" cy="73958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14941</xdr:colOff>
      <xdr:row>3</xdr:row>
      <xdr:rowOff>156882</xdr:rowOff>
    </xdr:from>
    <xdr:to>
      <xdr:col>10</xdr:col>
      <xdr:colOff>10464</xdr:colOff>
      <xdr:row>6</xdr:row>
      <xdr:rowOff>59764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EF9315-7B82-4579-A861-FF3A8659D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5941" y="694764"/>
          <a:ext cx="6562170" cy="73958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7470</xdr:colOff>
      <xdr:row>3</xdr:row>
      <xdr:rowOff>37354</xdr:rowOff>
    </xdr:from>
    <xdr:to>
      <xdr:col>9</xdr:col>
      <xdr:colOff>1038412</xdr:colOff>
      <xdr:row>6</xdr:row>
      <xdr:rowOff>18202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3A02F9-61EB-43C1-98DB-F96E2DB3E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470" y="575236"/>
          <a:ext cx="7253942" cy="81755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6350</xdr:rowOff>
    </xdr:from>
    <xdr:to>
      <xdr:col>5</xdr:col>
      <xdr:colOff>1682750</xdr:colOff>
      <xdr:row>4</xdr:row>
      <xdr:rowOff>109966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F8A3FDB-548F-4D00-8355-E7E201872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152400"/>
          <a:ext cx="4806950" cy="54176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51</xdr:col>
      <xdr:colOff>685800</xdr:colOff>
      <xdr:row>0</xdr:row>
      <xdr:rowOff>69850</xdr:rowOff>
    </xdr:from>
    <xdr:to>
      <xdr:col>55</xdr:col>
      <xdr:colOff>577850</xdr:colOff>
      <xdr:row>0</xdr:row>
      <xdr:rowOff>511422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FB4D7A3-0D22-4530-A760-7303DD110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79750" y="69850"/>
          <a:ext cx="3917950" cy="44157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190500</xdr:colOff>
      <xdr:row>2</xdr:row>
      <xdr:rowOff>31750</xdr:rowOff>
    </xdr:from>
    <xdr:to>
      <xdr:col>14</xdr:col>
      <xdr:colOff>50800</xdr:colOff>
      <xdr:row>2</xdr:row>
      <xdr:rowOff>473322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07C5EBF-0582-430D-BA91-73D2825BE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050" y="514350"/>
          <a:ext cx="3917950" cy="441572"/>
        </a:xfrm>
        <a:prstGeom prst="rect">
          <a:avLst/>
        </a:prstGeom>
      </xdr:spPr>
    </xdr:pic>
    <xdr:clientData/>
  </xdr:twoCellAnchor>
  <xdr:twoCellAnchor editAs="oneCell">
    <xdr:from>
      <xdr:col>3</xdr:col>
      <xdr:colOff>241300</xdr:colOff>
      <xdr:row>22</xdr:row>
      <xdr:rowOff>69850</xdr:rowOff>
    </xdr:from>
    <xdr:to>
      <xdr:col>14</xdr:col>
      <xdr:colOff>101600</xdr:colOff>
      <xdr:row>22</xdr:row>
      <xdr:rowOff>511422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475CC3-2575-4C54-AA0B-AC42C8FC1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850" y="6781800"/>
          <a:ext cx="3917950" cy="44157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6</xdr:row>
      <xdr:rowOff>6350</xdr:rowOff>
    </xdr:from>
    <xdr:to>
      <xdr:col>5</xdr:col>
      <xdr:colOff>2006600</xdr:colOff>
      <xdr:row>9</xdr:row>
      <xdr:rowOff>76811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40F85DF-0314-41AB-BB72-3A3FDC204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1149350"/>
          <a:ext cx="5695950" cy="6419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\doc\40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\IJ\BURGOS\indiydo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\BURGOS\ACTASind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\sony\ABSOLUTO\ACTA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\yo\Cadete%20con%20f&#243;rmula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d%20Folders\Documents%20and%20Settings\Propietario\Mis%20documentos\ittf\WJTTC%202005%20AUT\LINZ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\COPAREY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d%20Folders\Documents%20and%20Settings\Propietario\Mis%20documentos\ittf\WJC%202006-05%20ESP\SYOC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"/>
      <sheetName val="Eq"/>
      <sheetName val="POR"/>
      <sheetName val="HON"/>
      <sheetName val="EM1"/>
      <sheetName val="EM2"/>
      <sheetName val="EM3"/>
      <sheetName val="EF1"/>
      <sheetName val="EF2"/>
      <sheetName val="pr IM"/>
      <sheetName val="pr IF"/>
      <sheetName val="pr DM"/>
      <sheetName val="pr DF"/>
      <sheetName val="pr DX"/>
      <sheetName val="CUIM"/>
      <sheetName val="CUIF"/>
      <sheetName val="CUDM"/>
      <sheetName val="CUDF"/>
      <sheetName val="CUDX"/>
      <sheetName val="AE"/>
      <sheetName val="E"/>
      <sheetName val="EQF"/>
      <sheetName val="AEF"/>
      <sheetName val="EF"/>
      <sheetName val="AI"/>
      <sheetName val="I"/>
      <sheetName val="Af"/>
      <sheetName val="AIf"/>
      <sheetName val="ADm"/>
      <sheetName val="ACDm"/>
      <sheetName val="ADf"/>
      <sheetName val="ACdfem"/>
      <sheetName val="ADx"/>
      <sheetName val="ACDx"/>
      <sheetName val="Dorsal"/>
      <sheetName val="SOR-IM"/>
      <sheetName val="SOR-IF"/>
      <sheetName val="SOR-DM"/>
      <sheetName val="SOR-DF"/>
      <sheetName val="SOR-D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1">
          <cell r="A1" t="str">
            <v>ACTA</v>
          </cell>
          <cell r="B1" t="str">
            <v>A</v>
          </cell>
          <cell r="C1" t="str">
            <v>B</v>
          </cell>
          <cell r="D1" t="str">
            <v>U</v>
          </cell>
          <cell r="E1" t="str">
            <v>Fase</v>
          </cell>
          <cell r="F1" t="str">
            <v>Día</v>
          </cell>
          <cell r="G1" t="str">
            <v>Hora</v>
          </cell>
          <cell r="H1" t="str">
            <v>Mesa</v>
          </cell>
          <cell r="I1" t="str">
            <v>Nombre A</v>
          </cell>
          <cell r="J1" t="str">
            <v>COM</v>
          </cell>
          <cell r="K1" t="str">
            <v>Nombre B</v>
          </cell>
          <cell r="L1" t="str">
            <v>COM</v>
          </cell>
          <cell r="M1" t="str">
            <v>Categoría</v>
          </cell>
          <cell r="N1" t="str">
            <v>APELLIDOS Arb.</v>
          </cell>
          <cell r="O1" t="str">
            <v>NOMBRE Arb.</v>
          </cell>
          <cell r="P1" t="str">
            <v>Nº Licencia</v>
          </cell>
        </row>
        <row r="2">
          <cell r="A2">
            <v>1</v>
          </cell>
          <cell r="B2">
            <v>2</v>
          </cell>
          <cell r="C2">
            <v>5</v>
          </cell>
          <cell r="E2" t="str">
            <v>1ª Jornada - Grupo 1</v>
          </cell>
          <cell r="F2">
            <v>27</v>
          </cell>
          <cell r="G2">
            <v>0.6875</v>
          </cell>
          <cell r="H2">
            <v>1</v>
          </cell>
          <cell r="I2" t="str">
            <v>A.D. GASTÉIZ</v>
          </cell>
          <cell r="J2" t="str">
            <v>PVS</v>
          </cell>
          <cell r="K2" t="str">
            <v>C.T.M. CÁRTAMA</v>
          </cell>
          <cell r="L2" t="str">
            <v>AND</v>
          </cell>
          <cell r="M2" t="str">
            <v>Equipos Masculinos Juveniles</v>
          </cell>
        </row>
        <row r="3">
          <cell r="A3">
            <v>2</v>
          </cell>
          <cell r="B3">
            <v>3</v>
          </cell>
          <cell r="C3">
            <v>4</v>
          </cell>
          <cell r="E3" t="str">
            <v>1ª Jornada - Grupo 1</v>
          </cell>
          <cell r="F3">
            <v>27</v>
          </cell>
          <cell r="G3">
            <v>0.6875</v>
          </cell>
          <cell r="H3">
            <v>2</v>
          </cell>
          <cell r="I3" t="str">
            <v>AVILÉS T.M.</v>
          </cell>
          <cell r="J3" t="str">
            <v>AST</v>
          </cell>
          <cell r="K3" t="str">
            <v>C.T.M. GETAFE</v>
          </cell>
          <cell r="L3" t="str">
            <v>MAD</v>
          </cell>
          <cell r="M3" t="str">
            <v>Equipos Masculinos Juveniles</v>
          </cell>
        </row>
        <row r="4">
          <cell r="A4">
            <v>3</v>
          </cell>
          <cell r="B4">
            <v>6</v>
          </cell>
          <cell r="C4">
            <v>9</v>
          </cell>
          <cell r="E4" t="str">
            <v>1ª Jornada - Grupo 2</v>
          </cell>
          <cell r="F4">
            <v>27</v>
          </cell>
          <cell r="G4">
            <v>0.6875</v>
          </cell>
          <cell r="H4">
            <v>3</v>
          </cell>
          <cell r="I4" t="str">
            <v>CLUB NARÓN T.M.</v>
          </cell>
          <cell r="J4" t="str">
            <v>GAL</v>
          </cell>
          <cell r="K4" t="str">
            <v>LUBERRI K.E.</v>
          </cell>
          <cell r="L4" t="str">
            <v>PVS</v>
          </cell>
          <cell r="M4" t="str">
            <v>Equipos Masculinos Juveniles</v>
          </cell>
        </row>
        <row r="5">
          <cell r="A5">
            <v>4</v>
          </cell>
          <cell r="B5">
            <v>7</v>
          </cell>
          <cell r="C5">
            <v>8</v>
          </cell>
          <cell r="E5" t="str">
            <v>1ª Jornada - Grupo 2</v>
          </cell>
          <cell r="F5">
            <v>27</v>
          </cell>
          <cell r="G5">
            <v>0.6875</v>
          </cell>
          <cell r="H5">
            <v>4</v>
          </cell>
          <cell r="I5" t="str">
            <v>C.T.M. MORATALAZ</v>
          </cell>
          <cell r="J5" t="str">
            <v>MAD</v>
          </cell>
          <cell r="K5" t="str">
            <v>A.D. HISPANIDAD</v>
          </cell>
          <cell r="L5" t="str">
            <v>AND</v>
          </cell>
          <cell r="M5" t="str">
            <v>Equipos Masculinos Juveniles</v>
          </cell>
        </row>
        <row r="6">
          <cell r="A6">
            <v>5</v>
          </cell>
          <cell r="B6">
            <v>10</v>
          </cell>
          <cell r="C6">
            <v>13</v>
          </cell>
          <cell r="E6" t="str">
            <v>1ª Jornada - Grupo 3</v>
          </cell>
          <cell r="F6">
            <v>27</v>
          </cell>
          <cell r="G6">
            <v>0.6875</v>
          </cell>
          <cell r="H6">
            <v>5</v>
          </cell>
          <cell r="I6" t="str">
            <v>C.D. ETXADI K.E.</v>
          </cell>
          <cell r="J6" t="str">
            <v>PVS</v>
          </cell>
          <cell r="K6" t="str">
            <v>CAN BERARDO RIPOLLET (SDM)</v>
          </cell>
          <cell r="L6" t="str">
            <v>CAT</v>
          </cell>
          <cell r="M6" t="str">
            <v>Equipos Masculinos Juveniles</v>
          </cell>
        </row>
        <row r="7">
          <cell r="A7">
            <v>6</v>
          </cell>
          <cell r="B7">
            <v>11</v>
          </cell>
          <cell r="C7">
            <v>12</v>
          </cell>
          <cell r="E7" t="str">
            <v>1ª Jornada - Grupo 3</v>
          </cell>
          <cell r="F7">
            <v>27</v>
          </cell>
          <cell r="G7">
            <v>0.6875</v>
          </cell>
          <cell r="H7">
            <v>6</v>
          </cell>
          <cell r="I7" t="str">
            <v>T.M. PUERTOLLANO</v>
          </cell>
          <cell r="J7" t="str">
            <v>CLM</v>
          </cell>
          <cell r="K7" t="str">
            <v>ESCOLA T.M. NARON</v>
          </cell>
          <cell r="L7" t="str">
            <v>GAL</v>
          </cell>
          <cell r="M7" t="str">
            <v>Equipos Masculinos Juveniles</v>
          </cell>
        </row>
        <row r="8">
          <cell r="A8">
            <v>7</v>
          </cell>
          <cell r="B8">
            <v>14</v>
          </cell>
          <cell r="C8">
            <v>17</v>
          </cell>
          <cell r="E8" t="str">
            <v>1ª Jornada - Grupo 4</v>
          </cell>
          <cell r="F8">
            <v>27</v>
          </cell>
          <cell r="G8">
            <v>0.6875</v>
          </cell>
          <cell r="H8">
            <v>7</v>
          </cell>
          <cell r="I8" t="str">
            <v>ECISA ALICANTE T.M.</v>
          </cell>
          <cell r="J8" t="str">
            <v>CVA</v>
          </cell>
          <cell r="K8" t="str">
            <v>E.T.M. TORRELAVEGA</v>
          </cell>
          <cell r="L8" t="str">
            <v>CTB</v>
          </cell>
          <cell r="M8" t="str">
            <v>Equipos Masculinos Juveniles</v>
          </cell>
        </row>
        <row r="9">
          <cell r="A9">
            <v>8</v>
          </cell>
          <cell r="B9">
            <v>15</v>
          </cell>
          <cell r="C9">
            <v>16</v>
          </cell>
          <cell r="E9" t="str">
            <v>1ª Jornada - Grupo 4</v>
          </cell>
          <cell r="F9">
            <v>27</v>
          </cell>
          <cell r="G9">
            <v>0.6875</v>
          </cell>
          <cell r="H9">
            <v>8</v>
          </cell>
          <cell r="I9" t="str">
            <v>DEFENSE T.M.</v>
          </cell>
          <cell r="J9" t="str">
            <v>CNR</v>
          </cell>
          <cell r="K9" t="str">
            <v>E.M. PALOS DE LA FRA.</v>
          </cell>
          <cell r="L9" t="str">
            <v>AND</v>
          </cell>
          <cell r="M9" t="str">
            <v>Equipos Masculinos Juveniles</v>
          </cell>
        </row>
        <row r="10">
          <cell r="A10">
            <v>9</v>
          </cell>
          <cell r="B10">
            <v>18</v>
          </cell>
          <cell r="C10">
            <v>21</v>
          </cell>
          <cell r="E10" t="str">
            <v>1ª Jornada - Grupo 5</v>
          </cell>
          <cell r="F10">
            <v>27</v>
          </cell>
          <cell r="G10">
            <v>0.6875</v>
          </cell>
          <cell r="H10">
            <v>9</v>
          </cell>
          <cell r="I10" t="str">
            <v>LASARTE ORIA K.E.</v>
          </cell>
          <cell r="J10" t="str">
            <v>PVS</v>
          </cell>
          <cell r="K10" t="str">
            <v>C.T.T. TRAMUNTANA</v>
          </cell>
          <cell r="L10" t="str">
            <v>CAT</v>
          </cell>
          <cell r="M10" t="str">
            <v>Equipos Masculinos Juveniles</v>
          </cell>
        </row>
        <row r="11">
          <cell r="A11">
            <v>10</v>
          </cell>
          <cell r="B11">
            <v>19</v>
          </cell>
          <cell r="C11">
            <v>20</v>
          </cell>
          <cell r="E11" t="str">
            <v>1ª Jornada - Grupo 5</v>
          </cell>
          <cell r="F11">
            <v>27</v>
          </cell>
          <cell r="G11">
            <v>0.6875</v>
          </cell>
          <cell r="H11">
            <v>10</v>
          </cell>
          <cell r="I11" t="str">
            <v>CLUB FERROL T.M.</v>
          </cell>
          <cell r="J11" t="str">
            <v>GAL</v>
          </cell>
          <cell r="K11" t="str">
            <v>E.T.M. BURLADA</v>
          </cell>
          <cell r="L11" t="str">
            <v>NAV</v>
          </cell>
          <cell r="M11" t="str">
            <v>Equipos Masculinos Juveniles</v>
          </cell>
        </row>
        <row r="12">
          <cell r="A12">
            <v>11</v>
          </cell>
          <cell r="B12">
            <v>22</v>
          </cell>
          <cell r="C12">
            <v>25</v>
          </cell>
          <cell r="E12" t="str">
            <v>1ª Jornada - Grupo 6</v>
          </cell>
          <cell r="F12">
            <v>27</v>
          </cell>
          <cell r="G12">
            <v>0.6875</v>
          </cell>
          <cell r="H12">
            <v>11</v>
          </cell>
          <cell r="I12" t="str">
            <v>S.S. DE LOS REYES</v>
          </cell>
          <cell r="J12" t="str">
            <v>MAD</v>
          </cell>
          <cell r="K12" t="str">
            <v>A.P.A. SANTA MARIÑA</v>
          </cell>
          <cell r="L12" t="str">
            <v>GAL</v>
          </cell>
          <cell r="M12" t="str">
            <v>Equipos Masculinos Juveniles</v>
          </cell>
        </row>
        <row r="13">
          <cell r="A13">
            <v>12</v>
          </cell>
          <cell r="B13">
            <v>23</v>
          </cell>
          <cell r="C13">
            <v>24</v>
          </cell>
          <cell r="E13" t="str">
            <v>1ª Jornada - Grupo 6</v>
          </cell>
          <cell r="F13">
            <v>27</v>
          </cell>
          <cell r="G13">
            <v>0.6875</v>
          </cell>
          <cell r="H13">
            <v>12</v>
          </cell>
          <cell r="I13" t="str">
            <v>CLUB HUELVA T.M.</v>
          </cell>
          <cell r="J13" t="str">
            <v>AND</v>
          </cell>
          <cell r="K13" t="str">
            <v>CAI SANTIAGO T.M.</v>
          </cell>
          <cell r="L13" t="str">
            <v>ARA</v>
          </cell>
          <cell r="M13" t="str">
            <v>Equipos Masculinos Juveniles</v>
          </cell>
        </row>
        <row r="14">
          <cell r="A14">
            <v>13</v>
          </cell>
          <cell r="B14">
            <v>1</v>
          </cell>
          <cell r="C14">
            <v>5</v>
          </cell>
          <cell r="E14" t="str">
            <v>2ª Jornada - Grupo 1</v>
          </cell>
          <cell r="F14">
            <v>27</v>
          </cell>
          <cell r="G14">
            <v>0.75</v>
          </cell>
          <cell r="H14">
            <v>1</v>
          </cell>
          <cell r="I14" t="str">
            <v>C.T.T. ATENEU 1882</v>
          </cell>
          <cell r="J14" t="str">
            <v>CAT</v>
          </cell>
          <cell r="K14" t="str">
            <v>C.T.M. CÁRTAMA</v>
          </cell>
          <cell r="L14" t="str">
            <v>AND</v>
          </cell>
          <cell r="M14" t="str">
            <v>Equipos Masculinos Juveniles</v>
          </cell>
        </row>
        <row r="15">
          <cell r="A15">
            <v>14</v>
          </cell>
          <cell r="B15">
            <v>2</v>
          </cell>
          <cell r="C15">
            <v>3</v>
          </cell>
          <cell r="E15" t="str">
            <v>2ª Jornada - Grupo 1</v>
          </cell>
          <cell r="F15">
            <v>27</v>
          </cell>
          <cell r="G15">
            <v>0.75</v>
          </cell>
          <cell r="H15">
            <v>2</v>
          </cell>
          <cell r="I15" t="str">
            <v>A.D. GASTÉIZ</v>
          </cell>
          <cell r="J15" t="str">
            <v>PVS</v>
          </cell>
          <cell r="K15" t="str">
            <v>AVILÉS T.M.</v>
          </cell>
          <cell r="L15" t="str">
            <v>AST</v>
          </cell>
          <cell r="M15" t="str">
            <v>Equipos Masculinos Juveniles</v>
          </cell>
        </row>
        <row r="16">
          <cell r="A16">
            <v>15</v>
          </cell>
          <cell r="B16">
            <v>6</v>
          </cell>
          <cell r="C16">
            <v>8</v>
          </cell>
          <cell r="E16" t="str">
            <v>2ª Jornada - Grupo 2</v>
          </cell>
          <cell r="F16">
            <v>27</v>
          </cell>
          <cell r="G16">
            <v>0.75</v>
          </cell>
          <cell r="H16">
            <v>3</v>
          </cell>
          <cell r="I16" t="str">
            <v>CLUB NARÓN T.M.</v>
          </cell>
          <cell r="J16" t="str">
            <v>GAL</v>
          </cell>
          <cell r="K16" t="str">
            <v>A.D. HISPANIDAD</v>
          </cell>
          <cell r="L16" t="str">
            <v>AND</v>
          </cell>
          <cell r="M16" t="str">
            <v>Equipos Masculinos Juveniles</v>
          </cell>
        </row>
        <row r="17">
          <cell r="A17">
            <v>16</v>
          </cell>
          <cell r="B17">
            <v>7</v>
          </cell>
          <cell r="C17">
            <v>9</v>
          </cell>
          <cell r="E17" t="str">
            <v>2ª Jornada - Grupo 2</v>
          </cell>
          <cell r="F17">
            <v>27</v>
          </cell>
          <cell r="G17">
            <v>0.75</v>
          </cell>
          <cell r="H17">
            <v>4</v>
          </cell>
          <cell r="I17" t="str">
            <v>C.T.M. MORATALAZ</v>
          </cell>
          <cell r="J17" t="str">
            <v>MAD</v>
          </cell>
          <cell r="K17" t="str">
            <v>LUBERRI K.E.</v>
          </cell>
          <cell r="L17" t="str">
            <v>PVS</v>
          </cell>
          <cell r="M17" t="str">
            <v>Equipos Masculinos Juveniles</v>
          </cell>
        </row>
        <row r="18">
          <cell r="A18">
            <v>17</v>
          </cell>
          <cell r="B18">
            <v>10</v>
          </cell>
          <cell r="C18">
            <v>12</v>
          </cell>
          <cell r="E18" t="str">
            <v>2ª Jornada - Grupo 3</v>
          </cell>
          <cell r="F18">
            <v>27</v>
          </cell>
          <cell r="G18">
            <v>0.75</v>
          </cell>
          <cell r="H18">
            <v>5</v>
          </cell>
          <cell r="I18" t="str">
            <v>C.D. ETXADI K.E.</v>
          </cell>
          <cell r="J18" t="str">
            <v>PVS</v>
          </cell>
          <cell r="K18" t="str">
            <v>ESCOLA T.M. NARON</v>
          </cell>
          <cell r="L18" t="str">
            <v>GAL</v>
          </cell>
          <cell r="M18" t="str">
            <v>Equipos Masculinos Juveniles</v>
          </cell>
        </row>
        <row r="19">
          <cell r="A19">
            <v>18</v>
          </cell>
          <cell r="B19">
            <v>11</v>
          </cell>
          <cell r="C19">
            <v>13</v>
          </cell>
          <cell r="E19" t="str">
            <v>2ª Jornada - Grupo 3</v>
          </cell>
          <cell r="F19">
            <v>27</v>
          </cell>
          <cell r="G19">
            <v>0.75</v>
          </cell>
          <cell r="H19">
            <v>6</v>
          </cell>
          <cell r="I19" t="str">
            <v>T.M. PUERTOLLANO</v>
          </cell>
          <cell r="J19" t="str">
            <v>CLM</v>
          </cell>
          <cell r="K19" t="str">
            <v>CAN BERARDO RIPOLLET (SDM)</v>
          </cell>
          <cell r="L19" t="str">
            <v>CAT</v>
          </cell>
          <cell r="M19" t="str">
            <v>Equipos Masculinos Juveniles</v>
          </cell>
        </row>
        <row r="20">
          <cell r="A20">
            <v>19</v>
          </cell>
          <cell r="B20">
            <v>14</v>
          </cell>
          <cell r="C20">
            <v>16</v>
          </cell>
          <cell r="E20" t="str">
            <v>2ª Jornada - Grupo 4</v>
          </cell>
          <cell r="F20">
            <v>27</v>
          </cell>
          <cell r="G20">
            <v>0.75</v>
          </cell>
          <cell r="H20">
            <v>7</v>
          </cell>
          <cell r="I20" t="str">
            <v>ECISA ALICANTE T.M.</v>
          </cell>
          <cell r="J20" t="str">
            <v>CVA</v>
          </cell>
          <cell r="K20" t="str">
            <v>E.M. PALOS DE LA FRA.</v>
          </cell>
          <cell r="L20" t="str">
            <v>AND</v>
          </cell>
          <cell r="M20" t="str">
            <v>Equipos Masculinos Juveniles</v>
          </cell>
        </row>
        <row r="21">
          <cell r="A21">
            <v>20</v>
          </cell>
          <cell r="B21">
            <v>15</v>
          </cell>
          <cell r="C21">
            <v>17</v>
          </cell>
          <cell r="E21" t="str">
            <v>2ª Jornada - Grupo 4</v>
          </cell>
          <cell r="F21">
            <v>27</v>
          </cell>
          <cell r="G21">
            <v>0.75</v>
          </cell>
          <cell r="H21">
            <v>8</v>
          </cell>
          <cell r="I21" t="str">
            <v>DEFENSE T.M.</v>
          </cell>
          <cell r="J21" t="str">
            <v>CNR</v>
          </cell>
          <cell r="K21" t="str">
            <v>E.T.M. TORRELAVEGA</v>
          </cell>
          <cell r="L21" t="str">
            <v>CTB</v>
          </cell>
          <cell r="M21" t="str">
            <v>Equipos Masculinos Juveniles</v>
          </cell>
        </row>
        <row r="22">
          <cell r="A22">
            <v>21</v>
          </cell>
          <cell r="B22">
            <v>18</v>
          </cell>
          <cell r="C22">
            <v>20</v>
          </cell>
          <cell r="E22" t="str">
            <v>2ª Jornada - Grupo 5</v>
          </cell>
          <cell r="F22">
            <v>27</v>
          </cell>
          <cell r="G22">
            <v>0.8125</v>
          </cell>
          <cell r="H22">
            <v>3</v>
          </cell>
          <cell r="I22" t="str">
            <v>LASARTE ORIA K.E.</v>
          </cell>
          <cell r="J22" t="str">
            <v>PVS</v>
          </cell>
          <cell r="K22" t="str">
            <v>E.T.M. BURLADA</v>
          </cell>
          <cell r="L22" t="str">
            <v>NAV</v>
          </cell>
          <cell r="M22" t="str">
            <v>Equipos Masculinos Juveniles</v>
          </cell>
        </row>
        <row r="23">
          <cell r="A23">
            <v>22</v>
          </cell>
          <cell r="B23">
            <v>19</v>
          </cell>
          <cell r="C23">
            <v>21</v>
          </cell>
          <cell r="E23" t="str">
            <v>2ª Jornada - Grupo 5</v>
          </cell>
          <cell r="F23">
            <v>27</v>
          </cell>
          <cell r="G23">
            <v>0.8125</v>
          </cell>
          <cell r="H23">
            <v>4</v>
          </cell>
          <cell r="I23" t="str">
            <v>CLUB FERROL T.M.</v>
          </cell>
          <cell r="J23" t="str">
            <v>GAL</v>
          </cell>
          <cell r="K23" t="str">
            <v>C.T.T. TRAMUNTANA</v>
          </cell>
          <cell r="L23" t="str">
            <v>CAT</v>
          </cell>
          <cell r="M23" t="str">
            <v>Equipos Masculinos Juveniles</v>
          </cell>
        </row>
        <row r="24">
          <cell r="A24">
            <v>23</v>
          </cell>
          <cell r="B24">
            <v>22</v>
          </cell>
          <cell r="C24">
            <v>24</v>
          </cell>
          <cell r="E24" t="str">
            <v>2ª Jornada - Grupo 6</v>
          </cell>
          <cell r="F24">
            <v>27</v>
          </cell>
          <cell r="G24">
            <v>0.8125</v>
          </cell>
          <cell r="H24">
            <v>5</v>
          </cell>
          <cell r="I24" t="str">
            <v>S.S. DE LOS REYES</v>
          </cell>
          <cell r="J24" t="str">
            <v>MAD</v>
          </cell>
          <cell r="K24" t="str">
            <v>CAI SANTIAGO T.M.</v>
          </cell>
          <cell r="L24" t="str">
            <v>ARA</v>
          </cell>
          <cell r="M24" t="str">
            <v>Equipos Masculinos Juveniles</v>
          </cell>
        </row>
        <row r="25">
          <cell r="A25">
            <v>24</v>
          </cell>
          <cell r="B25">
            <v>23</v>
          </cell>
          <cell r="C25">
            <v>25</v>
          </cell>
          <cell r="E25" t="str">
            <v>2ª Jornada - Grupo 6</v>
          </cell>
          <cell r="F25">
            <v>27</v>
          </cell>
          <cell r="G25">
            <v>0.8125</v>
          </cell>
          <cell r="H25">
            <v>6</v>
          </cell>
          <cell r="I25" t="str">
            <v>CLUB HUELVA T.M.</v>
          </cell>
          <cell r="J25" t="str">
            <v>AND</v>
          </cell>
          <cell r="K25" t="str">
            <v>A.P.A. SANTA MARIÑA</v>
          </cell>
          <cell r="L25" t="str">
            <v>GAL</v>
          </cell>
          <cell r="M25" t="str">
            <v>Equipos Masculinos Juveniles</v>
          </cell>
        </row>
        <row r="26">
          <cell r="A26">
            <v>25</v>
          </cell>
          <cell r="B26">
            <v>1</v>
          </cell>
          <cell r="C26">
            <v>4</v>
          </cell>
          <cell r="E26" t="str">
            <v>3ª Jornada - Grupo 1</v>
          </cell>
          <cell r="F26">
            <v>27</v>
          </cell>
          <cell r="G26">
            <v>0.8125</v>
          </cell>
          <cell r="H26">
            <v>1</v>
          </cell>
          <cell r="I26" t="str">
            <v>C.T.T. ATENEU 1882</v>
          </cell>
          <cell r="J26" t="str">
            <v>CAT</v>
          </cell>
          <cell r="K26" t="str">
            <v>C.T.M. GETAFE</v>
          </cell>
          <cell r="L26" t="str">
            <v>MAD</v>
          </cell>
          <cell r="M26" t="str">
            <v>Equipos Masculinos Juveniles</v>
          </cell>
        </row>
        <row r="27">
          <cell r="A27">
            <v>26</v>
          </cell>
          <cell r="B27">
            <v>3</v>
          </cell>
          <cell r="C27">
            <v>5</v>
          </cell>
          <cell r="E27" t="str">
            <v>3ª Jornada - Grupo 1</v>
          </cell>
          <cell r="F27">
            <v>27</v>
          </cell>
          <cell r="G27">
            <v>0.8125</v>
          </cell>
          <cell r="H27">
            <v>2</v>
          </cell>
          <cell r="I27" t="str">
            <v>AVILÉS T.M.</v>
          </cell>
          <cell r="J27" t="str">
            <v>AST</v>
          </cell>
          <cell r="K27" t="str">
            <v>C.T.M. CÁRTAMA</v>
          </cell>
          <cell r="L27" t="str">
            <v>AND</v>
          </cell>
          <cell r="M27" t="str">
            <v>Equipos Masculinos Juveniles</v>
          </cell>
        </row>
        <row r="28">
          <cell r="A28">
            <v>27</v>
          </cell>
          <cell r="B28">
            <v>1</v>
          </cell>
          <cell r="C28">
            <v>3</v>
          </cell>
          <cell r="E28" t="str">
            <v>4ª Jornada - Grupo 1</v>
          </cell>
          <cell r="F28">
            <v>28</v>
          </cell>
          <cell r="G28">
            <v>0.375</v>
          </cell>
          <cell r="H28">
            <v>1</v>
          </cell>
          <cell r="I28" t="str">
            <v>C.T.T. ATENEU 1882</v>
          </cell>
          <cell r="J28" t="str">
            <v>CAT</v>
          </cell>
          <cell r="K28" t="str">
            <v>AVILÉS T.M.</v>
          </cell>
          <cell r="L28" t="str">
            <v>AST</v>
          </cell>
          <cell r="M28" t="str">
            <v>Equipos Masculinos Juveniles</v>
          </cell>
        </row>
        <row r="29">
          <cell r="A29">
            <v>28</v>
          </cell>
          <cell r="B29">
            <v>2</v>
          </cell>
          <cell r="C29">
            <v>4</v>
          </cell>
          <cell r="E29" t="str">
            <v>4ª Jornada - Grupo 1</v>
          </cell>
          <cell r="F29">
            <v>28</v>
          </cell>
          <cell r="G29">
            <v>0.375</v>
          </cell>
          <cell r="H29">
            <v>2</v>
          </cell>
          <cell r="I29" t="str">
            <v>A.D. GASTÉIZ</v>
          </cell>
          <cell r="J29" t="str">
            <v>PVS</v>
          </cell>
          <cell r="K29" t="str">
            <v>C.T.M. GETAFE</v>
          </cell>
          <cell r="L29" t="str">
            <v>MAD</v>
          </cell>
          <cell r="M29" t="str">
            <v>Equipos Masculinos Juveniles</v>
          </cell>
        </row>
        <row r="30">
          <cell r="A30">
            <v>29</v>
          </cell>
          <cell r="B30">
            <v>6</v>
          </cell>
          <cell r="C30">
            <v>7</v>
          </cell>
          <cell r="E30" t="str">
            <v>3ª Jornada - Grupo 2</v>
          </cell>
          <cell r="F30">
            <v>28</v>
          </cell>
          <cell r="G30">
            <v>0.375</v>
          </cell>
          <cell r="H30">
            <v>3</v>
          </cell>
          <cell r="I30" t="str">
            <v>CLUB NARÓN T.M.</v>
          </cell>
          <cell r="J30" t="str">
            <v>GAL</v>
          </cell>
          <cell r="K30" t="str">
            <v>C.T.M. MORATALAZ</v>
          </cell>
          <cell r="L30" t="str">
            <v>MAD</v>
          </cell>
          <cell r="M30" t="str">
            <v>Equipos Masculinos Juveniles</v>
          </cell>
        </row>
        <row r="31">
          <cell r="A31">
            <v>30</v>
          </cell>
          <cell r="B31">
            <v>8</v>
          </cell>
          <cell r="C31">
            <v>9</v>
          </cell>
          <cell r="E31" t="str">
            <v>3ª Jornada - Grupo 2</v>
          </cell>
          <cell r="F31">
            <v>28</v>
          </cell>
          <cell r="G31">
            <v>0.375</v>
          </cell>
          <cell r="H31">
            <v>4</v>
          </cell>
          <cell r="I31" t="str">
            <v>A.D. HISPANIDAD</v>
          </cell>
          <cell r="J31" t="str">
            <v>AND</v>
          </cell>
          <cell r="K31" t="str">
            <v>LUBERRI K.E.</v>
          </cell>
          <cell r="L31" t="str">
            <v>PVS</v>
          </cell>
          <cell r="M31" t="str">
            <v>Equipos Masculinos Juveniles</v>
          </cell>
        </row>
        <row r="32">
          <cell r="A32">
            <v>31</v>
          </cell>
          <cell r="B32">
            <v>10</v>
          </cell>
          <cell r="C32">
            <v>11</v>
          </cell>
          <cell r="E32" t="str">
            <v>3ª Jornada - Grupo 3</v>
          </cell>
          <cell r="F32">
            <v>28</v>
          </cell>
          <cell r="G32">
            <v>0.375</v>
          </cell>
          <cell r="H32">
            <v>5</v>
          </cell>
          <cell r="I32" t="str">
            <v>C.D. ETXADI K.E.</v>
          </cell>
          <cell r="J32" t="str">
            <v>PVS</v>
          </cell>
          <cell r="K32" t="str">
            <v>T.M. PUERTOLLANO</v>
          </cell>
          <cell r="L32" t="str">
            <v>CLM</v>
          </cell>
          <cell r="M32" t="str">
            <v>Equipos Masculinos Juveniles</v>
          </cell>
        </row>
        <row r="33">
          <cell r="A33">
            <v>32</v>
          </cell>
          <cell r="B33">
            <v>12</v>
          </cell>
          <cell r="C33">
            <v>13</v>
          </cell>
          <cell r="E33" t="str">
            <v>3ª Jornada - Grupo 3</v>
          </cell>
          <cell r="F33">
            <v>28</v>
          </cell>
          <cell r="G33">
            <v>0.375</v>
          </cell>
          <cell r="H33">
            <v>6</v>
          </cell>
          <cell r="I33" t="str">
            <v>ESCOLA T.M. NARON</v>
          </cell>
          <cell r="J33" t="str">
            <v>GAL</v>
          </cell>
          <cell r="K33" t="str">
            <v>CAN BERARDO RIPOLLET (SDM)</v>
          </cell>
          <cell r="L33" t="str">
            <v>CAT</v>
          </cell>
          <cell r="M33" t="str">
            <v>Equipos Masculinos Juveniles</v>
          </cell>
        </row>
        <row r="34">
          <cell r="A34">
            <v>33</v>
          </cell>
          <cell r="B34">
            <v>14</v>
          </cell>
          <cell r="C34">
            <v>15</v>
          </cell>
          <cell r="E34" t="str">
            <v>3ª Jornada - Grupo 4</v>
          </cell>
          <cell r="F34">
            <v>28</v>
          </cell>
          <cell r="G34">
            <v>0.375</v>
          </cell>
          <cell r="H34">
            <v>7</v>
          </cell>
          <cell r="I34" t="str">
            <v>ECISA ALICANTE T.M.</v>
          </cell>
          <cell r="J34" t="str">
            <v>CVA</v>
          </cell>
          <cell r="K34" t="str">
            <v>DEFENSE T.M.</v>
          </cell>
          <cell r="L34" t="str">
            <v>CNR</v>
          </cell>
          <cell r="M34" t="str">
            <v>Equipos Masculinos Juveniles</v>
          </cell>
        </row>
        <row r="35">
          <cell r="A35">
            <v>34</v>
          </cell>
          <cell r="B35">
            <v>16</v>
          </cell>
          <cell r="C35">
            <v>17</v>
          </cell>
          <cell r="E35" t="str">
            <v>3ª Jornada - Grupo 4</v>
          </cell>
          <cell r="F35">
            <v>28</v>
          </cell>
          <cell r="G35">
            <v>0.375</v>
          </cell>
          <cell r="H35">
            <v>8</v>
          </cell>
          <cell r="I35" t="str">
            <v>E.M. PALOS DE LA FRA.</v>
          </cell>
          <cell r="J35" t="str">
            <v>AND</v>
          </cell>
          <cell r="K35" t="str">
            <v>E.T.M. TORRELAVEGA</v>
          </cell>
          <cell r="L35" t="str">
            <v>CTB</v>
          </cell>
          <cell r="M35" t="str">
            <v>Equipos Masculinos Juveniles</v>
          </cell>
        </row>
        <row r="36">
          <cell r="A36">
            <v>35</v>
          </cell>
          <cell r="B36">
            <v>18</v>
          </cell>
          <cell r="C36">
            <v>19</v>
          </cell>
          <cell r="E36" t="str">
            <v>3ª Jornada - Grupo 5</v>
          </cell>
          <cell r="F36">
            <v>28</v>
          </cell>
          <cell r="G36">
            <v>0.375</v>
          </cell>
          <cell r="H36">
            <v>9</v>
          </cell>
          <cell r="I36" t="str">
            <v>LASARTE ORIA K.E.</v>
          </cell>
          <cell r="J36" t="str">
            <v>PVS</v>
          </cell>
          <cell r="K36" t="str">
            <v>CLUB FERROL T.M.</v>
          </cell>
          <cell r="L36" t="str">
            <v>GAL</v>
          </cell>
          <cell r="M36" t="str">
            <v>Equipos Masculinos Juveniles</v>
          </cell>
        </row>
        <row r="37">
          <cell r="A37">
            <v>36</v>
          </cell>
          <cell r="B37">
            <v>20</v>
          </cell>
          <cell r="C37">
            <v>21</v>
          </cell>
          <cell r="E37" t="str">
            <v>3ª Jornada - Grupo 5</v>
          </cell>
          <cell r="F37">
            <v>28</v>
          </cell>
          <cell r="G37">
            <v>0.375</v>
          </cell>
          <cell r="H37">
            <v>10</v>
          </cell>
          <cell r="I37" t="str">
            <v>E.T.M. BURLADA</v>
          </cell>
          <cell r="J37" t="str">
            <v>NAV</v>
          </cell>
          <cell r="K37" t="str">
            <v>C.T.T. TRAMUNTANA</v>
          </cell>
          <cell r="L37" t="str">
            <v>CAT</v>
          </cell>
          <cell r="M37" t="str">
            <v>Equipos Masculinos Juveniles</v>
          </cell>
        </row>
        <row r="38">
          <cell r="A38">
            <v>37</v>
          </cell>
          <cell r="B38">
            <v>22</v>
          </cell>
          <cell r="C38">
            <v>23</v>
          </cell>
          <cell r="E38" t="str">
            <v>3ª Jornada - Grupo 6</v>
          </cell>
          <cell r="F38">
            <v>28</v>
          </cell>
          <cell r="G38">
            <v>0.375</v>
          </cell>
          <cell r="H38">
            <v>11</v>
          </cell>
          <cell r="I38" t="str">
            <v>S.S. DE LOS REYES</v>
          </cell>
          <cell r="J38" t="str">
            <v>MAD</v>
          </cell>
          <cell r="K38" t="str">
            <v>CLUB HUELVA T.M.</v>
          </cell>
          <cell r="L38" t="str">
            <v>AND</v>
          </cell>
          <cell r="M38" t="str">
            <v>Equipos Masculinos Juveniles</v>
          </cell>
        </row>
        <row r="39">
          <cell r="A39">
            <v>38</v>
          </cell>
          <cell r="B39">
            <v>24</v>
          </cell>
          <cell r="C39">
            <v>25</v>
          </cell>
          <cell r="E39" t="str">
            <v>3ª Jornada - Grupo 6</v>
          </cell>
          <cell r="F39">
            <v>28</v>
          </cell>
          <cell r="G39">
            <v>0.375</v>
          </cell>
          <cell r="H39">
            <v>12</v>
          </cell>
          <cell r="I39" t="str">
            <v>CAI SANTIAGO T.M.</v>
          </cell>
          <cell r="J39" t="str">
            <v>ARA</v>
          </cell>
          <cell r="K39" t="str">
            <v>A.P.A. SANTA MARIÑA</v>
          </cell>
          <cell r="L39" t="str">
            <v>GAL</v>
          </cell>
          <cell r="M39" t="str">
            <v>Equipos Masculinos Juveniles</v>
          </cell>
        </row>
        <row r="40">
          <cell r="A40">
            <v>39</v>
          </cell>
          <cell r="B40">
            <v>1</v>
          </cell>
          <cell r="C40">
            <v>2</v>
          </cell>
          <cell r="E40" t="str">
            <v>5ª Jornada - Grupo 1</v>
          </cell>
          <cell r="F40">
            <v>28</v>
          </cell>
          <cell r="G40">
            <v>0.4375</v>
          </cell>
          <cell r="H40">
            <v>1</v>
          </cell>
          <cell r="I40" t="str">
            <v>C.T.T. ATENEU 1882</v>
          </cell>
          <cell r="J40" t="str">
            <v>CAT</v>
          </cell>
          <cell r="K40" t="str">
            <v>A.D. GASTÉIZ</v>
          </cell>
          <cell r="L40" t="str">
            <v>PVS</v>
          </cell>
          <cell r="M40" t="str">
            <v>Equipos Masculinos Juveniles</v>
          </cell>
        </row>
        <row r="41">
          <cell r="A41">
            <v>40</v>
          </cell>
          <cell r="B41">
            <v>4</v>
          </cell>
          <cell r="C41">
            <v>5</v>
          </cell>
          <cell r="E41" t="str">
            <v>5ª Jornada - Grupo 1</v>
          </cell>
          <cell r="F41">
            <v>28</v>
          </cell>
          <cell r="G41">
            <v>0.4375</v>
          </cell>
          <cell r="H41">
            <v>2</v>
          </cell>
          <cell r="I41" t="str">
            <v>C.T.M. GETAFE</v>
          </cell>
          <cell r="J41" t="str">
            <v>MAD</v>
          </cell>
          <cell r="K41" t="str">
            <v>C.T.M. CÁRTAMA</v>
          </cell>
          <cell r="L41" t="str">
            <v>AND</v>
          </cell>
          <cell r="M41" t="str">
            <v>Equipos Masculinos Juveniles</v>
          </cell>
        </row>
        <row r="42">
          <cell r="A42">
            <v>41</v>
          </cell>
          <cell r="B42">
            <v>27</v>
          </cell>
          <cell r="C42">
            <v>30</v>
          </cell>
          <cell r="E42" t="str">
            <v>1ª Jornada - Grupo A</v>
          </cell>
          <cell r="F42">
            <v>28</v>
          </cell>
          <cell r="G42">
            <v>0.51041666666666663</v>
          </cell>
          <cell r="H42">
            <v>1</v>
          </cell>
          <cell r="I42" t="str">
            <v>A.D.T.M. LEGANÉS</v>
          </cell>
          <cell r="J42" t="str">
            <v>MAD</v>
          </cell>
          <cell r="K42" t="str">
            <v>CLUB HUELVA T.M.</v>
          </cell>
          <cell r="L42" t="str">
            <v>AND</v>
          </cell>
          <cell r="M42" t="str">
            <v>Equipos Masculinos Juveniles</v>
          </cell>
        </row>
        <row r="43">
          <cell r="A43">
            <v>42</v>
          </cell>
          <cell r="B43">
            <v>28</v>
          </cell>
          <cell r="C43">
            <v>29</v>
          </cell>
          <cell r="E43" t="str">
            <v>1ª Jornada - Grupo A</v>
          </cell>
          <cell r="F43">
            <v>28</v>
          </cell>
          <cell r="G43">
            <v>0.51041666666666663</v>
          </cell>
          <cell r="H43">
            <v>2</v>
          </cell>
          <cell r="I43" t="str">
            <v>BADAJOZ T.M.</v>
          </cell>
          <cell r="J43" t="str">
            <v>EXT</v>
          </cell>
          <cell r="K43" t="str">
            <v>DEFENSE T.M.</v>
          </cell>
          <cell r="L43" t="str">
            <v>CNR</v>
          </cell>
          <cell r="M43" t="str">
            <v>Equipos Masculinos Juveniles</v>
          </cell>
        </row>
        <row r="44">
          <cell r="A44">
            <v>43</v>
          </cell>
          <cell r="B44">
            <v>32</v>
          </cell>
          <cell r="C44">
            <v>35</v>
          </cell>
          <cell r="E44" t="str">
            <v>1ª Jornada - Grupo B</v>
          </cell>
          <cell r="F44">
            <v>28</v>
          </cell>
          <cell r="G44">
            <v>0.51041666666666663</v>
          </cell>
          <cell r="H44">
            <v>3</v>
          </cell>
          <cell r="I44" t="str">
            <v>ADA GUADIX LA GENERAL</v>
          </cell>
          <cell r="J44" t="str">
            <v>AND</v>
          </cell>
          <cell r="K44" t="str">
            <v>C.T.T. ATENEU 1882</v>
          </cell>
          <cell r="L44" t="str">
            <v>AND</v>
          </cell>
          <cell r="M44" t="str">
            <v>Equipos Masculinos Juveniles</v>
          </cell>
        </row>
        <row r="45">
          <cell r="A45">
            <v>44</v>
          </cell>
          <cell r="B45">
            <v>33</v>
          </cell>
          <cell r="C45">
            <v>34</v>
          </cell>
          <cell r="E45" t="str">
            <v>1ª Jornada - Grupo B</v>
          </cell>
          <cell r="F45">
            <v>28</v>
          </cell>
          <cell r="G45">
            <v>0.51041666666666663</v>
          </cell>
          <cell r="H45">
            <v>4</v>
          </cell>
          <cell r="I45" t="str">
            <v>UCAM T.M. CARTAGENA</v>
          </cell>
          <cell r="J45" t="str">
            <v>MUR</v>
          </cell>
          <cell r="K45" t="str">
            <v>CLUB NARÓN T.M.</v>
          </cell>
          <cell r="L45" t="str">
            <v>GAL</v>
          </cell>
          <cell r="M45" t="str">
            <v>Equipos Masculinos Juveniles</v>
          </cell>
        </row>
        <row r="46">
          <cell r="A46">
            <v>45</v>
          </cell>
          <cell r="B46">
            <v>37</v>
          </cell>
          <cell r="C46">
            <v>40</v>
          </cell>
          <cell r="E46" t="str">
            <v>1ª Jornada - Grupo C</v>
          </cell>
          <cell r="F46">
            <v>28</v>
          </cell>
          <cell r="G46">
            <v>0.51041666666666663</v>
          </cell>
          <cell r="H46">
            <v>5</v>
          </cell>
          <cell r="I46" t="str">
            <v>CAN BERARDO RIPOLLET (PDM)</v>
          </cell>
          <cell r="J46" t="str">
            <v>CAT</v>
          </cell>
          <cell r="K46" t="str">
            <v>CAN BERARDO RIPOLLET (SDM)</v>
          </cell>
          <cell r="L46" t="str">
            <v>CAT</v>
          </cell>
          <cell r="M46" t="str">
            <v>Equipos Masculinos Juveniles</v>
          </cell>
        </row>
        <row r="47">
          <cell r="A47">
            <v>46</v>
          </cell>
          <cell r="B47">
            <v>38</v>
          </cell>
          <cell r="C47">
            <v>39</v>
          </cell>
          <cell r="E47" t="str">
            <v>1ª Jornada - Grupo C</v>
          </cell>
          <cell r="F47">
            <v>28</v>
          </cell>
          <cell r="G47">
            <v>0.51041666666666663</v>
          </cell>
          <cell r="H47">
            <v>6</v>
          </cell>
          <cell r="I47" t="str">
            <v>MERCANTIL SEVILLA</v>
          </cell>
          <cell r="J47" t="str">
            <v>AND</v>
          </cell>
          <cell r="K47" t="str">
            <v>ECISA ALICANTE T.M.</v>
          </cell>
          <cell r="L47" t="str">
            <v>CVA</v>
          </cell>
          <cell r="M47" t="str">
            <v>Equipos Masculinos Juveniles</v>
          </cell>
        </row>
        <row r="48">
          <cell r="A48">
            <v>47</v>
          </cell>
          <cell r="B48">
            <v>42</v>
          </cell>
          <cell r="C48">
            <v>45</v>
          </cell>
          <cell r="E48" t="str">
            <v>1ª Jornada - Grupo D</v>
          </cell>
          <cell r="F48">
            <v>28</v>
          </cell>
          <cell r="G48">
            <v>0.51041666666666663</v>
          </cell>
          <cell r="H48">
            <v>7</v>
          </cell>
          <cell r="I48" t="str">
            <v>COOP. LAS MARISMAS LEBRIJA</v>
          </cell>
          <cell r="J48" t="str">
            <v>AND</v>
          </cell>
          <cell r="K48" t="str">
            <v>C.T.T. TRAMUNTANA</v>
          </cell>
          <cell r="L48" t="str">
            <v>CAT</v>
          </cell>
          <cell r="M48" t="str">
            <v>Equipos Masculinos Juveniles</v>
          </cell>
        </row>
        <row r="49">
          <cell r="A49">
            <v>48</v>
          </cell>
          <cell r="B49">
            <v>43</v>
          </cell>
          <cell r="C49">
            <v>44</v>
          </cell>
          <cell r="E49" t="str">
            <v>1ª Jornada - Grupo D</v>
          </cell>
          <cell r="F49">
            <v>28</v>
          </cell>
          <cell r="G49">
            <v>0.51041666666666663</v>
          </cell>
          <cell r="H49">
            <v>8</v>
          </cell>
          <cell r="I49" t="str">
            <v>ANTONIO MENDOZA</v>
          </cell>
          <cell r="J49" t="str">
            <v>CTB</v>
          </cell>
          <cell r="K49" t="str">
            <v>C.T.M. GETAFE</v>
          </cell>
          <cell r="L49" t="str">
            <v>MAD</v>
          </cell>
          <cell r="M49" t="str">
            <v>Equipos Masculinos Juveniles</v>
          </cell>
        </row>
        <row r="50">
          <cell r="A50">
            <v>49</v>
          </cell>
          <cell r="B50">
            <v>26</v>
          </cell>
          <cell r="C50">
            <v>30</v>
          </cell>
          <cell r="E50" t="str">
            <v>2ª Jornada - Grupo A</v>
          </cell>
          <cell r="F50">
            <v>28</v>
          </cell>
          <cell r="G50">
            <v>0.66666666666666663</v>
          </cell>
          <cell r="H50">
            <v>1</v>
          </cell>
          <cell r="I50" t="str">
            <v>LA GENERAL GRANADA</v>
          </cell>
          <cell r="J50" t="str">
            <v>AND</v>
          </cell>
          <cell r="K50" t="str">
            <v>CLUB HUELVA T.M.</v>
          </cell>
          <cell r="L50" t="str">
            <v>AND</v>
          </cell>
          <cell r="M50" t="str">
            <v>Equipos Masculinos Juveniles</v>
          </cell>
        </row>
        <row r="51">
          <cell r="A51">
            <v>50</v>
          </cell>
          <cell r="B51">
            <v>27</v>
          </cell>
          <cell r="C51">
            <v>28</v>
          </cell>
          <cell r="E51" t="str">
            <v>2ª Jornada - Grupo A</v>
          </cell>
          <cell r="F51">
            <v>28</v>
          </cell>
          <cell r="G51">
            <v>0.66666666666666663</v>
          </cell>
          <cell r="H51">
            <v>2</v>
          </cell>
          <cell r="I51" t="str">
            <v>A.D.T.M. LEGANÉS</v>
          </cell>
          <cell r="J51" t="str">
            <v>MAD</v>
          </cell>
          <cell r="K51" t="str">
            <v>BADAJOZ T.M.</v>
          </cell>
          <cell r="L51" t="str">
            <v>EXT</v>
          </cell>
          <cell r="M51" t="str">
            <v>Equipos Masculinos Juveniles</v>
          </cell>
        </row>
        <row r="52">
          <cell r="A52">
            <v>51</v>
          </cell>
          <cell r="B52">
            <v>31</v>
          </cell>
          <cell r="C52">
            <v>35</v>
          </cell>
          <cell r="E52" t="str">
            <v>2ª Jornada - Grupo B</v>
          </cell>
          <cell r="F52">
            <v>28</v>
          </cell>
          <cell r="G52">
            <v>0.66666666666666663</v>
          </cell>
          <cell r="H52">
            <v>3</v>
          </cell>
          <cell r="I52" t="str">
            <v>FINQUES BALTRONS CALELLA</v>
          </cell>
          <cell r="J52" t="str">
            <v>CAT</v>
          </cell>
          <cell r="K52" t="str">
            <v>C.T.T. ATENEU 1882</v>
          </cell>
          <cell r="L52" t="str">
            <v>AND</v>
          </cell>
          <cell r="M52" t="str">
            <v>Equipos Masculinos Juveniles</v>
          </cell>
        </row>
        <row r="53">
          <cell r="A53">
            <v>52</v>
          </cell>
          <cell r="B53">
            <v>32</v>
          </cell>
          <cell r="C53">
            <v>33</v>
          </cell>
          <cell r="E53" t="str">
            <v>2ª Jornada - Grupo B</v>
          </cell>
          <cell r="F53">
            <v>28</v>
          </cell>
          <cell r="G53">
            <v>0.66666666666666663</v>
          </cell>
          <cell r="H53">
            <v>4</v>
          </cell>
          <cell r="I53" t="str">
            <v>ADA GUADIX LA GENERAL</v>
          </cell>
          <cell r="J53" t="str">
            <v>AND</v>
          </cell>
          <cell r="K53" t="str">
            <v>UCAM T.M. CARTAGENA</v>
          </cell>
          <cell r="L53" t="str">
            <v>MUR</v>
          </cell>
          <cell r="M53" t="str">
            <v>Equipos Masculinos Juveniles</v>
          </cell>
        </row>
        <row r="54">
          <cell r="A54">
            <v>53</v>
          </cell>
          <cell r="B54">
            <v>36</v>
          </cell>
          <cell r="C54">
            <v>40</v>
          </cell>
          <cell r="E54" t="str">
            <v>2ª Jornada - Grupo C</v>
          </cell>
          <cell r="F54">
            <v>28</v>
          </cell>
          <cell r="G54">
            <v>0.66666666666666663</v>
          </cell>
          <cell r="H54">
            <v>5</v>
          </cell>
          <cell r="I54" t="str">
            <v>CLUB AT. SAN SEBASTIÁN</v>
          </cell>
          <cell r="J54" t="str">
            <v>PVS</v>
          </cell>
          <cell r="K54" t="str">
            <v>CAN BERARDO RIPOLLET (SDM)</v>
          </cell>
          <cell r="L54" t="str">
            <v>CAT</v>
          </cell>
          <cell r="M54" t="str">
            <v>Equipos Masculinos Juveniles</v>
          </cell>
        </row>
        <row r="55">
          <cell r="A55">
            <v>54</v>
          </cell>
          <cell r="B55">
            <v>37</v>
          </cell>
          <cell r="C55">
            <v>38</v>
          </cell>
          <cell r="E55" t="str">
            <v>2ª Jornada - Grupo C</v>
          </cell>
          <cell r="F55">
            <v>28</v>
          </cell>
          <cell r="G55">
            <v>0.66666666666666663</v>
          </cell>
          <cell r="H55">
            <v>6</v>
          </cell>
          <cell r="I55" t="str">
            <v>CAN BERARDO RIPOLLET (PDM)</v>
          </cell>
          <cell r="J55" t="str">
            <v>CAT</v>
          </cell>
          <cell r="K55" t="str">
            <v>MERCANTIL SEVILLA</v>
          </cell>
          <cell r="L55" t="str">
            <v>AND</v>
          </cell>
          <cell r="M55" t="str">
            <v>Equipos Masculinos Juveniles</v>
          </cell>
        </row>
        <row r="56">
          <cell r="A56">
            <v>55</v>
          </cell>
          <cell r="B56">
            <v>41</v>
          </cell>
          <cell r="C56">
            <v>45</v>
          </cell>
          <cell r="E56" t="str">
            <v>2ª Jornada - Grupo D</v>
          </cell>
          <cell r="F56">
            <v>28</v>
          </cell>
          <cell r="G56">
            <v>0.66666666666666663</v>
          </cell>
          <cell r="H56">
            <v>7</v>
          </cell>
          <cell r="I56" t="str">
            <v>SCHOOL ZARAGOZA T.M.</v>
          </cell>
          <cell r="J56" t="str">
            <v>AND</v>
          </cell>
          <cell r="K56" t="str">
            <v>C.T.T. TRAMUNTANA</v>
          </cell>
          <cell r="L56" t="str">
            <v>CAT</v>
          </cell>
          <cell r="M56" t="str">
            <v>Equipos Masculinos Juveniles</v>
          </cell>
        </row>
        <row r="57">
          <cell r="A57">
            <v>56</v>
          </cell>
          <cell r="B57">
            <v>42</v>
          </cell>
          <cell r="C57">
            <v>43</v>
          </cell>
          <cell r="E57" t="str">
            <v>2ª Jornada - Grupo D</v>
          </cell>
          <cell r="F57">
            <v>28</v>
          </cell>
          <cell r="G57">
            <v>0.66666666666666663</v>
          </cell>
          <cell r="H57">
            <v>8</v>
          </cell>
          <cell r="I57" t="str">
            <v>COOP. LAS MARISMAS LEBRIJA</v>
          </cell>
          <cell r="J57" t="str">
            <v>AND</v>
          </cell>
          <cell r="K57" t="str">
            <v>ANTONIO MENDOZA</v>
          </cell>
          <cell r="L57" t="str">
            <v>CTB</v>
          </cell>
          <cell r="M57" t="str">
            <v>Equipos Masculinos Juveniles</v>
          </cell>
        </row>
        <row r="58">
          <cell r="A58">
            <v>57</v>
          </cell>
          <cell r="B58">
            <v>26</v>
          </cell>
          <cell r="C58">
            <v>29</v>
          </cell>
          <cell r="E58" t="str">
            <v>3ª Jornada - Grupo A</v>
          </cell>
          <cell r="F58">
            <v>28</v>
          </cell>
          <cell r="G58">
            <v>0.72916666666666663</v>
          </cell>
          <cell r="H58">
            <v>1</v>
          </cell>
          <cell r="I58" t="str">
            <v>LA GENERAL GRANADA</v>
          </cell>
          <cell r="J58" t="str">
            <v>AND</v>
          </cell>
          <cell r="K58" t="str">
            <v>DEFENSE T.M.</v>
          </cell>
          <cell r="L58" t="str">
            <v>CNR</v>
          </cell>
          <cell r="M58" t="str">
            <v>Equipos Masculinos Juveniles</v>
          </cell>
        </row>
        <row r="59">
          <cell r="A59">
            <v>58</v>
          </cell>
          <cell r="B59">
            <v>28</v>
          </cell>
          <cell r="C59">
            <v>30</v>
          </cell>
          <cell r="E59" t="str">
            <v>3ª Jornada - Grupo A</v>
          </cell>
          <cell r="F59">
            <v>28</v>
          </cell>
          <cell r="G59">
            <v>0.72916666666666663</v>
          </cell>
          <cell r="H59">
            <v>2</v>
          </cell>
          <cell r="I59" t="str">
            <v>BADAJOZ T.M.</v>
          </cell>
          <cell r="J59" t="str">
            <v>EXT</v>
          </cell>
          <cell r="K59" t="str">
            <v>CLUB HUELVA T.M.</v>
          </cell>
          <cell r="L59" t="str">
            <v>AND</v>
          </cell>
          <cell r="M59" t="str">
            <v>Equipos Masculinos Juveniles</v>
          </cell>
        </row>
        <row r="60">
          <cell r="A60">
            <v>59</v>
          </cell>
          <cell r="B60">
            <v>31</v>
          </cell>
          <cell r="C60">
            <v>34</v>
          </cell>
          <cell r="E60" t="str">
            <v>3ª Jornada - Grupo B</v>
          </cell>
          <cell r="F60">
            <v>28</v>
          </cell>
          <cell r="G60">
            <v>0.72916666666666663</v>
          </cell>
          <cell r="H60">
            <v>3</v>
          </cell>
          <cell r="I60" t="str">
            <v>FINQUES BALTRONS CALELLA</v>
          </cell>
          <cell r="J60" t="str">
            <v>CAT</v>
          </cell>
          <cell r="K60" t="str">
            <v>CLUB NARÓN T.M.</v>
          </cell>
          <cell r="L60" t="str">
            <v>GAL</v>
          </cell>
          <cell r="M60" t="str">
            <v>Equipos Masculinos Juveniles</v>
          </cell>
        </row>
        <row r="61">
          <cell r="A61">
            <v>60</v>
          </cell>
          <cell r="B61">
            <v>33</v>
          </cell>
          <cell r="C61">
            <v>35</v>
          </cell>
          <cell r="E61" t="str">
            <v>3ª Jornada - Grupo B</v>
          </cell>
          <cell r="F61">
            <v>28</v>
          </cell>
          <cell r="G61">
            <v>0.72916666666666663</v>
          </cell>
          <cell r="H61">
            <v>4</v>
          </cell>
          <cell r="I61" t="str">
            <v>UCAM T.M. CARTAGENA</v>
          </cell>
          <cell r="J61" t="str">
            <v>MUR</v>
          </cell>
          <cell r="K61" t="str">
            <v>C.T.T. ATENEU 1882</v>
          </cell>
          <cell r="L61" t="str">
            <v>AND</v>
          </cell>
          <cell r="M61" t="str">
            <v>Equipos Masculinos Juveniles</v>
          </cell>
        </row>
        <row r="62">
          <cell r="A62">
            <v>61</v>
          </cell>
          <cell r="B62">
            <v>36</v>
          </cell>
          <cell r="C62">
            <v>39</v>
          </cell>
          <cell r="E62" t="str">
            <v>3ª Jornada - Grupo C</v>
          </cell>
          <cell r="F62">
            <v>28</v>
          </cell>
          <cell r="G62">
            <v>0.72916666666666663</v>
          </cell>
          <cell r="H62">
            <v>5</v>
          </cell>
          <cell r="I62" t="str">
            <v>CLUB AT. SAN SEBASTIÁN</v>
          </cell>
          <cell r="J62" t="str">
            <v>PVS</v>
          </cell>
          <cell r="K62" t="str">
            <v>ECISA ALICANTE T.M.</v>
          </cell>
          <cell r="L62" t="str">
            <v>CVA</v>
          </cell>
          <cell r="M62" t="str">
            <v>Equipos Masculinos Juveniles</v>
          </cell>
        </row>
        <row r="63">
          <cell r="A63">
            <v>62</v>
          </cell>
          <cell r="B63">
            <v>38</v>
          </cell>
          <cell r="C63">
            <v>40</v>
          </cell>
          <cell r="E63" t="str">
            <v>3ª Jornada - Grupo C</v>
          </cell>
          <cell r="F63">
            <v>28</v>
          </cell>
          <cell r="G63">
            <v>0.72916666666666663</v>
          </cell>
          <cell r="H63">
            <v>6</v>
          </cell>
          <cell r="I63" t="str">
            <v>MERCANTIL SEVILLA</v>
          </cell>
          <cell r="J63" t="str">
            <v>AND</v>
          </cell>
          <cell r="K63" t="str">
            <v>CAN BERARDO RIPOLLET (SDM)</v>
          </cell>
          <cell r="L63" t="str">
            <v>CAT</v>
          </cell>
          <cell r="M63" t="str">
            <v>Equipos Masculinos Juveniles</v>
          </cell>
        </row>
        <row r="64">
          <cell r="A64">
            <v>63</v>
          </cell>
          <cell r="B64">
            <v>41</v>
          </cell>
          <cell r="C64">
            <v>44</v>
          </cell>
          <cell r="E64" t="str">
            <v>3ª Jornada - Grupo D</v>
          </cell>
          <cell r="F64">
            <v>28</v>
          </cell>
          <cell r="G64">
            <v>0.72916666666666663</v>
          </cell>
          <cell r="H64">
            <v>7</v>
          </cell>
          <cell r="I64" t="str">
            <v>SCHOOL ZARAGOZA T.M.</v>
          </cell>
          <cell r="J64" t="str">
            <v>AND</v>
          </cell>
          <cell r="K64" t="str">
            <v>C.T.M. GETAFE</v>
          </cell>
          <cell r="L64" t="str">
            <v>MAD</v>
          </cell>
          <cell r="M64" t="str">
            <v>Equipos Masculinos Juveniles</v>
          </cell>
        </row>
        <row r="65">
          <cell r="A65">
            <v>64</v>
          </cell>
          <cell r="B65">
            <v>43</v>
          </cell>
          <cell r="C65">
            <v>45</v>
          </cell>
          <cell r="E65" t="str">
            <v>3ª Jornada - Grupo D</v>
          </cell>
          <cell r="F65">
            <v>28</v>
          </cell>
          <cell r="G65">
            <v>0.72916666666666663</v>
          </cell>
          <cell r="H65">
            <v>8</v>
          </cell>
          <cell r="I65" t="str">
            <v>ANTONIO MENDOZA</v>
          </cell>
          <cell r="J65" t="str">
            <v>CTB</v>
          </cell>
          <cell r="K65" t="str">
            <v>C.T.T. TRAMUNTANA</v>
          </cell>
          <cell r="L65" t="str">
            <v>CAT</v>
          </cell>
          <cell r="M65" t="str">
            <v>Equipos Masculinos Juveniles</v>
          </cell>
        </row>
        <row r="66">
          <cell r="A66">
            <v>65</v>
          </cell>
          <cell r="B66">
            <v>26</v>
          </cell>
          <cell r="C66">
            <v>28</v>
          </cell>
          <cell r="E66" t="str">
            <v>4ª Jornada - Grupo A</v>
          </cell>
          <cell r="F66">
            <v>28</v>
          </cell>
          <cell r="G66">
            <v>0.80208333333333337</v>
          </cell>
          <cell r="H66">
            <v>1</v>
          </cell>
          <cell r="I66" t="str">
            <v>LA GENERAL GRANADA</v>
          </cell>
          <cell r="J66" t="str">
            <v>AND</v>
          </cell>
          <cell r="K66" t="str">
            <v>BADAJOZ T.M.</v>
          </cell>
          <cell r="L66" t="str">
            <v>EXT</v>
          </cell>
          <cell r="M66" t="str">
            <v>Equipos Masculinos Juveniles</v>
          </cell>
        </row>
        <row r="67">
          <cell r="A67">
            <v>66</v>
          </cell>
          <cell r="B67">
            <v>27</v>
          </cell>
          <cell r="C67">
            <v>29</v>
          </cell>
          <cell r="E67" t="str">
            <v>4ª Jornada - Grupo A</v>
          </cell>
          <cell r="F67">
            <v>28</v>
          </cell>
          <cell r="G67">
            <v>0.80208333333333337</v>
          </cell>
          <cell r="H67">
            <v>2</v>
          </cell>
          <cell r="I67" t="str">
            <v>A.D.T.M. LEGANÉS</v>
          </cell>
          <cell r="J67" t="str">
            <v>MAD</v>
          </cell>
          <cell r="K67" t="str">
            <v>DEFENSE T.M.</v>
          </cell>
          <cell r="L67" t="str">
            <v>CNR</v>
          </cell>
          <cell r="M67" t="str">
            <v>Equipos Masculinos Juveniles</v>
          </cell>
        </row>
        <row r="68">
          <cell r="A68">
            <v>67</v>
          </cell>
          <cell r="B68">
            <v>31</v>
          </cell>
          <cell r="C68">
            <v>33</v>
          </cell>
          <cell r="E68" t="str">
            <v>4ª Jornada - Grupo B</v>
          </cell>
          <cell r="F68">
            <v>28</v>
          </cell>
          <cell r="G68">
            <v>0.80208333333333337</v>
          </cell>
          <cell r="H68">
            <v>3</v>
          </cell>
          <cell r="I68" t="str">
            <v>FINQUES BALTRONS CALELLA</v>
          </cell>
          <cell r="J68" t="str">
            <v>CAT</v>
          </cell>
          <cell r="K68" t="str">
            <v>UCAM T.M. CARTAGENA</v>
          </cell>
          <cell r="L68" t="str">
            <v>MUR</v>
          </cell>
          <cell r="M68" t="str">
            <v>Equipos Masculinos Juveniles</v>
          </cell>
        </row>
        <row r="69">
          <cell r="A69">
            <v>68</v>
          </cell>
          <cell r="B69">
            <v>32</v>
          </cell>
          <cell r="C69">
            <v>34</v>
          </cell>
          <cell r="E69" t="str">
            <v>4ª Jornada - Grupo B</v>
          </cell>
          <cell r="F69">
            <v>28</v>
          </cell>
          <cell r="G69">
            <v>0.80208333333333337</v>
          </cell>
          <cell r="H69">
            <v>4</v>
          </cell>
          <cell r="I69" t="str">
            <v>ADA GUADIX LA GENERAL</v>
          </cell>
          <cell r="J69" t="str">
            <v>AND</v>
          </cell>
          <cell r="K69" t="str">
            <v>CLUB NARÓN T.M.</v>
          </cell>
          <cell r="L69" t="str">
            <v>GAL</v>
          </cell>
          <cell r="M69" t="str">
            <v>Equipos Masculinos Juveniles</v>
          </cell>
        </row>
        <row r="70">
          <cell r="A70">
            <v>69</v>
          </cell>
          <cell r="B70">
            <v>36</v>
          </cell>
          <cell r="C70">
            <v>38</v>
          </cell>
          <cell r="E70" t="str">
            <v>4ª Jornada - Grupo C</v>
          </cell>
          <cell r="F70">
            <v>28</v>
          </cell>
          <cell r="G70">
            <v>0.80208333333333337</v>
          </cell>
          <cell r="H70">
            <v>5</v>
          </cell>
          <cell r="I70" t="str">
            <v>CLUB AT. SAN SEBASTIÁN</v>
          </cell>
          <cell r="J70" t="str">
            <v>PVS</v>
          </cell>
          <cell r="K70" t="str">
            <v>MERCANTIL SEVILLA</v>
          </cell>
          <cell r="L70" t="str">
            <v>AND</v>
          </cell>
          <cell r="M70" t="str">
            <v>Equipos Masculinos Juveniles</v>
          </cell>
        </row>
        <row r="71">
          <cell r="A71">
            <v>70</v>
          </cell>
          <cell r="B71">
            <v>37</v>
          </cell>
          <cell r="C71">
            <v>39</v>
          </cell>
          <cell r="E71" t="str">
            <v>4ª Jornada - Grupo C</v>
          </cell>
          <cell r="F71">
            <v>28</v>
          </cell>
          <cell r="G71">
            <v>0.80208333333333337</v>
          </cell>
          <cell r="H71">
            <v>6</v>
          </cell>
          <cell r="I71" t="str">
            <v>CAN BERARDO RIPOLLET (PDM)</v>
          </cell>
          <cell r="J71" t="str">
            <v>CAT</v>
          </cell>
          <cell r="K71" t="str">
            <v>ECISA ALICANTE T.M.</v>
          </cell>
          <cell r="L71" t="str">
            <v>CVA</v>
          </cell>
          <cell r="M71" t="str">
            <v>Equipos Masculinos Juveniles</v>
          </cell>
        </row>
        <row r="72">
          <cell r="A72">
            <v>71</v>
          </cell>
          <cell r="B72">
            <v>41</v>
          </cell>
          <cell r="C72">
            <v>43</v>
          </cell>
          <cell r="E72" t="str">
            <v>4ª Jornada - Grupo D</v>
          </cell>
          <cell r="F72">
            <v>28</v>
          </cell>
          <cell r="G72">
            <v>0.80208333333333337</v>
          </cell>
          <cell r="H72">
            <v>7</v>
          </cell>
          <cell r="I72" t="str">
            <v>SCHOOL ZARAGOZA T.M.</v>
          </cell>
          <cell r="J72" t="str">
            <v>AND</v>
          </cell>
          <cell r="K72" t="str">
            <v>ANTONIO MENDOZA</v>
          </cell>
          <cell r="L72" t="str">
            <v>CTB</v>
          </cell>
          <cell r="M72" t="str">
            <v>Equipos Masculinos Juveniles</v>
          </cell>
        </row>
        <row r="73">
          <cell r="A73">
            <v>72</v>
          </cell>
          <cell r="B73">
            <v>42</v>
          </cell>
          <cell r="C73">
            <v>44</v>
          </cell>
          <cell r="E73" t="str">
            <v>4ª Jornada - Grupo D</v>
          </cell>
          <cell r="F73">
            <v>28</v>
          </cell>
          <cell r="G73">
            <v>0.80208333333333337</v>
          </cell>
          <cell r="H73">
            <v>8</v>
          </cell>
          <cell r="I73" t="str">
            <v>COOP. LAS MARISMAS LEBRIJA</v>
          </cell>
          <cell r="J73" t="str">
            <v>AND</v>
          </cell>
          <cell r="K73" t="str">
            <v>C.T.M. GETAFE</v>
          </cell>
          <cell r="L73" t="str">
            <v>MAD</v>
          </cell>
          <cell r="M73" t="str">
            <v>Equipos Masculinos Juveniles</v>
          </cell>
        </row>
        <row r="74">
          <cell r="A74">
            <v>73</v>
          </cell>
          <cell r="B74">
            <v>26</v>
          </cell>
          <cell r="C74">
            <v>27</v>
          </cell>
          <cell r="E74" t="str">
            <v>5ª Jornada - Grupo A</v>
          </cell>
          <cell r="F74">
            <v>29</v>
          </cell>
          <cell r="G74">
            <v>0.375</v>
          </cell>
          <cell r="H74">
            <v>5</v>
          </cell>
          <cell r="I74" t="str">
            <v>LA GENERAL GRANADA</v>
          </cell>
          <cell r="J74" t="str">
            <v>AND</v>
          </cell>
          <cell r="K74" t="str">
            <v>A.D.T.M. LEGANÉS</v>
          </cell>
          <cell r="L74" t="str">
            <v>MAD</v>
          </cell>
          <cell r="M74" t="str">
            <v>Equipos Masculinos Juveniles</v>
          </cell>
        </row>
        <row r="75">
          <cell r="A75">
            <v>74</v>
          </cell>
          <cell r="B75">
            <v>29</v>
          </cell>
          <cell r="C75">
            <v>30</v>
          </cell>
          <cell r="E75" t="str">
            <v>5ª Jornada - Grupo A</v>
          </cell>
          <cell r="F75">
            <v>29</v>
          </cell>
          <cell r="G75">
            <v>0.375</v>
          </cell>
          <cell r="H75">
            <v>6</v>
          </cell>
          <cell r="I75" t="str">
            <v>DEFENSE T.M.</v>
          </cell>
          <cell r="J75" t="str">
            <v>CNR</v>
          </cell>
          <cell r="K75" t="str">
            <v>CLUB HUELVA T.M.</v>
          </cell>
          <cell r="L75" t="str">
            <v>AND</v>
          </cell>
          <cell r="M75" t="str">
            <v>Equipos Masculinos Juveniles</v>
          </cell>
        </row>
        <row r="76">
          <cell r="A76">
            <v>75</v>
          </cell>
          <cell r="B76">
            <v>31</v>
          </cell>
          <cell r="C76">
            <v>32</v>
          </cell>
          <cell r="E76" t="str">
            <v>5ª Jornada - Grupo B</v>
          </cell>
          <cell r="F76">
            <v>29</v>
          </cell>
          <cell r="G76">
            <v>0.375</v>
          </cell>
          <cell r="H76">
            <v>7</v>
          </cell>
          <cell r="I76" t="str">
            <v>FINQUES BALTRONS CALELLA</v>
          </cell>
          <cell r="J76" t="str">
            <v>CAT</v>
          </cell>
          <cell r="K76" t="str">
            <v>ADA GUADIX LA GENERAL</v>
          </cell>
          <cell r="L76" t="str">
            <v>AND</v>
          </cell>
          <cell r="M76" t="str">
            <v>Equipos Masculinos Juveniles</v>
          </cell>
        </row>
        <row r="77">
          <cell r="A77">
            <v>76</v>
          </cell>
          <cell r="B77">
            <v>34</v>
          </cell>
          <cell r="C77">
            <v>35</v>
          </cell>
          <cell r="E77" t="str">
            <v>5ª Jornada - Grupo B</v>
          </cell>
          <cell r="F77">
            <v>29</v>
          </cell>
          <cell r="G77">
            <v>0.375</v>
          </cell>
          <cell r="H77">
            <v>8</v>
          </cell>
          <cell r="I77" t="str">
            <v>CLUB NARÓN T.M.</v>
          </cell>
          <cell r="J77" t="str">
            <v>GAL</v>
          </cell>
          <cell r="K77" t="str">
            <v>C.T.T. ATENEU 1882</v>
          </cell>
          <cell r="L77" t="str">
            <v>AND</v>
          </cell>
          <cell r="M77" t="str">
            <v>Equipos Masculinos Juveniles</v>
          </cell>
        </row>
        <row r="78">
          <cell r="A78">
            <v>77</v>
          </cell>
          <cell r="B78">
            <v>36</v>
          </cell>
          <cell r="C78">
            <v>37</v>
          </cell>
          <cell r="E78" t="str">
            <v>5ª Jornada - Grupo C</v>
          </cell>
          <cell r="F78">
            <v>29</v>
          </cell>
          <cell r="G78">
            <v>0.375</v>
          </cell>
          <cell r="H78">
            <v>9</v>
          </cell>
          <cell r="I78" t="str">
            <v>CLUB AT. SAN SEBASTIÁN</v>
          </cell>
          <cell r="J78" t="str">
            <v>PVS</v>
          </cell>
          <cell r="K78" t="str">
            <v>CAN BERARDO RIPOLLET (PDM)</v>
          </cell>
          <cell r="L78" t="str">
            <v>CAT</v>
          </cell>
          <cell r="M78" t="str">
            <v>Equipos Masculinos Juveniles</v>
          </cell>
        </row>
        <row r="79">
          <cell r="A79">
            <v>78</v>
          </cell>
          <cell r="B79">
            <v>39</v>
          </cell>
          <cell r="C79">
            <v>40</v>
          </cell>
          <cell r="E79" t="str">
            <v>5ª Jornada - Grupo C</v>
          </cell>
          <cell r="F79">
            <v>29</v>
          </cell>
          <cell r="G79">
            <v>0.375</v>
          </cell>
          <cell r="H79">
            <v>10</v>
          </cell>
          <cell r="I79" t="str">
            <v>ECISA ALICANTE T.M.</v>
          </cell>
          <cell r="J79" t="str">
            <v>CVA</v>
          </cell>
          <cell r="K79" t="str">
            <v>CAN BERARDO RIPOLLET (SDM)</v>
          </cell>
          <cell r="L79" t="str">
            <v>CAT</v>
          </cell>
          <cell r="M79" t="str">
            <v>Equipos Masculinos Juveniles</v>
          </cell>
        </row>
        <row r="80">
          <cell r="A80">
            <v>79</v>
          </cell>
          <cell r="B80">
            <v>41</v>
          </cell>
          <cell r="C80">
            <v>42</v>
          </cell>
          <cell r="E80" t="str">
            <v>5ª Jornada - Grupo D</v>
          </cell>
          <cell r="F80">
            <v>29</v>
          </cell>
          <cell r="G80">
            <v>0.375</v>
          </cell>
          <cell r="H80">
            <v>11</v>
          </cell>
          <cell r="I80" t="str">
            <v>SCHOOL ZARAGOZA T.M.</v>
          </cell>
          <cell r="J80" t="str">
            <v>AND</v>
          </cell>
          <cell r="K80" t="str">
            <v>COOP. LAS MARISMAS LEBRIJA</v>
          </cell>
          <cell r="L80" t="str">
            <v>AND</v>
          </cell>
          <cell r="M80" t="str">
            <v>Equipos Masculinos Juveniles</v>
          </cell>
        </row>
        <row r="81">
          <cell r="A81">
            <v>80</v>
          </cell>
          <cell r="B81">
            <v>44</v>
          </cell>
          <cell r="C81">
            <v>45</v>
          </cell>
          <cell r="E81" t="str">
            <v>5ª Jornada - Grupo D</v>
          </cell>
          <cell r="F81">
            <v>29</v>
          </cell>
          <cell r="G81">
            <v>0.375</v>
          </cell>
          <cell r="H81">
            <v>12</v>
          </cell>
          <cell r="I81" t="str">
            <v>C.T.M. GETAFE</v>
          </cell>
          <cell r="J81" t="str">
            <v>MAD</v>
          </cell>
          <cell r="K81" t="str">
            <v>C.T.T. TRAMUNTANA</v>
          </cell>
          <cell r="L81" t="str">
            <v>CAT</v>
          </cell>
          <cell r="M81" t="str">
            <v>Equipos Masculinos Juveniles</v>
          </cell>
        </row>
        <row r="82">
          <cell r="A82">
            <v>81</v>
          </cell>
          <cell r="B82">
            <v>27</v>
          </cell>
          <cell r="C82">
            <v>45</v>
          </cell>
          <cell r="E82" t="str">
            <v>9º al 12º puesto</v>
          </cell>
          <cell r="F82">
            <v>29</v>
          </cell>
          <cell r="G82">
            <v>0.51041666666666663</v>
          </cell>
          <cell r="H82">
            <v>1</v>
          </cell>
          <cell r="I82" t="str">
            <v>A.D.T.M. LEGANÉS</v>
          </cell>
          <cell r="J82" t="str">
            <v>MAD</v>
          </cell>
          <cell r="K82" t="str">
            <v>C.T.T. TRAMUNTANA</v>
          </cell>
          <cell r="L82" t="str">
            <v>CAT</v>
          </cell>
          <cell r="M82" t="str">
            <v>Equipos Masculinos Juveniles</v>
          </cell>
        </row>
        <row r="83">
          <cell r="A83">
            <v>82</v>
          </cell>
          <cell r="B83">
            <v>36</v>
          </cell>
          <cell r="C83">
            <v>33</v>
          </cell>
          <cell r="E83" t="str">
            <v>9º al 12º puesto</v>
          </cell>
          <cell r="F83">
            <v>29</v>
          </cell>
          <cell r="G83">
            <v>0.51041666666666663</v>
          </cell>
          <cell r="H83">
            <v>2</v>
          </cell>
          <cell r="I83" t="str">
            <v>CLUB AT. SAN SEBASTIÁN</v>
          </cell>
          <cell r="J83" t="str">
            <v>PVS</v>
          </cell>
          <cell r="K83" t="str">
            <v>UCAM T.M. CARTAGENA</v>
          </cell>
          <cell r="L83" t="str">
            <v>MUR</v>
          </cell>
          <cell r="M83" t="str">
            <v>Equipos Masculinos Juveniles</v>
          </cell>
        </row>
        <row r="84">
          <cell r="A84">
            <v>83</v>
          </cell>
          <cell r="B84">
            <v>28</v>
          </cell>
          <cell r="C84">
            <v>41</v>
          </cell>
          <cell r="E84" t="str">
            <v>5º al 8º puesto</v>
          </cell>
          <cell r="F84">
            <v>29</v>
          </cell>
          <cell r="G84">
            <v>0.51041666666666663</v>
          </cell>
          <cell r="H84">
            <v>3</v>
          </cell>
          <cell r="I84" t="str">
            <v>BADAJOZ T.M.</v>
          </cell>
          <cell r="J84" t="str">
            <v>EXT</v>
          </cell>
          <cell r="K84" t="str">
            <v>SCHOOL ZARAGOZA T.M.</v>
          </cell>
          <cell r="L84" t="str">
            <v>AND</v>
          </cell>
          <cell r="M84" t="str">
            <v>Equipos Masculinos Juveniles</v>
          </cell>
        </row>
        <row r="85">
          <cell r="A85">
            <v>84</v>
          </cell>
          <cell r="B85">
            <v>38</v>
          </cell>
          <cell r="C85">
            <v>32</v>
          </cell>
          <cell r="E85" t="str">
            <v>5º al 8º puesto</v>
          </cell>
          <cell r="F85">
            <v>29</v>
          </cell>
          <cell r="G85">
            <v>0.51041666666666663</v>
          </cell>
          <cell r="H85">
            <v>4</v>
          </cell>
          <cell r="I85" t="str">
            <v>MERCANTIL SEVILLA</v>
          </cell>
          <cell r="J85" t="str">
            <v>AND</v>
          </cell>
          <cell r="K85" t="str">
            <v>ADA GUADIX LA GENERAL</v>
          </cell>
          <cell r="L85" t="str">
            <v>AND</v>
          </cell>
          <cell r="M85" t="str">
            <v>Equipos Masculinos Juveniles</v>
          </cell>
        </row>
        <row r="86">
          <cell r="A86">
            <v>85</v>
          </cell>
          <cell r="B86">
            <v>26</v>
          </cell>
          <cell r="C86">
            <v>42</v>
          </cell>
          <cell r="E86" t="str">
            <v>Semifinal</v>
          </cell>
          <cell r="F86">
            <v>29</v>
          </cell>
          <cell r="G86">
            <v>0.51041666666666663</v>
          </cell>
          <cell r="H86">
            <v>11</v>
          </cell>
          <cell r="I86" t="str">
            <v>LA GENERAL GRANADA</v>
          </cell>
          <cell r="J86" t="str">
            <v>AND</v>
          </cell>
          <cell r="K86" t="str">
            <v>COOP. LAS MARISMAS LEBRIJA</v>
          </cell>
          <cell r="L86" t="str">
            <v>AND</v>
          </cell>
          <cell r="M86" t="str">
            <v>Equipos Masculinos Juveniles</v>
          </cell>
        </row>
        <row r="87">
          <cell r="A87">
            <v>86</v>
          </cell>
          <cell r="B87">
            <v>37</v>
          </cell>
          <cell r="C87">
            <v>31</v>
          </cell>
          <cell r="E87" t="str">
            <v>Semifinal</v>
          </cell>
          <cell r="F87">
            <v>29</v>
          </cell>
          <cell r="G87">
            <v>0.51041666666666663</v>
          </cell>
          <cell r="H87">
            <v>7</v>
          </cell>
          <cell r="I87" t="str">
            <v>CAN BERARDO RIPOLLET (PDM)</v>
          </cell>
          <cell r="J87" t="str">
            <v>CAT</v>
          </cell>
          <cell r="K87" t="str">
            <v>FINQUES BALTRONS CALELLA</v>
          </cell>
          <cell r="L87" t="str">
            <v>CAT</v>
          </cell>
          <cell r="M87" t="str">
            <v>Equipos Masculinos Juveniles</v>
          </cell>
        </row>
        <row r="88">
          <cell r="A88">
            <v>87</v>
          </cell>
          <cell r="B88">
            <v>45</v>
          </cell>
          <cell r="C88">
            <v>33</v>
          </cell>
          <cell r="E88" t="str">
            <v>11º y 12º puesto</v>
          </cell>
          <cell r="F88">
            <v>29</v>
          </cell>
          <cell r="G88">
            <v>0.82291666666666663</v>
          </cell>
          <cell r="H88">
            <v>1</v>
          </cell>
          <cell r="I88" t="str">
            <v>C.T.T. TRAMUNTANA</v>
          </cell>
          <cell r="J88" t="str">
            <v>CAT</v>
          </cell>
          <cell r="K88" t="str">
            <v>UCAM T.M. CARTAGENA</v>
          </cell>
          <cell r="L88" t="str">
            <v>MUR</v>
          </cell>
          <cell r="M88" t="str">
            <v>Equipos Masculinos Juveniles</v>
          </cell>
        </row>
        <row r="89">
          <cell r="A89">
            <v>88</v>
          </cell>
          <cell r="B89">
            <v>27</v>
          </cell>
          <cell r="C89">
            <v>36</v>
          </cell>
          <cell r="E89" t="str">
            <v>9º y 10º puesto</v>
          </cell>
          <cell r="F89">
            <v>29</v>
          </cell>
          <cell r="G89">
            <v>0.82291666666666663</v>
          </cell>
          <cell r="H89">
            <v>2</v>
          </cell>
          <cell r="I89" t="str">
            <v>A.D.T.M. LEGANÉS</v>
          </cell>
          <cell r="J89" t="str">
            <v>MAD</v>
          </cell>
          <cell r="K89" t="str">
            <v>CLUB AT. SAN SEBASTIÁN</v>
          </cell>
          <cell r="L89" t="str">
            <v>PVS</v>
          </cell>
          <cell r="M89" t="str">
            <v>Equipos Masculinos Juveniles</v>
          </cell>
        </row>
        <row r="90">
          <cell r="A90">
            <v>89</v>
          </cell>
          <cell r="B90">
            <v>41</v>
          </cell>
          <cell r="C90">
            <v>38</v>
          </cell>
          <cell r="E90" t="str">
            <v>7º y 8º puesto</v>
          </cell>
          <cell r="F90">
            <v>29</v>
          </cell>
          <cell r="G90">
            <v>0.82291666666666663</v>
          </cell>
          <cell r="H90">
            <v>3</v>
          </cell>
          <cell r="I90" t="str">
            <v>SCHOOL ZARAGOZA T.M.</v>
          </cell>
          <cell r="J90" t="str">
            <v>AND</v>
          </cell>
          <cell r="K90" t="str">
            <v>MERCANTIL SEVILLA</v>
          </cell>
          <cell r="L90" t="str">
            <v>AND</v>
          </cell>
          <cell r="M90" t="str">
            <v>Equipos Masculinos Juveniles</v>
          </cell>
        </row>
        <row r="91">
          <cell r="A91">
            <v>90</v>
          </cell>
          <cell r="B91">
            <v>28</v>
          </cell>
          <cell r="C91">
            <v>32</v>
          </cell>
          <cell r="E91" t="str">
            <v>5º y 6º puesto</v>
          </cell>
          <cell r="F91">
            <v>29</v>
          </cell>
          <cell r="G91">
            <v>0.82291666666666663</v>
          </cell>
          <cell r="H91">
            <v>4</v>
          </cell>
          <cell r="I91" t="str">
            <v>BADAJOZ T.M.</v>
          </cell>
          <cell r="J91" t="str">
            <v>EXT</v>
          </cell>
          <cell r="K91" t="str">
            <v>ADA GUADIX LA GENERAL</v>
          </cell>
          <cell r="L91" t="str">
            <v>AND</v>
          </cell>
          <cell r="M91" t="str">
            <v>Equipos Masculinos Juveniles</v>
          </cell>
        </row>
        <row r="92">
          <cell r="A92">
            <v>91</v>
          </cell>
          <cell r="B92">
            <v>42</v>
          </cell>
          <cell r="C92">
            <v>37</v>
          </cell>
          <cell r="E92" t="str">
            <v>3º y 4º puesto</v>
          </cell>
          <cell r="F92">
            <v>29</v>
          </cell>
          <cell r="G92">
            <v>0.82291666666666663</v>
          </cell>
          <cell r="H92">
            <v>5</v>
          </cell>
          <cell r="I92" t="str">
            <v>COOP. LAS MARISMAS LEBRIJA</v>
          </cell>
          <cell r="J92" t="str">
            <v>AND</v>
          </cell>
          <cell r="K92" t="str">
            <v>CAN BERARDO RIPOLLET (PDM)</v>
          </cell>
          <cell r="L92" t="str">
            <v>CAT</v>
          </cell>
          <cell r="M92" t="str">
            <v>Equipos Masculinos Juveniles</v>
          </cell>
        </row>
        <row r="93">
          <cell r="A93">
            <v>92</v>
          </cell>
          <cell r="B93">
            <v>26</v>
          </cell>
          <cell r="C93">
            <v>31</v>
          </cell>
          <cell r="E93" t="str">
            <v>FINAL</v>
          </cell>
          <cell r="F93">
            <v>29</v>
          </cell>
          <cell r="G93">
            <v>0.82291666666666663</v>
          </cell>
          <cell r="H93">
            <v>10</v>
          </cell>
          <cell r="I93" t="str">
            <v>LA GENERAL GRANADA</v>
          </cell>
          <cell r="J93" t="str">
            <v>AND</v>
          </cell>
          <cell r="K93" t="str">
            <v>FINQUES BALTRONS CALELLA</v>
          </cell>
          <cell r="L93" t="str">
            <v>CAT</v>
          </cell>
          <cell r="M93" t="str">
            <v>Equipos Masculinos Juveniles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RSAL"/>
      <sheetName val="IM"/>
      <sheetName val="IF"/>
      <sheetName val="DM"/>
      <sheetName val="DF"/>
      <sheetName val="DX"/>
      <sheetName val="PIM"/>
      <sheetName val="PIF"/>
      <sheetName val="PDM"/>
      <sheetName val="PDX"/>
      <sheetName val="Actas"/>
      <sheetName val="EMyEF"/>
      <sheetName val="Encuen"/>
    </sheetNames>
    <sheetDataSet>
      <sheetData sheetId="0" refreshError="1">
        <row r="2">
          <cell r="A2">
            <v>101</v>
          </cell>
          <cell r="B2" t="str">
            <v>CASARES</v>
          </cell>
          <cell r="C2" t="str">
            <v>Roberto</v>
          </cell>
          <cell r="D2" t="str">
            <v>AND</v>
          </cell>
          <cell r="E2" t="str">
            <v>CASARES, Roberto</v>
          </cell>
          <cell r="F2">
            <v>855</v>
          </cell>
          <cell r="G2" t="str">
            <v>LA GENERAL DE GRANADA</v>
          </cell>
        </row>
        <row r="3">
          <cell r="A3">
            <v>102</v>
          </cell>
          <cell r="B3" t="str">
            <v>CIBANTOS</v>
          </cell>
          <cell r="C3" t="str">
            <v>A. Mateo</v>
          </cell>
          <cell r="D3" t="str">
            <v>AND</v>
          </cell>
          <cell r="E3" t="str">
            <v>CIBANTOS, A. Mateo</v>
          </cell>
          <cell r="F3">
            <v>754</v>
          </cell>
          <cell r="G3" t="str">
            <v>C.T.M. PORTUENSE</v>
          </cell>
        </row>
        <row r="4">
          <cell r="A4">
            <v>103</v>
          </cell>
          <cell r="B4" t="str">
            <v>DELGADO</v>
          </cell>
          <cell r="C4" t="str">
            <v>J. Enrique</v>
          </cell>
          <cell r="D4" t="str">
            <v>AND</v>
          </cell>
          <cell r="E4" t="str">
            <v>DELGADO, J. Enrique</v>
          </cell>
          <cell r="G4" t="str">
            <v>C.T.M. PORTUENSE</v>
          </cell>
        </row>
        <row r="5">
          <cell r="A5">
            <v>104</v>
          </cell>
          <cell r="B5" t="str">
            <v>GAMBRA</v>
          </cell>
          <cell r="C5" t="str">
            <v>Jorge</v>
          </cell>
          <cell r="D5" t="str">
            <v>AND</v>
          </cell>
          <cell r="E5" t="str">
            <v>GAMBRA, Jorge</v>
          </cell>
          <cell r="F5">
            <v>851</v>
          </cell>
          <cell r="G5" t="str">
            <v>C.T.M. PORTUENSE</v>
          </cell>
        </row>
        <row r="6">
          <cell r="A6">
            <v>105</v>
          </cell>
          <cell r="B6" t="str">
            <v>HE</v>
          </cell>
          <cell r="C6" t="str">
            <v>Zhi Wen</v>
          </cell>
          <cell r="D6" t="str">
            <v>AND</v>
          </cell>
          <cell r="E6" t="str">
            <v>HE, Zhi Wen</v>
          </cell>
          <cell r="G6" t="str">
            <v>LA GENERAL DE GRANADA</v>
          </cell>
        </row>
        <row r="7">
          <cell r="A7">
            <v>107</v>
          </cell>
          <cell r="B7" t="str">
            <v>LI</v>
          </cell>
          <cell r="C7" t="str">
            <v>Qi</v>
          </cell>
          <cell r="D7" t="str">
            <v>AND</v>
          </cell>
          <cell r="E7" t="str">
            <v>LI, Qi</v>
          </cell>
          <cell r="G7" t="str">
            <v>TECH-LUZ LA ZUBIA</v>
          </cell>
        </row>
        <row r="8">
          <cell r="A8">
            <v>108</v>
          </cell>
          <cell r="B8" t="str">
            <v>LIU</v>
          </cell>
          <cell r="C8" t="str">
            <v>Jun Hui</v>
          </cell>
          <cell r="D8" t="str">
            <v>AND</v>
          </cell>
          <cell r="E8" t="str">
            <v>LIU, Jun Hui</v>
          </cell>
          <cell r="G8" t="str">
            <v>CONFECCIONES RUMADI</v>
          </cell>
        </row>
        <row r="9">
          <cell r="A9">
            <v>109</v>
          </cell>
          <cell r="B9" t="str">
            <v>LOZANO</v>
          </cell>
          <cell r="C9" t="str">
            <v>Álvaro</v>
          </cell>
          <cell r="D9" t="str">
            <v>AND</v>
          </cell>
          <cell r="E9" t="str">
            <v>LOZANO, Álvaro</v>
          </cell>
          <cell r="G9" t="str">
            <v>CAJAGRANADA</v>
          </cell>
        </row>
        <row r="10">
          <cell r="A10">
            <v>110</v>
          </cell>
          <cell r="B10" t="str">
            <v>MACHADO</v>
          </cell>
          <cell r="C10" t="str">
            <v>Carlos</v>
          </cell>
          <cell r="D10" t="str">
            <v>AND</v>
          </cell>
          <cell r="E10" t="str">
            <v>MACHADO, Carlos</v>
          </cell>
          <cell r="F10">
            <v>1018</v>
          </cell>
          <cell r="G10" t="str">
            <v>CAJASUR PRIEGO</v>
          </cell>
        </row>
        <row r="11">
          <cell r="A11">
            <v>111</v>
          </cell>
          <cell r="B11" t="str">
            <v>MACHADO</v>
          </cell>
          <cell r="C11" t="str">
            <v>José Luis</v>
          </cell>
          <cell r="D11" t="str">
            <v>AND</v>
          </cell>
          <cell r="E11" t="str">
            <v>MACHADO, José Luis</v>
          </cell>
          <cell r="F11">
            <v>790</v>
          </cell>
          <cell r="G11" t="str">
            <v>CAJASUR PRIEGO</v>
          </cell>
        </row>
        <row r="12">
          <cell r="A12">
            <v>112</v>
          </cell>
          <cell r="B12" t="str">
            <v>MARTÍN</v>
          </cell>
          <cell r="C12" t="str">
            <v>Carlos</v>
          </cell>
          <cell r="D12" t="str">
            <v>AND</v>
          </cell>
          <cell r="E12" t="str">
            <v>MARTÍN, Carlos</v>
          </cell>
          <cell r="G12" t="str">
            <v>CAJAGRANADA</v>
          </cell>
        </row>
        <row r="13">
          <cell r="A13">
            <v>114</v>
          </cell>
          <cell r="B13" t="str">
            <v>MORENO</v>
          </cell>
          <cell r="C13" t="str">
            <v>Pablo</v>
          </cell>
          <cell r="D13" t="str">
            <v>AND</v>
          </cell>
          <cell r="E13" t="str">
            <v>MORENO, Pablo</v>
          </cell>
          <cell r="G13" t="str">
            <v>CAJAGRANADA</v>
          </cell>
        </row>
        <row r="14">
          <cell r="A14">
            <v>115</v>
          </cell>
          <cell r="B14" t="str">
            <v>RADENBACH</v>
          </cell>
          <cell r="C14" t="str">
            <v>Fred</v>
          </cell>
          <cell r="D14" t="str">
            <v>AND</v>
          </cell>
          <cell r="E14" t="str">
            <v>RADENBACH, Fred</v>
          </cell>
          <cell r="G14" t="str">
            <v>TECH-LUZ LA ZUBIA</v>
          </cell>
        </row>
        <row r="15">
          <cell r="A15">
            <v>116</v>
          </cell>
          <cell r="B15" t="str">
            <v>ROSARIO</v>
          </cell>
          <cell r="C15" t="str">
            <v>David</v>
          </cell>
          <cell r="D15" t="str">
            <v>AND</v>
          </cell>
          <cell r="E15" t="str">
            <v>ROSARIO, David</v>
          </cell>
          <cell r="F15">
            <v>669</v>
          </cell>
          <cell r="G15" t="str">
            <v>C.T.M. PORTUENSE</v>
          </cell>
        </row>
        <row r="16">
          <cell r="A16">
            <v>117</v>
          </cell>
          <cell r="B16" t="str">
            <v>RUIZ</v>
          </cell>
          <cell r="C16" t="str">
            <v>Isidro</v>
          </cell>
          <cell r="D16" t="str">
            <v>AND</v>
          </cell>
          <cell r="E16" t="str">
            <v>RUIZ, Isidro</v>
          </cell>
          <cell r="G16" t="str">
            <v>CONFECCIONES RUMADI</v>
          </cell>
        </row>
        <row r="17">
          <cell r="A17">
            <v>118</v>
          </cell>
          <cell r="B17" t="str">
            <v>RUIZ</v>
          </cell>
          <cell r="C17" t="str">
            <v>José Antonio</v>
          </cell>
          <cell r="D17" t="str">
            <v>AND</v>
          </cell>
          <cell r="E17" t="str">
            <v>RUIZ, José Antonio</v>
          </cell>
          <cell r="F17">
            <v>411</v>
          </cell>
          <cell r="G17" t="str">
            <v>CONFECCIONES RUMADI</v>
          </cell>
        </row>
        <row r="18">
          <cell r="A18">
            <v>119</v>
          </cell>
          <cell r="B18" t="str">
            <v>RUIZ</v>
          </cell>
          <cell r="C18" t="str">
            <v>José Manuel</v>
          </cell>
          <cell r="D18" t="str">
            <v>AND</v>
          </cell>
          <cell r="E18" t="str">
            <v>RUIZ, José Manuel</v>
          </cell>
          <cell r="G18" t="str">
            <v>CAJAGRANADA</v>
          </cell>
        </row>
        <row r="19">
          <cell r="A19">
            <v>120</v>
          </cell>
          <cell r="B19" t="str">
            <v>SÁNCHEZ</v>
          </cell>
          <cell r="C19" t="str">
            <v>Víctor</v>
          </cell>
          <cell r="D19" t="str">
            <v>AND</v>
          </cell>
          <cell r="E19" t="str">
            <v>SÁNCHEZ, Víctor</v>
          </cell>
          <cell r="F19">
            <v>984</v>
          </cell>
          <cell r="G19" t="str">
            <v>LA GENERAL DE GRANADA</v>
          </cell>
        </row>
        <row r="20">
          <cell r="A20">
            <v>121</v>
          </cell>
          <cell r="B20" t="str">
            <v>SEVILLA</v>
          </cell>
          <cell r="C20" t="str">
            <v>Juan Bautista</v>
          </cell>
          <cell r="D20" t="str">
            <v>AND</v>
          </cell>
          <cell r="E20" t="str">
            <v>SEVILLA, Juan Bautista</v>
          </cell>
          <cell r="F20">
            <v>774</v>
          </cell>
          <cell r="G20" t="str">
            <v>TECH-LUZ LA ZUBIA</v>
          </cell>
        </row>
        <row r="21">
          <cell r="A21">
            <v>122</v>
          </cell>
          <cell r="B21" t="str">
            <v>TOL</v>
          </cell>
          <cell r="C21" t="str">
            <v>Christian</v>
          </cell>
          <cell r="D21" t="str">
            <v>AND</v>
          </cell>
          <cell r="E21" t="str">
            <v>TOL, Christian</v>
          </cell>
          <cell r="G21" t="str">
            <v>CONFECCIONES RUMADI</v>
          </cell>
        </row>
        <row r="22">
          <cell r="A22">
            <v>123</v>
          </cell>
          <cell r="B22" t="str">
            <v>WAHAB</v>
          </cell>
          <cell r="C22" t="str">
            <v>Ahmed</v>
          </cell>
          <cell r="D22" t="str">
            <v>AND</v>
          </cell>
          <cell r="E22" t="str">
            <v>WAHAB, Ahmed</v>
          </cell>
          <cell r="G22" t="str">
            <v>CAJASUR PRIEGO</v>
          </cell>
        </row>
        <row r="23">
          <cell r="A23">
            <v>124</v>
          </cell>
          <cell r="B23" t="str">
            <v>BEAMONTE</v>
          </cell>
          <cell r="C23" t="str">
            <v>Alfonso</v>
          </cell>
          <cell r="D23" t="str">
            <v>ARA</v>
          </cell>
          <cell r="E23" t="str">
            <v>BEAMONTE, Alfonso</v>
          </cell>
          <cell r="G23" t="str">
            <v>SCHOOL ZARAGOZA</v>
          </cell>
        </row>
        <row r="24">
          <cell r="A24">
            <v>125</v>
          </cell>
          <cell r="B24" t="str">
            <v>CHAN</v>
          </cell>
          <cell r="C24" t="str">
            <v>Koon Wah</v>
          </cell>
          <cell r="D24" t="str">
            <v>ARA</v>
          </cell>
          <cell r="E24" t="str">
            <v>CHAN, Koon Wah</v>
          </cell>
          <cell r="G24" t="str">
            <v>SCHOOL ZARAGOZA</v>
          </cell>
        </row>
        <row r="25">
          <cell r="A25">
            <v>126</v>
          </cell>
          <cell r="B25" t="str">
            <v>GALLEGO</v>
          </cell>
          <cell r="C25" t="str">
            <v>Félix</v>
          </cell>
          <cell r="D25" t="str">
            <v>ARA</v>
          </cell>
          <cell r="E25" t="str">
            <v>GALLEGO, Félix</v>
          </cell>
          <cell r="G25" t="str">
            <v>SCHOOL ZARAGOZA</v>
          </cell>
        </row>
        <row r="26">
          <cell r="A26">
            <v>127</v>
          </cell>
          <cell r="B26" t="str">
            <v>ALFONSO</v>
          </cell>
          <cell r="C26" t="str">
            <v>Salvador</v>
          </cell>
          <cell r="D26" t="str">
            <v>AST</v>
          </cell>
          <cell r="E26" t="str">
            <v>ALFONSO, Salvador</v>
          </cell>
          <cell r="G26" t="str">
            <v>OVIEDO MADRID T.M.</v>
          </cell>
        </row>
        <row r="27">
          <cell r="A27">
            <v>128</v>
          </cell>
          <cell r="B27" t="str">
            <v>BURGOS</v>
          </cell>
          <cell r="C27" t="str">
            <v>Aurelio</v>
          </cell>
          <cell r="D27" t="str">
            <v>AST</v>
          </cell>
          <cell r="E27" t="str">
            <v>BURGOS, Aurelio</v>
          </cell>
          <cell r="G27" t="str">
            <v>OVIEDO MADRID T.M.</v>
          </cell>
        </row>
        <row r="28">
          <cell r="A28">
            <v>131</v>
          </cell>
          <cell r="B28" t="str">
            <v>SUÁREZ</v>
          </cell>
          <cell r="C28" t="str">
            <v>David</v>
          </cell>
          <cell r="D28" t="str">
            <v>AST</v>
          </cell>
          <cell r="E28" t="str">
            <v>SUÁREZ, David</v>
          </cell>
          <cell r="G28" t="str">
            <v>OVIEDO MADRID T.M.</v>
          </cell>
        </row>
        <row r="29">
          <cell r="A29">
            <v>132</v>
          </cell>
          <cell r="B29" t="str">
            <v>GARCÍA</v>
          </cell>
          <cell r="C29" t="str">
            <v>Luis</v>
          </cell>
          <cell r="D29" t="str">
            <v>CYL</v>
          </cell>
          <cell r="E29" t="str">
            <v>GARCÍA, Luis</v>
          </cell>
        </row>
        <row r="30">
          <cell r="A30">
            <v>133</v>
          </cell>
          <cell r="B30" t="str">
            <v>GONZÁLEZ</v>
          </cell>
          <cell r="C30" t="str">
            <v>Jorge</v>
          </cell>
          <cell r="D30" t="str">
            <v>CYL</v>
          </cell>
          <cell r="E30" t="str">
            <v>GONZÁLEZ, Jorge</v>
          </cell>
        </row>
        <row r="31">
          <cell r="A31">
            <v>134</v>
          </cell>
          <cell r="B31" t="str">
            <v>MORA</v>
          </cell>
          <cell r="C31" t="str">
            <v>Javier</v>
          </cell>
          <cell r="D31" t="str">
            <v>CYL</v>
          </cell>
          <cell r="E31" t="str">
            <v>MORA, Javier</v>
          </cell>
        </row>
        <row r="32">
          <cell r="A32">
            <v>135</v>
          </cell>
          <cell r="B32" t="str">
            <v>ZÁRATE</v>
          </cell>
          <cell r="C32" t="str">
            <v>Pablo</v>
          </cell>
          <cell r="D32" t="str">
            <v>CYL</v>
          </cell>
          <cell r="E32" t="str">
            <v>ZÁRATE, Pablo</v>
          </cell>
        </row>
        <row r="33">
          <cell r="A33">
            <v>136</v>
          </cell>
          <cell r="B33" t="str">
            <v>CHEN</v>
          </cell>
          <cell r="C33" t="str">
            <v>Wei</v>
          </cell>
          <cell r="D33" t="str">
            <v>CYL</v>
          </cell>
          <cell r="E33" t="str">
            <v>CHEN, Wei</v>
          </cell>
          <cell r="G33" t="str">
            <v>VALLADOLID T.M.</v>
          </cell>
        </row>
        <row r="34">
          <cell r="A34">
            <v>137</v>
          </cell>
          <cell r="B34" t="str">
            <v>ECHAZARRETA</v>
          </cell>
          <cell r="C34" t="str">
            <v>Sonia</v>
          </cell>
          <cell r="D34" t="str">
            <v>CYL</v>
          </cell>
          <cell r="E34" t="str">
            <v>ECHAZARRETA, Sonia</v>
          </cell>
          <cell r="G34" t="str">
            <v>VALLADOLID T.M.</v>
          </cell>
        </row>
        <row r="35">
          <cell r="A35">
            <v>138</v>
          </cell>
          <cell r="B35" t="str">
            <v>GALLO</v>
          </cell>
          <cell r="C35" t="str">
            <v>Mª Carmen</v>
          </cell>
          <cell r="D35" t="str">
            <v>CYL</v>
          </cell>
          <cell r="E35" t="str">
            <v>GALLO, Mª Carmen</v>
          </cell>
          <cell r="G35" t="str">
            <v>VALLADOLID T.M. (1ª NNAL.)</v>
          </cell>
        </row>
        <row r="36">
          <cell r="A36">
            <v>139</v>
          </cell>
          <cell r="B36" t="str">
            <v>MARTÍN</v>
          </cell>
          <cell r="C36" t="str">
            <v>María</v>
          </cell>
          <cell r="D36" t="str">
            <v>CYL</v>
          </cell>
          <cell r="E36" t="str">
            <v>MARTÍN, María</v>
          </cell>
          <cell r="G36" t="str">
            <v>VALLADOLID T.M. (1ª NNAL.)</v>
          </cell>
        </row>
        <row r="37">
          <cell r="A37">
            <v>140</v>
          </cell>
          <cell r="B37" t="str">
            <v>MATILLA</v>
          </cell>
          <cell r="C37" t="str">
            <v>Irene</v>
          </cell>
          <cell r="D37" t="str">
            <v>CYL</v>
          </cell>
          <cell r="E37" t="str">
            <v>MATILLA, Irene</v>
          </cell>
          <cell r="G37" t="str">
            <v>VALLADOLID T.M. (1ª NNAL.)</v>
          </cell>
        </row>
        <row r="38">
          <cell r="A38">
            <v>141</v>
          </cell>
          <cell r="B38" t="str">
            <v>PANADERO</v>
          </cell>
          <cell r="C38" t="str">
            <v>Gloria</v>
          </cell>
          <cell r="D38" t="str">
            <v>CYL</v>
          </cell>
          <cell r="E38" t="str">
            <v>PANADERO, Gloria</v>
          </cell>
          <cell r="F38">
            <v>634</v>
          </cell>
          <cell r="G38" t="str">
            <v>VALLADOLID T.M.</v>
          </cell>
        </row>
        <row r="39">
          <cell r="A39">
            <v>142</v>
          </cell>
          <cell r="B39" t="str">
            <v>PORTA</v>
          </cell>
          <cell r="C39" t="str">
            <v>Idoia</v>
          </cell>
          <cell r="D39" t="str">
            <v>CYL</v>
          </cell>
          <cell r="E39" t="str">
            <v>PORTA, Idoia</v>
          </cell>
          <cell r="G39" t="str">
            <v>VALLADOLID T.M. (1ª NNAL.)</v>
          </cell>
        </row>
        <row r="40">
          <cell r="A40">
            <v>143</v>
          </cell>
          <cell r="B40" t="str">
            <v>VILÁ</v>
          </cell>
          <cell r="C40" t="str">
            <v>Roser</v>
          </cell>
          <cell r="D40" t="str">
            <v>CYL</v>
          </cell>
          <cell r="E40" t="str">
            <v>VILÁ, Roser</v>
          </cell>
          <cell r="F40">
            <v>892</v>
          </cell>
          <cell r="G40" t="str">
            <v>VALLADOLID T.M.</v>
          </cell>
        </row>
        <row r="41">
          <cell r="A41">
            <v>144</v>
          </cell>
          <cell r="B41" t="str">
            <v>ANDRADE</v>
          </cell>
          <cell r="C41" t="str">
            <v>Josep Lluis</v>
          </cell>
          <cell r="D41" t="str">
            <v>CAT</v>
          </cell>
          <cell r="E41" t="str">
            <v>ANDRADE, Josep Lluis</v>
          </cell>
          <cell r="G41" t="str">
            <v>CAN BERARDO RIPOLLET</v>
          </cell>
        </row>
        <row r="42">
          <cell r="A42">
            <v>145</v>
          </cell>
          <cell r="B42" t="str">
            <v>ARNAU</v>
          </cell>
          <cell r="C42" t="str">
            <v>Miquel</v>
          </cell>
          <cell r="D42" t="str">
            <v>CAT</v>
          </cell>
          <cell r="E42" t="str">
            <v>ARNAU, Miquel</v>
          </cell>
          <cell r="F42">
            <v>413</v>
          </cell>
          <cell r="G42" t="str">
            <v>CAN BERARDO RIPOLLET</v>
          </cell>
        </row>
        <row r="43">
          <cell r="A43">
            <v>146</v>
          </cell>
          <cell r="B43" t="str">
            <v>BACARISAS</v>
          </cell>
          <cell r="C43" t="str">
            <v>Jordi</v>
          </cell>
          <cell r="D43" t="str">
            <v>CAT</v>
          </cell>
          <cell r="E43" t="str">
            <v>BACARISAS, Jordi</v>
          </cell>
          <cell r="F43">
            <v>169</v>
          </cell>
          <cell r="G43" t="str">
            <v>C.T.T. SANT VICENT</v>
          </cell>
        </row>
        <row r="44">
          <cell r="A44">
            <v>147</v>
          </cell>
          <cell r="B44" t="str">
            <v>CANO</v>
          </cell>
          <cell r="C44" t="str">
            <v>Andreu</v>
          </cell>
          <cell r="D44" t="str">
            <v>CAT</v>
          </cell>
          <cell r="E44" t="str">
            <v>CANO, Andreu</v>
          </cell>
          <cell r="G44" t="str">
            <v>CAN BERARDO RIPOLLET</v>
          </cell>
        </row>
        <row r="45">
          <cell r="A45">
            <v>148</v>
          </cell>
          <cell r="B45" t="str">
            <v>CLOTET</v>
          </cell>
          <cell r="C45" t="str">
            <v>Marc</v>
          </cell>
          <cell r="D45" t="str">
            <v>CAT</v>
          </cell>
          <cell r="E45" t="str">
            <v>CLOTET, Marc</v>
          </cell>
          <cell r="F45">
            <v>169</v>
          </cell>
          <cell r="G45" t="str">
            <v>C.T.T. SANT VICENT</v>
          </cell>
        </row>
        <row r="46">
          <cell r="A46">
            <v>149</v>
          </cell>
          <cell r="B46" t="str">
            <v>DURÁN</v>
          </cell>
          <cell r="C46" t="str">
            <v>Marc</v>
          </cell>
          <cell r="D46" t="str">
            <v>CAT</v>
          </cell>
          <cell r="E46" t="str">
            <v>DURÁN, Marc</v>
          </cell>
        </row>
        <row r="47">
          <cell r="A47">
            <v>150</v>
          </cell>
          <cell r="B47" t="str">
            <v>DVORAK</v>
          </cell>
          <cell r="C47" t="str">
            <v>Vladimir</v>
          </cell>
          <cell r="D47" t="str">
            <v>CAT</v>
          </cell>
          <cell r="E47" t="str">
            <v>DVORAK, Vladimir</v>
          </cell>
          <cell r="G47" t="str">
            <v>CAN BERARDO RIPOLLET</v>
          </cell>
        </row>
        <row r="48">
          <cell r="A48">
            <v>151</v>
          </cell>
          <cell r="B48" t="str">
            <v>ESCAMILLA</v>
          </cell>
          <cell r="C48" t="str">
            <v>Eduard</v>
          </cell>
          <cell r="D48" t="str">
            <v>CAT</v>
          </cell>
          <cell r="E48" t="str">
            <v>ESCAMILLA, Eduard</v>
          </cell>
          <cell r="F48">
            <v>543</v>
          </cell>
          <cell r="G48" t="str">
            <v>C.T.T. SANT VICENT</v>
          </cell>
        </row>
        <row r="49">
          <cell r="A49">
            <v>152</v>
          </cell>
          <cell r="B49" t="str">
            <v>FONT</v>
          </cell>
          <cell r="C49" t="str">
            <v>Carles</v>
          </cell>
          <cell r="D49" t="str">
            <v>CAT</v>
          </cell>
          <cell r="E49" t="str">
            <v>FONT, Carles</v>
          </cell>
        </row>
        <row r="50">
          <cell r="A50">
            <v>153</v>
          </cell>
          <cell r="B50" t="str">
            <v>MAMPEL</v>
          </cell>
          <cell r="C50" t="str">
            <v>Ramón</v>
          </cell>
          <cell r="D50" t="str">
            <v>CAT</v>
          </cell>
          <cell r="E50" t="str">
            <v>MAMPEL, Ramón</v>
          </cell>
        </row>
        <row r="51">
          <cell r="A51">
            <v>154</v>
          </cell>
          <cell r="B51" t="str">
            <v>MARTÍNEZ</v>
          </cell>
          <cell r="C51" t="str">
            <v>Iván</v>
          </cell>
          <cell r="D51" t="str">
            <v>CAT</v>
          </cell>
          <cell r="E51" t="str">
            <v>MARTÍNEZ, Iván</v>
          </cell>
          <cell r="F51">
            <v>168</v>
          </cell>
          <cell r="G51" t="str">
            <v>C.T.T. SANT VICENT</v>
          </cell>
        </row>
        <row r="52">
          <cell r="A52">
            <v>156</v>
          </cell>
          <cell r="B52" t="str">
            <v>MASALÓ</v>
          </cell>
          <cell r="C52" t="str">
            <v>Jordi</v>
          </cell>
          <cell r="D52" t="str">
            <v>CAT</v>
          </cell>
          <cell r="E52" t="str">
            <v>MASALÓ, Jordi</v>
          </cell>
          <cell r="G52" t="str">
            <v>C.T.T. TONA SEVA</v>
          </cell>
        </row>
        <row r="53">
          <cell r="A53">
            <v>157</v>
          </cell>
          <cell r="B53" t="str">
            <v>MOLINS</v>
          </cell>
          <cell r="C53" t="str">
            <v>Josep Ignasi</v>
          </cell>
          <cell r="D53" t="str">
            <v>CAT</v>
          </cell>
          <cell r="E53" t="str">
            <v>MOLINS, Josep Ignasi</v>
          </cell>
          <cell r="G53" t="str">
            <v>C.T.T. TONA SEVA</v>
          </cell>
        </row>
        <row r="54">
          <cell r="A54">
            <v>158</v>
          </cell>
          <cell r="B54" t="str">
            <v>MOURZOV</v>
          </cell>
          <cell r="C54" t="str">
            <v>Alexei</v>
          </cell>
          <cell r="D54" t="str">
            <v>CAT</v>
          </cell>
          <cell r="E54" t="str">
            <v>MOURZOV, Alexei</v>
          </cell>
          <cell r="G54" t="str">
            <v>C.E.R. LA ESCALA</v>
          </cell>
        </row>
        <row r="55">
          <cell r="A55">
            <v>159</v>
          </cell>
          <cell r="B55" t="str">
            <v>MOUZIKYNE</v>
          </cell>
          <cell r="C55" t="str">
            <v>Andrei</v>
          </cell>
          <cell r="D55" t="str">
            <v>CAT</v>
          </cell>
          <cell r="E55" t="str">
            <v>MOUZIKYNE, Andrei</v>
          </cell>
          <cell r="G55" t="str">
            <v>C.E.R. LA ESCALA</v>
          </cell>
        </row>
        <row r="56">
          <cell r="A56">
            <v>160</v>
          </cell>
          <cell r="B56" t="str">
            <v>PALÉS</v>
          </cell>
          <cell r="C56" t="str">
            <v>Josep María</v>
          </cell>
          <cell r="D56" t="str">
            <v>CAT</v>
          </cell>
          <cell r="E56" t="str">
            <v>PALÉS, Josep María</v>
          </cell>
          <cell r="F56">
            <v>662</v>
          </cell>
          <cell r="G56" t="str">
            <v>CAN BERARDO RIPOLLET</v>
          </cell>
        </row>
        <row r="57">
          <cell r="A57">
            <v>161</v>
          </cell>
          <cell r="B57" t="str">
            <v>PIELLA</v>
          </cell>
          <cell r="C57" t="str">
            <v>Jordi</v>
          </cell>
          <cell r="D57" t="str">
            <v>CAT</v>
          </cell>
          <cell r="E57" t="str">
            <v>PIELLA, Jordi</v>
          </cell>
          <cell r="F57">
            <v>545</v>
          </cell>
          <cell r="G57" t="str">
            <v>C.E.R. LA ESCALA</v>
          </cell>
        </row>
        <row r="58">
          <cell r="A58">
            <v>162</v>
          </cell>
          <cell r="B58" t="str">
            <v>TORRENS</v>
          </cell>
          <cell r="C58" t="str">
            <v>Gerard</v>
          </cell>
          <cell r="D58" t="str">
            <v>CAT</v>
          </cell>
          <cell r="E58" t="str">
            <v>TORRENS, Gerard</v>
          </cell>
        </row>
        <row r="59">
          <cell r="A59">
            <v>163</v>
          </cell>
          <cell r="B59" t="str">
            <v>ALMAGRO</v>
          </cell>
          <cell r="C59" t="str">
            <v>Meritxell</v>
          </cell>
          <cell r="D59" t="str">
            <v>CAT</v>
          </cell>
          <cell r="E59" t="str">
            <v>ALMAGRO, Meritxell</v>
          </cell>
          <cell r="F59">
            <v>482</v>
          </cell>
          <cell r="G59" t="str">
            <v>K 100 SOCKS CALELLA</v>
          </cell>
        </row>
        <row r="60">
          <cell r="A60">
            <v>164</v>
          </cell>
          <cell r="B60" t="str">
            <v>ARNAU</v>
          </cell>
          <cell r="C60" t="str">
            <v>Elisabet</v>
          </cell>
          <cell r="D60" t="str">
            <v>CAT</v>
          </cell>
          <cell r="E60" t="str">
            <v>ARNAU, Elisabet</v>
          </cell>
          <cell r="F60">
            <v>773</v>
          </cell>
          <cell r="G60" t="str">
            <v>FINQUES RIPOLLET</v>
          </cell>
        </row>
        <row r="61">
          <cell r="A61">
            <v>165</v>
          </cell>
          <cell r="B61" t="str">
            <v>BOSCH</v>
          </cell>
          <cell r="C61" t="str">
            <v>Julia</v>
          </cell>
          <cell r="D61" t="str">
            <v>CAT</v>
          </cell>
          <cell r="E61" t="str">
            <v>BOSCH, Julia</v>
          </cell>
          <cell r="F61">
            <v>207</v>
          </cell>
          <cell r="G61" t="str">
            <v>CLUB NATACIÓN MATARÓ</v>
          </cell>
        </row>
        <row r="62">
          <cell r="A62">
            <v>166</v>
          </cell>
          <cell r="B62" t="str">
            <v>BOVER</v>
          </cell>
          <cell r="C62" t="str">
            <v>Montse</v>
          </cell>
          <cell r="D62" t="str">
            <v>CAT</v>
          </cell>
          <cell r="E62" t="str">
            <v>BOVER, Montse</v>
          </cell>
          <cell r="G62" t="str">
            <v>FOTOPRIX VIC T.T.</v>
          </cell>
        </row>
        <row r="63">
          <cell r="A63">
            <v>167</v>
          </cell>
          <cell r="B63" t="str">
            <v>DVORAK</v>
          </cell>
          <cell r="C63" t="str">
            <v>Galia</v>
          </cell>
          <cell r="D63" t="str">
            <v>CAT</v>
          </cell>
          <cell r="E63" t="str">
            <v>DVORAK, Galia</v>
          </cell>
          <cell r="F63">
            <v>252</v>
          </cell>
          <cell r="G63" t="str">
            <v>CLUB NATACIÓN MATARÓ</v>
          </cell>
        </row>
        <row r="64">
          <cell r="A64">
            <v>168</v>
          </cell>
          <cell r="B64" t="str">
            <v>HERNÁNDEZ</v>
          </cell>
          <cell r="C64" t="str">
            <v>Jéssica</v>
          </cell>
          <cell r="D64" t="str">
            <v>CAT</v>
          </cell>
          <cell r="E64" t="str">
            <v>HERNÁNDEZ, Jéssica</v>
          </cell>
          <cell r="F64">
            <v>733</v>
          </cell>
          <cell r="G64" t="str">
            <v>CLUB NATACIÓN MATARÓ</v>
          </cell>
        </row>
        <row r="65">
          <cell r="A65">
            <v>169</v>
          </cell>
          <cell r="B65" t="str">
            <v>JURADO</v>
          </cell>
          <cell r="C65" t="str">
            <v>Miriea</v>
          </cell>
          <cell r="D65" t="str">
            <v>CAT</v>
          </cell>
          <cell r="E65" t="str">
            <v>JURADO, Miriea</v>
          </cell>
          <cell r="F65">
            <v>219</v>
          </cell>
          <cell r="G65" t="str">
            <v>FINQUES RIPOLLET</v>
          </cell>
        </row>
        <row r="66">
          <cell r="A66">
            <v>170</v>
          </cell>
          <cell r="B66" t="str">
            <v>KHASSANOVA</v>
          </cell>
          <cell r="C66" t="str">
            <v>Flora</v>
          </cell>
          <cell r="D66" t="str">
            <v>CAT</v>
          </cell>
          <cell r="E66" t="str">
            <v>KHASSANOVA, Flora</v>
          </cell>
          <cell r="G66" t="str">
            <v>CLUB NATACIÓN MATARÓ</v>
          </cell>
        </row>
        <row r="67">
          <cell r="A67">
            <v>171</v>
          </cell>
          <cell r="B67" t="str">
            <v>KOMRAKOVA</v>
          </cell>
          <cell r="C67" t="str">
            <v>Elena</v>
          </cell>
          <cell r="D67" t="str">
            <v>CAT</v>
          </cell>
          <cell r="E67" t="str">
            <v>KOMRAKOVA, Elena</v>
          </cell>
          <cell r="G67" t="str">
            <v>BAGÁ PETROCAT</v>
          </cell>
        </row>
        <row r="68">
          <cell r="A68">
            <v>172</v>
          </cell>
          <cell r="B68" t="str">
            <v>KONOVALOVA</v>
          </cell>
          <cell r="C68" t="str">
            <v>Natalia</v>
          </cell>
          <cell r="D68" t="str">
            <v>CAT</v>
          </cell>
          <cell r="E68" t="str">
            <v>KONOVALOVA, Natalia</v>
          </cell>
          <cell r="G68" t="str">
            <v>K 100 SOCKS CALELLA</v>
          </cell>
        </row>
        <row r="69">
          <cell r="A69">
            <v>174</v>
          </cell>
          <cell r="B69" t="str">
            <v>MORERA</v>
          </cell>
          <cell r="C69" t="str">
            <v>Mercé</v>
          </cell>
          <cell r="D69" t="str">
            <v>CAT</v>
          </cell>
          <cell r="E69" t="str">
            <v>MORERA, Mercé</v>
          </cell>
          <cell r="G69" t="str">
            <v>FOTOPRIX VIC T.T.</v>
          </cell>
        </row>
        <row r="70">
          <cell r="A70">
            <v>175</v>
          </cell>
          <cell r="B70" t="str">
            <v>NIKOLOVA</v>
          </cell>
          <cell r="C70" t="str">
            <v>Milena</v>
          </cell>
          <cell r="D70" t="str">
            <v>CAT</v>
          </cell>
          <cell r="E70" t="str">
            <v>NIKOLOVA, Milena</v>
          </cell>
          <cell r="G70" t="str">
            <v>FINQUES RIPOLLET</v>
          </cell>
        </row>
        <row r="71">
          <cell r="A71">
            <v>176</v>
          </cell>
          <cell r="B71" t="str">
            <v>PETROVA</v>
          </cell>
          <cell r="C71" t="str">
            <v>Detelina</v>
          </cell>
          <cell r="D71" t="str">
            <v>CAT</v>
          </cell>
          <cell r="E71" t="str">
            <v>PETROVA, Detelina</v>
          </cell>
          <cell r="G71" t="str">
            <v>FOTOPRIX VIC T.T.</v>
          </cell>
        </row>
        <row r="72">
          <cell r="A72">
            <v>177</v>
          </cell>
          <cell r="B72" t="str">
            <v>PUIG</v>
          </cell>
          <cell r="C72" t="str">
            <v>Tania</v>
          </cell>
          <cell r="D72" t="str">
            <v>CAT</v>
          </cell>
          <cell r="E72" t="str">
            <v>PUIG, Tania</v>
          </cell>
          <cell r="F72">
            <v>389</v>
          </cell>
          <cell r="G72" t="str">
            <v>K 100 SOCKS CALELLA</v>
          </cell>
        </row>
        <row r="73">
          <cell r="A73">
            <v>178</v>
          </cell>
          <cell r="B73" t="str">
            <v>RAMÍREZ</v>
          </cell>
          <cell r="C73" t="str">
            <v>Sara</v>
          </cell>
          <cell r="D73" t="str">
            <v>CAT</v>
          </cell>
          <cell r="E73" t="str">
            <v>RAMÍREZ, Sara</v>
          </cell>
          <cell r="F73">
            <v>146</v>
          </cell>
          <cell r="G73" t="str">
            <v>FINQUES RIPOLLET</v>
          </cell>
        </row>
        <row r="74">
          <cell r="A74">
            <v>179</v>
          </cell>
          <cell r="B74" t="str">
            <v>RODRÍGUEZ</v>
          </cell>
          <cell r="C74" t="str">
            <v>Jéssica</v>
          </cell>
          <cell r="D74" t="str">
            <v>CAT</v>
          </cell>
          <cell r="E74" t="str">
            <v>RODRÍGUEZ, Jéssica</v>
          </cell>
          <cell r="F74">
            <v>133</v>
          </cell>
          <cell r="G74" t="str">
            <v>BAGÁ PETROCAT</v>
          </cell>
        </row>
        <row r="75">
          <cell r="A75">
            <v>180</v>
          </cell>
          <cell r="B75" t="str">
            <v>RODRÍGUEZ</v>
          </cell>
          <cell r="C75" t="str">
            <v>Patricia</v>
          </cell>
          <cell r="D75" t="str">
            <v>CAT</v>
          </cell>
          <cell r="E75" t="str">
            <v>RODRÍGUEZ, Patricia</v>
          </cell>
          <cell r="F75">
            <v>250</v>
          </cell>
          <cell r="G75" t="str">
            <v>BAGÁ PETROCAT</v>
          </cell>
        </row>
        <row r="76">
          <cell r="A76">
            <v>181</v>
          </cell>
          <cell r="B76" t="str">
            <v>SERRES</v>
          </cell>
          <cell r="C76" t="str">
            <v>María</v>
          </cell>
          <cell r="D76" t="str">
            <v>CAT</v>
          </cell>
          <cell r="E76" t="str">
            <v>SERRES, María</v>
          </cell>
          <cell r="F76">
            <v>143</v>
          </cell>
          <cell r="G76" t="str">
            <v>CLUB NATACIÓN MATARÓ</v>
          </cell>
        </row>
        <row r="77">
          <cell r="A77">
            <v>182</v>
          </cell>
          <cell r="B77" t="str">
            <v>XIE</v>
          </cell>
          <cell r="C77" t="str">
            <v>Jing</v>
          </cell>
          <cell r="D77" t="str">
            <v>CAT</v>
          </cell>
          <cell r="E77" t="str">
            <v>XIE, Jing</v>
          </cell>
          <cell r="G77" t="str">
            <v>FOTOPRIX VIC T.T.</v>
          </cell>
        </row>
        <row r="78">
          <cell r="A78">
            <v>183</v>
          </cell>
          <cell r="B78" t="str">
            <v>YLLA-CATALÁ</v>
          </cell>
          <cell r="C78" t="str">
            <v>Marta</v>
          </cell>
          <cell r="D78" t="str">
            <v>CAT</v>
          </cell>
          <cell r="E78" t="str">
            <v>YLLA-CATALÁ, Marta</v>
          </cell>
          <cell r="F78">
            <v>743</v>
          </cell>
          <cell r="G78" t="str">
            <v>FOTOPRIX VIC T.T.</v>
          </cell>
        </row>
        <row r="79">
          <cell r="A79">
            <v>184</v>
          </cell>
          <cell r="B79" t="str">
            <v>KOULAGINA</v>
          </cell>
          <cell r="C79" t="str">
            <v>Katia</v>
          </cell>
          <cell r="D79" t="str">
            <v>VAL</v>
          </cell>
          <cell r="E79" t="str">
            <v>KOULAGINA, Katia</v>
          </cell>
          <cell r="G79" t="str">
            <v>C.T.T. MEDITERRÁNEO</v>
          </cell>
        </row>
        <row r="80">
          <cell r="A80">
            <v>185</v>
          </cell>
          <cell r="B80" t="str">
            <v>MANSERGAS</v>
          </cell>
          <cell r="C80" t="str">
            <v>Carla</v>
          </cell>
          <cell r="D80" t="str">
            <v>VAL</v>
          </cell>
          <cell r="E80" t="str">
            <v>MANSERGAS, Carla</v>
          </cell>
          <cell r="F80">
            <v>228</v>
          </cell>
          <cell r="G80" t="str">
            <v>C.T.T. MEDITERRÁNEO</v>
          </cell>
        </row>
        <row r="81">
          <cell r="A81">
            <v>186</v>
          </cell>
          <cell r="B81" t="str">
            <v>SAVU</v>
          </cell>
          <cell r="C81" t="str">
            <v>Simona</v>
          </cell>
          <cell r="D81" t="str">
            <v>VAL</v>
          </cell>
          <cell r="E81" t="str">
            <v>SAVU, Simona</v>
          </cell>
          <cell r="G81" t="str">
            <v>C.T.T. MEDITERRÁNEO</v>
          </cell>
        </row>
        <row r="82">
          <cell r="A82">
            <v>187</v>
          </cell>
          <cell r="B82" t="str">
            <v>SEMPERE</v>
          </cell>
          <cell r="C82" t="str">
            <v>Elvira</v>
          </cell>
          <cell r="D82" t="str">
            <v>VAL</v>
          </cell>
          <cell r="E82" t="str">
            <v>SEMPERE, Elvira</v>
          </cell>
          <cell r="F82">
            <v>475</v>
          </cell>
          <cell r="G82" t="str">
            <v>C.T.T. MEDITERRÁNEO</v>
          </cell>
        </row>
        <row r="83">
          <cell r="A83">
            <v>188</v>
          </cell>
          <cell r="B83" t="str">
            <v>SILLA</v>
          </cell>
          <cell r="C83" t="str">
            <v>Carmen</v>
          </cell>
          <cell r="D83" t="str">
            <v>VAL</v>
          </cell>
          <cell r="E83" t="str">
            <v>SILLA, Carmen</v>
          </cell>
          <cell r="G83" t="str">
            <v>C.T.T. MEDITERRÁNEO</v>
          </cell>
        </row>
        <row r="84">
          <cell r="A84">
            <v>189</v>
          </cell>
          <cell r="B84" t="str">
            <v>ENSEÑAT</v>
          </cell>
          <cell r="C84" t="str">
            <v>Jacobo</v>
          </cell>
          <cell r="D84" t="str">
            <v>GAL</v>
          </cell>
          <cell r="E84" t="str">
            <v>ENSEÑAT, Jacobo</v>
          </cell>
          <cell r="G84" t="str">
            <v>ARTEAL</v>
          </cell>
        </row>
        <row r="85">
          <cell r="A85">
            <v>190</v>
          </cell>
          <cell r="B85" t="str">
            <v>ENSEÑAT</v>
          </cell>
          <cell r="C85" t="str">
            <v>Juan</v>
          </cell>
          <cell r="D85" t="str">
            <v>GAL</v>
          </cell>
          <cell r="E85" t="str">
            <v>ENSEÑAT, Juan</v>
          </cell>
          <cell r="G85" t="str">
            <v>ARTEAL</v>
          </cell>
        </row>
        <row r="86">
          <cell r="A86">
            <v>191</v>
          </cell>
          <cell r="B86" t="str">
            <v>FERNÁNDEZ</v>
          </cell>
          <cell r="C86" t="str">
            <v>José</v>
          </cell>
          <cell r="D86" t="str">
            <v>GAL</v>
          </cell>
          <cell r="E86" t="str">
            <v>FERNÁNDEZ, José</v>
          </cell>
          <cell r="G86" t="str">
            <v>ARTEAL</v>
          </cell>
        </row>
        <row r="87">
          <cell r="A87">
            <v>192</v>
          </cell>
          <cell r="B87" t="str">
            <v>PASTUR</v>
          </cell>
          <cell r="C87" t="str">
            <v>Pedro</v>
          </cell>
          <cell r="D87" t="str">
            <v>GAL</v>
          </cell>
          <cell r="E87" t="str">
            <v>PASTUR, Pedro</v>
          </cell>
          <cell r="G87" t="str">
            <v>ARTEAL</v>
          </cell>
        </row>
        <row r="88">
          <cell r="A88">
            <v>194</v>
          </cell>
          <cell r="B88" t="str">
            <v>BULBUC</v>
          </cell>
          <cell r="C88" t="str">
            <v>Theodor</v>
          </cell>
          <cell r="D88" t="str">
            <v>MUR</v>
          </cell>
          <cell r="E88" t="str">
            <v>BULBUC, Theodor</v>
          </cell>
          <cell r="G88" t="str">
            <v>UCAM TM CARTAGENA</v>
          </cell>
        </row>
        <row r="89">
          <cell r="A89">
            <v>195</v>
          </cell>
          <cell r="B89" t="str">
            <v>CABEZAS</v>
          </cell>
          <cell r="C89" t="str">
            <v>Beinier</v>
          </cell>
          <cell r="D89" t="str">
            <v>MUR</v>
          </cell>
          <cell r="E89" t="str">
            <v>CABEZAS, Beinier</v>
          </cell>
          <cell r="G89" t="str">
            <v>UCAM TM CARTAGENA</v>
          </cell>
        </row>
        <row r="90">
          <cell r="A90">
            <v>196</v>
          </cell>
          <cell r="B90" t="str">
            <v>GALLEGO</v>
          </cell>
          <cell r="C90" t="str">
            <v>Óscar</v>
          </cell>
          <cell r="D90" t="str">
            <v>MUR</v>
          </cell>
          <cell r="E90" t="str">
            <v>GALLEGO, Óscar</v>
          </cell>
          <cell r="G90" t="str">
            <v>UCAM TM CARTAGENA</v>
          </cell>
        </row>
        <row r="91">
          <cell r="A91">
            <v>200</v>
          </cell>
          <cell r="B91" t="str">
            <v>SAURA</v>
          </cell>
          <cell r="C91" t="str">
            <v>Raúl</v>
          </cell>
          <cell r="D91" t="str">
            <v>MUR</v>
          </cell>
          <cell r="E91" t="str">
            <v>SAURA, Raúl</v>
          </cell>
          <cell r="G91" t="str">
            <v>UCAM TM CARTAGENA</v>
          </cell>
        </row>
        <row r="92">
          <cell r="A92">
            <v>202</v>
          </cell>
          <cell r="B92" t="str">
            <v>ANTELO</v>
          </cell>
          <cell r="C92" t="str">
            <v>Elia</v>
          </cell>
          <cell r="D92" t="str">
            <v>MUR</v>
          </cell>
          <cell r="E92" t="str">
            <v>ANTELO, Elia</v>
          </cell>
          <cell r="G92" t="str">
            <v>MARNYS CARTAGENA</v>
          </cell>
        </row>
        <row r="93">
          <cell r="A93">
            <v>203</v>
          </cell>
          <cell r="B93" t="str">
            <v>ANTELO</v>
          </cell>
          <cell r="C93" t="str">
            <v>María</v>
          </cell>
          <cell r="D93" t="str">
            <v>MUR</v>
          </cell>
          <cell r="E93" t="str">
            <v>ANTELO, María</v>
          </cell>
          <cell r="G93" t="str">
            <v>MARNYS CARTAGENA</v>
          </cell>
        </row>
        <row r="94">
          <cell r="A94">
            <v>204</v>
          </cell>
          <cell r="B94" t="str">
            <v>BAKHTINA</v>
          </cell>
          <cell r="C94" t="str">
            <v>Svetlana</v>
          </cell>
          <cell r="D94" t="str">
            <v>MUR</v>
          </cell>
          <cell r="E94" t="str">
            <v>BAKHTINA, Svetlana</v>
          </cell>
          <cell r="G94" t="str">
            <v>RELESA GALVAME CARTAGENA</v>
          </cell>
        </row>
        <row r="95">
          <cell r="A95">
            <v>205</v>
          </cell>
          <cell r="B95" t="str">
            <v>CIOSU</v>
          </cell>
          <cell r="C95" t="str">
            <v>Emilia</v>
          </cell>
          <cell r="D95" t="str">
            <v>MUR</v>
          </cell>
          <cell r="E95" t="str">
            <v>CIOSU, Emilia</v>
          </cell>
          <cell r="G95" t="str">
            <v>RELESA GALVAME CARTAGENA</v>
          </cell>
        </row>
        <row r="96">
          <cell r="A96">
            <v>206</v>
          </cell>
          <cell r="B96" t="str">
            <v>LI</v>
          </cell>
          <cell r="C96" t="str">
            <v>Yuan Yuan</v>
          </cell>
          <cell r="D96" t="str">
            <v>MUR</v>
          </cell>
          <cell r="E96" t="str">
            <v>LI, Yuan Yuan</v>
          </cell>
          <cell r="G96" t="str">
            <v>RELESA GALVAME CARTAGENA</v>
          </cell>
        </row>
        <row r="97">
          <cell r="A97">
            <v>207</v>
          </cell>
          <cell r="B97" t="str">
            <v>LOZANO</v>
          </cell>
          <cell r="C97" t="str">
            <v>Isabel</v>
          </cell>
          <cell r="D97" t="str">
            <v>MUR</v>
          </cell>
          <cell r="E97" t="str">
            <v>LOZANO, Isabel</v>
          </cell>
          <cell r="F97">
            <v>237</v>
          </cell>
          <cell r="G97" t="str">
            <v>MARNYS CARTAGENA</v>
          </cell>
        </row>
        <row r="98">
          <cell r="A98">
            <v>208</v>
          </cell>
          <cell r="B98" t="str">
            <v>NÚÑEZ</v>
          </cell>
          <cell r="C98" t="str">
            <v>Vanessa</v>
          </cell>
          <cell r="D98" t="str">
            <v>MUR</v>
          </cell>
          <cell r="E98" t="str">
            <v>NÚÑEZ, Vanessa</v>
          </cell>
        </row>
        <row r="99">
          <cell r="A99">
            <v>209</v>
          </cell>
          <cell r="B99" t="str">
            <v>PÉREZ</v>
          </cell>
          <cell r="C99" t="str">
            <v>Sara</v>
          </cell>
          <cell r="D99" t="str">
            <v>MUR</v>
          </cell>
          <cell r="E99" t="str">
            <v>PÉREZ, Sara</v>
          </cell>
          <cell r="F99">
            <v>782</v>
          </cell>
          <cell r="G99" t="str">
            <v>RELESA GALVAME CARTAGENA</v>
          </cell>
        </row>
        <row r="100">
          <cell r="A100">
            <v>210</v>
          </cell>
          <cell r="B100" t="str">
            <v>VILLADA</v>
          </cell>
          <cell r="C100" t="str">
            <v>Jénnifer</v>
          </cell>
          <cell r="D100" t="str">
            <v>MUR</v>
          </cell>
          <cell r="E100" t="str">
            <v>VILLADA, Jénnifer</v>
          </cell>
          <cell r="F100">
            <v>302</v>
          </cell>
          <cell r="G100" t="str">
            <v>MARNYS CARTAGENA</v>
          </cell>
        </row>
        <row r="101">
          <cell r="A101">
            <v>211</v>
          </cell>
          <cell r="B101" t="str">
            <v>CALVO</v>
          </cell>
          <cell r="C101" t="str">
            <v>Luis</v>
          </cell>
          <cell r="D101" t="str">
            <v>CNR</v>
          </cell>
          <cell r="E101" t="str">
            <v>CALVO, Luis</v>
          </cell>
        </row>
        <row r="102">
          <cell r="A102">
            <v>212</v>
          </cell>
          <cell r="B102" t="str">
            <v>CARNEROS</v>
          </cell>
          <cell r="C102" t="str">
            <v>Alfredo</v>
          </cell>
          <cell r="D102" t="str">
            <v>IND</v>
          </cell>
          <cell r="E102" t="str">
            <v>CARNEROS, Alfredo</v>
          </cell>
        </row>
        <row r="103">
          <cell r="A103">
            <v>213</v>
          </cell>
          <cell r="B103" t="str">
            <v>CAYMEL</v>
          </cell>
          <cell r="C103" t="str">
            <v>Ismael</v>
          </cell>
          <cell r="D103" t="str">
            <v>VAL</v>
          </cell>
          <cell r="E103" t="str">
            <v>CAYMEL, Ismael</v>
          </cell>
        </row>
        <row r="104">
          <cell r="A104">
            <v>214</v>
          </cell>
          <cell r="B104" t="str">
            <v>TORRES</v>
          </cell>
          <cell r="C104" t="str">
            <v>Daniel</v>
          </cell>
          <cell r="D104" t="str">
            <v>IND</v>
          </cell>
          <cell r="E104" t="str">
            <v>TORRES, Daniel</v>
          </cell>
          <cell r="F104">
            <v>818</v>
          </cell>
        </row>
        <row r="105">
          <cell r="A105">
            <v>215</v>
          </cell>
          <cell r="B105" t="str">
            <v>EMILIANOV</v>
          </cell>
          <cell r="C105" t="str">
            <v>Alexei</v>
          </cell>
          <cell r="D105" t="str">
            <v>PVS</v>
          </cell>
          <cell r="E105" t="str">
            <v>EMILIANOV, Alexei</v>
          </cell>
          <cell r="G105" t="str">
            <v>LEKA ENEA</v>
          </cell>
        </row>
        <row r="106">
          <cell r="A106">
            <v>216</v>
          </cell>
          <cell r="B106" t="str">
            <v>MARTÍNEZ</v>
          </cell>
          <cell r="C106" t="str">
            <v>Íker</v>
          </cell>
          <cell r="D106" t="str">
            <v>PVS</v>
          </cell>
          <cell r="E106" t="str">
            <v>MARTÍNEZ, Íker</v>
          </cell>
          <cell r="G106" t="str">
            <v>LEKA ENEA</v>
          </cell>
        </row>
        <row r="107">
          <cell r="A107">
            <v>217</v>
          </cell>
          <cell r="B107" t="str">
            <v>OMOTARA</v>
          </cell>
          <cell r="C107" t="str">
            <v>Titus</v>
          </cell>
          <cell r="D107" t="str">
            <v>PVS</v>
          </cell>
          <cell r="E107" t="str">
            <v>OMOTARA, Titus</v>
          </cell>
          <cell r="G107" t="str">
            <v>LEKA ENEA</v>
          </cell>
        </row>
        <row r="108">
          <cell r="A108">
            <v>218</v>
          </cell>
          <cell r="B108" t="str">
            <v>RODRÍGUEZ</v>
          </cell>
          <cell r="C108" t="str">
            <v>Sergio</v>
          </cell>
          <cell r="D108" t="str">
            <v>PVS</v>
          </cell>
          <cell r="E108" t="str">
            <v>RODRÍGUEZ, Sergio</v>
          </cell>
          <cell r="G108" t="str">
            <v>LEKA ENEA</v>
          </cell>
        </row>
        <row r="109">
          <cell r="A109">
            <v>219</v>
          </cell>
          <cell r="B109" t="str">
            <v>SANTAMARTA</v>
          </cell>
          <cell r="C109" t="str">
            <v>Víctor</v>
          </cell>
          <cell r="D109" t="str">
            <v>PVS</v>
          </cell>
          <cell r="E109" t="str">
            <v>SANTAMARTA, Víctor</v>
          </cell>
          <cell r="G109" t="str">
            <v>LEKA ENEA</v>
          </cell>
        </row>
        <row r="110">
          <cell r="A110">
            <v>220</v>
          </cell>
          <cell r="B110" t="str">
            <v>MALOV</v>
          </cell>
          <cell r="C110" t="str">
            <v>Valeri</v>
          </cell>
          <cell r="D110" t="str">
            <v>CAT</v>
          </cell>
          <cell r="E110" t="str">
            <v>MALOV, Valeri</v>
          </cell>
          <cell r="G110" t="str">
            <v>C.T.T. TONA SEVA</v>
          </cell>
        </row>
        <row r="111">
          <cell r="A111">
            <v>221</v>
          </cell>
          <cell r="B111" t="str">
            <v>GONZÁLEZ</v>
          </cell>
          <cell r="C111" t="str">
            <v>Félix</v>
          </cell>
          <cell r="D111" t="str">
            <v>AST</v>
          </cell>
          <cell r="E111" t="str">
            <v>GONZÁLEZ, Félix</v>
          </cell>
          <cell r="G111" t="str">
            <v>OVIEDO MADRID T.M.</v>
          </cell>
        </row>
        <row r="112">
          <cell r="A112">
            <v>222</v>
          </cell>
          <cell r="B112" t="str">
            <v>BURGOS</v>
          </cell>
          <cell r="C112" t="str">
            <v>Emilio</v>
          </cell>
          <cell r="D112" t="str">
            <v>AST</v>
          </cell>
          <cell r="E112" t="str">
            <v>BURGOS, Emilio</v>
          </cell>
          <cell r="G112" t="str">
            <v>OVIEDO MADRID T.M.</v>
          </cell>
        </row>
        <row r="113">
          <cell r="A113">
            <v>223</v>
          </cell>
          <cell r="B113" t="str">
            <v>NAVARRO</v>
          </cell>
          <cell r="C113" t="str">
            <v>Pere</v>
          </cell>
          <cell r="D113" t="str">
            <v>CAT</v>
          </cell>
          <cell r="E113" t="str">
            <v>NAVARRO, Pere</v>
          </cell>
        </row>
        <row r="114">
          <cell r="A114">
            <v>224</v>
          </cell>
          <cell r="B114" t="str">
            <v>MARTÍNEZ</v>
          </cell>
          <cell r="C114" t="str">
            <v>Luis</v>
          </cell>
          <cell r="D114" t="str">
            <v>MAD</v>
          </cell>
          <cell r="E114" t="str">
            <v>MARTÍNEZ, Luis</v>
          </cell>
        </row>
        <row r="115">
          <cell r="A115">
            <v>225</v>
          </cell>
          <cell r="B115" t="str">
            <v>PRADES</v>
          </cell>
          <cell r="C115" t="str">
            <v>Alba</v>
          </cell>
          <cell r="D115" t="str">
            <v>IND</v>
          </cell>
          <cell r="E115" t="str">
            <v>PRADES, Alba</v>
          </cell>
        </row>
        <row r="116">
          <cell r="A116">
            <v>226</v>
          </cell>
          <cell r="B116" t="str">
            <v>KAZANTSEV</v>
          </cell>
          <cell r="C116" t="str">
            <v>Maxim</v>
          </cell>
          <cell r="D116" t="str">
            <v>GAL</v>
          </cell>
          <cell r="E116" t="str">
            <v>KAZANTSEV, Maxim</v>
          </cell>
          <cell r="G116" t="str">
            <v>ARTEAL</v>
          </cell>
        </row>
        <row r="117">
          <cell r="A117">
            <v>227</v>
          </cell>
          <cell r="B117" t="str">
            <v>BLANCO</v>
          </cell>
          <cell r="C117" t="str">
            <v>Roberto</v>
          </cell>
          <cell r="D117" t="str">
            <v>GAL</v>
          </cell>
          <cell r="E117" t="str">
            <v>BLANCO, Roberto</v>
          </cell>
        </row>
        <row r="118">
          <cell r="A118">
            <v>228</v>
          </cell>
          <cell r="B118" t="str">
            <v>MACHADO</v>
          </cell>
          <cell r="C118" t="str">
            <v>Miguel Ángel</v>
          </cell>
          <cell r="D118" t="str">
            <v>AND</v>
          </cell>
          <cell r="E118" t="str">
            <v>MACHADO, Miguel Ángel</v>
          </cell>
        </row>
        <row r="119">
          <cell r="A119">
            <v>229</v>
          </cell>
          <cell r="B119" t="str">
            <v>IZQUIERDO</v>
          </cell>
          <cell r="C119" t="str">
            <v>Alberto</v>
          </cell>
          <cell r="D119" t="str">
            <v>CYL</v>
          </cell>
          <cell r="E119" t="str">
            <v>IZQUIERDO, Alberto</v>
          </cell>
        </row>
        <row r="120">
          <cell r="A120">
            <v>230</v>
          </cell>
          <cell r="B120" t="str">
            <v>GUILLÉN</v>
          </cell>
          <cell r="C120" t="str">
            <v>César</v>
          </cell>
          <cell r="D120" t="str">
            <v>CYL</v>
          </cell>
          <cell r="E120" t="str">
            <v>GUILLÉN, César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Hoja2"/>
      <sheetName val="Actas"/>
      <sheetName val="Dorsal"/>
    </sheetNames>
    <sheetDataSet>
      <sheetData sheetId="0" refreshError="1">
        <row r="2">
          <cell r="A2">
            <v>101</v>
          </cell>
          <cell r="B2" t="str">
            <v>CASARES</v>
          </cell>
          <cell r="C2" t="str">
            <v>Roberto</v>
          </cell>
          <cell r="D2" t="str">
            <v>AND</v>
          </cell>
          <cell r="E2" t="str">
            <v>CASARES, Roberto</v>
          </cell>
          <cell r="F2">
            <v>855</v>
          </cell>
        </row>
        <row r="3">
          <cell r="A3">
            <v>102</v>
          </cell>
          <cell r="B3" t="str">
            <v>CIBANTOS</v>
          </cell>
          <cell r="C3" t="str">
            <v>A. Mateo</v>
          </cell>
          <cell r="D3" t="str">
            <v>AND</v>
          </cell>
          <cell r="E3" t="str">
            <v>CIBANTOS, A. Mateo</v>
          </cell>
          <cell r="F3">
            <v>754</v>
          </cell>
        </row>
        <row r="4">
          <cell r="A4">
            <v>103</v>
          </cell>
          <cell r="B4" t="str">
            <v>DELGADO</v>
          </cell>
          <cell r="C4" t="str">
            <v>J. Enrique</v>
          </cell>
          <cell r="D4" t="str">
            <v>AND</v>
          </cell>
          <cell r="E4" t="str">
            <v>DELGADO, J. Enrique</v>
          </cell>
        </row>
        <row r="5">
          <cell r="A5">
            <v>104</v>
          </cell>
          <cell r="B5" t="str">
            <v>GAMBRA</v>
          </cell>
          <cell r="C5" t="str">
            <v>Jorge</v>
          </cell>
          <cell r="D5" t="str">
            <v>AND</v>
          </cell>
          <cell r="E5" t="str">
            <v>GAMBRA, Jorge</v>
          </cell>
          <cell r="F5">
            <v>851</v>
          </cell>
        </row>
        <row r="6">
          <cell r="A6">
            <v>105</v>
          </cell>
          <cell r="B6" t="str">
            <v>HE</v>
          </cell>
          <cell r="C6" t="str">
            <v>Zhi Wen</v>
          </cell>
          <cell r="D6" t="str">
            <v>AND</v>
          </cell>
          <cell r="E6" t="str">
            <v>HE, Zhi Wen</v>
          </cell>
        </row>
        <row r="7">
          <cell r="A7">
            <v>106</v>
          </cell>
        </row>
        <row r="8">
          <cell r="A8">
            <v>107</v>
          </cell>
          <cell r="B8" t="str">
            <v>LI</v>
          </cell>
          <cell r="C8" t="str">
            <v>Qi</v>
          </cell>
          <cell r="D8" t="str">
            <v>AND</v>
          </cell>
          <cell r="E8" t="str">
            <v>LI, Qi</v>
          </cell>
        </row>
        <row r="9">
          <cell r="A9">
            <v>108</v>
          </cell>
          <cell r="B9" t="str">
            <v>LIU</v>
          </cell>
          <cell r="C9" t="str">
            <v>Jun Hui</v>
          </cell>
          <cell r="D9" t="str">
            <v>AND</v>
          </cell>
          <cell r="E9" t="str">
            <v>LIU, Jun Hui</v>
          </cell>
        </row>
        <row r="10">
          <cell r="A10">
            <v>109</v>
          </cell>
          <cell r="B10" t="str">
            <v>LOZANO</v>
          </cell>
          <cell r="C10" t="str">
            <v>Álvaro</v>
          </cell>
          <cell r="D10" t="str">
            <v>AND</v>
          </cell>
          <cell r="E10" t="str">
            <v>LOZANO, Álvaro</v>
          </cell>
        </row>
        <row r="11">
          <cell r="A11">
            <v>110</v>
          </cell>
          <cell r="B11" t="str">
            <v>MACHADO</v>
          </cell>
          <cell r="C11" t="str">
            <v>Carlos</v>
          </cell>
          <cell r="D11" t="str">
            <v>AND</v>
          </cell>
          <cell r="E11" t="str">
            <v>MACHADO, Carlos</v>
          </cell>
          <cell r="F11">
            <v>1018</v>
          </cell>
        </row>
        <row r="12">
          <cell r="A12">
            <v>111</v>
          </cell>
          <cell r="B12" t="str">
            <v>MACHADO</v>
          </cell>
          <cell r="C12" t="str">
            <v>José Luis</v>
          </cell>
          <cell r="D12" t="str">
            <v>AND</v>
          </cell>
          <cell r="E12" t="str">
            <v>MACHADO, José Luis</v>
          </cell>
          <cell r="F12">
            <v>790</v>
          </cell>
        </row>
        <row r="13">
          <cell r="A13">
            <v>112</v>
          </cell>
          <cell r="B13" t="str">
            <v>MARTÍN</v>
          </cell>
          <cell r="C13" t="str">
            <v>Carlos</v>
          </cell>
          <cell r="D13" t="str">
            <v>AND</v>
          </cell>
          <cell r="E13" t="str">
            <v>MARTÍN, Carlos</v>
          </cell>
        </row>
        <row r="14">
          <cell r="A14">
            <v>113</v>
          </cell>
        </row>
        <row r="15">
          <cell r="A15">
            <v>114</v>
          </cell>
          <cell r="B15" t="str">
            <v>MORENO</v>
          </cell>
          <cell r="C15" t="str">
            <v>Pablo</v>
          </cell>
          <cell r="D15" t="str">
            <v>AND</v>
          </cell>
          <cell r="E15" t="str">
            <v>MORENO, Pablo</v>
          </cell>
        </row>
        <row r="16">
          <cell r="A16">
            <v>115</v>
          </cell>
          <cell r="B16" t="str">
            <v>RADENBACH</v>
          </cell>
          <cell r="C16" t="str">
            <v>Fred</v>
          </cell>
          <cell r="D16" t="str">
            <v>AND</v>
          </cell>
          <cell r="E16" t="str">
            <v>RADENBACH, Fred</v>
          </cell>
        </row>
        <row r="17">
          <cell r="A17">
            <v>116</v>
          </cell>
          <cell r="B17" t="str">
            <v>ROSARIO</v>
          </cell>
          <cell r="C17" t="str">
            <v>David</v>
          </cell>
          <cell r="D17" t="str">
            <v>AND</v>
          </cell>
          <cell r="E17" t="str">
            <v>ROSARIO, David</v>
          </cell>
          <cell r="F17">
            <v>669</v>
          </cell>
        </row>
        <row r="18">
          <cell r="A18">
            <v>117</v>
          </cell>
          <cell r="B18" t="str">
            <v>RUIZ</v>
          </cell>
          <cell r="C18" t="str">
            <v>Isidro</v>
          </cell>
          <cell r="D18" t="str">
            <v>AND</v>
          </cell>
          <cell r="E18" t="str">
            <v>RUIZ, Isidro</v>
          </cell>
        </row>
        <row r="19">
          <cell r="A19">
            <v>118</v>
          </cell>
          <cell r="B19" t="str">
            <v>RUIZ</v>
          </cell>
          <cell r="C19" t="str">
            <v>José Antonio</v>
          </cell>
          <cell r="D19" t="str">
            <v>AND</v>
          </cell>
          <cell r="E19" t="str">
            <v>RUIZ, José Antonio</v>
          </cell>
          <cell r="F19">
            <v>411</v>
          </cell>
        </row>
        <row r="20">
          <cell r="A20">
            <v>119</v>
          </cell>
          <cell r="B20" t="str">
            <v>RUIZ</v>
          </cell>
          <cell r="C20" t="str">
            <v>José Manuel</v>
          </cell>
          <cell r="D20" t="str">
            <v>AND</v>
          </cell>
          <cell r="E20" t="str">
            <v>RUIZ, José Manuel</v>
          </cell>
        </row>
        <row r="21">
          <cell r="A21">
            <v>120</v>
          </cell>
          <cell r="B21" t="str">
            <v>SÁNCHEZ</v>
          </cell>
          <cell r="C21" t="str">
            <v>Víctor</v>
          </cell>
          <cell r="D21" t="str">
            <v>AND</v>
          </cell>
          <cell r="E21" t="str">
            <v>SÁNCHEZ, Víctor</v>
          </cell>
          <cell r="F21">
            <v>984</v>
          </cell>
        </row>
        <row r="22">
          <cell r="A22">
            <v>121</v>
          </cell>
          <cell r="B22" t="str">
            <v>SEVILLA</v>
          </cell>
          <cell r="C22" t="str">
            <v>Juan Bautista</v>
          </cell>
          <cell r="D22" t="str">
            <v>AND</v>
          </cell>
          <cell r="E22" t="str">
            <v>SEVILLA, Juan Bautista</v>
          </cell>
          <cell r="F22">
            <v>774</v>
          </cell>
        </row>
        <row r="23">
          <cell r="A23">
            <v>122</v>
          </cell>
          <cell r="B23" t="str">
            <v>TOL</v>
          </cell>
          <cell r="C23" t="str">
            <v>Christian</v>
          </cell>
          <cell r="D23" t="str">
            <v>AND</v>
          </cell>
          <cell r="E23" t="str">
            <v>TOL, Christian</v>
          </cell>
        </row>
        <row r="24">
          <cell r="A24">
            <v>123</v>
          </cell>
          <cell r="B24" t="str">
            <v>WAHAB</v>
          </cell>
          <cell r="C24" t="str">
            <v>Ahmed</v>
          </cell>
          <cell r="D24" t="str">
            <v>AND</v>
          </cell>
          <cell r="E24" t="str">
            <v>WAHAB, Ahmed</v>
          </cell>
        </row>
        <row r="25">
          <cell r="A25">
            <v>124</v>
          </cell>
          <cell r="B25" t="str">
            <v>BEAMONTE</v>
          </cell>
          <cell r="C25" t="str">
            <v>Alfonso</v>
          </cell>
          <cell r="D25" t="str">
            <v>ARA</v>
          </cell>
          <cell r="E25" t="str">
            <v>BEAMONTE, Alfonso</v>
          </cell>
        </row>
        <row r="26">
          <cell r="A26">
            <v>125</v>
          </cell>
          <cell r="B26" t="str">
            <v>CHAN</v>
          </cell>
          <cell r="C26" t="str">
            <v>Koon Wah</v>
          </cell>
          <cell r="D26" t="str">
            <v>ARA</v>
          </cell>
          <cell r="E26" t="str">
            <v>CHAN, Koon Wah</v>
          </cell>
        </row>
        <row r="27">
          <cell r="A27">
            <v>126</v>
          </cell>
          <cell r="B27" t="str">
            <v>GALLEGO</v>
          </cell>
          <cell r="C27" t="str">
            <v>Félix</v>
          </cell>
          <cell r="D27" t="str">
            <v>ARA</v>
          </cell>
          <cell r="E27" t="str">
            <v>GALLEGO, Félix</v>
          </cell>
        </row>
        <row r="28">
          <cell r="A28">
            <v>127</v>
          </cell>
          <cell r="B28" t="str">
            <v>ALFONSO</v>
          </cell>
          <cell r="C28" t="str">
            <v>Salvador</v>
          </cell>
          <cell r="D28" t="str">
            <v>AST</v>
          </cell>
          <cell r="E28" t="str">
            <v>ALFONSO, Salvador</v>
          </cell>
        </row>
        <row r="29">
          <cell r="A29">
            <v>128</v>
          </cell>
          <cell r="B29" t="str">
            <v>BURGOS</v>
          </cell>
          <cell r="C29" t="str">
            <v>Aurelio</v>
          </cell>
          <cell r="D29" t="str">
            <v>AST</v>
          </cell>
          <cell r="E29" t="str">
            <v>BURGOS, Aurelio</v>
          </cell>
        </row>
        <row r="30">
          <cell r="A30">
            <v>129</v>
          </cell>
        </row>
        <row r="31">
          <cell r="A31">
            <v>130</v>
          </cell>
        </row>
        <row r="32">
          <cell r="A32">
            <v>131</v>
          </cell>
          <cell r="B32" t="str">
            <v>SUÁREZ</v>
          </cell>
          <cell r="C32" t="str">
            <v>David</v>
          </cell>
          <cell r="D32" t="str">
            <v>AST</v>
          </cell>
          <cell r="E32" t="str">
            <v>SUÁREZ, David</v>
          </cell>
        </row>
        <row r="33">
          <cell r="A33">
            <v>132</v>
          </cell>
          <cell r="B33" t="str">
            <v>GARCÍA</v>
          </cell>
          <cell r="C33" t="str">
            <v>Luis</v>
          </cell>
          <cell r="D33" t="str">
            <v>CYL</v>
          </cell>
          <cell r="E33" t="str">
            <v>GARCÍA, Luis</v>
          </cell>
        </row>
        <row r="34">
          <cell r="A34">
            <v>133</v>
          </cell>
          <cell r="B34" t="str">
            <v>GONZÁLEZ</v>
          </cell>
          <cell r="C34" t="str">
            <v>Jorge</v>
          </cell>
          <cell r="D34" t="str">
            <v>CYL</v>
          </cell>
          <cell r="E34" t="str">
            <v>GONZÁLEZ, Jorge</v>
          </cell>
        </row>
        <row r="35">
          <cell r="A35">
            <v>134</v>
          </cell>
          <cell r="B35" t="str">
            <v>MORA</v>
          </cell>
          <cell r="C35" t="str">
            <v>Javier</v>
          </cell>
          <cell r="D35" t="str">
            <v>CYL</v>
          </cell>
          <cell r="E35" t="str">
            <v>MORA, Javier</v>
          </cell>
        </row>
        <row r="36">
          <cell r="A36">
            <v>135</v>
          </cell>
          <cell r="B36" t="str">
            <v>ZÁRATE</v>
          </cell>
          <cell r="C36" t="str">
            <v>Pablo</v>
          </cell>
          <cell r="D36" t="str">
            <v>CYL</v>
          </cell>
          <cell r="E36" t="str">
            <v>ZÁRATE, Pablo</v>
          </cell>
        </row>
        <row r="37">
          <cell r="A37">
            <v>136</v>
          </cell>
          <cell r="B37" t="str">
            <v>CHEN</v>
          </cell>
          <cell r="C37" t="str">
            <v>Wei</v>
          </cell>
          <cell r="D37" t="str">
            <v>CYL</v>
          </cell>
          <cell r="E37" t="str">
            <v>CHEN, Wei</v>
          </cell>
        </row>
        <row r="38">
          <cell r="A38">
            <v>137</v>
          </cell>
          <cell r="B38" t="str">
            <v>ECHAZARRETA</v>
          </cell>
          <cell r="C38" t="str">
            <v>Sonia</v>
          </cell>
          <cell r="D38" t="str">
            <v>CYL</v>
          </cell>
          <cell r="E38" t="str">
            <v>ECHAZARRETA, Sonia</v>
          </cell>
        </row>
        <row r="39">
          <cell r="A39">
            <v>138</v>
          </cell>
          <cell r="B39" t="str">
            <v>GALLO</v>
          </cell>
          <cell r="C39" t="str">
            <v>Mª Carmen</v>
          </cell>
          <cell r="D39" t="str">
            <v>CYL</v>
          </cell>
          <cell r="E39" t="str">
            <v>GALLO, Mª Carmen</v>
          </cell>
        </row>
        <row r="40">
          <cell r="A40">
            <v>139</v>
          </cell>
          <cell r="B40" t="str">
            <v>MARTÍN</v>
          </cell>
          <cell r="C40" t="str">
            <v>María</v>
          </cell>
          <cell r="D40" t="str">
            <v>CYL</v>
          </cell>
          <cell r="E40" t="str">
            <v>MARTÍN, María</v>
          </cell>
        </row>
        <row r="41">
          <cell r="A41">
            <v>140</v>
          </cell>
          <cell r="B41" t="str">
            <v>MATILLA</v>
          </cell>
          <cell r="C41" t="str">
            <v>Irene</v>
          </cell>
          <cell r="D41" t="str">
            <v>CYL</v>
          </cell>
          <cell r="E41" t="str">
            <v>MATILLA, Irene</v>
          </cell>
        </row>
        <row r="42">
          <cell r="A42">
            <v>141</v>
          </cell>
          <cell r="B42" t="str">
            <v>PANADERO</v>
          </cell>
          <cell r="C42" t="str">
            <v>Gloria</v>
          </cell>
          <cell r="D42" t="str">
            <v>CYL</v>
          </cell>
          <cell r="E42" t="str">
            <v>PANADERO, Gloria</v>
          </cell>
          <cell r="F42">
            <v>634</v>
          </cell>
        </row>
        <row r="43">
          <cell r="A43">
            <v>142</v>
          </cell>
          <cell r="B43" t="str">
            <v>PORTA</v>
          </cell>
          <cell r="C43" t="str">
            <v>Idoia</v>
          </cell>
          <cell r="D43" t="str">
            <v>CYL</v>
          </cell>
          <cell r="E43" t="str">
            <v>PORTA, Idoia</v>
          </cell>
        </row>
        <row r="44">
          <cell r="A44">
            <v>143</v>
          </cell>
          <cell r="B44" t="str">
            <v>VILÁ</v>
          </cell>
          <cell r="C44" t="str">
            <v>Roser</v>
          </cell>
          <cell r="D44" t="str">
            <v>CYL</v>
          </cell>
          <cell r="E44" t="str">
            <v>VILÁ, Roser</v>
          </cell>
          <cell r="F44">
            <v>892</v>
          </cell>
        </row>
        <row r="45">
          <cell r="A45">
            <v>144</v>
          </cell>
          <cell r="B45" t="str">
            <v>ANDRADE</v>
          </cell>
          <cell r="C45" t="str">
            <v>Josep Lluis</v>
          </cell>
          <cell r="D45" t="str">
            <v>CAT</v>
          </cell>
          <cell r="E45" t="str">
            <v>ANDRADE, Josep Lluis</v>
          </cell>
        </row>
        <row r="46">
          <cell r="A46">
            <v>145</v>
          </cell>
          <cell r="B46" t="str">
            <v>ARNAU</v>
          </cell>
          <cell r="C46" t="str">
            <v>Miquel</v>
          </cell>
          <cell r="D46" t="str">
            <v>CAT</v>
          </cell>
          <cell r="E46" t="str">
            <v>ARNAU, Miquel</v>
          </cell>
          <cell r="F46">
            <v>413</v>
          </cell>
        </row>
        <row r="47">
          <cell r="A47">
            <v>146</v>
          </cell>
          <cell r="B47" t="str">
            <v>BACARISAS</v>
          </cell>
          <cell r="C47" t="str">
            <v>Jordi</v>
          </cell>
          <cell r="D47" t="str">
            <v>CAT</v>
          </cell>
          <cell r="E47" t="str">
            <v>BACARISAS, Jordi</v>
          </cell>
          <cell r="F47">
            <v>169</v>
          </cell>
        </row>
        <row r="48">
          <cell r="A48">
            <v>147</v>
          </cell>
          <cell r="B48" t="str">
            <v>CANO</v>
          </cell>
          <cell r="C48" t="str">
            <v>Andreu</v>
          </cell>
          <cell r="D48" t="str">
            <v>CAT</v>
          </cell>
          <cell r="E48" t="str">
            <v>CANO, Andreu</v>
          </cell>
        </row>
        <row r="49">
          <cell r="A49">
            <v>148</v>
          </cell>
          <cell r="B49" t="str">
            <v>CLOTET</v>
          </cell>
          <cell r="C49" t="str">
            <v>Marc</v>
          </cell>
          <cell r="D49" t="str">
            <v>CAT</v>
          </cell>
          <cell r="E49" t="str">
            <v>CLOTET, Marc</v>
          </cell>
          <cell r="F49">
            <v>169</v>
          </cell>
        </row>
        <row r="50">
          <cell r="A50">
            <v>149</v>
          </cell>
          <cell r="B50" t="str">
            <v>DURÁN</v>
          </cell>
          <cell r="C50" t="str">
            <v>Marc</v>
          </cell>
          <cell r="D50" t="str">
            <v>CAT</v>
          </cell>
          <cell r="E50" t="str">
            <v>DURÁN, Marc</v>
          </cell>
        </row>
        <row r="51">
          <cell r="A51">
            <v>150</v>
          </cell>
          <cell r="B51" t="str">
            <v>DVORAK</v>
          </cell>
          <cell r="C51" t="str">
            <v>Vladimir</v>
          </cell>
          <cell r="D51" t="str">
            <v>CAT</v>
          </cell>
          <cell r="E51" t="str">
            <v>DVORAK, Vladimir</v>
          </cell>
        </row>
        <row r="52">
          <cell r="A52">
            <v>151</v>
          </cell>
          <cell r="B52" t="str">
            <v>ESCAMILLA</v>
          </cell>
          <cell r="C52" t="str">
            <v>Eduard</v>
          </cell>
          <cell r="D52" t="str">
            <v>CAT</v>
          </cell>
          <cell r="E52" t="str">
            <v>ESCAMILLA, Eduard</v>
          </cell>
          <cell r="F52">
            <v>543</v>
          </cell>
        </row>
        <row r="53">
          <cell r="A53">
            <v>152</v>
          </cell>
          <cell r="B53" t="str">
            <v>FONT</v>
          </cell>
          <cell r="C53" t="str">
            <v>Carles</v>
          </cell>
          <cell r="D53" t="str">
            <v>CAT</v>
          </cell>
          <cell r="E53" t="str">
            <v>FONT, Carles</v>
          </cell>
        </row>
        <row r="54">
          <cell r="A54">
            <v>153</v>
          </cell>
          <cell r="B54" t="str">
            <v>MAMPEL</v>
          </cell>
          <cell r="C54" t="str">
            <v>Ramón</v>
          </cell>
          <cell r="D54" t="str">
            <v>CAT</v>
          </cell>
          <cell r="E54" t="str">
            <v>MAMPEL, Ramón</v>
          </cell>
        </row>
        <row r="55">
          <cell r="A55">
            <v>154</v>
          </cell>
          <cell r="B55" t="str">
            <v>MARTÍNEZ</v>
          </cell>
          <cell r="C55" t="str">
            <v>Iván</v>
          </cell>
          <cell r="D55" t="str">
            <v>CAT</v>
          </cell>
          <cell r="E55" t="str">
            <v>MARTÍNEZ, Iván</v>
          </cell>
          <cell r="F55">
            <v>168</v>
          </cell>
        </row>
        <row r="56">
          <cell r="A56">
            <v>155</v>
          </cell>
          <cell r="D56" t="str">
            <v>CAT</v>
          </cell>
        </row>
        <row r="57">
          <cell r="A57">
            <v>156</v>
          </cell>
          <cell r="B57" t="str">
            <v>MASALÓ</v>
          </cell>
          <cell r="C57" t="str">
            <v>Jordi</v>
          </cell>
          <cell r="D57" t="str">
            <v>CAT</v>
          </cell>
          <cell r="E57" t="str">
            <v>MASALÓ, Jordi</v>
          </cell>
        </row>
        <row r="58">
          <cell r="A58">
            <v>157</v>
          </cell>
          <cell r="B58" t="str">
            <v>MOLINS</v>
          </cell>
          <cell r="C58" t="str">
            <v>Josep Ignasi</v>
          </cell>
          <cell r="D58" t="str">
            <v>CAT</v>
          </cell>
          <cell r="E58" t="str">
            <v>MOLINS, Josep Ignasi</v>
          </cell>
        </row>
        <row r="59">
          <cell r="A59">
            <v>158</v>
          </cell>
          <cell r="B59" t="str">
            <v>MOURZOV</v>
          </cell>
          <cell r="C59" t="str">
            <v>Alexei</v>
          </cell>
          <cell r="D59" t="str">
            <v>CAT</v>
          </cell>
          <cell r="E59" t="str">
            <v>MOURZOV, Alexei</v>
          </cell>
        </row>
        <row r="60">
          <cell r="A60">
            <v>159</v>
          </cell>
          <cell r="B60" t="str">
            <v>MOUZIKYNE</v>
          </cell>
          <cell r="C60" t="str">
            <v>Andrei</v>
          </cell>
          <cell r="D60" t="str">
            <v>CAT</v>
          </cell>
          <cell r="E60" t="str">
            <v>MOUZIKYNE, Andrei</v>
          </cell>
        </row>
        <row r="61">
          <cell r="A61">
            <v>160</v>
          </cell>
          <cell r="B61" t="str">
            <v>PALÉS</v>
          </cell>
          <cell r="C61" t="str">
            <v>Josep María</v>
          </cell>
          <cell r="D61" t="str">
            <v>CAT</v>
          </cell>
          <cell r="E61" t="str">
            <v>PALÉS, Josep María</v>
          </cell>
          <cell r="F61">
            <v>662</v>
          </cell>
        </row>
        <row r="62">
          <cell r="A62">
            <v>161</v>
          </cell>
          <cell r="B62" t="str">
            <v>PIELLA</v>
          </cell>
          <cell r="C62" t="str">
            <v>Jordi</v>
          </cell>
          <cell r="D62" t="str">
            <v>CAT</v>
          </cell>
          <cell r="E62" t="str">
            <v>PIELLA, Jordi</v>
          </cell>
          <cell r="F62">
            <v>545</v>
          </cell>
        </row>
        <row r="63">
          <cell r="A63">
            <v>162</v>
          </cell>
          <cell r="B63" t="str">
            <v>TORRENS</v>
          </cell>
          <cell r="C63" t="str">
            <v>Gerard</v>
          </cell>
          <cell r="D63" t="str">
            <v>CAT</v>
          </cell>
          <cell r="E63" t="str">
            <v>TORRENS, Gerard</v>
          </cell>
        </row>
        <row r="64">
          <cell r="A64">
            <v>163</v>
          </cell>
          <cell r="B64" t="str">
            <v>ALMAGRO</v>
          </cell>
          <cell r="C64" t="str">
            <v>Meritxell</v>
          </cell>
          <cell r="D64" t="str">
            <v>CAT</v>
          </cell>
          <cell r="E64" t="str">
            <v>ALMAGRO, Meritxell</v>
          </cell>
          <cell r="F64">
            <v>482</v>
          </cell>
        </row>
        <row r="65">
          <cell r="A65">
            <v>164</v>
          </cell>
          <cell r="B65" t="str">
            <v>ARNAU</v>
          </cell>
          <cell r="C65" t="str">
            <v>Elisabet</v>
          </cell>
          <cell r="D65" t="str">
            <v>CAT</v>
          </cell>
          <cell r="E65" t="str">
            <v>ARNAU, Elisabet</v>
          </cell>
          <cell r="F65">
            <v>773</v>
          </cell>
        </row>
        <row r="66">
          <cell r="A66">
            <v>165</v>
          </cell>
          <cell r="B66" t="str">
            <v>BOSCH</v>
          </cell>
          <cell r="C66" t="str">
            <v>Julia</v>
          </cell>
          <cell r="D66" t="str">
            <v>CAT</v>
          </cell>
          <cell r="E66" t="str">
            <v>BOSCH, Julia</v>
          </cell>
          <cell r="F66">
            <v>207</v>
          </cell>
        </row>
        <row r="67">
          <cell r="A67">
            <v>166</v>
          </cell>
          <cell r="B67" t="str">
            <v>BOVER</v>
          </cell>
          <cell r="C67" t="str">
            <v>Montse</v>
          </cell>
          <cell r="D67" t="str">
            <v>CAT</v>
          </cell>
          <cell r="E67" t="str">
            <v>BOVER, Montse</v>
          </cell>
        </row>
        <row r="68">
          <cell r="A68">
            <v>167</v>
          </cell>
          <cell r="B68" t="str">
            <v>DVORAK</v>
          </cell>
          <cell r="C68" t="str">
            <v>Galia</v>
          </cell>
          <cell r="D68" t="str">
            <v>CAT</v>
          </cell>
          <cell r="E68" t="str">
            <v>DVORAK, Galia</v>
          </cell>
          <cell r="F68">
            <v>252</v>
          </cell>
        </row>
        <row r="69">
          <cell r="A69">
            <v>168</v>
          </cell>
          <cell r="B69" t="str">
            <v>HERNÁNDEZ</v>
          </cell>
          <cell r="C69" t="str">
            <v>Jéssica</v>
          </cell>
          <cell r="D69" t="str">
            <v>CAT</v>
          </cell>
          <cell r="E69" t="str">
            <v>HERNÁNDEZ, Jéssica</v>
          </cell>
          <cell r="F69">
            <v>733</v>
          </cell>
        </row>
        <row r="70">
          <cell r="A70">
            <v>169</v>
          </cell>
          <cell r="B70" t="str">
            <v>JURADO</v>
          </cell>
          <cell r="C70" t="str">
            <v>Miriea</v>
          </cell>
          <cell r="D70" t="str">
            <v>CAT</v>
          </cell>
          <cell r="E70" t="str">
            <v>JURADO, Miriea</v>
          </cell>
          <cell r="F70">
            <v>219</v>
          </cell>
        </row>
        <row r="71">
          <cell r="A71">
            <v>170</v>
          </cell>
          <cell r="B71" t="str">
            <v>KHASSANOVA</v>
          </cell>
          <cell r="C71" t="str">
            <v>Flora</v>
          </cell>
          <cell r="D71" t="str">
            <v>CAT</v>
          </cell>
          <cell r="E71" t="str">
            <v>KHASSANOVA, Flora</v>
          </cell>
        </row>
        <row r="72">
          <cell r="A72">
            <v>171</v>
          </cell>
          <cell r="B72" t="str">
            <v>KOMRAKOVA</v>
          </cell>
          <cell r="C72" t="str">
            <v>Elena</v>
          </cell>
          <cell r="D72" t="str">
            <v>CAT</v>
          </cell>
          <cell r="E72" t="str">
            <v>KOMRAKOVA, Elena</v>
          </cell>
        </row>
        <row r="73">
          <cell r="A73">
            <v>172</v>
          </cell>
          <cell r="B73" t="str">
            <v>KONOVALOVA</v>
          </cell>
          <cell r="C73" t="str">
            <v>Natalia</v>
          </cell>
          <cell r="D73" t="str">
            <v>CAT</v>
          </cell>
          <cell r="E73" t="str">
            <v>KONOVALOVA, Natalia</v>
          </cell>
        </row>
        <row r="74">
          <cell r="A74">
            <v>173</v>
          </cell>
          <cell r="D74" t="str">
            <v>CAT</v>
          </cell>
        </row>
        <row r="75">
          <cell r="A75">
            <v>174</v>
          </cell>
          <cell r="B75" t="str">
            <v>MORERA</v>
          </cell>
          <cell r="C75" t="str">
            <v>Mercé</v>
          </cell>
          <cell r="D75" t="str">
            <v>CAT</v>
          </cell>
          <cell r="E75" t="str">
            <v>MORERA, Mercé</v>
          </cell>
        </row>
        <row r="76">
          <cell r="A76">
            <v>175</v>
          </cell>
          <cell r="B76" t="str">
            <v>NIKOLOVA</v>
          </cell>
          <cell r="C76" t="str">
            <v>Milena</v>
          </cell>
          <cell r="D76" t="str">
            <v>CAT</v>
          </cell>
          <cell r="E76" t="str">
            <v>NIKOLOVA, Milena</v>
          </cell>
        </row>
        <row r="77">
          <cell r="A77">
            <v>176</v>
          </cell>
          <cell r="B77" t="str">
            <v>PETROVA</v>
          </cell>
          <cell r="C77" t="str">
            <v>Detelina</v>
          </cell>
          <cell r="D77" t="str">
            <v>CAT</v>
          </cell>
          <cell r="E77" t="str">
            <v>PETROVA, Detelina</v>
          </cell>
        </row>
        <row r="78">
          <cell r="A78">
            <v>177</v>
          </cell>
          <cell r="B78" t="str">
            <v>PUIG</v>
          </cell>
          <cell r="C78" t="str">
            <v>Tania</v>
          </cell>
          <cell r="D78" t="str">
            <v>CAT</v>
          </cell>
          <cell r="E78" t="str">
            <v>PUIG, Tania</v>
          </cell>
          <cell r="F78">
            <v>389</v>
          </cell>
        </row>
        <row r="79">
          <cell r="A79">
            <v>178</v>
          </cell>
          <cell r="B79" t="str">
            <v>RAMÍREZ</v>
          </cell>
          <cell r="C79" t="str">
            <v>Sara</v>
          </cell>
          <cell r="D79" t="str">
            <v>CAT</v>
          </cell>
          <cell r="E79" t="str">
            <v>RAMÍREZ, Sara</v>
          </cell>
          <cell r="F79">
            <v>146</v>
          </cell>
        </row>
        <row r="80">
          <cell r="A80">
            <v>179</v>
          </cell>
          <cell r="B80" t="str">
            <v>RODRÍGUEZ</v>
          </cell>
          <cell r="C80" t="str">
            <v>Jéssica</v>
          </cell>
          <cell r="D80" t="str">
            <v>CAT</v>
          </cell>
          <cell r="E80" t="str">
            <v>RODRÍGUEZ, Jéssica</v>
          </cell>
          <cell r="F80">
            <v>133</v>
          </cell>
        </row>
        <row r="81">
          <cell r="A81">
            <v>180</v>
          </cell>
          <cell r="B81" t="str">
            <v>RODRÍGUEZ</v>
          </cell>
          <cell r="C81" t="str">
            <v>Patricia</v>
          </cell>
          <cell r="D81" t="str">
            <v>CAT</v>
          </cell>
          <cell r="E81" t="str">
            <v>RODRÍGUEZ, Patricia</v>
          </cell>
          <cell r="F81">
            <v>250</v>
          </cell>
        </row>
        <row r="82">
          <cell r="A82">
            <v>181</v>
          </cell>
          <cell r="B82" t="str">
            <v>SERRES</v>
          </cell>
          <cell r="C82" t="str">
            <v>María</v>
          </cell>
          <cell r="D82" t="str">
            <v>CAT</v>
          </cell>
          <cell r="E82" t="str">
            <v>SERRES, María</v>
          </cell>
          <cell r="F82">
            <v>143</v>
          </cell>
        </row>
        <row r="83">
          <cell r="A83">
            <v>182</v>
          </cell>
          <cell r="B83" t="str">
            <v>XIE</v>
          </cell>
          <cell r="C83" t="str">
            <v>Jing</v>
          </cell>
          <cell r="D83" t="str">
            <v>CAT</v>
          </cell>
          <cell r="E83" t="str">
            <v>XIE, Jing</v>
          </cell>
        </row>
        <row r="84">
          <cell r="A84">
            <v>183</v>
          </cell>
          <cell r="B84" t="str">
            <v>YLLA-CATALÁ</v>
          </cell>
          <cell r="C84" t="str">
            <v>Marta</v>
          </cell>
          <cell r="D84" t="str">
            <v>CAT</v>
          </cell>
          <cell r="E84" t="str">
            <v>YLLA-CATALÁ, Marta</v>
          </cell>
          <cell r="F84">
            <v>743</v>
          </cell>
        </row>
        <row r="85">
          <cell r="A85">
            <v>184</v>
          </cell>
          <cell r="B85" t="str">
            <v>KOULAGINA</v>
          </cell>
          <cell r="C85" t="str">
            <v>Katia</v>
          </cell>
          <cell r="D85" t="str">
            <v>VAL</v>
          </cell>
          <cell r="E85" t="str">
            <v>KOULAGINA, Katia</v>
          </cell>
        </row>
        <row r="86">
          <cell r="A86">
            <v>185</v>
          </cell>
          <cell r="B86" t="str">
            <v>MANSERGAS</v>
          </cell>
          <cell r="C86" t="str">
            <v>Carla</v>
          </cell>
          <cell r="D86" t="str">
            <v>VAL</v>
          </cell>
          <cell r="E86" t="str">
            <v>MANSERGAS, Carla</v>
          </cell>
          <cell r="F86">
            <v>228</v>
          </cell>
        </row>
        <row r="87">
          <cell r="A87">
            <v>186</v>
          </cell>
          <cell r="B87" t="str">
            <v>SAVU</v>
          </cell>
          <cell r="C87" t="str">
            <v>Simona</v>
          </cell>
          <cell r="D87" t="str">
            <v>VAL</v>
          </cell>
          <cell r="E87" t="str">
            <v>SAVU, Simona</v>
          </cell>
        </row>
        <row r="88">
          <cell r="A88">
            <v>187</v>
          </cell>
          <cell r="B88" t="str">
            <v>SEMPERE</v>
          </cell>
          <cell r="C88" t="str">
            <v>Elvira</v>
          </cell>
          <cell r="D88" t="str">
            <v>VAL</v>
          </cell>
          <cell r="E88" t="str">
            <v>SEMPERE, Elvira</v>
          </cell>
          <cell r="F88">
            <v>475</v>
          </cell>
        </row>
        <row r="89">
          <cell r="A89">
            <v>188</v>
          </cell>
          <cell r="B89" t="str">
            <v>SILLA</v>
          </cell>
          <cell r="C89" t="str">
            <v>Carmen</v>
          </cell>
          <cell r="D89" t="str">
            <v>VAL</v>
          </cell>
          <cell r="E89" t="str">
            <v>SILLA, Carmen</v>
          </cell>
        </row>
        <row r="90">
          <cell r="A90">
            <v>189</v>
          </cell>
          <cell r="B90" t="str">
            <v>ENSEÑAT</v>
          </cell>
          <cell r="C90" t="str">
            <v>Jacobo</v>
          </cell>
          <cell r="D90" t="str">
            <v>GAL</v>
          </cell>
          <cell r="E90" t="str">
            <v>ENSEÑAT, Jacobo</v>
          </cell>
        </row>
        <row r="91">
          <cell r="A91">
            <v>190</v>
          </cell>
          <cell r="B91" t="str">
            <v>ENSEÑAT</v>
          </cell>
          <cell r="C91" t="str">
            <v>Juan</v>
          </cell>
          <cell r="D91" t="str">
            <v>GAL</v>
          </cell>
          <cell r="E91" t="str">
            <v>ENSEÑAT, Juan</v>
          </cell>
        </row>
        <row r="92">
          <cell r="A92">
            <v>191</v>
          </cell>
          <cell r="B92" t="str">
            <v>FERNÁNDEZ</v>
          </cell>
          <cell r="C92" t="str">
            <v>José</v>
          </cell>
          <cell r="D92" t="str">
            <v>GAL</v>
          </cell>
          <cell r="E92" t="str">
            <v>FERNÁNDEZ, José</v>
          </cell>
        </row>
        <row r="93">
          <cell r="A93">
            <v>192</v>
          </cell>
          <cell r="B93" t="str">
            <v>PASTUR</v>
          </cell>
          <cell r="C93" t="str">
            <v>Pedro</v>
          </cell>
          <cell r="D93" t="str">
            <v>GAL</v>
          </cell>
          <cell r="E93" t="str">
            <v>PASTUR, Pedro</v>
          </cell>
        </row>
        <row r="94">
          <cell r="A94">
            <v>193</v>
          </cell>
        </row>
        <row r="95">
          <cell r="A95">
            <v>194</v>
          </cell>
          <cell r="B95" t="str">
            <v>BULBUC</v>
          </cell>
          <cell r="C95" t="str">
            <v>Theodor</v>
          </cell>
          <cell r="D95" t="str">
            <v>MUR</v>
          </cell>
          <cell r="E95" t="str">
            <v>BULBUC, Theodor</v>
          </cell>
        </row>
        <row r="96">
          <cell r="A96">
            <v>195</v>
          </cell>
          <cell r="B96" t="str">
            <v>CABEZAS</v>
          </cell>
          <cell r="C96" t="str">
            <v>Beinier</v>
          </cell>
          <cell r="D96" t="str">
            <v>MUR</v>
          </cell>
          <cell r="E96" t="str">
            <v>CABEZAS, Beinier</v>
          </cell>
        </row>
        <row r="97">
          <cell r="A97">
            <v>196</v>
          </cell>
          <cell r="B97" t="str">
            <v>GALLEGO</v>
          </cell>
          <cell r="C97" t="str">
            <v>Óscar</v>
          </cell>
          <cell r="D97" t="str">
            <v>MUR</v>
          </cell>
          <cell r="E97" t="str">
            <v>GALLEGO, Óscar</v>
          </cell>
        </row>
        <row r="98">
          <cell r="A98">
            <v>197</v>
          </cell>
        </row>
        <row r="99">
          <cell r="A99">
            <v>198</v>
          </cell>
        </row>
        <row r="100">
          <cell r="A100">
            <v>199</v>
          </cell>
        </row>
        <row r="101">
          <cell r="A101">
            <v>200</v>
          </cell>
          <cell r="B101" t="str">
            <v>SAURA</v>
          </cell>
          <cell r="C101" t="str">
            <v>Raúl</v>
          </cell>
          <cell r="D101" t="str">
            <v>MUR</v>
          </cell>
          <cell r="E101" t="str">
            <v>SAURA, Raúl</v>
          </cell>
        </row>
        <row r="102">
          <cell r="A102">
            <v>201</v>
          </cell>
        </row>
        <row r="103">
          <cell r="A103">
            <v>202</v>
          </cell>
          <cell r="B103" t="str">
            <v>ANTELO</v>
          </cell>
          <cell r="C103" t="str">
            <v>Elia</v>
          </cell>
          <cell r="D103" t="str">
            <v>MUR</v>
          </cell>
          <cell r="E103" t="str">
            <v>ANTELO, Elia</v>
          </cell>
        </row>
        <row r="104">
          <cell r="A104">
            <v>203</v>
          </cell>
          <cell r="B104" t="str">
            <v>ANTELO</v>
          </cell>
          <cell r="C104" t="str">
            <v>María</v>
          </cell>
          <cell r="D104" t="str">
            <v>MUR</v>
          </cell>
          <cell r="E104" t="str">
            <v>ANTELO, María</v>
          </cell>
        </row>
        <row r="105">
          <cell r="A105">
            <v>204</v>
          </cell>
          <cell r="B105" t="str">
            <v>BAKHTINA</v>
          </cell>
          <cell r="C105" t="str">
            <v>Svetlana</v>
          </cell>
          <cell r="D105" t="str">
            <v>MUR</v>
          </cell>
          <cell r="E105" t="str">
            <v>BAKHTINA, Svetlana</v>
          </cell>
        </row>
        <row r="106">
          <cell r="A106">
            <v>205</v>
          </cell>
          <cell r="B106" t="str">
            <v>CIOSU</v>
          </cell>
          <cell r="C106" t="str">
            <v>Emilia</v>
          </cell>
          <cell r="D106" t="str">
            <v>MUR</v>
          </cell>
          <cell r="E106" t="str">
            <v>CIOSU, Emilia</v>
          </cell>
        </row>
        <row r="107">
          <cell r="A107">
            <v>206</v>
          </cell>
          <cell r="B107" t="str">
            <v>LI</v>
          </cell>
          <cell r="C107" t="str">
            <v>Yuan Yuan</v>
          </cell>
          <cell r="D107" t="str">
            <v>MUR</v>
          </cell>
          <cell r="E107" t="str">
            <v>LI, Yuan Yuan</v>
          </cell>
        </row>
        <row r="108">
          <cell r="A108">
            <v>207</v>
          </cell>
          <cell r="B108" t="str">
            <v>LOZANO</v>
          </cell>
          <cell r="C108" t="str">
            <v>Isabel</v>
          </cell>
          <cell r="D108" t="str">
            <v>MUR</v>
          </cell>
          <cell r="E108" t="str">
            <v>LOZANO, Isabel</v>
          </cell>
          <cell r="F108">
            <v>237</v>
          </cell>
        </row>
        <row r="109">
          <cell r="A109">
            <v>208</v>
          </cell>
          <cell r="B109" t="str">
            <v>NÚÑEZ</v>
          </cell>
          <cell r="C109" t="str">
            <v>Vanessa</v>
          </cell>
          <cell r="D109" t="str">
            <v>MUR</v>
          </cell>
          <cell r="E109" t="str">
            <v>NÚÑEZ, Vanessa</v>
          </cell>
        </row>
        <row r="110">
          <cell r="A110">
            <v>209</v>
          </cell>
          <cell r="B110" t="str">
            <v>PÉREZ</v>
          </cell>
          <cell r="C110" t="str">
            <v>Sara</v>
          </cell>
          <cell r="D110" t="str">
            <v>MUR</v>
          </cell>
          <cell r="E110" t="str">
            <v>PÉREZ, Sara</v>
          </cell>
          <cell r="F110">
            <v>782</v>
          </cell>
        </row>
        <row r="111">
          <cell r="A111">
            <v>210</v>
          </cell>
          <cell r="B111" t="str">
            <v>VILLADA</v>
          </cell>
          <cell r="C111" t="str">
            <v>Jénnifer</v>
          </cell>
          <cell r="D111" t="str">
            <v>MUR</v>
          </cell>
          <cell r="E111" t="str">
            <v>VILLADA, Jénnifer</v>
          </cell>
          <cell r="F111">
            <v>302</v>
          </cell>
        </row>
        <row r="112">
          <cell r="A112">
            <v>211</v>
          </cell>
          <cell r="B112" t="str">
            <v>CALVO</v>
          </cell>
          <cell r="C112" t="str">
            <v>Luis</v>
          </cell>
          <cell r="D112" t="str">
            <v>CNR</v>
          </cell>
          <cell r="E112" t="str">
            <v>CALVO, Luis</v>
          </cell>
        </row>
        <row r="113">
          <cell r="A113">
            <v>212</v>
          </cell>
          <cell r="B113" t="str">
            <v>CARNEROS</v>
          </cell>
          <cell r="C113" t="str">
            <v>Alfredo</v>
          </cell>
          <cell r="D113" t="str">
            <v>IND</v>
          </cell>
          <cell r="E113" t="str">
            <v>CARNEROS, Alfredo</v>
          </cell>
        </row>
        <row r="114">
          <cell r="A114">
            <v>213</v>
          </cell>
          <cell r="B114" t="str">
            <v>CAYMEL</v>
          </cell>
          <cell r="C114" t="str">
            <v>Ismael</v>
          </cell>
          <cell r="D114" t="str">
            <v>VAL</v>
          </cell>
          <cell r="E114" t="str">
            <v>CAYMEL, Ismael</v>
          </cell>
        </row>
        <row r="115">
          <cell r="A115">
            <v>214</v>
          </cell>
          <cell r="B115" t="str">
            <v>TORRES</v>
          </cell>
          <cell r="C115" t="str">
            <v>Daniel</v>
          </cell>
          <cell r="D115" t="str">
            <v>IND</v>
          </cell>
          <cell r="E115" t="str">
            <v>TORRES, Daniel</v>
          </cell>
          <cell r="F115">
            <v>818</v>
          </cell>
        </row>
        <row r="116">
          <cell r="A116">
            <v>215</v>
          </cell>
          <cell r="B116" t="str">
            <v>EMILIANOV</v>
          </cell>
          <cell r="C116" t="str">
            <v>Alexei</v>
          </cell>
          <cell r="D116" t="str">
            <v>PVS</v>
          </cell>
          <cell r="E116" t="str">
            <v>EMILIANOV, Alexei</v>
          </cell>
        </row>
        <row r="117">
          <cell r="A117">
            <v>216</v>
          </cell>
          <cell r="B117" t="str">
            <v>MARTÍNEZ</v>
          </cell>
          <cell r="C117" t="str">
            <v>Íker</v>
          </cell>
          <cell r="D117" t="str">
            <v>PVS</v>
          </cell>
          <cell r="E117" t="str">
            <v>MARTÍNEZ, Íker</v>
          </cell>
        </row>
        <row r="118">
          <cell r="A118">
            <v>217</v>
          </cell>
          <cell r="B118" t="str">
            <v>OMOTARA</v>
          </cell>
          <cell r="C118" t="str">
            <v>Titus</v>
          </cell>
          <cell r="D118" t="str">
            <v>PVS</v>
          </cell>
          <cell r="E118" t="str">
            <v>OMOTARA, Titus</v>
          </cell>
        </row>
        <row r="119">
          <cell r="A119">
            <v>218</v>
          </cell>
          <cell r="B119" t="str">
            <v>RODRÍGUEZ</v>
          </cell>
          <cell r="C119" t="str">
            <v>Sergio</v>
          </cell>
          <cell r="D119" t="str">
            <v>PVS</v>
          </cell>
          <cell r="E119" t="str">
            <v>RODRÍGUEZ, Sergio</v>
          </cell>
        </row>
        <row r="120">
          <cell r="A120">
            <v>219</v>
          </cell>
          <cell r="B120" t="str">
            <v>SANTAMARTA</v>
          </cell>
          <cell r="C120" t="str">
            <v>Víctor</v>
          </cell>
          <cell r="D120" t="str">
            <v>PVS</v>
          </cell>
          <cell r="E120" t="str">
            <v>SANTAMARTA, Víctor</v>
          </cell>
        </row>
        <row r="121">
          <cell r="A121">
            <v>220</v>
          </cell>
          <cell r="B121" t="str">
            <v>MALOV</v>
          </cell>
          <cell r="C121" t="str">
            <v>Valeri</v>
          </cell>
          <cell r="D121" t="str">
            <v>CAT</v>
          </cell>
          <cell r="E121" t="str">
            <v>MALOV, Valeri</v>
          </cell>
        </row>
        <row r="122">
          <cell r="A122">
            <v>221</v>
          </cell>
          <cell r="B122" t="str">
            <v>GONZÁLEZ</v>
          </cell>
          <cell r="C122" t="str">
            <v>Félix</v>
          </cell>
          <cell r="D122" t="str">
            <v>AST</v>
          </cell>
          <cell r="E122" t="str">
            <v>GONZÁLEZ, Félix</v>
          </cell>
        </row>
        <row r="123">
          <cell r="A123">
            <v>222</v>
          </cell>
          <cell r="B123" t="str">
            <v>BURGOS</v>
          </cell>
          <cell r="C123" t="str">
            <v>Emilio</v>
          </cell>
          <cell r="D123" t="str">
            <v>AST</v>
          </cell>
          <cell r="E123" t="str">
            <v>BURGOS, Emilio</v>
          </cell>
        </row>
        <row r="124">
          <cell r="A124">
            <v>223</v>
          </cell>
          <cell r="B124" t="str">
            <v>NAVARRO</v>
          </cell>
          <cell r="C124" t="str">
            <v>Pere</v>
          </cell>
          <cell r="D124" t="str">
            <v>CAT</v>
          </cell>
          <cell r="E124" t="str">
            <v>NAVARRO, Pere</v>
          </cell>
        </row>
        <row r="125">
          <cell r="A125">
            <v>224</v>
          </cell>
          <cell r="B125" t="str">
            <v>MARTÍNEZ</v>
          </cell>
          <cell r="C125" t="str">
            <v>Luis</v>
          </cell>
          <cell r="D125" t="str">
            <v>MAD</v>
          </cell>
          <cell r="E125" t="str">
            <v>MARTÍNEZ, Luis</v>
          </cell>
        </row>
        <row r="126">
          <cell r="A126">
            <v>225</v>
          </cell>
          <cell r="B126" t="str">
            <v>PRADES</v>
          </cell>
          <cell r="C126" t="str">
            <v>Alba</v>
          </cell>
          <cell r="D126" t="str">
            <v>IND</v>
          </cell>
          <cell r="E126" t="str">
            <v>PRADES, Alba</v>
          </cell>
        </row>
        <row r="127">
          <cell r="A127">
            <v>226</v>
          </cell>
          <cell r="B127" t="str">
            <v>KAZANTSEV</v>
          </cell>
          <cell r="C127" t="str">
            <v>Maxim</v>
          </cell>
          <cell r="D127" t="str">
            <v>GAL</v>
          </cell>
          <cell r="E127" t="str">
            <v>KAZANTSEV, Maxim</v>
          </cell>
        </row>
        <row r="128">
          <cell r="A128">
            <v>227</v>
          </cell>
          <cell r="B128" t="str">
            <v>BLANCO</v>
          </cell>
          <cell r="C128" t="str">
            <v>Roberto</v>
          </cell>
          <cell r="D128" t="str">
            <v>GAL</v>
          </cell>
          <cell r="E128" t="str">
            <v>BLANCO, Roberto</v>
          </cell>
        </row>
        <row r="129">
          <cell r="A129">
            <v>228</v>
          </cell>
          <cell r="B129" t="str">
            <v>MACHADO</v>
          </cell>
          <cell r="C129" t="str">
            <v>Miguel Ángel</v>
          </cell>
          <cell r="D129" t="str">
            <v>AND</v>
          </cell>
          <cell r="E129" t="str">
            <v>MACHADO, Miguel Ángel</v>
          </cell>
        </row>
        <row r="130">
          <cell r="A130">
            <v>229</v>
          </cell>
          <cell r="B130" t="str">
            <v>IZQUIERDO</v>
          </cell>
          <cell r="C130" t="str">
            <v>Alberto</v>
          </cell>
          <cell r="D130" t="str">
            <v>CYL</v>
          </cell>
          <cell r="E130" t="str">
            <v>IZQUIERDO, Alberto</v>
          </cell>
        </row>
        <row r="131">
          <cell r="A131">
            <v>230</v>
          </cell>
          <cell r="B131" t="str">
            <v>GUILLÉN</v>
          </cell>
          <cell r="C131" t="str">
            <v>César</v>
          </cell>
          <cell r="D131" t="str">
            <v>CYL</v>
          </cell>
          <cell r="E131" t="str">
            <v>GUILLÉN, César</v>
          </cell>
        </row>
        <row r="132">
          <cell r="A132">
            <v>231</v>
          </cell>
        </row>
        <row r="133">
          <cell r="A133">
            <v>232</v>
          </cell>
        </row>
        <row r="134">
          <cell r="A134">
            <v>233</v>
          </cell>
        </row>
        <row r="135">
          <cell r="A135">
            <v>234</v>
          </cell>
        </row>
        <row r="136">
          <cell r="A136">
            <v>235</v>
          </cell>
        </row>
        <row r="137">
          <cell r="A137">
            <v>236</v>
          </cell>
        </row>
        <row r="138">
          <cell r="A138">
            <v>237</v>
          </cell>
        </row>
        <row r="139">
          <cell r="A139">
            <v>238</v>
          </cell>
        </row>
        <row r="140">
          <cell r="A140">
            <v>239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rsal"/>
      <sheetName val="ARB"/>
      <sheetName val="IND"/>
      <sheetName val="EQU"/>
      <sheetName val="AE"/>
      <sheetName val="E"/>
      <sheetName val="EQF"/>
      <sheetName val="AEF"/>
      <sheetName val="EF"/>
      <sheetName val="AI"/>
      <sheetName val="I"/>
      <sheetName val="Af"/>
      <sheetName val="If"/>
      <sheetName val="ADm"/>
      <sheetName val="Dm"/>
      <sheetName val="ADf"/>
      <sheetName val="Df"/>
      <sheetName val="ADx"/>
      <sheetName val="Dx"/>
    </sheetNames>
    <sheetDataSet>
      <sheetData sheetId="0" refreshError="1"/>
      <sheetData sheetId="1" refreshError="1"/>
      <sheetData sheetId="2" refreshError="1">
        <row r="1">
          <cell r="A1" t="str">
            <v>Dors.</v>
          </cell>
          <cell r="B1" t="str">
            <v>APELLIDO, Nombre</v>
          </cell>
          <cell r="C1" t="str">
            <v>Cat.</v>
          </cell>
          <cell r="D1" t="str">
            <v>COM</v>
          </cell>
          <cell r="E1" t="str">
            <v>PTS</v>
          </cell>
        </row>
        <row r="2">
          <cell r="A2">
            <v>1</v>
          </cell>
          <cell r="B2" t="str">
            <v>BARRIENTOS, Antonio</v>
          </cell>
          <cell r="C2" t="str">
            <v>M</v>
          </cell>
          <cell r="D2" t="str">
            <v>AND</v>
          </cell>
        </row>
        <row r="3">
          <cell r="A3">
            <v>2</v>
          </cell>
          <cell r="B3" t="str">
            <v>CARBAJO, Fernando</v>
          </cell>
          <cell r="C3" t="str">
            <v>M</v>
          </cell>
          <cell r="D3" t="str">
            <v>AND</v>
          </cell>
          <cell r="F3" t="str">
            <v>BAJA</v>
          </cell>
        </row>
        <row r="4">
          <cell r="A4">
            <v>3</v>
          </cell>
          <cell r="B4" t="str">
            <v>FERNÁNDEZ, José A.</v>
          </cell>
          <cell r="C4" t="str">
            <v>M</v>
          </cell>
          <cell r="D4" t="str">
            <v>AND</v>
          </cell>
        </row>
        <row r="5">
          <cell r="A5">
            <v>4</v>
          </cell>
          <cell r="B5" t="str">
            <v>GALINDO, José M.</v>
          </cell>
          <cell r="C5" t="str">
            <v>M</v>
          </cell>
          <cell r="D5" t="str">
            <v>AND</v>
          </cell>
          <cell r="F5" t="str">
            <v>BAJA</v>
          </cell>
        </row>
        <row r="6">
          <cell r="A6">
            <v>5</v>
          </cell>
          <cell r="B6" t="str">
            <v>GARCÍA, Antonio E.</v>
          </cell>
          <cell r="C6" t="str">
            <v>M</v>
          </cell>
          <cell r="D6" t="str">
            <v>AND</v>
          </cell>
        </row>
        <row r="7">
          <cell r="A7">
            <v>6</v>
          </cell>
          <cell r="B7" t="str">
            <v>GÓMEZ, Juan</v>
          </cell>
          <cell r="C7" t="str">
            <v>M</v>
          </cell>
          <cell r="D7" t="str">
            <v>AND</v>
          </cell>
        </row>
        <row r="8">
          <cell r="A8">
            <v>7</v>
          </cell>
          <cell r="B8" t="str">
            <v>GONZÁLEZ, Carlos</v>
          </cell>
          <cell r="C8" t="str">
            <v>M</v>
          </cell>
          <cell r="D8" t="str">
            <v>AND</v>
          </cell>
        </row>
        <row r="9">
          <cell r="A9">
            <v>8</v>
          </cell>
          <cell r="B9" t="str">
            <v>HERNÁNDEZ, Mario</v>
          </cell>
          <cell r="C9" t="str">
            <v>M</v>
          </cell>
          <cell r="D9" t="str">
            <v>AND</v>
          </cell>
        </row>
        <row r="10">
          <cell r="A10">
            <v>9</v>
          </cell>
          <cell r="B10" t="str">
            <v>HERRERA, Pedro J.</v>
          </cell>
          <cell r="C10" t="str">
            <v>M</v>
          </cell>
          <cell r="D10" t="str">
            <v>AND</v>
          </cell>
        </row>
        <row r="11">
          <cell r="A11">
            <v>10</v>
          </cell>
          <cell r="B11" t="str">
            <v>JIMÉNEZ, Pedro</v>
          </cell>
          <cell r="C11" t="str">
            <v>M</v>
          </cell>
          <cell r="D11" t="str">
            <v>AND</v>
          </cell>
        </row>
        <row r="12">
          <cell r="A12">
            <v>11</v>
          </cell>
          <cell r="B12" t="str">
            <v>LARA, Jesús</v>
          </cell>
          <cell r="C12" t="str">
            <v>M</v>
          </cell>
          <cell r="D12" t="str">
            <v>AND</v>
          </cell>
        </row>
        <row r="13">
          <cell r="A13">
            <v>12</v>
          </cell>
          <cell r="B13" t="str">
            <v>MARTÍN, Francisco</v>
          </cell>
          <cell r="C13" t="str">
            <v>M</v>
          </cell>
          <cell r="D13" t="str">
            <v>AND</v>
          </cell>
        </row>
        <row r="14">
          <cell r="A14">
            <v>13</v>
          </cell>
          <cell r="B14" t="str">
            <v>MORALES, Enrique</v>
          </cell>
          <cell r="C14" t="str">
            <v>M</v>
          </cell>
          <cell r="D14" t="str">
            <v>AND</v>
          </cell>
          <cell r="F14" t="str">
            <v>BAJA</v>
          </cell>
        </row>
        <row r="15">
          <cell r="A15">
            <v>14</v>
          </cell>
          <cell r="B15" t="str">
            <v>MURIEL, David</v>
          </cell>
          <cell r="C15" t="str">
            <v>M</v>
          </cell>
          <cell r="D15" t="str">
            <v>AND</v>
          </cell>
          <cell r="F15" t="str">
            <v>BAJA</v>
          </cell>
        </row>
        <row r="16">
          <cell r="A16">
            <v>15</v>
          </cell>
          <cell r="B16" t="str">
            <v>PÉREZ, Álvaro</v>
          </cell>
          <cell r="C16" t="str">
            <v>M</v>
          </cell>
          <cell r="D16" t="str">
            <v>AND</v>
          </cell>
        </row>
        <row r="17">
          <cell r="A17">
            <v>16</v>
          </cell>
          <cell r="B17" t="str">
            <v>POVEDANO, Manuel</v>
          </cell>
          <cell r="C17" t="str">
            <v>M</v>
          </cell>
          <cell r="D17" t="str">
            <v>AND</v>
          </cell>
        </row>
        <row r="18">
          <cell r="A18">
            <v>17</v>
          </cell>
          <cell r="B18" t="str">
            <v>RAMÍREZ, Antonio</v>
          </cell>
          <cell r="C18" t="str">
            <v>M</v>
          </cell>
          <cell r="D18" t="str">
            <v>AND</v>
          </cell>
        </row>
        <row r="19">
          <cell r="A19">
            <v>18</v>
          </cell>
          <cell r="B19" t="str">
            <v>RAMÍREZ, Manuel</v>
          </cell>
          <cell r="C19" t="str">
            <v>M</v>
          </cell>
          <cell r="D19" t="str">
            <v>AND</v>
          </cell>
        </row>
        <row r="20">
          <cell r="A20">
            <v>19</v>
          </cell>
          <cell r="B20" t="str">
            <v>TEJERO, Adolfo</v>
          </cell>
          <cell r="C20" t="str">
            <v>M</v>
          </cell>
          <cell r="D20" t="str">
            <v>AND</v>
          </cell>
        </row>
        <row r="21">
          <cell r="A21">
            <v>20</v>
          </cell>
          <cell r="B21" t="str">
            <v>ÁLVAREZ, Gloria</v>
          </cell>
          <cell r="C21" t="str">
            <v>F</v>
          </cell>
          <cell r="D21" t="str">
            <v>AND</v>
          </cell>
        </row>
        <row r="22">
          <cell r="A22">
            <v>21</v>
          </cell>
          <cell r="B22" t="str">
            <v>ARCHIDONA, Victoria</v>
          </cell>
          <cell r="C22" t="str">
            <v>F</v>
          </cell>
          <cell r="D22" t="str">
            <v>AND</v>
          </cell>
        </row>
        <row r="23">
          <cell r="A23">
            <v>22</v>
          </cell>
          <cell r="B23" t="str">
            <v>COBOS, Lourdes</v>
          </cell>
          <cell r="C23" t="str">
            <v>F</v>
          </cell>
          <cell r="D23" t="str">
            <v>AND</v>
          </cell>
        </row>
        <row r="24">
          <cell r="A24">
            <v>23</v>
          </cell>
          <cell r="B24" t="str">
            <v>DEL OJO, María</v>
          </cell>
          <cell r="C24" t="str">
            <v>F</v>
          </cell>
          <cell r="D24" t="str">
            <v>AND</v>
          </cell>
        </row>
        <row r="25">
          <cell r="A25">
            <v>24</v>
          </cell>
          <cell r="B25" t="str">
            <v>DÍAZ, Lorena</v>
          </cell>
          <cell r="C25" t="str">
            <v>F</v>
          </cell>
          <cell r="D25" t="str">
            <v>AND</v>
          </cell>
        </row>
        <row r="26">
          <cell r="A26">
            <v>25</v>
          </cell>
          <cell r="B26" t="str">
            <v>FERNÁNDEZ, Jéssica</v>
          </cell>
          <cell r="C26" t="str">
            <v>F</v>
          </cell>
          <cell r="D26" t="str">
            <v>AND</v>
          </cell>
          <cell r="F26" t="str">
            <v>BAJA</v>
          </cell>
        </row>
        <row r="27">
          <cell r="A27">
            <v>26</v>
          </cell>
          <cell r="B27" t="str">
            <v>GARCÍA, Marta</v>
          </cell>
          <cell r="C27" t="str">
            <v>F</v>
          </cell>
          <cell r="D27" t="str">
            <v>AND</v>
          </cell>
        </row>
        <row r="28">
          <cell r="A28">
            <v>27</v>
          </cell>
          <cell r="B28" t="str">
            <v>GARCÍA, Rocío</v>
          </cell>
          <cell r="C28" t="str">
            <v>F</v>
          </cell>
          <cell r="D28" t="str">
            <v>AND</v>
          </cell>
        </row>
        <row r="29">
          <cell r="A29">
            <v>28</v>
          </cell>
          <cell r="B29" t="str">
            <v>LÓPEZ, Cristina</v>
          </cell>
          <cell r="C29" t="str">
            <v>F</v>
          </cell>
          <cell r="D29" t="str">
            <v>AND</v>
          </cell>
        </row>
        <row r="30">
          <cell r="A30">
            <v>29</v>
          </cell>
          <cell r="B30" t="str">
            <v>MATA, Rosa</v>
          </cell>
          <cell r="C30" t="str">
            <v>F</v>
          </cell>
          <cell r="D30" t="str">
            <v>AND</v>
          </cell>
        </row>
        <row r="31">
          <cell r="A31">
            <v>30</v>
          </cell>
          <cell r="B31" t="str">
            <v>MOLINA, Maribel</v>
          </cell>
          <cell r="C31" t="str">
            <v>F</v>
          </cell>
          <cell r="D31" t="str">
            <v>AND</v>
          </cell>
        </row>
        <row r="32">
          <cell r="A32">
            <v>31</v>
          </cell>
          <cell r="B32" t="str">
            <v>MUÑOZ, Carmen</v>
          </cell>
          <cell r="C32" t="str">
            <v>F</v>
          </cell>
          <cell r="D32" t="str">
            <v>AND</v>
          </cell>
        </row>
        <row r="33">
          <cell r="A33">
            <v>32</v>
          </cell>
          <cell r="B33" t="str">
            <v>RAMÍREZ, Dolores</v>
          </cell>
          <cell r="C33" t="str">
            <v>F</v>
          </cell>
          <cell r="D33" t="str">
            <v>AND</v>
          </cell>
        </row>
        <row r="34">
          <cell r="A34">
            <v>33</v>
          </cell>
          <cell r="B34" t="str">
            <v>ROJAS, Ana María</v>
          </cell>
          <cell r="C34" t="str">
            <v>F</v>
          </cell>
          <cell r="D34" t="str">
            <v>AND</v>
          </cell>
        </row>
        <row r="35">
          <cell r="A35">
            <v>34</v>
          </cell>
          <cell r="B35" t="str">
            <v>BENAVIDES, Jesús</v>
          </cell>
          <cell r="C35" t="str">
            <v>M</v>
          </cell>
          <cell r="D35" t="str">
            <v>ARA</v>
          </cell>
        </row>
        <row r="36">
          <cell r="A36">
            <v>35</v>
          </cell>
          <cell r="B36" t="str">
            <v>CARDONA, Jorge</v>
          </cell>
          <cell r="C36" t="str">
            <v>M</v>
          </cell>
          <cell r="D36" t="str">
            <v>ARA</v>
          </cell>
        </row>
        <row r="37">
          <cell r="A37">
            <v>36</v>
          </cell>
          <cell r="B37" t="str">
            <v>ESCUDERO, Ramón</v>
          </cell>
          <cell r="C37" t="str">
            <v>M</v>
          </cell>
          <cell r="D37" t="str">
            <v>ARA</v>
          </cell>
        </row>
        <row r="38">
          <cell r="A38">
            <v>37</v>
          </cell>
          <cell r="B38" t="str">
            <v>FAURA, Pablo</v>
          </cell>
          <cell r="C38" t="str">
            <v>M</v>
          </cell>
          <cell r="D38" t="str">
            <v>ARA</v>
          </cell>
          <cell r="F38" t="str">
            <v>BAJA</v>
          </cell>
        </row>
        <row r="39">
          <cell r="A39">
            <v>38</v>
          </cell>
          <cell r="B39" t="str">
            <v>GÓMEZ-CABRERO, Rubén</v>
          </cell>
          <cell r="C39" t="str">
            <v>M</v>
          </cell>
          <cell r="D39" t="str">
            <v>ARA</v>
          </cell>
        </row>
        <row r="40">
          <cell r="A40">
            <v>39</v>
          </cell>
          <cell r="B40" t="str">
            <v>JOFRE, Guillermo</v>
          </cell>
          <cell r="C40" t="str">
            <v>M</v>
          </cell>
          <cell r="D40" t="str">
            <v>ARA</v>
          </cell>
        </row>
        <row r="41">
          <cell r="A41">
            <v>40</v>
          </cell>
          <cell r="B41" t="str">
            <v>MONREAL, Diego</v>
          </cell>
          <cell r="C41" t="str">
            <v>M</v>
          </cell>
          <cell r="D41" t="str">
            <v>ARA</v>
          </cell>
        </row>
        <row r="42">
          <cell r="A42">
            <v>41</v>
          </cell>
          <cell r="B42" t="str">
            <v>MONTERO, Javier</v>
          </cell>
          <cell r="C42" t="str">
            <v>M</v>
          </cell>
          <cell r="D42" t="str">
            <v>ARA</v>
          </cell>
        </row>
        <row r="43">
          <cell r="A43">
            <v>42</v>
          </cell>
          <cell r="B43" t="str">
            <v>MONTERO, José Ángel</v>
          </cell>
          <cell r="C43" t="str">
            <v>M</v>
          </cell>
          <cell r="D43" t="str">
            <v>ARA</v>
          </cell>
        </row>
        <row r="44">
          <cell r="A44">
            <v>43</v>
          </cell>
          <cell r="B44" t="str">
            <v>NAVARRO, Luis</v>
          </cell>
          <cell r="C44" t="str">
            <v>M</v>
          </cell>
          <cell r="D44" t="str">
            <v>ARA</v>
          </cell>
        </row>
        <row r="45">
          <cell r="A45">
            <v>44</v>
          </cell>
          <cell r="B45" t="str">
            <v>RAMÓN, Jorge</v>
          </cell>
          <cell r="C45" t="str">
            <v>M</v>
          </cell>
          <cell r="D45" t="str">
            <v>ARA</v>
          </cell>
        </row>
        <row r="46">
          <cell r="A46">
            <v>45</v>
          </cell>
          <cell r="B46" t="str">
            <v>GRIMAL, Yara</v>
          </cell>
          <cell r="C46" t="str">
            <v>F</v>
          </cell>
          <cell r="D46" t="str">
            <v>ARA</v>
          </cell>
        </row>
        <row r="47">
          <cell r="A47">
            <v>46</v>
          </cell>
          <cell r="B47" t="str">
            <v>SANTORROMÁN, María</v>
          </cell>
          <cell r="C47" t="str">
            <v>F</v>
          </cell>
          <cell r="D47" t="str">
            <v>ARA</v>
          </cell>
        </row>
        <row r="48">
          <cell r="A48">
            <v>47</v>
          </cell>
          <cell r="B48" t="str">
            <v>MARCOS, Javier</v>
          </cell>
          <cell r="C48" t="str">
            <v>M</v>
          </cell>
          <cell r="D48" t="str">
            <v>AST</v>
          </cell>
        </row>
        <row r="49">
          <cell r="A49">
            <v>48</v>
          </cell>
          <cell r="B49" t="str">
            <v>PÉREZ, David</v>
          </cell>
          <cell r="C49" t="str">
            <v>M</v>
          </cell>
          <cell r="D49" t="str">
            <v>AST</v>
          </cell>
        </row>
        <row r="50">
          <cell r="A50">
            <v>49</v>
          </cell>
          <cell r="B50" t="str">
            <v>POUSADA, Arán</v>
          </cell>
          <cell r="C50" t="str">
            <v>M</v>
          </cell>
          <cell r="D50" t="str">
            <v>AST</v>
          </cell>
        </row>
        <row r="51">
          <cell r="A51">
            <v>50</v>
          </cell>
          <cell r="B51" t="str">
            <v>FDEZ.ALONSO, Marta</v>
          </cell>
          <cell r="C51" t="str">
            <v>F</v>
          </cell>
          <cell r="D51" t="str">
            <v>AST</v>
          </cell>
        </row>
        <row r="52">
          <cell r="A52">
            <v>51</v>
          </cell>
          <cell r="B52" t="str">
            <v>FERNÁNDEZ, Sandra</v>
          </cell>
          <cell r="C52" t="str">
            <v>F</v>
          </cell>
          <cell r="D52" t="str">
            <v>AST</v>
          </cell>
        </row>
        <row r="53">
          <cell r="A53">
            <v>52</v>
          </cell>
          <cell r="B53" t="str">
            <v>MENÉNDEZ, Beatriz</v>
          </cell>
          <cell r="C53" t="str">
            <v>F</v>
          </cell>
          <cell r="D53" t="str">
            <v>AST</v>
          </cell>
        </row>
        <row r="54">
          <cell r="A54">
            <v>53</v>
          </cell>
          <cell r="B54" t="str">
            <v>MORAL, Izaskun</v>
          </cell>
          <cell r="C54" t="str">
            <v>F</v>
          </cell>
          <cell r="D54" t="str">
            <v>AST</v>
          </cell>
        </row>
        <row r="55">
          <cell r="A55">
            <v>54</v>
          </cell>
          <cell r="B55" t="str">
            <v>HOMAR, Miguel A.</v>
          </cell>
          <cell r="C55" t="str">
            <v>M</v>
          </cell>
          <cell r="D55" t="str">
            <v>BAL</v>
          </cell>
          <cell r="F55" t="str">
            <v>BAJA</v>
          </cell>
        </row>
        <row r="56">
          <cell r="A56">
            <v>55</v>
          </cell>
          <cell r="B56" t="str">
            <v>MANGAS, José M.</v>
          </cell>
          <cell r="C56" t="str">
            <v>M</v>
          </cell>
          <cell r="D56" t="str">
            <v>BAL</v>
          </cell>
        </row>
        <row r="57">
          <cell r="A57">
            <v>56</v>
          </cell>
          <cell r="B57" t="str">
            <v>PONS, Antonio</v>
          </cell>
          <cell r="C57" t="str">
            <v>M</v>
          </cell>
          <cell r="D57" t="str">
            <v>BAL</v>
          </cell>
          <cell r="F57" t="str">
            <v>BAJA</v>
          </cell>
        </row>
        <row r="58">
          <cell r="A58">
            <v>57</v>
          </cell>
          <cell r="B58" t="str">
            <v>VIDAL, Gabriel</v>
          </cell>
          <cell r="C58" t="str">
            <v>M</v>
          </cell>
          <cell r="D58" t="str">
            <v>BAL</v>
          </cell>
        </row>
        <row r="59">
          <cell r="A59">
            <v>58</v>
          </cell>
          <cell r="B59" t="str">
            <v>GONZÁLEZ, Eduardo</v>
          </cell>
          <cell r="C59" t="str">
            <v>M</v>
          </cell>
          <cell r="D59" t="str">
            <v>CNR</v>
          </cell>
        </row>
        <row r="60">
          <cell r="A60">
            <v>59</v>
          </cell>
          <cell r="B60" t="str">
            <v>MUÑOZ, Sergio</v>
          </cell>
          <cell r="C60" t="str">
            <v>M</v>
          </cell>
          <cell r="D60" t="str">
            <v>CNR</v>
          </cell>
        </row>
        <row r="61">
          <cell r="A61">
            <v>60</v>
          </cell>
          <cell r="B61" t="str">
            <v>RODRÍGUEZ, David</v>
          </cell>
          <cell r="C61" t="str">
            <v>M</v>
          </cell>
          <cell r="D61" t="str">
            <v>CNR</v>
          </cell>
        </row>
        <row r="62">
          <cell r="A62">
            <v>61</v>
          </cell>
          <cell r="B62" t="str">
            <v>DÍAZ, Sara</v>
          </cell>
          <cell r="C62" t="str">
            <v>F</v>
          </cell>
          <cell r="D62" t="str">
            <v>CNR</v>
          </cell>
        </row>
        <row r="63">
          <cell r="A63">
            <v>62</v>
          </cell>
          <cell r="B63" t="str">
            <v>MARTÍN, Marta</v>
          </cell>
          <cell r="C63" t="str">
            <v>F</v>
          </cell>
          <cell r="D63" t="str">
            <v>CNR</v>
          </cell>
        </row>
        <row r="64">
          <cell r="A64">
            <v>63</v>
          </cell>
          <cell r="B64" t="str">
            <v>PIÑERO, Leyra</v>
          </cell>
          <cell r="C64" t="str">
            <v>F</v>
          </cell>
          <cell r="D64" t="str">
            <v>CNR</v>
          </cell>
        </row>
        <row r="65">
          <cell r="A65">
            <v>64</v>
          </cell>
          <cell r="B65" t="str">
            <v>SANTANA, Lara</v>
          </cell>
          <cell r="C65" t="str">
            <v>F</v>
          </cell>
          <cell r="D65" t="str">
            <v>CNR</v>
          </cell>
          <cell r="F65" t="str">
            <v>BAJA</v>
          </cell>
        </row>
        <row r="66">
          <cell r="A66">
            <v>65</v>
          </cell>
          <cell r="B66" t="str">
            <v>SANTANA, Leticia</v>
          </cell>
          <cell r="C66" t="str">
            <v>F</v>
          </cell>
          <cell r="D66" t="str">
            <v>CNR</v>
          </cell>
        </row>
        <row r="67">
          <cell r="A67">
            <v>66</v>
          </cell>
          <cell r="B67" t="str">
            <v>CHAMORRO, David</v>
          </cell>
          <cell r="C67" t="str">
            <v>M</v>
          </cell>
          <cell r="D67" t="str">
            <v>CTB</v>
          </cell>
          <cell r="F67" t="str">
            <v>BAJA</v>
          </cell>
        </row>
        <row r="68">
          <cell r="A68">
            <v>67</v>
          </cell>
          <cell r="B68" t="str">
            <v>SASIAN, Javier</v>
          </cell>
          <cell r="C68" t="str">
            <v>M</v>
          </cell>
          <cell r="D68" t="str">
            <v>CTB</v>
          </cell>
        </row>
        <row r="69">
          <cell r="A69">
            <v>68</v>
          </cell>
          <cell r="B69" t="str">
            <v>VARELA, Francisco</v>
          </cell>
          <cell r="C69" t="str">
            <v>M</v>
          </cell>
          <cell r="D69" t="str">
            <v>CTB</v>
          </cell>
        </row>
        <row r="70">
          <cell r="A70">
            <v>69</v>
          </cell>
          <cell r="B70" t="str">
            <v>GONZÁLEZ, Jorge</v>
          </cell>
          <cell r="C70" t="str">
            <v>M</v>
          </cell>
          <cell r="D70" t="str">
            <v>CYL</v>
          </cell>
        </row>
        <row r="71">
          <cell r="A71">
            <v>70</v>
          </cell>
          <cell r="B71" t="str">
            <v>GONZÁLEZ, Roberto</v>
          </cell>
          <cell r="C71" t="str">
            <v>M</v>
          </cell>
          <cell r="D71" t="str">
            <v>CYL</v>
          </cell>
        </row>
        <row r="72">
          <cell r="A72">
            <v>71</v>
          </cell>
          <cell r="B72" t="str">
            <v>GUTIÉRREZ, Alberto</v>
          </cell>
          <cell r="C72" t="str">
            <v>M</v>
          </cell>
          <cell r="D72" t="str">
            <v>CYL</v>
          </cell>
        </row>
        <row r="73">
          <cell r="A73">
            <v>72</v>
          </cell>
          <cell r="B73" t="str">
            <v>MORA, Javier</v>
          </cell>
          <cell r="C73" t="str">
            <v>M</v>
          </cell>
          <cell r="D73" t="str">
            <v>CYL</v>
          </cell>
        </row>
        <row r="74">
          <cell r="A74">
            <v>73</v>
          </cell>
          <cell r="B74" t="str">
            <v>ALÁEZ, Carlos</v>
          </cell>
          <cell r="C74" t="str">
            <v>M</v>
          </cell>
          <cell r="D74" t="str">
            <v>CAT</v>
          </cell>
        </row>
        <row r="75">
          <cell r="A75">
            <v>74</v>
          </cell>
          <cell r="B75" t="str">
            <v>ALÁEZ, Jesús</v>
          </cell>
          <cell r="C75" t="str">
            <v>M</v>
          </cell>
          <cell r="D75" t="str">
            <v>CAT</v>
          </cell>
        </row>
        <row r="76">
          <cell r="A76">
            <v>75</v>
          </cell>
          <cell r="B76" t="str">
            <v>ALTARRIBA, Marc</v>
          </cell>
          <cell r="C76" t="str">
            <v>M</v>
          </cell>
          <cell r="D76" t="str">
            <v>CAT</v>
          </cell>
        </row>
        <row r="77">
          <cell r="A77">
            <v>76</v>
          </cell>
          <cell r="B77" t="str">
            <v>ARAQUE, Adrián</v>
          </cell>
          <cell r="C77" t="str">
            <v>M</v>
          </cell>
          <cell r="D77" t="str">
            <v>CAT</v>
          </cell>
        </row>
        <row r="78">
          <cell r="A78">
            <v>77</v>
          </cell>
          <cell r="B78" t="str">
            <v>ARTIGAS, Sergi</v>
          </cell>
          <cell r="C78" t="str">
            <v>M</v>
          </cell>
          <cell r="D78" t="str">
            <v>CAT</v>
          </cell>
        </row>
        <row r="79">
          <cell r="A79">
            <v>78</v>
          </cell>
          <cell r="B79" t="str">
            <v>ASENSIO, Xavier</v>
          </cell>
          <cell r="C79" t="str">
            <v>M</v>
          </cell>
          <cell r="D79" t="str">
            <v>CAT</v>
          </cell>
        </row>
        <row r="80">
          <cell r="A80">
            <v>79</v>
          </cell>
          <cell r="B80" t="str">
            <v>BALLESTER, Sergio</v>
          </cell>
          <cell r="C80" t="str">
            <v>M</v>
          </cell>
          <cell r="D80" t="str">
            <v>CAT</v>
          </cell>
        </row>
        <row r="81">
          <cell r="A81">
            <v>80</v>
          </cell>
          <cell r="B81" t="str">
            <v>BARBA, Albert</v>
          </cell>
          <cell r="C81" t="str">
            <v>M</v>
          </cell>
          <cell r="D81" t="str">
            <v>CAT</v>
          </cell>
        </row>
        <row r="82">
          <cell r="A82">
            <v>81</v>
          </cell>
          <cell r="B82" t="str">
            <v>BECH, Joel</v>
          </cell>
          <cell r="C82" t="str">
            <v>M</v>
          </cell>
          <cell r="D82" t="str">
            <v>CAT</v>
          </cell>
        </row>
        <row r="83">
          <cell r="A83">
            <v>82</v>
          </cell>
          <cell r="B83" t="str">
            <v>BENEDITO, Jordi</v>
          </cell>
          <cell r="C83" t="str">
            <v>M</v>
          </cell>
          <cell r="D83" t="str">
            <v>CAT</v>
          </cell>
          <cell r="F83" t="str">
            <v>BAJA</v>
          </cell>
        </row>
        <row r="84">
          <cell r="A84">
            <v>83</v>
          </cell>
          <cell r="B84" t="str">
            <v>BRUGADA, Ferrán</v>
          </cell>
          <cell r="C84" t="str">
            <v>M</v>
          </cell>
          <cell r="D84" t="str">
            <v>CAT</v>
          </cell>
        </row>
        <row r="85">
          <cell r="A85">
            <v>84</v>
          </cell>
          <cell r="B85" t="str">
            <v>CIVIT, Sergi</v>
          </cell>
          <cell r="C85" t="str">
            <v>M</v>
          </cell>
          <cell r="D85" t="str">
            <v>CAT</v>
          </cell>
        </row>
        <row r="86">
          <cell r="A86">
            <v>85</v>
          </cell>
          <cell r="B86" t="str">
            <v>COLLELL, Guillem</v>
          </cell>
          <cell r="C86" t="str">
            <v>M</v>
          </cell>
          <cell r="D86" t="str">
            <v>CAT</v>
          </cell>
        </row>
        <row r="87">
          <cell r="A87">
            <v>86</v>
          </cell>
          <cell r="B87" t="str">
            <v>COROMINAS, Pau</v>
          </cell>
          <cell r="C87" t="str">
            <v>M</v>
          </cell>
          <cell r="D87" t="str">
            <v>CAT</v>
          </cell>
        </row>
        <row r="88">
          <cell r="A88">
            <v>87</v>
          </cell>
          <cell r="B88" t="str">
            <v>CURRIUS, Pau</v>
          </cell>
          <cell r="C88" t="str">
            <v>M</v>
          </cell>
          <cell r="D88" t="str">
            <v>CAT</v>
          </cell>
        </row>
        <row r="89">
          <cell r="A89">
            <v>88</v>
          </cell>
          <cell r="B89" t="str">
            <v>DURÁN, Marc</v>
          </cell>
          <cell r="C89" t="str">
            <v>M</v>
          </cell>
          <cell r="D89" t="str">
            <v>CAT</v>
          </cell>
        </row>
        <row r="90">
          <cell r="A90">
            <v>89</v>
          </cell>
          <cell r="B90" t="str">
            <v>EXPÓSITO, Juan</v>
          </cell>
          <cell r="C90" t="str">
            <v>M</v>
          </cell>
          <cell r="D90" t="str">
            <v>CAT</v>
          </cell>
        </row>
        <row r="91">
          <cell r="A91">
            <v>90</v>
          </cell>
          <cell r="B91" t="str">
            <v>FLORES, Daniel</v>
          </cell>
          <cell r="C91" t="str">
            <v>M</v>
          </cell>
          <cell r="D91" t="str">
            <v>CAT</v>
          </cell>
        </row>
        <row r="92">
          <cell r="A92">
            <v>91</v>
          </cell>
          <cell r="B92" t="str">
            <v>GARCÍA, Carlos</v>
          </cell>
          <cell r="C92" t="str">
            <v>M</v>
          </cell>
          <cell r="D92" t="str">
            <v>CAT</v>
          </cell>
        </row>
        <row r="93">
          <cell r="A93">
            <v>92</v>
          </cell>
          <cell r="B93" t="str">
            <v>GARRIDO, Joel</v>
          </cell>
          <cell r="C93" t="str">
            <v>M</v>
          </cell>
          <cell r="D93" t="str">
            <v>CAT</v>
          </cell>
        </row>
        <row r="94">
          <cell r="A94">
            <v>93</v>
          </cell>
          <cell r="B94" t="str">
            <v>GAVIN, Jordi</v>
          </cell>
          <cell r="C94" t="str">
            <v>M</v>
          </cell>
          <cell r="D94" t="str">
            <v>CAT</v>
          </cell>
        </row>
        <row r="95">
          <cell r="A95">
            <v>94</v>
          </cell>
          <cell r="B95" t="str">
            <v>GIL, Gerard</v>
          </cell>
          <cell r="C95" t="str">
            <v>M</v>
          </cell>
          <cell r="D95" t="str">
            <v>CAT</v>
          </cell>
        </row>
        <row r="96">
          <cell r="A96">
            <v>95</v>
          </cell>
          <cell r="B96" t="str">
            <v>GIMÉNEZ, Aitor</v>
          </cell>
          <cell r="C96" t="str">
            <v>M</v>
          </cell>
          <cell r="D96" t="str">
            <v>CAT</v>
          </cell>
        </row>
        <row r="97">
          <cell r="A97">
            <v>96</v>
          </cell>
          <cell r="B97" t="str">
            <v>GRACIA, Albert</v>
          </cell>
          <cell r="C97" t="str">
            <v>M</v>
          </cell>
          <cell r="D97" t="str">
            <v>CAT</v>
          </cell>
        </row>
        <row r="98">
          <cell r="A98">
            <v>97</v>
          </cell>
          <cell r="B98" t="str">
            <v>GRAELLS, Jordi</v>
          </cell>
          <cell r="C98" t="str">
            <v>M</v>
          </cell>
          <cell r="D98" t="str">
            <v>CAT</v>
          </cell>
        </row>
        <row r="99">
          <cell r="A99">
            <v>98</v>
          </cell>
          <cell r="B99" t="str">
            <v>GUIMERA, Pau</v>
          </cell>
          <cell r="C99" t="str">
            <v>M</v>
          </cell>
          <cell r="D99" t="str">
            <v>CAT</v>
          </cell>
        </row>
        <row r="100">
          <cell r="A100">
            <v>99</v>
          </cell>
          <cell r="B100" t="str">
            <v>HERNÁNDEZ, Eduard</v>
          </cell>
          <cell r="C100" t="str">
            <v>M</v>
          </cell>
          <cell r="D100" t="str">
            <v>CAT</v>
          </cell>
        </row>
        <row r="101">
          <cell r="A101">
            <v>100</v>
          </cell>
          <cell r="B101" t="str">
            <v>LARI, Marc</v>
          </cell>
          <cell r="C101" t="str">
            <v>M</v>
          </cell>
          <cell r="D101" t="str">
            <v>CAT</v>
          </cell>
        </row>
        <row r="102">
          <cell r="A102">
            <v>101</v>
          </cell>
          <cell r="B102" t="str">
            <v>LONG, Li Yi</v>
          </cell>
          <cell r="C102" t="str">
            <v>M</v>
          </cell>
          <cell r="D102" t="str">
            <v>CAT</v>
          </cell>
        </row>
        <row r="103">
          <cell r="A103">
            <v>102</v>
          </cell>
          <cell r="B103" t="str">
            <v>MANGER, Kilian</v>
          </cell>
          <cell r="C103" t="str">
            <v>M</v>
          </cell>
          <cell r="D103" t="str">
            <v>CAT</v>
          </cell>
        </row>
        <row r="104">
          <cell r="A104">
            <v>103</v>
          </cell>
          <cell r="B104" t="str">
            <v>MENÉNDEZ, Duarte</v>
          </cell>
          <cell r="C104" t="str">
            <v>M</v>
          </cell>
          <cell r="D104" t="str">
            <v>CAT</v>
          </cell>
        </row>
        <row r="105">
          <cell r="A105">
            <v>104</v>
          </cell>
          <cell r="B105" t="str">
            <v>MIMBRERO, Josep</v>
          </cell>
          <cell r="C105" t="str">
            <v>M</v>
          </cell>
          <cell r="D105" t="str">
            <v>CAT</v>
          </cell>
        </row>
        <row r="106">
          <cell r="A106">
            <v>105</v>
          </cell>
          <cell r="B106" t="str">
            <v>MOREGÓ, Joan</v>
          </cell>
          <cell r="C106" t="str">
            <v>M</v>
          </cell>
          <cell r="D106" t="str">
            <v>CAT</v>
          </cell>
        </row>
        <row r="107">
          <cell r="A107">
            <v>106</v>
          </cell>
          <cell r="B107" t="str">
            <v>MORERA, Jordi</v>
          </cell>
          <cell r="C107" t="str">
            <v>M</v>
          </cell>
          <cell r="D107" t="str">
            <v>CAT</v>
          </cell>
        </row>
        <row r="108">
          <cell r="A108">
            <v>107</v>
          </cell>
          <cell r="B108" t="str">
            <v>MUÑOZ, Carlos</v>
          </cell>
          <cell r="C108" t="str">
            <v>M</v>
          </cell>
          <cell r="D108" t="str">
            <v>CAT</v>
          </cell>
        </row>
        <row r="109">
          <cell r="A109">
            <v>108</v>
          </cell>
          <cell r="B109" t="str">
            <v>NIETO, Joan</v>
          </cell>
          <cell r="C109" t="str">
            <v>M</v>
          </cell>
          <cell r="D109" t="str">
            <v>CAT</v>
          </cell>
        </row>
        <row r="110">
          <cell r="A110">
            <v>109</v>
          </cell>
          <cell r="B110" t="str">
            <v>ORTIZ, Bernat</v>
          </cell>
          <cell r="C110" t="str">
            <v>M</v>
          </cell>
          <cell r="D110" t="str">
            <v>CAT</v>
          </cell>
        </row>
        <row r="111">
          <cell r="A111">
            <v>110</v>
          </cell>
          <cell r="B111" t="str">
            <v>PONFERRADA, Sergi</v>
          </cell>
          <cell r="C111" t="str">
            <v>M</v>
          </cell>
          <cell r="D111" t="str">
            <v>CAT</v>
          </cell>
        </row>
        <row r="112">
          <cell r="A112">
            <v>111</v>
          </cell>
          <cell r="B112" t="str">
            <v>PRAT, Ferrán</v>
          </cell>
          <cell r="C112" t="str">
            <v>M</v>
          </cell>
          <cell r="D112" t="str">
            <v>CAT</v>
          </cell>
        </row>
        <row r="113">
          <cell r="A113">
            <v>112</v>
          </cell>
          <cell r="B113" t="str">
            <v>RAMOS, Samuel</v>
          </cell>
          <cell r="C113" t="str">
            <v>M</v>
          </cell>
          <cell r="D113" t="str">
            <v>CAT</v>
          </cell>
        </row>
        <row r="114">
          <cell r="A114">
            <v>113</v>
          </cell>
          <cell r="B114" t="str">
            <v>RODRÍGUEZ, Aleix</v>
          </cell>
          <cell r="C114" t="str">
            <v>M</v>
          </cell>
          <cell r="D114" t="str">
            <v>CAT</v>
          </cell>
        </row>
        <row r="115">
          <cell r="A115">
            <v>114</v>
          </cell>
          <cell r="B115" t="str">
            <v>ROJALS, Enric</v>
          </cell>
          <cell r="C115" t="str">
            <v>M</v>
          </cell>
          <cell r="D115" t="str">
            <v>CAT</v>
          </cell>
        </row>
        <row r="116">
          <cell r="A116">
            <v>115</v>
          </cell>
          <cell r="B116" t="str">
            <v>ROVIRA, Conrad</v>
          </cell>
          <cell r="C116" t="str">
            <v>M</v>
          </cell>
          <cell r="D116" t="str">
            <v>CAT</v>
          </cell>
        </row>
        <row r="117">
          <cell r="A117">
            <v>116</v>
          </cell>
          <cell r="B117" t="str">
            <v>SÁNCHEZ, Marcos</v>
          </cell>
          <cell r="C117" t="str">
            <v>M</v>
          </cell>
          <cell r="D117" t="str">
            <v>CAT</v>
          </cell>
        </row>
        <row r="118">
          <cell r="A118">
            <v>117</v>
          </cell>
          <cell r="B118" t="str">
            <v>SANS, Joan</v>
          </cell>
          <cell r="C118" t="str">
            <v>M</v>
          </cell>
          <cell r="D118" t="str">
            <v>CAT</v>
          </cell>
        </row>
        <row r="119">
          <cell r="A119">
            <v>118</v>
          </cell>
          <cell r="B119" t="str">
            <v>SOLER, Albert</v>
          </cell>
          <cell r="C119" t="str">
            <v>M</v>
          </cell>
          <cell r="D119" t="str">
            <v>CAT</v>
          </cell>
        </row>
        <row r="120">
          <cell r="A120">
            <v>119</v>
          </cell>
          <cell r="B120" t="str">
            <v>SOLER, Lluis</v>
          </cell>
          <cell r="C120" t="str">
            <v>M</v>
          </cell>
          <cell r="D120" t="str">
            <v>CAT</v>
          </cell>
        </row>
        <row r="121">
          <cell r="A121">
            <v>120</v>
          </cell>
          <cell r="B121" t="str">
            <v>SOLER, Sergi</v>
          </cell>
          <cell r="C121" t="str">
            <v>M</v>
          </cell>
          <cell r="D121" t="str">
            <v>CAT</v>
          </cell>
        </row>
        <row r="122">
          <cell r="A122">
            <v>121</v>
          </cell>
          <cell r="B122" t="str">
            <v>VIDAL, Alexandre</v>
          </cell>
          <cell r="C122" t="str">
            <v>M</v>
          </cell>
          <cell r="D122" t="str">
            <v>CAT</v>
          </cell>
        </row>
        <row r="123">
          <cell r="A123">
            <v>122</v>
          </cell>
          <cell r="B123" t="str">
            <v>BADOSA, Anna</v>
          </cell>
          <cell r="C123" t="str">
            <v>F</v>
          </cell>
          <cell r="D123" t="str">
            <v>CAT</v>
          </cell>
        </row>
        <row r="124">
          <cell r="A124">
            <v>123</v>
          </cell>
          <cell r="B124" t="str">
            <v>CARRILLO, Gemma</v>
          </cell>
          <cell r="C124" t="str">
            <v>F</v>
          </cell>
          <cell r="D124" t="str">
            <v>CAT</v>
          </cell>
        </row>
        <row r="125">
          <cell r="A125">
            <v>124</v>
          </cell>
          <cell r="B125" t="str">
            <v>CEJAS, Claudia</v>
          </cell>
          <cell r="C125" t="str">
            <v>F</v>
          </cell>
          <cell r="D125" t="str">
            <v>CAT</v>
          </cell>
        </row>
        <row r="126">
          <cell r="A126">
            <v>125</v>
          </cell>
          <cell r="B126" t="str">
            <v>DE UGARTE, Laura</v>
          </cell>
          <cell r="C126" t="str">
            <v>F</v>
          </cell>
          <cell r="D126" t="str">
            <v>CAT</v>
          </cell>
        </row>
        <row r="127">
          <cell r="A127">
            <v>126</v>
          </cell>
          <cell r="B127" t="str">
            <v>FERNÁNDEZ, Marta</v>
          </cell>
          <cell r="C127" t="str">
            <v>F</v>
          </cell>
          <cell r="D127" t="str">
            <v>CAT</v>
          </cell>
        </row>
        <row r="128">
          <cell r="A128">
            <v>127</v>
          </cell>
          <cell r="B128" t="str">
            <v>GARCÍA, Bárbara</v>
          </cell>
          <cell r="C128" t="str">
            <v>F</v>
          </cell>
          <cell r="D128" t="str">
            <v>CAT</v>
          </cell>
        </row>
        <row r="129">
          <cell r="A129">
            <v>128</v>
          </cell>
          <cell r="B129" t="str">
            <v>GRANADOS, Elisabet</v>
          </cell>
          <cell r="C129" t="str">
            <v>F</v>
          </cell>
          <cell r="D129" t="str">
            <v>CAT</v>
          </cell>
        </row>
        <row r="130">
          <cell r="A130">
            <v>129</v>
          </cell>
          <cell r="B130" t="str">
            <v>GRILLÉ, Pilar</v>
          </cell>
          <cell r="C130" t="str">
            <v>F</v>
          </cell>
          <cell r="D130" t="str">
            <v>CAT</v>
          </cell>
        </row>
        <row r="131">
          <cell r="A131">
            <v>130</v>
          </cell>
          <cell r="B131" t="str">
            <v>GUARCH, Judith</v>
          </cell>
          <cell r="C131" t="str">
            <v>F</v>
          </cell>
          <cell r="D131" t="str">
            <v>CAT</v>
          </cell>
        </row>
        <row r="132">
          <cell r="A132">
            <v>131</v>
          </cell>
          <cell r="B132" t="str">
            <v>MARTÍ, Nuria</v>
          </cell>
          <cell r="C132" t="str">
            <v>F</v>
          </cell>
          <cell r="D132" t="str">
            <v>CAT</v>
          </cell>
        </row>
        <row r="133">
          <cell r="A133">
            <v>132</v>
          </cell>
          <cell r="B133" t="str">
            <v>PARDINILLA, Anna</v>
          </cell>
          <cell r="C133" t="str">
            <v>F</v>
          </cell>
          <cell r="D133" t="str">
            <v>CAT</v>
          </cell>
        </row>
        <row r="134">
          <cell r="A134">
            <v>133</v>
          </cell>
          <cell r="B134" t="str">
            <v>PARDINILLA, Nuria</v>
          </cell>
          <cell r="C134" t="str">
            <v>F</v>
          </cell>
          <cell r="D134" t="str">
            <v>CAT</v>
          </cell>
        </row>
        <row r="135">
          <cell r="A135">
            <v>134</v>
          </cell>
          <cell r="B135" t="str">
            <v>PORTA, Nuria</v>
          </cell>
          <cell r="C135" t="str">
            <v>F</v>
          </cell>
          <cell r="D135" t="str">
            <v>CAT</v>
          </cell>
          <cell r="F135" t="str">
            <v>BAJA</v>
          </cell>
        </row>
        <row r="136">
          <cell r="A136">
            <v>135</v>
          </cell>
          <cell r="B136" t="str">
            <v>RAMÍREZ, Sara</v>
          </cell>
          <cell r="C136" t="str">
            <v>F</v>
          </cell>
          <cell r="D136" t="str">
            <v>CAT</v>
          </cell>
        </row>
        <row r="137">
          <cell r="A137">
            <v>136</v>
          </cell>
          <cell r="B137" t="str">
            <v>ROSELLÓ, Anna</v>
          </cell>
          <cell r="C137" t="str">
            <v>F</v>
          </cell>
          <cell r="D137" t="str">
            <v>CAT</v>
          </cell>
          <cell r="F137" t="str">
            <v>BAJA</v>
          </cell>
        </row>
        <row r="138">
          <cell r="A138">
            <v>137</v>
          </cell>
          <cell r="B138" t="str">
            <v>SANTAOLARIA, Noelia</v>
          </cell>
          <cell r="C138" t="str">
            <v>F</v>
          </cell>
          <cell r="D138" t="str">
            <v>CAT</v>
          </cell>
        </row>
        <row r="139">
          <cell r="A139">
            <v>138</v>
          </cell>
          <cell r="B139" t="str">
            <v>VICO, Cristina</v>
          </cell>
          <cell r="C139" t="str">
            <v>F</v>
          </cell>
          <cell r="D139" t="str">
            <v>CAT</v>
          </cell>
        </row>
        <row r="140">
          <cell r="A140">
            <v>139</v>
          </cell>
          <cell r="B140" t="str">
            <v>ZAMORANO, Marta</v>
          </cell>
          <cell r="C140" t="str">
            <v>F</v>
          </cell>
          <cell r="D140" t="str">
            <v>CAT</v>
          </cell>
        </row>
        <row r="141">
          <cell r="A141">
            <v>140</v>
          </cell>
          <cell r="B141" t="str">
            <v>LEÓN, David</v>
          </cell>
          <cell r="C141" t="str">
            <v>M</v>
          </cell>
          <cell r="D141" t="str">
            <v>CEU</v>
          </cell>
        </row>
        <row r="142">
          <cell r="A142">
            <v>141</v>
          </cell>
          <cell r="B142" t="str">
            <v>ROCHER, Juan M.</v>
          </cell>
          <cell r="C142" t="str">
            <v>M</v>
          </cell>
          <cell r="D142" t="str">
            <v>CEU</v>
          </cell>
        </row>
        <row r="143">
          <cell r="A143">
            <v>142</v>
          </cell>
          <cell r="B143" t="str">
            <v>SOBRINO, Manuel</v>
          </cell>
          <cell r="C143" t="str">
            <v>M</v>
          </cell>
          <cell r="D143" t="str">
            <v>CEU</v>
          </cell>
        </row>
        <row r="144">
          <cell r="A144">
            <v>143</v>
          </cell>
          <cell r="B144" t="str">
            <v>ARIAS, Myriam</v>
          </cell>
          <cell r="C144" t="str">
            <v>F</v>
          </cell>
          <cell r="D144" t="str">
            <v>VAL</v>
          </cell>
        </row>
        <row r="145">
          <cell r="A145">
            <v>144</v>
          </cell>
          <cell r="B145" t="str">
            <v>BASTANTE, Gemma</v>
          </cell>
          <cell r="C145" t="str">
            <v>F</v>
          </cell>
          <cell r="D145" t="str">
            <v>VAL</v>
          </cell>
        </row>
        <row r="146">
          <cell r="A146">
            <v>145</v>
          </cell>
          <cell r="B146" t="str">
            <v>DE ESPAÑA, Aida</v>
          </cell>
          <cell r="C146" t="str">
            <v>F</v>
          </cell>
          <cell r="D146" t="str">
            <v>VAL</v>
          </cell>
        </row>
        <row r="147">
          <cell r="A147">
            <v>146</v>
          </cell>
          <cell r="B147" t="str">
            <v>DE ESPAÑA, Noelia</v>
          </cell>
          <cell r="C147" t="str">
            <v>F</v>
          </cell>
          <cell r="D147" t="str">
            <v>VAL</v>
          </cell>
        </row>
        <row r="148">
          <cell r="A148">
            <v>147</v>
          </cell>
          <cell r="B148" t="str">
            <v>MAINAR, Virginia</v>
          </cell>
          <cell r="C148" t="str">
            <v>F</v>
          </cell>
          <cell r="D148" t="str">
            <v>VAL</v>
          </cell>
        </row>
        <row r="149">
          <cell r="A149">
            <v>148</v>
          </cell>
          <cell r="B149" t="str">
            <v>MARTÍNEZ, Lucía</v>
          </cell>
          <cell r="C149" t="str">
            <v>F</v>
          </cell>
          <cell r="D149" t="str">
            <v>VAL</v>
          </cell>
        </row>
        <row r="150">
          <cell r="A150">
            <v>149</v>
          </cell>
          <cell r="B150" t="str">
            <v>MARTÍNEZ, Raquel</v>
          </cell>
          <cell r="C150" t="str">
            <v>F</v>
          </cell>
          <cell r="D150" t="str">
            <v>VAL</v>
          </cell>
        </row>
        <row r="151">
          <cell r="A151">
            <v>150</v>
          </cell>
          <cell r="B151" t="str">
            <v>MONLEÓN, Sara</v>
          </cell>
          <cell r="C151" t="str">
            <v>F</v>
          </cell>
          <cell r="D151" t="str">
            <v>VAL</v>
          </cell>
        </row>
        <row r="152">
          <cell r="A152">
            <v>151</v>
          </cell>
          <cell r="B152" t="str">
            <v>PÉREZ, Jennyfer</v>
          </cell>
          <cell r="C152" t="str">
            <v>F</v>
          </cell>
          <cell r="D152" t="str">
            <v>VAL</v>
          </cell>
        </row>
        <row r="153">
          <cell r="A153">
            <v>152</v>
          </cell>
          <cell r="B153" t="str">
            <v>PIÑA, Elena</v>
          </cell>
          <cell r="C153" t="str">
            <v>F</v>
          </cell>
          <cell r="D153" t="str">
            <v>VAL</v>
          </cell>
        </row>
        <row r="154">
          <cell r="A154">
            <v>153</v>
          </cell>
          <cell r="B154" t="str">
            <v>SANZ, María</v>
          </cell>
          <cell r="C154" t="str">
            <v>F</v>
          </cell>
          <cell r="D154" t="str">
            <v>VAL</v>
          </cell>
        </row>
        <row r="155">
          <cell r="A155">
            <v>154</v>
          </cell>
          <cell r="B155" t="str">
            <v>DÍAZ, David</v>
          </cell>
          <cell r="C155" t="str">
            <v>M</v>
          </cell>
          <cell r="D155" t="str">
            <v>GAL</v>
          </cell>
        </row>
        <row r="156">
          <cell r="A156">
            <v>155</v>
          </cell>
          <cell r="B156" t="str">
            <v>EXPÓXITO, Adrián</v>
          </cell>
          <cell r="C156" t="str">
            <v>M</v>
          </cell>
          <cell r="D156" t="str">
            <v>GAL</v>
          </cell>
        </row>
        <row r="157">
          <cell r="A157">
            <v>156</v>
          </cell>
          <cell r="B157" t="str">
            <v>LÓPEZ, Rubén</v>
          </cell>
          <cell r="C157" t="str">
            <v>M</v>
          </cell>
          <cell r="D157" t="str">
            <v>GAL</v>
          </cell>
        </row>
        <row r="158">
          <cell r="A158">
            <v>157</v>
          </cell>
          <cell r="B158" t="str">
            <v>NOVO, Diego</v>
          </cell>
          <cell r="C158" t="str">
            <v>M</v>
          </cell>
          <cell r="D158" t="str">
            <v>GAL</v>
          </cell>
        </row>
        <row r="159">
          <cell r="A159">
            <v>158</v>
          </cell>
          <cell r="B159" t="str">
            <v>PIÑEIRO, Efrén</v>
          </cell>
          <cell r="C159" t="str">
            <v>M</v>
          </cell>
          <cell r="D159" t="str">
            <v>GAL</v>
          </cell>
        </row>
        <row r="160">
          <cell r="A160">
            <v>159</v>
          </cell>
          <cell r="B160" t="str">
            <v>PITA, Daniel</v>
          </cell>
          <cell r="C160" t="str">
            <v>M</v>
          </cell>
          <cell r="D160" t="str">
            <v>GAL</v>
          </cell>
        </row>
        <row r="161">
          <cell r="A161">
            <v>160</v>
          </cell>
          <cell r="B161" t="str">
            <v>RDGUEZ.CABO, David</v>
          </cell>
          <cell r="C161" t="str">
            <v>M</v>
          </cell>
          <cell r="D161" t="str">
            <v>GAL</v>
          </cell>
        </row>
        <row r="162">
          <cell r="A162">
            <v>161</v>
          </cell>
          <cell r="B162" t="str">
            <v>VIDAL, Adrián</v>
          </cell>
          <cell r="C162" t="str">
            <v>M</v>
          </cell>
          <cell r="D162" t="str">
            <v>GAL</v>
          </cell>
        </row>
        <row r="163">
          <cell r="A163">
            <v>162</v>
          </cell>
          <cell r="B163" t="str">
            <v>BUENO, Teresa</v>
          </cell>
          <cell r="C163" t="str">
            <v>F</v>
          </cell>
          <cell r="D163" t="str">
            <v>GAL</v>
          </cell>
        </row>
        <row r="164">
          <cell r="A164">
            <v>163</v>
          </cell>
          <cell r="B164" t="str">
            <v>PÉREZ, Silvia</v>
          </cell>
          <cell r="C164" t="str">
            <v>F</v>
          </cell>
          <cell r="D164" t="str">
            <v>GAL</v>
          </cell>
        </row>
        <row r="165">
          <cell r="A165">
            <v>164</v>
          </cell>
          <cell r="B165" t="str">
            <v>PUGA, BELÉN</v>
          </cell>
          <cell r="C165" t="str">
            <v>F</v>
          </cell>
          <cell r="D165" t="str">
            <v>GAL</v>
          </cell>
        </row>
        <row r="166">
          <cell r="A166">
            <v>165</v>
          </cell>
          <cell r="B166" t="str">
            <v>RÍOS, Ana</v>
          </cell>
          <cell r="C166" t="str">
            <v>F</v>
          </cell>
          <cell r="D166" t="str">
            <v>GAL</v>
          </cell>
        </row>
        <row r="167">
          <cell r="A167">
            <v>166</v>
          </cell>
          <cell r="B167" t="str">
            <v>ALCÁNTARA, José Manuel</v>
          </cell>
          <cell r="C167" t="str">
            <v>M</v>
          </cell>
          <cell r="D167" t="str">
            <v>MAD</v>
          </cell>
        </row>
        <row r="168">
          <cell r="A168">
            <v>167</v>
          </cell>
          <cell r="B168" t="str">
            <v>DÍAZ, Jorge</v>
          </cell>
          <cell r="C168" t="str">
            <v>M</v>
          </cell>
          <cell r="D168" t="str">
            <v>MAD</v>
          </cell>
        </row>
        <row r="169">
          <cell r="A169">
            <v>168</v>
          </cell>
          <cell r="B169" t="str">
            <v>FERRER, Nicolás</v>
          </cell>
          <cell r="C169" t="str">
            <v>M</v>
          </cell>
          <cell r="D169" t="str">
            <v>MAD</v>
          </cell>
        </row>
        <row r="170">
          <cell r="A170">
            <v>169</v>
          </cell>
          <cell r="B170" t="str">
            <v>GARCÍA, Javier</v>
          </cell>
          <cell r="C170" t="str">
            <v>M</v>
          </cell>
          <cell r="D170" t="str">
            <v>MAD</v>
          </cell>
        </row>
        <row r="171">
          <cell r="A171">
            <v>170</v>
          </cell>
          <cell r="B171" t="str">
            <v>HERMÓGENES, Jorge</v>
          </cell>
          <cell r="C171" t="str">
            <v>M</v>
          </cell>
          <cell r="D171" t="str">
            <v>MAD</v>
          </cell>
        </row>
        <row r="172">
          <cell r="A172">
            <v>171</v>
          </cell>
          <cell r="B172" t="str">
            <v>NAVARRO, José L.</v>
          </cell>
          <cell r="C172" t="str">
            <v>M</v>
          </cell>
          <cell r="D172" t="str">
            <v>MAD</v>
          </cell>
        </row>
        <row r="173">
          <cell r="A173">
            <v>172</v>
          </cell>
          <cell r="B173" t="str">
            <v>NIKOLAEV, Georgi</v>
          </cell>
          <cell r="C173" t="str">
            <v>M</v>
          </cell>
          <cell r="D173" t="str">
            <v>MAD</v>
          </cell>
        </row>
        <row r="174">
          <cell r="A174">
            <v>173</v>
          </cell>
          <cell r="B174" t="str">
            <v>PARRA, Mario</v>
          </cell>
          <cell r="C174" t="str">
            <v>M</v>
          </cell>
          <cell r="D174" t="str">
            <v>MAD</v>
          </cell>
        </row>
        <row r="175">
          <cell r="A175">
            <v>174</v>
          </cell>
          <cell r="B175" t="str">
            <v>CAUDET, Raquel</v>
          </cell>
          <cell r="C175" t="str">
            <v>F</v>
          </cell>
          <cell r="D175" t="str">
            <v>MAD</v>
          </cell>
        </row>
        <row r="176">
          <cell r="A176">
            <v>175</v>
          </cell>
          <cell r="B176" t="str">
            <v>HUERTA, Rocío</v>
          </cell>
          <cell r="C176" t="str">
            <v>F</v>
          </cell>
          <cell r="D176" t="str">
            <v>MAD</v>
          </cell>
        </row>
        <row r="177">
          <cell r="A177">
            <v>176</v>
          </cell>
          <cell r="B177" t="str">
            <v>RUIZ, Estrella</v>
          </cell>
          <cell r="C177" t="str">
            <v>F</v>
          </cell>
          <cell r="D177" t="str">
            <v>MAD</v>
          </cell>
        </row>
        <row r="178">
          <cell r="A178">
            <v>177</v>
          </cell>
          <cell r="B178" t="str">
            <v>ALEDO, Mario</v>
          </cell>
          <cell r="C178" t="str">
            <v>M</v>
          </cell>
          <cell r="D178" t="str">
            <v>MUR</v>
          </cell>
        </row>
        <row r="179">
          <cell r="A179">
            <v>178</v>
          </cell>
          <cell r="B179" t="str">
            <v>ALIAGA, Ramón</v>
          </cell>
          <cell r="C179" t="str">
            <v>M</v>
          </cell>
          <cell r="D179" t="str">
            <v>MUR</v>
          </cell>
        </row>
        <row r="180">
          <cell r="A180">
            <v>179</v>
          </cell>
          <cell r="B180" t="str">
            <v>BETETA, Carlos</v>
          </cell>
          <cell r="C180" t="str">
            <v>M</v>
          </cell>
          <cell r="D180" t="str">
            <v>MUR</v>
          </cell>
        </row>
        <row r="181">
          <cell r="A181">
            <v>180</v>
          </cell>
          <cell r="B181" t="str">
            <v>JEREZ, Alejandro</v>
          </cell>
          <cell r="C181" t="str">
            <v>M</v>
          </cell>
          <cell r="D181" t="str">
            <v>MUR</v>
          </cell>
        </row>
        <row r="182">
          <cell r="A182">
            <v>181</v>
          </cell>
          <cell r="B182" t="str">
            <v>JEREZ, Manuel</v>
          </cell>
          <cell r="C182" t="str">
            <v>M</v>
          </cell>
          <cell r="D182" t="str">
            <v>MUR</v>
          </cell>
        </row>
        <row r="183">
          <cell r="A183">
            <v>182</v>
          </cell>
          <cell r="B183" t="str">
            <v>MONERRI, Andrés</v>
          </cell>
          <cell r="C183" t="str">
            <v>M</v>
          </cell>
          <cell r="D183" t="str">
            <v>MUR</v>
          </cell>
        </row>
        <row r="184">
          <cell r="A184">
            <v>183</v>
          </cell>
          <cell r="B184" t="str">
            <v>MONTALBAN, José Antonio</v>
          </cell>
          <cell r="C184" t="str">
            <v>M</v>
          </cell>
          <cell r="D184" t="str">
            <v>MUR</v>
          </cell>
        </row>
        <row r="185">
          <cell r="A185">
            <v>184</v>
          </cell>
          <cell r="B185" t="str">
            <v>NAVARRO, Ernesto</v>
          </cell>
          <cell r="C185" t="str">
            <v>M</v>
          </cell>
          <cell r="D185" t="str">
            <v>MUR</v>
          </cell>
        </row>
        <row r="186">
          <cell r="A186">
            <v>185</v>
          </cell>
          <cell r="B186" t="str">
            <v>CARMONA, Olga</v>
          </cell>
          <cell r="C186" t="str">
            <v>F</v>
          </cell>
          <cell r="D186" t="str">
            <v>MUR</v>
          </cell>
        </row>
        <row r="187">
          <cell r="A187">
            <v>186</v>
          </cell>
          <cell r="B187" t="str">
            <v>MONTALBÁN, Clara</v>
          </cell>
          <cell r="C187" t="str">
            <v>F</v>
          </cell>
          <cell r="D187" t="str">
            <v>MUR</v>
          </cell>
        </row>
        <row r="188">
          <cell r="A188">
            <v>187</v>
          </cell>
          <cell r="B188" t="str">
            <v>MONTALBÁN, Patricia</v>
          </cell>
          <cell r="C188" t="str">
            <v>F</v>
          </cell>
          <cell r="D188" t="str">
            <v>MUR</v>
          </cell>
        </row>
        <row r="189">
          <cell r="A189">
            <v>188</v>
          </cell>
          <cell r="B189" t="str">
            <v>ROS, Nuria</v>
          </cell>
          <cell r="C189" t="str">
            <v>F</v>
          </cell>
          <cell r="D189" t="str">
            <v>MUR</v>
          </cell>
        </row>
        <row r="190">
          <cell r="A190">
            <v>189</v>
          </cell>
          <cell r="B190" t="str">
            <v>SOLANO, Bárbara</v>
          </cell>
          <cell r="C190" t="str">
            <v>F</v>
          </cell>
          <cell r="D190" t="str">
            <v>MUR</v>
          </cell>
        </row>
        <row r="191">
          <cell r="A191">
            <v>190</v>
          </cell>
          <cell r="B191" t="str">
            <v>SOLICHERO, Carmen</v>
          </cell>
          <cell r="C191" t="str">
            <v>F</v>
          </cell>
          <cell r="D191" t="str">
            <v>MUR</v>
          </cell>
        </row>
        <row r="192">
          <cell r="A192">
            <v>191</v>
          </cell>
          <cell r="B192" t="str">
            <v>GARCÍA, Íñigo</v>
          </cell>
          <cell r="C192" t="str">
            <v>M</v>
          </cell>
          <cell r="D192" t="str">
            <v>NAV</v>
          </cell>
        </row>
        <row r="193">
          <cell r="A193">
            <v>192</v>
          </cell>
          <cell r="B193" t="str">
            <v>MARZO, Pablo</v>
          </cell>
          <cell r="C193" t="str">
            <v>M</v>
          </cell>
          <cell r="D193" t="str">
            <v>NAV</v>
          </cell>
        </row>
        <row r="194">
          <cell r="A194">
            <v>193</v>
          </cell>
          <cell r="B194" t="str">
            <v>OLLETA, David</v>
          </cell>
          <cell r="C194" t="str">
            <v>M</v>
          </cell>
          <cell r="D194" t="str">
            <v>NAV</v>
          </cell>
        </row>
        <row r="195">
          <cell r="A195">
            <v>194</v>
          </cell>
          <cell r="B195" t="str">
            <v>REDRADO, David</v>
          </cell>
          <cell r="C195" t="str">
            <v>M</v>
          </cell>
          <cell r="D195" t="str">
            <v>NAV</v>
          </cell>
        </row>
        <row r="196">
          <cell r="A196">
            <v>195</v>
          </cell>
          <cell r="B196" t="str">
            <v>VALENZUELA, Mikel</v>
          </cell>
          <cell r="C196" t="str">
            <v>M</v>
          </cell>
          <cell r="D196" t="str">
            <v>NAV</v>
          </cell>
        </row>
        <row r="197">
          <cell r="A197">
            <v>196</v>
          </cell>
          <cell r="B197" t="str">
            <v>CASTAÑEDA, Íñigo</v>
          </cell>
          <cell r="C197" t="str">
            <v>M</v>
          </cell>
          <cell r="D197" t="str">
            <v>PVS</v>
          </cell>
        </row>
        <row r="198">
          <cell r="A198">
            <v>197</v>
          </cell>
          <cell r="B198" t="str">
            <v>DÍEZ, Endika</v>
          </cell>
          <cell r="C198" t="str">
            <v>M</v>
          </cell>
          <cell r="D198" t="str">
            <v>PVS</v>
          </cell>
        </row>
        <row r="199">
          <cell r="A199">
            <v>198</v>
          </cell>
          <cell r="B199" t="str">
            <v>DÍEZ, Erik</v>
          </cell>
          <cell r="C199" t="str">
            <v>M</v>
          </cell>
          <cell r="D199" t="str">
            <v>PVS</v>
          </cell>
        </row>
        <row r="200">
          <cell r="A200">
            <v>199</v>
          </cell>
          <cell r="B200" t="str">
            <v>IRASTORZA, Zuhaitz</v>
          </cell>
          <cell r="C200" t="str">
            <v>M</v>
          </cell>
          <cell r="D200" t="str">
            <v>PVS</v>
          </cell>
        </row>
        <row r="201">
          <cell r="A201">
            <v>200</v>
          </cell>
          <cell r="B201" t="str">
            <v>KALONJE, Uritz</v>
          </cell>
          <cell r="C201" t="str">
            <v>M</v>
          </cell>
          <cell r="D201" t="str">
            <v>PVS</v>
          </cell>
        </row>
        <row r="202">
          <cell r="A202">
            <v>201</v>
          </cell>
          <cell r="B202" t="str">
            <v>MOURIZ, Eder</v>
          </cell>
          <cell r="C202" t="str">
            <v>M</v>
          </cell>
          <cell r="D202" t="str">
            <v>PVS</v>
          </cell>
        </row>
        <row r="203">
          <cell r="A203">
            <v>202</v>
          </cell>
          <cell r="B203" t="str">
            <v>ORIVE, David</v>
          </cell>
          <cell r="C203" t="str">
            <v>M</v>
          </cell>
          <cell r="D203" t="str">
            <v>PVS</v>
          </cell>
        </row>
        <row r="204">
          <cell r="A204">
            <v>203</v>
          </cell>
          <cell r="B204" t="str">
            <v>DVORAK, Galia</v>
          </cell>
          <cell r="C204" t="str">
            <v>F</v>
          </cell>
          <cell r="D204" t="str">
            <v>CAT</v>
          </cell>
        </row>
        <row r="205">
          <cell r="A205">
            <v>204</v>
          </cell>
          <cell r="B205" t="str">
            <v>SALVADOR, Marcus</v>
          </cell>
          <cell r="C205" t="str">
            <v>M</v>
          </cell>
          <cell r="D205" t="str">
            <v>BAL</v>
          </cell>
        </row>
        <row r="206">
          <cell r="A206">
            <v>205</v>
          </cell>
          <cell r="B206" t="str">
            <v>AZCÓN, David</v>
          </cell>
          <cell r="C206" t="str">
            <v>M</v>
          </cell>
          <cell r="D206" t="str">
            <v>CAT</v>
          </cell>
        </row>
        <row r="207">
          <cell r="A207">
            <v>206</v>
          </cell>
          <cell r="B207" t="str">
            <v>BAUTISTA, Jordi</v>
          </cell>
          <cell r="C207" t="str">
            <v>M</v>
          </cell>
          <cell r="D207" t="str">
            <v>CAT</v>
          </cell>
        </row>
        <row r="208">
          <cell r="A208">
            <v>207</v>
          </cell>
          <cell r="B208" t="str">
            <v>GARCÍA, Marc</v>
          </cell>
          <cell r="C208" t="str">
            <v>M</v>
          </cell>
          <cell r="D208" t="str">
            <v>CAT</v>
          </cell>
        </row>
        <row r="209">
          <cell r="A209">
            <v>208</v>
          </cell>
          <cell r="B209" t="str">
            <v>VENTOSA, Arnau</v>
          </cell>
          <cell r="C209" t="str">
            <v>M</v>
          </cell>
          <cell r="D209" t="str">
            <v>CAT</v>
          </cell>
        </row>
        <row r="210">
          <cell r="A210">
            <v>209</v>
          </cell>
          <cell r="B210" t="str">
            <v>MATA, Ana María</v>
          </cell>
          <cell r="C210" t="str">
            <v>F</v>
          </cell>
          <cell r="D210" t="str">
            <v>AND</v>
          </cell>
        </row>
        <row r="211">
          <cell r="A211">
            <v>210</v>
          </cell>
          <cell r="B211" t="str">
            <v>RODRÍGUEZ, Anai</v>
          </cell>
          <cell r="C211" t="str">
            <v>M</v>
          </cell>
          <cell r="D211" t="str">
            <v>NAV</v>
          </cell>
        </row>
        <row r="212">
          <cell r="A212">
            <v>211</v>
          </cell>
          <cell r="B212" t="str">
            <v>REYES, Antonio</v>
          </cell>
          <cell r="C212" t="str">
            <v>M</v>
          </cell>
          <cell r="D212" t="str">
            <v>CEU</v>
          </cell>
        </row>
      </sheetData>
      <sheetData sheetId="3" refreshError="1">
        <row r="1">
          <cell r="A1">
            <v>1</v>
          </cell>
          <cell r="B1" t="str">
            <v>SCHOOL ZARAGOZA T.M.</v>
          </cell>
          <cell r="C1" t="str">
            <v>ARA</v>
          </cell>
          <cell r="D1" t="str">
            <v>MASCULINA</v>
          </cell>
        </row>
        <row r="2">
          <cell r="A2">
            <v>2</v>
          </cell>
          <cell r="B2" t="str">
            <v>FINQUES BALTRONS CALELLA</v>
          </cell>
          <cell r="C2" t="str">
            <v>CAT</v>
          </cell>
          <cell r="D2" t="str">
            <v>MASCULINA</v>
          </cell>
        </row>
        <row r="3">
          <cell r="A3">
            <v>3</v>
          </cell>
          <cell r="B3" t="str">
            <v>CLUB FALCONS SABADELL</v>
          </cell>
          <cell r="C3" t="str">
            <v>CAT</v>
          </cell>
          <cell r="D3" t="str">
            <v>MASCULINA</v>
          </cell>
        </row>
        <row r="4">
          <cell r="A4">
            <v>4</v>
          </cell>
          <cell r="B4" t="str">
            <v>C.E. SANT BARTOMEU</v>
          </cell>
          <cell r="C4" t="str">
            <v>BAL</v>
          </cell>
          <cell r="D4" t="str">
            <v>MASCULINA</v>
          </cell>
        </row>
        <row r="5">
          <cell r="A5">
            <v>5</v>
          </cell>
          <cell r="B5" t="str">
            <v>C.T.M. CEIBE</v>
          </cell>
          <cell r="C5" t="str">
            <v>GAL</v>
          </cell>
          <cell r="D5" t="str">
            <v>MASCULINA</v>
          </cell>
        </row>
        <row r="6">
          <cell r="A6">
            <v>6</v>
          </cell>
          <cell r="B6" t="str">
            <v>A.D. ANTONIO MENDOZA</v>
          </cell>
          <cell r="C6" t="str">
            <v>CTB</v>
          </cell>
          <cell r="D6" t="str">
            <v>MASCULINA</v>
          </cell>
        </row>
        <row r="7">
          <cell r="A7">
            <v>7</v>
          </cell>
          <cell r="B7" t="str">
            <v>C.D. MURCIA EL PALMAR</v>
          </cell>
          <cell r="C7" t="str">
            <v>MUR</v>
          </cell>
          <cell r="D7" t="str">
            <v>MASCULINA</v>
          </cell>
        </row>
        <row r="8">
          <cell r="A8">
            <v>8</v>
          </cell>
          <cell r="B8" t="str">
            <v>T.T. HOSPITALET</v>
          </cell>
          <cell r="C8" t="str">
            <v>CAT</v>
          </cell>
          <cell r="D8" t="str">
            <v>MASCULINA</v>
          </cell>
        </row>
        <row r="9">
          <cell r="A9">
            <v>9</v>
          </cell>
          <cell r="B9" t="str">
            <v>CLUB HUELVA T.M.</v>
          </cell>
          <cell r="C9" t="str">
            <v>AND</v>
          </cell>
          <cell r="D9" t="str">
            <v>MASCULINA</v>
          </cell>
        </row>
        <row r="10">
          <cell r="A10">
            <v>10</v>
          </cell>
          <cell r="B10" t="str">
            <v>C.A.I. SANTIAGO T.M.</v>
          </cell>
          <cell r="C10" t="str">
            <v>ARA</v>
          </cell>
          <cell r="D10" t="str">
            <v>MASCULINA</v>
          </cell>
        </row>
        <row r="11">
          <cell r="A11">
            <v>11</v>
          </cell>
          <cell r="B11" t="str">
            <v>T.T. ELS 8 LA GARRIGA</v>
          </cell>
          <cell r="C11" t="str">
            <v>CAT</v>
          </cell>
          <cell r="D11" t="str">
            <v>MASCULINA</v>
          </cell>
        </row>
        <row r="12">
          <cell r="A12">
            <v>12</v>
          </cell>
          <cell r="B12" t="str">
            <v>CLUB NATACIÓN HELIOS</v>
          </cell>
          <cell r="C12" t="str">
            <v>ARA</v>
          </cell>
          <cell r="D12" t="str">
            <v>MASCULINA</v>
          </cell>
        </row>
        <row r="13">
          <cell r="A13">
            <v>13</v>
          </cell>
          <cell r="B13" t="str">
            <v>CÁRTAMA</v>
          </cell>
          <cell r="C13" t="str">
            <v>AND</v>
          </cell>
          <cell r="D13" t="str">
            <v>MASCULINA</v>
          </cell>
        </row>
        <row r="14">
          <cell r="A14">
            <v>14</v>
          </cell>
          <cell r="B14" t="str">
            <v>CAN BERARDO RIPOLLET SDM</v>
          </cell>
          <cell r="C14" t="str">
            <v>CAT</v>
          </cell>
          <cell r="D14" t="str">
            <v>MASCULINA</v>
          </cell>
        </row>
        <row r="15">
          <cell r="A15">
            <v>15</v>
          </cell>
          <cell r="B15" t="str">
            <v>E.T.M. BURLADA</v>
          </cell>
          <cell r="C15" t="str">
            <v>NAV</v>
          </cell>
          <cell r="D15" t="str">
            <v>MASCULINA</v>
          </cell>
        </row>
        <row r="16">
          <cell r="A16">
            <v>16</v>
          </cell>
          <cell r="B16" t="str">
            <v>CLUB NARÓN TENIS DE MESA</v>
          </cell>
          <cell r="C16" t="str">
            <v>GAL</v>
          </cell>
          <cell r="D16" t="str">
            <v>MASCULINA</v>
          </cell>
        </row>
        <row r="17">
          <cell r="A17">
            <v>17</v>
          </cell>
          <cell r="B17" t="str">
            <v>CLUB NATACIÓN FIGUERES</v>
          </cell>
          <cell r="C17" t="str">
            <v>CAT</v>
          </cell>
          <cell r="D17" t="str">
            <v>MASCULINA</v>
          </cell>
        </row>
        <row r="18">
          <cell r="A18">
            <v>18</v>
          </cell>
          <cell r="B18" t="str">
            <v>ATLÉTICO EASO HERNANI</v>
          </cell>
          <cell r="C18" t="str">
            <v>PVS</v>
          </cell>
          <cell r="D18" t="str">
            <v>MASCULINA</v>
          </cell>
        </row>
        <row r="19">
          <cell r="A19">
            <v>19</v>
          </cell>
          <cell r="B19" t="str">
            <v>C. TENNIS TAULA VILANOVA</v>
          </cell>
          <cell r="C19" t="str">
            <v>CAT</v>
          </cell>
          <cell r="D19" t="str">
            <v>MASCULINA</v>
          </cell>
        </row>
        <row r="20">
          <cell r="A20">
            <v>20</v>
          </cell>
          <cell r="B20" t="str">
            <v>LICEO LA GENERAL</v>
          </cell>
          <cell r="C20" t="str">
            <v>CEU</v>
          </cell>
          <cell r="D20" t="str">
            <v>MASCULINA</v>
          </cell>
        </row>
        <row r="21">
          <cell r="A21">
            <v>21</v>
          </cell>
          <cell r="B21" t="str">
            <v>COLLOSA TENIS DE MESA</v>
          </cell>
          <cell r="C21" t="str">
            <v>CYL</v>
          </cell>
          <cell r="D21" t="str">
            <v>MASCULINA</v>
          </cell>
        </row>
        <row r="22">
          <cell r="A22">
            <v>22</v>
          </cell>
          <cell r="B22" t="str">
            <v>ADELANTADOS LAGUNA</v>
          </cell>
          <cell r="C22" t="str">
            <v>CNR</v>
          </cell>
          <cell r="D22" t="str">
            <v>MASCULINA</v>
          </cell>
        </row>
        <row r="23">
          <cell r="A23">
            <v>23</v>
          </cell>
          <cell r="B23" t="str">
            <v>C.T.T. JOSEP MARÍA PALÉS</v>
          </cell>
          <cell r="C23" t="str">
            <v>CAT</v>
          </cell>
          <cell r="D23" t="str">
            <v>MASCULINA</v>
          </cell>
        </row>
        <row r="24">
          <cell r="A24">
            <v>24</v>
          </cell>
          <cell r="B24" t="str">
            <v>AVILÉS TENIS DE MESA</v>
          </cell>
          <cell r="C24" t="str">
            <v>AST</v>
          </cell>
          <cell r="D24" t="str">
            <v>MASCULINA</v>
          </cell>
        </row>
        <row r="25">
          <cell r="A25">
            <v>25</v>
          </cell>
          <cell r="B25" t="str">
            <v>C.T.T. BAGÁ PETROCAT</v>
          </cell>
          <cell r="C25" t="str">
            <v>CAT</v>
          </cell>
          <cell r="D25" t="str">
            <v>MASCULINA</v>
          </cell>
        </row>
        <row r="26">
          <cell r="A26">
            <v>26</v>
          </cell>
          <cell r="B26" t="str">
            <v>ANDÚJAR LA GENERAL</v>
          </cell>
          <cell r="C26" t="str">
            <v>AND</v>
          </cell>
          <cell r="D26" t="str">
            <v>MASCULINA</v>
          </cell>
        </row>
        <row r="27">
          <cell r="A27">
            <v>27</v>
          </cell>
          <cell r="B27" t="str">
            <v>A.D. GASTÉIZ</v>
          </cell>
          <cell r="C27" t="str">
            <v>PVS</v>
          </cell>
          <cell r="D27" t="str">
            <v>MASCULINA</v>
          </cell>
        </row>
        <row r="28">
          <cell r="A28">
            <v>28</v>
          </cell>
          <cell r="B28" t="str">
            <v>LA GENERAL DE GRANADA</v>
          </cell>
          <cell r="C28" t="str">
            <v>AND</v>
          </cell>
          <cell r="D28" t="str">
            <v>MASCULINA</v>
          </cell>
        </row>
        <row r="29">
          <cell r="A29">
            <v>29</v>
          </cell>
          <cell r="B29" t="str">
            <v>CAN BERARDO RIPOLLET DHM</v>
          </cell>
          <cell r="C29" t="str">
            <v>CAT</v>
          </cell>
          <cell r="D29" t="str">
            <v>MASCULINA</v>
          </cell>
        </row>
        <row r="30">
          <cell r="A30">
            <v>30</v>
          </cell>
          <cell r="B30" t="str">
            <v>ORCASITAS COVIBAR</v>
          </cell>
          <cell r="C30" t="str">
            <v>MAD</v>
          </cell>
          <cell r="D30" t="str">
            <v>MASCULINA</v>
          </cell>
        </row>
        <row r="31">
          <cell r="A31">
            <v>31</v>
          </cell>
          <cell r="B31" t="str">
            <v>MERCANTIL SEVILLA</v>
          </cell>
          <cell r="C31" t="str">
            <v>AND</v>
          </cell>
          <cell r="D31" t="str">
            <v>MASCULINA</v>
          </cell>
        </row>
        <row r="32">
          <cell r="A32">
            <v>32</v>
          </cell>
          <cell r="B32" t="str">
            <v>LEGANÉS</v>
          </cell>
          <cell r="C32" t="str">
            <v>MAD</v>
          </cell>
          <cell r="D32" t="str">
            <v>MASCULINA</v>
          </cell>
        </row>
        <row r="33">
          <cell r="A33">
            <v>33</v>
          </cell>
          <cell r="B33" t="str">
            <v>C.T.T. ATENEU 1882</v>
          </cell>
          <cell r="C33" t="str">
            <v>CAT</v>
          </cell>
          <cell r="D33" t="str">
            <v>MASCULINA</v>
          </cell>
        </row>
        <row r="34">
          <cell r="A34">
            <v>34</v>
          </cell>
          <cell r="B34" t="str">
            <v>LEBRIJA UAGA-COAG</v>
          </cell>
          <cell r="C34" t="str">
            <v>AND</v>
          </cell>
          <cell r="D34" t="str">
            <v>MASCULINA</v>
          </cell>
        </row>
        <row r="35">
          <cell r="A35">
            <v>35</v>
          </cell>
          <cell r="B35" t="str">
            <v>UCAM T.M. CARTAGENA</v>
          </cell>
          <cell r="C35" t="str">
            <v>MUR</v>
          </cell>
          <cell r="D35" t="str">
            <v>MASCULINA</v>
          </cell>
        </row>
        <row r="36">
          <cell r="A36">
            <v>36</v>
          </cell>
          <cell r="B36" t="str">
            <v>T.T. LA PASSIÓ</v>
          </cell>
          <cell r="C36" t="str">
            <v>CAT</v>
          </cell>
          <cell r="D36" t="str">
            <v>MASCULINA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"/>
      <sheetName val="IN"/>
      <sheetName val="RK"/>
      <sheetName val="EQ"/>
      <sheetName val="IND"/>
      <sheetName val="E 1ª Y 2ª"/>
      <sheetName val="E 3ª"/>
      <sheetName val="IM"/>
      <sheetName val="IF"/>
      <sheetName val="ACT"/>
      <sheetName val="RES"/>
      <sheetName val="ACTAS"/>
      <sheetName val="ACTA EQ"/>
    </sheetNames>
    <sheetDataSet>
      <sheetData sheetId="0"/>
      <sheetData sheetId="1" refreshError="1">
        <row r="3">
          <cell r="A3">
            <v>101</v>
          </cell>
          <cell r="B3" t="str">
            <v>MORENO</v>
          </cell>
          <cell r="C3" t="str">
            <v>ROSARIO</v>
          </cell>
          <cell r="D3" t="str">
            <v>Pablo</v>
          </cell>
          <cell r="E3" t="str">
            <v>M</v>
          </cell>
          <cell r="F3" t="str">
            <v>AND</v>
          </cell>
          <cell r="G3" t="str">
            <v>MORENO, Pablo</v>
          </cell>
          <cell r="H3" t="str">
            <v>ANDALUCÍA</v>
          </cell>
          <cell r="I3">
            <v>1442</v>
          </cell>
        </row>
        <row r="4">
          <cell r="A4">
            <v>102</v>
          </cell>
          <cell r="B4" t="str">
            <v>MARTÍN</v>
          </cell>
          <cell r="C4" t="str">
            <v>VARGAS</v>
          </cell>
          <cell r="D4" t="str">
            <v>Carlos</v>
          </cell>
          <cell r="E4" t="str">
            <v>M</v>
          </cell>
          <cell r="F4" t="str">
            <v>AND</v>
          </cell>
          <cell r="G4" t="str">
            <v>MARTÍN, Carlos</v>
          </cell>
          <cell r="H4" t="str">
            <v>ANDALUCÍA</v>
          </cell>
          <cell r="I4">
            <v>1613</v>
          </cell>
        </row>
        <row r="5">
          <cell r="A5">
            <v>103</v>
          </cell>
          <cell r="B5" t="str">
            <v>MARTÍNEZ</v>
          </cell>
          <cell r="C5" t="str">
            <v>YÉLAMOS</v>
          </cell>
          <cell r="D5" t="str">
            <v>Raúl</v>
          </cell>
          <cell r="E5" t="str">
            <v>M</v>
          </cell>
          <cell r="F5" t="str">
            <v>AND</v>
          </cell>
          <cell r="G5" t="str">
            <v>MARTÍNEZ, Raúl</v>
          </cell>
          <cell r="H5" t="str">
            <v>ANDALUCÍA</v>
          </cell>
          <cell r="I5">
            <v>114</v>
          </cell>
        </row>
        <row r="6">
          <cell r="A6">
            <v>104</v>
          </cell>
          <cell r="B6" t="str">
            <v>ANICETO</v>
          </cell>
          <cell r="C6" t="str">
            <v>MEGÍAS</v>
          </cell>
          <cell r="D6" t="str">
            <v>Carmen</v>
          </cell>
          <cell r="E6" t="str">
            <v>F</v>
          </cell>
          <cell r="F6" t="str">
            <v>AND</v>
          </cell>
          <cell r="G6" t="str">
            <v>ANICETO, Carmen</v>
          </cell>
          <cell r="H6" t="str">
            <v>ANDALUCÍA</v>
          </cell>
          <cell r="I6">
            <v>1100</v>
          </cell>
        </row>
        <row r="7">
          <cell r="A7">
            <v>105</v>
          </cell>
          <cell r="B7" t="str">
            <v>ROLDÁN</v>
          </cell>
          <cell r="C7" t="str">
            <v>PÉREZ</v>
          </cell>
          <cell r="D7" t="str">
            <v>Almudena</v>
          </cell>
          <cell r="E7" t="str">
            <v>F</v>
          </cell>
          <cell r="F7" t="str">
            <v>AND</v>
          </cell>
          <cell r="G7" t="str">
            <v>ROLDÁN, Almudena</v>
          </cell>
          <cell r="H7" t="str">
            <v>ANDALUCÍA</v>
          </cell>
          <cell r="I7">
            <v>772</v>
          </cell>
        </row>
        <row r="8">
          <cell r="A8">
            <v>106</v>
          </cell>
          <cell r="B8" t="str">
            <v>ARCHIDONA</v>
          </cell>
          <cell r="C8" t="str">
            <v>MARTÍN</v>
          </cell>
          <cell r="D8" t="str">
            <v>Victoria</v>
          </cell>
          <cell r="E8" t="str">
            <v>F</v>
          </cell>
          <cell r="F8" t="str">
            <v>AND</v>
          </cell>
          <cell r="G8" t="str">
            <v>ARCHIDONA, Victoria</v>
          </cell>
          <cell r="H8" t="str">
            <v>ANDALUCÍA</v>
          </cell>
          <cell r="I8">
            <v>168</v>
          </cell>
        </row>
        <row r="9">
          <cell r="A9">
            <v>107</v>
          </cell>
          <cell r="B9" t="str">
            <v>GINER</v>
          </cell>
          <cell r="C9" t="str">
            <v>CANTÓN</v>
          </cell>
          <cell r="D9" t="str">
            <v>Francisco</v>
          </cell>
          <cell r="E9" t="str">
            <v>M</v>
          </cell>
          <cell r="F9" t="str">
            <v>ARA</v>
          </cell>
          <cell r="G9" t="str">
            <v>GINER, Francisco</v>
          </cell>
          <cell r="H9" t="str">
            <v>ARAGÓN</v>
          </cell>
        </row>
        <row r="10">
          <cell r="A10">
            <v>108</v>
          </cell>
          <cell r="B10" t="str">
            <v>GINER</v>
          </cell>
          <cell r="C10" t="str">
            <v>CANTÓN</v>
          </cell>
          <cell r="D10" t="str">
            <v>Ricardo</v>
          </cell>
          <cell r="E10" t="str">
            <v>M</v>
          </cell>
          <cell r="F10" t="str">
            <v>ARA</v>
          </cell>
          <cell r="G10" t="str">
            <v>GINER, Ricardo</v>
          </cell>
          <cell r="H10" t="str">
            <v>ARAGÓN</v>
          </cell>
          <cell r="I10">
            <v>50</v>
          </cell>
        </row>
        <row r="11">
          <cell r="A11">
            <v>109</v>
          </cell>
          <cell r="B11" t="str">
            <v>BERMEJO</v>
          </cell>
          <cell r="C11" t="str">
            <v>MAYORAL</v>
          </cell>
          <cell r="D11" t="str">
            <v>Jesús</v>
          </cell>
          <cell r="E11" t="str">
            <v>M</v>
          </cell>
          <cell r="F11" t="str">
            <v>ARA</v>
          </cell>
          <cell r="G11" t="str">
            <v>BERMEJO, Jesús</v>
          </cell>
          <cell r="H11" t="str">
            <v>ARAGÓN</v>
          </cell>
        </row>
        <row r="12">
          <cell r="A12">
            <v>110</v>
          </cell>
          <cell r="B12" t="str">
            <v>AQUILÚE</v>
          </cell>
          <cell r="C12" t="str">
            <v>LACARTE</v>
          </cell>
          <cell r="D12" t="str">
            <v>Lorena</v>
          </cell>
          <cell r="E12" t="str">
            <v>F</v>
          </cell>
          <cell r="F12" t="str">
            <v>ARA</v>
          </cell>
          <cell r="G12" t="str">
            <v>AQUILÚE, Lorena</v>
          </cell>
          <cell r="H12" t="str">
            <v>ARAGÓN</v>
          </cell>
        </row>
        <row r="13">
          <cell r="A13">
            <v>111</v>
          </cell>
          <cell r="B13" t="str">
            <v>MARTÍN</v>
          </cell>
          <cell r="C13" t="str">
            <v>CAMPOS</v>
          </cell>
          <cell r="D13" t="str">
            <v>Virginia</v>
          </cell>
          <cell r="E13" t="str">
            <v>F</v>
          </cell>
          <cell r="F13" t="str">
            <v>ARA</v>
          </cell>
          <cell r="G13" t="str">
            <v>MARTÍN, Virginia</v>
          </cell>
          <cell r="H13" t="str">
            <v>ARAGÓN</v>
          </cell>
        </row>
        <row r="14">
          <cell r="A14">
            <v>112</v>
          </cell>
          <cell r="B14" t="str">
            <v>RAMOS</v>
          </cell>
          <cell r="C14" t="str">
            <v>ROIG</v>
          </cell>
          <cell r="D14" t="str">
            <v>Cristina</v>
          </cell>
          <cell r="E14" t="str">
            <v>F</v>
          </cell>
          <cell r="F14" t="str">
            <v>ARA</v>
          </cell>
          <cell r="G14" t="str">
            <v>RAMOS, Cristina</v>
          </cell>
          <cell r="H14" t="str">
            <v>ARAGÓN</v>
          </cell>
        </row>
        <row r="15">
          <cell r="A15">
            <v>113</v>
          </cell>
          <cell r="B15" t="str">
            <v>BARROSO</v>
          </cell>
          <cell r="C15" t="str">
            <v>REYES</v>
          </cell>
          <cell r="D15" t="str">
            <v>Esteban</v>
          </cell>
          <cell r="E15" t="str">
            <v>M</v>
          </cell>
          <cell r="F15" t="str">
            <v>AST</v>
          </cell>
          <cell r="G15" t="str">
            <v>BARROSO, Esteban</v>
          </cell>
          <cell r="H15" t="str">
            <v>ASTURIAS</v>
          </cell>
        </row>
        <row r="16">
          <cell r="A16">
            <v>114</v>
          </cell>
          <cell r="B16" t="str">
            <v>RODRÍGUEZ</v>
          </cell>
          <cell r="C16" t="str">
            <v>GONZÁLEZ</v>
          </cell>
          <cell r="D16" t="str">
            <v>David</v>
          </cell>
          <cell r="E16" t="str">
            <v>M</v>
          </cell>
          <cell r="F16" t="str">
            <v>AST</v>
          </cell>
          <cell r="G16" t="str">
            <v>RODRÍGUEZ, David</v>
          </cell>
          <cell r="H16" t="str">
            <v>ASTURIAS</v>
          </cell>
        </row>
        <row r="17">
          <cell r="A17">
            <v>115</v>
          </cell>
          <cell r="B17" t="str">
            <v>DE LA ROSA</v>
          </cell>
          <cell r="C17" t="str">
            <v>DE SAA</v>
          </cell>
          <cell r="D17" t="str">
            <v>Jorge</v>
          </cell>
          <cell r="E17" t="str">
            <v>M</v>
          </cell>
          <cell r="F17" t="str">
            <v>AST</v>
          </cell>
          <cell r="G17" t="str">
            <v>DE LA ROSA, Jorge</v>
          </cell>
          <cell r="H17" t="str">
            <v>ASTURIAS</v>
          </cell>
        </row>
        <row r="18">
          <cell r="A18">
            <v>116</v>
          </cell>
          <cell r="B18" t="str">
            <v>REBANAL</v>
          </cell>
          <cell r="C18" t="str">
            <v>SANTISTEBAN</v>
          </cell>
          <cell r="D18" t="str">
            <v>Laura</v>
          </cell>
          <cell r="E18" t="str">
            <v>F</v>
          </cell>
          <cell r="F18" t="str">
            <v>AST</v>
          </cell>
          <cell r="G18" t="str">
            <v>REBANAL, Laura</v>
          </cell>
          <cell r="H18" t="str">
            <v>ASTURIAS</v>
          </cell>
          <cell r="I18">
            <v>39</v>
          </cell>
        </row>
        <row r="19">
          <cell r="A19">
            <v>117</v>
          </cell>
          <cell r="B19" t="str">
            <v>RODRÍGUEZ-URÍA</v>
          </cell>
          <cell r="C19" t="str">
            <v>SUÁREZ</v>
          </cell>
          <cell r="D19" t="str">
            <v>Isabel</v>
          </cell>
          <cell r="E19" t="str">
            <v>F</v>
          </cell>
          <cell r="F19" t="str">
            <v>AST</v>
          </cell>
          <cell r="G19" t="str">
            <v>RODRÍGUEZ-URÍA, Isabel</v>
          </cell>
          <cell r="H19" t="str">
            <v>ASTURIAS</v>
          </cell>
          <cell r="I19">
            <v>50</v>
          </cell>
        </row>
        <row r="20">
          <cell r="A20">
            <v>118</v>
          </cell>
          <cell r="B20" t="str">
            <v>LAGO</v>
          </cell>
          <cell r="C20" t="str">
            <v>MORALES</v>
          </cell>
          <cell r="D20" t="str">
            <v>Tatiana</v>
          </cell>
          <cell r="E20" t="str">
            <v>F</v>
          </cell>
          <cell r="F20" t="str">
            <v>AST</v>
          </cell>
          <cell r="G20" t="str">
            <v>LAGO, Tatiana</v>
          </cell>
          <cell r="H20" t="str">
            <v>ASTURIAS</v>
          </cell>
          <cell r="I20">
            <v>90</v>
          </cell>
        </row>
        <row r="21">
          <cell r="A21">
            <v>119</v>
          </cell>
          <cell r="B21" t="str">
            <v>TALTAVULL</v>
          </cell>
          <cell r="C21" t="str">
            <v>PONS</v>
          </cell>
          <cell r="D21" t="str">
            <v>Jaume</v>
          </cell>
          <cell r="E21" t="str">
            <v>M</v>
          </cell>
          <cell r="F21" t="str">
            <v>BAL</v>
          </cell>
          <cell r="G21" t="str">
            <v>TALTAVULL, Jaume</v>
          </cell>
          <cell r="H21" t="str">
            <v>BALEARES</v>
          </cell>
        </row>
        <row r="22">
          <cell r="A22">
            <v>120</v>
          </cell>
          <cell r="B22" t="str">
            <v>CRESPO</v>
          </cell>
          <cell r="C22" t="str">
            <v>OLIVER</v>
          </cell>
          <cell r="D22" t="str">
            <v>Javier</v>
          </cell>
          <cell r="E22" t="str">
            <v>M</v>
          </cell>
          <cell r="F22" t="str">
            <v>BAL</v>
          </cell>
          <cell r="G22" t="str">
            <v>CRESPO, Javier</v>
          </cell>
          <cell r="H22" t="str">
            <v>BALEARES</v>
          </cell>
        </row>
        <row r="23">
          <cell r="A23">
            <v>121</v>
          </cell>
          <cell r="B23" t="str">
            <v>REDONDO</v>
          </cell>
          <cell r="C23" t="str">
            <v>PALOU</v>
          </cell>
          <cell r="D23" t="str">
            <v>Biel</v>
          </cell>
          <cell r="E23" t="str">
            <v>M</v>
          </cell>
          <cell r="F23" t="str">
            <v>BAL</v>
          </cell>
          <cell r="G23" t="str">
            <v>REDONDO, Biel</v>
          </cell>
          <cell r="H23" t="str">
            <v>BALEARES</v>
          </cell>
        </row>
        <row r="24">
          <cell r="A24">
            <v>122</v>
          </cell>
          <cell r="B24" t="str">
            <v>SÁNCHEZ</v>
          </cell>
          <cell r="C24" t="str">
            <v>ESCANELLAS</v>
          </cell>
          <cell r="D24" t="str">
            <v>Inma</v>
          </cell>
          <cell r="E24" t="str">
            <v>F</v>
          </cell>
          <cell r="F24" t="str">
            <v>BAL</v>
          </cell>
          <cell r="G24" t="str">
            <v>SÁNCHEZ, Inma</v>
          </cell>
          <cell r="H24" t="str">
            <v>BALEARES</v>
          </cell>
        </row>
        <row r="25">
          <cell r="A25">
            <v>123</v>
          </cell>
          <cell r="B25" t="str">
            <v>CUENCA</v>
          </cell>
          <cell r="C25" t="str">
            <v>REINA</v>
          </cell>
          <cell r="D25" t="str">
            <v>María Asunción</v>
          </cell>
          <cell r="E25" t="str">
            <v>F</v>
          </cell>
          <cell r="F25" t="str">
            <v>BAL</v>
          </cell>
          <cell r="G25" t="str">
            <v>CUENCA, María Asunción</v>
          </cell>
          <cell r="H25" t="str">
            <v>BALEARES</v>
          </cell>
        </row>
        <row r="26">
          <cell r="A26">
            <v>124</v>
          </cell>
          <cell r="B26" t="str">
            <v>VALLS</v>
          </cell>
          <cell r="C26" t="str">
            <v>GARI</v>
          </cell>
          <cell r="D26" t="str">
            <v>Margarita</v>
          </cell>
          <cell r="E26" t="str">
            <v>F</v>
          </cell>
          <cell r="F26" t="str">
            <v>BAL</v>
          </cell>
          <cell r="G26" t="str">
            <v>VALLS, Margarita</v>
          </cell>
          <cell r="H26" t="str">
            <v>BALEARES</v>
          </cell>
        </row>
        <row r="27">
          <cell r="A27">
            <v>125</v>
          </cell>
          <cell r="B27" t="str">
            <v>GONZÁLEZ</v>
          </cell>
          <cell r="C27" t="str">
            <v>MARTÍN</v>
          </cell>
          <cell r="D27" t="str">
            <v>Pablo</v>
          </cell>
          <cell r="E27" t="str">
            <v>M</v>
          </cell>
          <cell r="F27" t="str">
            <v>CNR</v>
          </cell>
          <cell r="G27" t="str">
            <v>GONZÁLEZ, Pablo</v>
          </cell>
          <cell r="H27" t="str">
            <v>CANARIAS</v>
          </cell>
        </row>
        <row r="28">
          <cell r="A28">
            <v>126</v>
          </cell>
          <cell r="B28" t="str">
            <v>PIÑERO</v>
          </cell>
          <cell r="C28" t="str">
            <v>DE PAZ</v>
          </cell>
          <cell r="D28" t="str">
            <v>Iván</v>
          </cell>
          <cell r="E28" t="str">
            <v>M</v>
          </cell>
          <cell r="F28" t="str">
            <v>CNR</v>
          </cell>
          <cell r="G28" t="str">
            <v>PIÑERO, Iván</v>
          </cell>
          <cell r="H28" t="str">
            <v>CANARIAS</v>
          </cell>
        </row>
        <row r="29">
          <cell r="A29">
            <v>127</v>
          </cell>
          <cell r="B29" t="str">
            <v>NUEZ</v>
          </cell>
          <cell r="C29" t="str">
            <v>SOSA</v>
          </cell>
          <cell r="D29" t="str">
            <v>José Miguel</v>
          </cell>
          <cell r="E29" t="str">
            <v>M</v>
          </cell>
          <cell r="F29" t="str">
            <v>CNR</v>
          </cell>
          <cell r="G29" t="str">
            <v>NUEZ, José Miguel</v>
          </cell>
          <cell r="H29" t="str">
            <v>CANARIAS</v>
          </cell>
        </row>
        <row r="30">
          <cell r="A30">
            <v>128</v>
          </cell>
          <cell r="B30" t="str">
            <v>MARTÍN</v>
          </cell>
          <cell r="C30" t="str">
            <v>MONTOYA</v>
          </cell>
          <cell r="D30" t="str">
            <v>Itahisa</v>
          </cell>
          <cell r="E30" t="str">
            <v>F</v>
          </cell>
          <cell r="F30" t="str">
            <v>CNR</v>
          </cell>
          <cell r="G30" t="str">
            <v>MARTÍN, Itahisa</v>
          </cell>
          <cell r="H30" t="str">
            <v>CANARIAS</v>
          </cell>
          <cell r="I30">
            <v>609</v>
          </cell>
        </row>
        <row r="31">
          <cell r="A31">
            <v>129</v>
          </cell>
          <cell r="B31" t="str">
            <v>SÁNCHEZ</v>
          </cell>
          <cell r="C31" t="str">
            <v>MONTOYA</v>
          </cell>
          <cell r="D31" t="str">
            <v>Laura</v>
          </cell>
          <cell r="E31" t="str">
            <v>F</v>
          </cell>
          <cell r="F31" t="str">
            <v>CNR</v>
          </cell>
          <cell r="G31" t="str">
            <v>SÁNCHEZ, Laura</v>
          </cell>
          <cell r="H31" t="str">
            <v>CANARIAS</v>
          </cell>
          <cell r="I31">
            <v>606</v>
          </cell>
        </row>
        <row r="32">
          <cell r="A32">
            <v>130</v>
          </cell>
          <cell r="B32" t="str">
            <v>REYES</v>
          </cell>
          <cell r="C32" t="str">
            <v>HERNÁNDEZ</v>
          </cell>
          <cell r="D32" t="str">
            <v>Zahedy</v>
          </cell>
          <cell r="E32" t="str">
            <v>F</v>
          </cell>
          <cell r="F32" t="str">
            <v>CNR</v>
          </cell>
          <cell r="G32" t="str">
            <v>REYES, Zahedy</v>
          </cell>
          <cell r="H32" t="str">
            <v>CANARIAS</v>
          </cell>
        </row>
        <row r="33">
          <cell r="A33">
            <v>131</v>
          </cell>
          <cell r="B33" t="str">
            <v>GARCÍA</v>
          </cell>
          <cell r="C33" t="str">
            <v>CASO</v>
          </cell>
          <cell r="D33" t="str">
            <v>Germán</v>
          </cell>
          <cell r="E33" t="str">
            <v>M</v>
          </cell>
          <cell r="F33" t="str">
            <v>CTB</v>
          </cell>
          <cell r="G33" t="str">
            <v>GARCÍA, Germán</v>
          </cell>
          <cell r="H33" t="str">
            <v>CANTABRIA</v>
          </cell>
          <cell r="I33">
            <v>45</v>
          </cell>
        </row>
        <row r="34">
          <cell r="A34">
            <v>132</v>
          </cell>
          <cell r="B34" t="str">
            <v>IGLESIAS</v>
          </cell>
          <cell r="C34" t="str">
            <v>IGLESIAS</v>
          </cell>
          <cell r="D34" t="str">
            <v>Mario</v>
          </cell>
          <cell r="E34" t="str">
            <v>M</v>
          </cell>
          <cell r="F34" t="str">
            <v>CTB</v>
          </cell>
          <cell r="G34" t="str">
            <v>IGLESIAS, Mario</v>
          </cell>
          <cell r="H34" t="str">
            <v>CANTABRIA</v>
          </cell>
        </row>
        <row r="35">
          <cell r="A35">
            <v>133</v>
          </cell>
          <cell r="B35" t="str">
            <v>GUTIÉRREZ</v>
          </cell>
          <cell r="C35" t="str">
            <v>SANZ-DAZA</v>
          </cell>
          <cell r="D35" t="str">
            <v>Carlos Manuel</v>
          </cell>
          <cell r="E35" t="str">
            <v>M</v>
          </cell>
          <cell r="F35" t="str">
            <v>CTB</v>
          </cell>
          <cell r="G35" t="str">
            <v>GUTIÉRREZ, Carlos Manuel</v>
          </cell>
          <cell r="H35" t="str">
            <v>CANTABRIA</v>
          </cell>
          <cell r="I35">
            <v>25</v>
          </cell>
        </row>
        <row r="36">
          <cell r="A36">
            <v>134</v>
          </cell>
          <cell r="B36" t="str">
            <v>PABLO</v>
          </cell>
          <cell r="C36" t="str">
            <v>ACHUTEGUI</v>
          </cell>
          <cell r="D36" t="str">
            <v>Amaia</v>
          </cell>
          <cell r="E36" t="str">
            <v>F</v>
          </cell>
          <cell r="F36" t="str">
            <v>CTB</v>
          </cell>
          <cell r="G36" t="str">
            <v>PABLO, Amaia</v>
          </cell>
          <cell r="H36" t="str">
            <v>CANTABRIA</v>
          </cell>
        </row>
        <row r="37">
          <cell r="A37">
            <v>135</v>
          </cell>
          <cell r="B37" t="str">
            <v>SÁNCHEZ</v>
          </cell>
          <cell r="C37" t="str">
            <v>SALAS</v>
          </cell>
          <cell r="D37" t="str">
            <v>Ruth</v>
          </cell>
          <cell r="E37" t="str">
            <v>F</v>
          </cell>
          <cell r="F37" t="str">
            <v>CTB</v>
          </cell>
          <cell r="G37" t="str">
            <v>SÁNCHEZ, Ruth</v>
          </cell>
          <cell r="H37" t="str">
            <v>CANTABRIA</v>
          </cell>
        </row>
        <row r="38">
          <cell r="A38">
            <v>136</v>
          </cell>
          <cell r="B38" t="str">
            <v>MONZÓ</v>
          </cell>
          <cell r="C38" t="str">
            <v>MONTERO</v>
          </cell>
          <cell r="D38" t="str">
            <v>Oriol</v>
          </cell>
          <cell r="E38" t="str">
            <v>M</v>
          </cell>
          <cell r="F38" t="str">
            <v>CAT</v>
          </cell>
          <cell r="G38" t="str">
            <v>MONZÓ, Oriol</v>
          </cell>
          <cell r="H38" t="str">
            <v>CATALUÑA</v>
          </cell>
        </row>
        <row r="39">
          <cell r="A39">
            <v>137</v>
          </cell>
          <cell r="B39" t="str">
            <v>NAVARRO</v>
          </cell>
          <cell r="C39" t="str">
            <v>GÁLVEZ</v>
          </cell>
          <cell r="D39" t="str">
            <v>Pere</v>
          </cell>
          <cell r="E39" t="str">
            <v>M</v>
          </cell>
          <cell r="F39" t="str">
            <v>CAT</v>
          </cell>
          <cell r="G39" t="str">
            <v>NAVARRO, Pere</v>
          </cell>
          <cell r="H39" t="str">
            <v>CATALUÑA</v>
          </cell>
          <cell r="I39">
            <v>1458</v>
          </cell>
        </row>
        <row r="40">
          <cell r="A40">
            <v>138</v>
          </cell>
          <cell r="B40" t="str">
            <v>RAMÍREZ</v>
          </cell>
          <cell r="C40" t="str">
            <v>BERMÚDEZ</v>
          </cell>
          <cell r="D40" t="str">
            <v>Jose</v>
          </cell>
          <cell r="E40" t="str">
            <v>M</v>
          </cell>
          <cell r="F40" t="str">
            <v>CAT</v>
          </cell>
          <cell r="G40" t="str">
            <v>RAMÍREZ, Jose</v>
          </cell>
          <cell r="H40" t="str">
            <v>CATALUÑA</v>
          </cell>
          <cell r="I40">
            <v>952</v>
          </cell>
        </row>
        <row r="41">
          <cell r="A41">
            <v>139</v>
          </cell>
          <cell r="B41" t="str">
            <v>RODRÍGUEZ</v>
          </cell>
          <cell r="C41" t="str">
            <v>GALLARDO</v>
          </cell>
          <cell r="D41" t="str">
            <v>Patricia</v>
          </cell>
          <cell r="E41" t="str">
            <v>F</v>
          </cell>
          <cell r="F41" t="str">
            <v>CAT</v>
          </cell>
          <cell r="G41" t="str">
            <v>RODRÍGUEZ, Patricia</v>
          </cell>
          <cell r="H41" t="str">
            <v>CATALUÑA</v>
          </cell>
          <cell r="I41">
            <v>550</v>
          </cell>
        </row>
        <row r="42">
          <cell r="A42">
            <v>140</v>
          </cell>
          <cell r="B42" t="str">
            <v>BADOSA</v>
          </cell>
          <cell r="C42" t="str">
            <v>REPISO</v>
          </cell>
          <cell r="D42" t="str">
            <v>Anna</v>
          </cell>
          <cell r="E42" t="str">
            <v>F</v>
          </cell>
          <cell r="F42" t="str">
            <v>CAT</v>
          </cell>
          <cell r="G42" t="str">
            <v>BADOSA, Anna</v>
          </cell>
          <cell r="H42" t="str">
            <v>CATALUÑA</v>
          </cell>
          <cell r="I42">
            <v>524</v>
          </cell>
        </row>
        <row r="43">
          <cell r="A43">
            <v>141</v>
          </cell>
          <cell r="B43" t="str">
            <v>BADOSA</v>
          </cell>
          <cell r="C43" t="str">
            <v>REPISO</v>
          </cell>
          <cell r="D43" t="str">
            <v>Sonia</v>
          </cell>
          <cell r="E43" t="str">
            <v>F</v>
          </cell>
          <cell r="F43" t="str">
            <v>CAT</v>
          </cell>
          <cell r="G43" t="str">
            <v>BADOSA, Sonia</v>
          </cell>
          <cell r="H43" t="str">
            <v>CATALUÑA</v>
          </cell>
        </row>
        <row r="44">
          <cell r="A44">
            <v>142</v>
          </cell>
          <cell r="B44" t="str">
            <v>HERRERA</v>
          </cell>
          <cell r="C44" t="str">
            <v>RAMÍREZ</v>
          </cell>
          <cell r="D44" t="str">
            <v>Carlos</v>
          </cell>
          <cell r="E44" t="str">
            <v>M</v>
          </cell>
          <cell r="F44" t="str">
            <v>CLM</v>
          </cell>
          <cell r="G44" t="str">
            <v>HERRERA, Carlos</v>
          </cell>
          <cell r="H44" t="str">
            <v>CASTILLA LA MANCHA</v>
          </cell>
        </row>
        <row r="45">
          <cell r="A45">
            <v>143</v>
          </cell>
          <cell r="B45" t="str">
            <v>RUIZ</v>
          </cell>
          <cell r="C45" t="str">
            <v>CALVO</v>
          </cell>
          <cell r="D45" t="str">
            <v>Benjamín</v>
          </cell>
          <cell r="E45" t="str">
            <v>M</v>
          </cell>
          <cell r="F45" t="str">
            <v>CLM</v>
          </cell>
          <cell r="G45" t="str">
            <v>RUIZ, Benjamín</v>
          </cell>
          <cell r="H45" t="str">
            <v>CASTILLA LA MANCHA</v>
          </cell>
        </row>
        <row r="46">
          <cell r="A46">
            <v>144</v>
          </cell>
          <cell r="B46" t="str">
            <v>RAMIRO</v>
          </cell>
          <cell r="C46" t="str">
            <v>MARTÍN</v>
          </cell>
          <cell r="D46" t="str">
            <v>Guillermo</v>
          </cell>
          <cell r="E46" t="str">
            <v>M</v>
          </cell>
          <cell r="F46" t="str">
            <v>CLM</v>
          </cell>
          <cell r="G46" t="str">
            <v>RAMIRO, Guillermo</v>
          </cell>
          <cell r="H46" t="str">
            <v>CASTILLA LA MANCHA</v>
          </cell>
        </row>
        <row r="47">
          <cell r="A47">
            <v>145</v>
          </cell>
          <cell r="B47" t="str">
            <v>AGUILAR</v>
          </cell>
          <cell r="C47" t="str">
            <v>LOZANO</v>
          </cell>
          <cell r="D47" t="str">
            <v>Sara</v>
          </cell>
          <cell r="E47" t="str">
            <v>F</v>
          </cell>
          <cell r="F47" t="str">
            <v>CLM</v>
          </cell>
          <cell r="G47" t="str">
            <v>AGUILAR, Sara</v>
          </cell>
          <cell r="H47" t="str">
            <v>CASTILLA LA MANCHA</v>
          </cell>
        </row>
        <row r="48">
          <cell r="A48">
            <v>146</v>
          </cell>
          <cell r="B48" t="str">
            <v>BENITO</v>
          </cell>
          <cell r="C48" t="str">
            <v>RODRÍGUEZ</v>
          </cell>
          <cell r="D48" t="str">
            <v>Raquel</v>
          </cell>
          <cell r="E48" t="str">
            <v>F</v>
          </cell>
          <cell r="F48" t="str">
            <v>CLM</v>
          </cell>
          <cell r="G48" t="str">
            <v>BENITO, Raquel</v>
          </cell>
          <cell r="H48" t="str">
            <v>CASTILLA LA MANCHA</v>
          </cell>
        </row>
        <row r="49">
          <cell r="A49">
            <v>147</v>
          </cell>
          <cell r="B49" t="str">
            <v>SÁNCHEZ</v>
          </cell>
          <cell r="C49" t="str">
            <v>HERNÁNDEZ</v>
          </cell>
          <cell r="D49" t="str">
            <v>Raquel</v>
          </cell>
          <cell r="E49" t="str">
            <v>F</v>
          </cell>
          <cell r="F49" t="str">
            <v>CLM</v>
          </cell>
          <cell r="G49" t="str">
            <v>SÁNCHEZ, Raquel</v>
          </cell>
          <cell r="H49" t="str">
            <v>CASTILLA LA MANCHA</v>
          </cell>
        </row>
        <row r="50">
          <cell r="A50">
            <v>148</v>
          </cell>
          <cell r="B50" t="str">
            <v xml:space="preserve">GÓMEZ </v>
          </cell>
          <cell r="C50" t="str">
            <v>FERNÁNDEZ</v>
          </cell>
          <cell r="D50" t="str">
            <v>Abraham</v>
          </cell>
          <cell r="E50" t="str">
            <v>M</v>
          </cell>
          <cell r="F50" t="str">
            <v>CYL</v>
          </cell>
          <cell r="G50" t="str">
            <v>GÓMEZ , Abraham</v>
          </cell>
          <cell r="H50" t="str">
            <v>CASTILLA Y LEÓN</v>
          </cell>
        </row>
        <row r="51">
          <cell r="A51">
            <v>149</v>
          </cell>
          <cell r="B51" t="str">
            <v>ZÁRATE</v>
          </cell>
          <cell r="C51" t="str">
            <v>CATÓN</v>
          </cell>
          <cell r="D51" t="str">
            <v>Pablo</v>
          </cell>
          <cell r="E51" t="str">
            <v>M</v>
          </cell>
          <cell r="F51" t="str">
            <v>CYL</v>
          </cell>
          <cell r="G51" t="str">
            <v>ZÁRATE, Pablo</v>
          </cell>
          <cell r="H51" t="str">
            <v>CASTILLA Y LEÓN</v>
          </cell>
          <cell r="I51">
            <v>75</v>
          </cell>
        </row>
        <row r="52">
          <cell r="A52">
            <v>150</v>
          </cell>
          <cell r="B52" t="str">
            <v>ILLERA</v>
          </cell>
          <cell r="C52" t="str">
            <v>LÓPEZ</v>
          </cell>
          <cell r="D52" t="str">
            <v>Rubén</v>
          </cell>
          <cell r="E52" t="str">
            <v>M</v>
          </cell>
          <cell r="F52" t="str">
            <v>CYL</v>
          </cell>
          <cell r="G52" t="str">
            <v>ILLERA, Rubén</v>
          </cell>
          <cell r="H52" t="str">
            <v>CASTILLA Y LEÓN</v>
          </cell>
        </row>
        <row r="53">
          <cell r="A53">
            <v>151</v>
          </cell>
          <cell r="B53" t="str">
            <v>PARDO</v>
          </cell>
          <cell r="C53" t="str">
            <v>ARIAS CAHERO</v>
          </cell>
          <cell r="D53" t="str">
            <v>Lis María</v>
          </cell>
          <cell r="E53" t="str">
            <v>F</v>
          </cell>
          <cell r="F53" t="str">
            <v>CYL</v>
          </cell>
          <cell r="G53" t="str">
            <v>PARDO, Lis María</v>
          </cell>
          <cell r="H53" t="str">
            <v>CASTILLA Y LEÓN</v>
          </cell>
          <cell r="I53">
            <v>113</v>
          </cell>
        </row>
        <row r="54">
          <cell r="A54">
            <v>152</v>
          </cell>
          <cell r="B54" t="str">
            <v>MARTÍN</v>
          </cell>
          <cell r="C54" t="str">
            <v>PRIETO</v>
          </cell>
          <cell r="D54" t="str">
            <v>María</v>
          </cell>
          <cell r="E54" t="str">
            <v>F</v>
          </cell>
          <cell r="F54" t="str">
            <v>CYL</v>
          </cell>
          <cell r="G54" t="str">
            <v>MARTÍN, María</v>
          </cell>
          <cell r="H54" t="str">
            <v>CASTILLA Y LEÓN</v>
          </cell>
          <cell r="I54">
            <v>77</v>
          </cell>
        </row>
        <row r="55">
          <cell r="A55">
            <v>153</v>
          </cell>
          <cell r="B55" t="str">
            <v>GALLO</v>
          </cell>
          <cell r="C55" t="str">
            <v>FONTANILLAS</v>
          </cell>
          <cell r="D55" t="str">
            <v>María del Carmen</v>
          </cell>
          <cell r="E55" t="str">
            <v>F</v>
          </cell>
          <cell r="F55" t="str">
            <v>CYL</v>
          </cell>
          <cell r="G55" t="str">
            <v>GALLO, María del Carmen</v>
          </cell>
          <cell r="H55" t="str">
            <v>CASTILLA Y LEÓN</v>
          </cell>
          <cell r="I55">
            <v>169</v>
          </cell>
        </row>
        <row r="56">
          <cell r="A56">
            <v>154</v>
          </cell>
          <cell r="B56" t="str">
            <v>ROCHER</v>
          </cell>
          <cell r="C56" t="str">
            <v>DORADO</v>
          </cell>
          <cell r="D56" t="str">
            <v>Juan Miguel</v>
          </cell>
          <cell r="E56" t="str">
            <v>M</v>
          </cell>
          <cell r="F56" t="str">
            <v>CEU</v>
          </cell>
          <cell r="G56" t="str">
            <v>ROCHER, Juan Miguel</v>
          </cell>
          <cell r="H56" t="str">
            <v>CEUTA</v>
          </cell>
        </row>
        <row r="57">
          <cell r="A57">
            <v>155</v>
          </cell>
          <cell r="B57" t="str">
            <v>SOBRINO</v>
          </cell>
          <cell r="C57" t="str">
            <v>SERRÁN</v>
          </cell>
          <cell r="D57" t="str">
            <v>Manuel</v>
          </cell>
          <cell r="E57" t="str">
            <v>M</v>
          </cell>
          <cell r="F57" t="str">
            <v>CEU</v>
          </cell>
          <cell r="G57" t="str">
            <v>SOBRINO, Manuel</v>
          </cell>
          <cell r="H57" t="str">
            <v>CEUTA</v>
          </cell>
        </row>
        <row r="58">
          <cell r="A58">
            <v>156</v>
          </cell>
          <cell r="B58" t="str">
            <v>MARISCAL</v>
          </cell>
          <cell r="C58" t="str">
            <v>SÁNCHEZ</v>
          </cell>
          <cell r="D58" t="str">
            <v>José Rubén</v>
          </cell>
          <cell r="E58" t="str">
            <v>M</v>
          </cell>
          <cell r="F58" t="str">
            <v>CEU</v>
          </cell>
          <cell r="G58" t="str">
            <v>MARISCAL, José Rubén</v>
          </cell>
          <cell r="H58" t="str">
            <v>CEUTA</v>
          </cell>
        </row>
        <row r="59">
          <cell r="A59">
            <v>159</v>
          </cell>
          <cell r="B59" t="str">
            <v>BRANCANO</v>
          </cell>
          <cell r="C59" t="str">
            <v>SÁNCHEZ</v>
          </cell>
          <cell r="D59" t="str">
            <v>Alberto</v>
          </cell>
          <cell r="E59" t="str">
            <v>M</v>
          </cell>
          <cell r="F59" t="str">
            <v>EXT</v>
          </cell>
          <cell r="G59" t="str">
            <v>BRANCANO, Alberto</v>
          </cell>
          <cell r="H59" t="str">
            <v>EXTREMADURA</v>
          </cell>
        </row>
        <row r="60">
          <cell r="A60">
            <v>160</v>
          </cell>
          <cell r="B60" t="str">
            <v>MERINO</v>
          </cell>
          <cell r="C60" t="str">
            <v>DELGADO</v>
          </cell>
          <cell r="D60" t="str">
            <v>Pablo</v>
          </cell>
          <cell r="E60" t="str">
            <v>M</v>
          </cell>
          <cell r="F60" t="str">
            <v>EXT</v>
          </cell>
          <cell r="G60" t="str">
            <v>MERINO, Pablo</v>
          </cell>
          <cell r="H60" t="str">
            <v>EXTREMADURA</v>
          </cell>
        </row>
        <row r="61">
          <cell r="A61">
            <v>161</v>
          </cell>
          <cell r="B61" t="str">
            <v>SANTIAGO</v>
          </cell>
          <cell r="C61" t="str">
            <v>CÓRDOVA</v>
          </cell>
          <cell r="D61" t="str">
            <v>Luis</v>
          </cell>
          <cell r="E61" t="str">
            <v>M</v>
          </cell>
          <cell r="F61" t="str">
            <v>EXT</v>
          </cell>
          <cell r="G61" t="str">
            <v>SANTIAGO, Luis</v>
          </cell>
          <cell r="H61" t="str">
            <v>EXTREMADURA</v>
          </cell>
        </row>
        <row r="62">
          <cell r="A62">
            <v>162</v>
          </cell>
          <cell r="B62" t="str">
            <v>CANDELARIO</v>
          </cell>
          <cell r="C62" t="str">
            <v>SANTIAGO</v>
          </cell>
          <cell r="D62" t="str">
            <v>Carmen María</v>
          </cell>
          <cell r="E62" t="str">
            <v>F</v>
          </cell>
          <cell r="F62" t="str">
            <v>EXT</v>
          </cell>
          <cell r="G62" t="str">
            <v>CANDELARIO, Carmen María</v>
          </cell>
          <cell r="H62" t="str">
            <v>EXTREMADURA</v>
          </cell>
        </row>
        <row r="63">
          <cell r="A63">
            <v>163</v>
          </cell>
          <cell r="B63" t="str">
            <v>HIDALGO</v>
          </cell>
          <cell r="C63" t="str">
            <v>BENITEZ</v>
          </cell>
          <cell r="D63" t="str">
            <v>Nieves</v>
          </cell>
          <cell r="E63" t="str">
            <v>F</v>
          </cell>
          <cell r="F63" t="str">
            <v>EXT</v>
          </cell>
          <cell r="G63" t="str">
            <v>HIDALGO, Nieves</v>
          </cell>
          <cell r="H63" t="str">
            <v>EXTREMADURA</v>
          </cell>
        </row>
        <row r="64">
          <cell r="A64">
            <v>164</v>
          </cell>
          <cell r="B64" t="str">
            <v>ESPEJO</v>
          </cell>
          <cell r="C64" t="str">
            <v>MORÁN</v>
          </cell>
          <cell r="D64" t="str">
            <v>María Azahara</v>
          </cell>
          <cell r="E64" t="str">
            <v>F</v>
          </cell>
          <cell r="F64" t="str">
            <v>EXT</v>
          </cell>
          <cell r="G64" t="str">
            <v>ESPEJO, María Azahara</v>
          </cell>
          <cell r="H64" t="str">
            <v>EXTREMADURA</v>
          </cell>
        </row>
        <row r="65">
          <cell r="A65">
            <v>165</v>
          </cell>
          <cell r="B65" t="str">
            <v>CABALEIRO</v>
          </cell>
          <cell r="C65" t="str">
            <v>FERNÁNDEZ</v>
          </cell>
          <cell r="D65" t="str">
            <v>Miguel</v>
          </cell>
          <cell r="E65" t="str">
            <v>M</v>
          </cell>
          <cell r="F65" t="str">
            <v>GAL</v>
          </cell>
          <cell r="G65" t="str">
            <v>CABALEIRO, Miguel</v>
          </cell>
          <cell r="H65" t="str">
            <v>GALICIA</v>
          </cell>
          <cell r="I65">
            <v>87</v>
          </cell>
        </row>
        <row r="66">
          <cell r="A66">
            <v>166</v>
          </cell>
          <cell r="B66" t="str">
            <v>BASANTA</v>
          </cell>
          <cell r="C66" t="str">
            <v>LÓPEZ</v>
          </cell>
          <cell r="D66" t="str">
            <v>Samuel</v>
          </cell>
          <cell r="E66" t="str">
            <v>M</v>
          </cell>
          <cell r="F66" t="str">
            <v>GAL</v>
          </cell>
          <cell r="G66" t="str">
            <v>BASANTA, Samuel</v>
          </cell>
          <cell r="H66" t="str">
            <v>GALICIA</v>
          </cell>
          <cell r="I66">
            <v>168</v>
          </cell>
        </row>
        <row r="67">
          <cell r="A67">
            <v>167</v>
          </cell>
          <cell r="B67" t="str">
            <v>RODRÍGUEZ</v>
          </cell>
          <cell r="C67" t="str">
            <v>PÉREZ</v>
          </cell>
          <cell r="D67" t="str">
            <v>Moisés</v>
          </cell>
          <cell r="E67" t="str">
            <v>M</v>
          </cell>
          <cell r="F67" t="str">
            <v>GAL</v>
          </cell>
          <cell r="G67" t="str">
            <v>RODRÍGUEZ, Moisés</v>
          </cell>
          <cell r="H67" t="str">
            <v>GALICIA</v>
          </cell>
          <cell r="I67">
            <v>50</v>
          </cell>
        </row>
        <row r="68">
          <cell r="A68">
            <v>168</v>
          </cell>
          <cell r="B68" t="str">
            <v>MOREIRA</v>
          </cell>
          <cell r="C68" t="str">
            <v>GARCÍA</v>
          </cell>
          <cell r="D68" t="str">
            <v>Elisa</v>
          </cell>
          <cell r="E68" t="str">
            <v>F</v>
          </cell>
          <cell r="F68" t="str">
            <v>GAL</v>
          </cell>
          <cell r="G68" t="str">
            <v>MOREIRA, Elisa</v>
          </cell>
          <cell r="H68" t="str">
            <v>GALICIA</v>
          </cell>
        </row>
        <row r="69">
          <cell r="A69">
            <v>169</v>
          </cell>
          <cell r="B69" t="str">
            <v>PÉREZ</v>
          </cell>
          <cell r="C69" t="str">
            <v>MORADO</v>
          </cell>
          <cell r="D69" t="str">
            <v>Silvia</v>
          </cell>
          <cell r="E69" t="str">
            <v>F</v>
          </cell>
          <cell r="F69" t="str">
            <v>GAL</v>
          </cell>
          <cell r="G69" t="str">
            <v>PÉREZ, Silvia</v>
          </cell>
          <cell r="H69" t="str">
            <v>GALICIA</v>
          </cell>
          <cell r="I69">
            <v>25</v>
          </cell>
        </row>
        <row r="70">
          <cell r="A70">
            <v>170</v>
          </cell>
          <cell r="B70" t="str">
            <v>RODRÍGUEZ</v>
          </cell>
          <cell r="C70" t="str">
            <v>FERNÁNDEZ</v>
          </cell>
          <cell r="D70" t="str">
            <v>Anai</v>
          </cell>
          <cell r="E70" t="str">
            <v>F</v>
          </cell>
          <cell r="F70" t="str">
            <v>GAL</v>
          </cell>
          <cell r="G70" t="str">
            <v>RODRÍGUEZ, Anai</v>
          </cell>
          <cell r="H70" t="str">
            <v>GALICIA</v>
          </cell>
        </row>
        <row r="71">
          <cell r="A71">
            <v>171</v>
          </cell>
          <cell r="B71" t="str">
            <v>SÁNCHEZ</v>
          </cell>
          <cell r="C71" t="str">
            <v>DELGADO</v>
          </cell>
          <cell r="D71" t="str">
            <v>Javier</v>
          </cell>
          <cell r="E71" t="str">
            <v>M</v>
          </cell>
          <cell r="F71" t="str">
            <v>MAD</v>
          </cell>
          <cell r="G71" t="str">
            <v>SÁNCHEZ, Javier</v>
          </cell>
          <cell r="H71" t="str">
            <v>MADRID</v>
          </cell>
          <cell r="I71">
            <v>126</v>
          </cell>
        </row>
        <row r="72">
          <cell r="A72">
            <v>172</v>
          </cell>
          <cell r="B72" t="str">
            <v>GÓMEZ</v>
          </cell>
          <cell r="C72" t="str">
            <v>FIDALGO</v>
          </cell>
          <cell r="D72" t="str">
            <v>Héctor</v>
          </cell>
          <cell r="E72" t="str">
            <v>M</v>
          </cell>
          <cell r="F72" t="str">
            <v>MAD</v>
          </cell>
          <cell r="G72" t="str">
            <v>GÓMEZ, Héctor</v>
          </cell>
          <cell r="H72" t="str">
            <v>MADRID</v>
          </cell>
          <cell r="I72">
            <v>188</v>
          </cell>
        </row>
        <row r="73">
          <cell r="A73">
            <v>173</v>
          </cell>
          <cell r="B73" t="str">
            <v>MUÑOZ</v>
          </cell>
          <cell r="C73" t="str">
            <v>AGUADO</v>
          </cell>
          <cell r="D73" t="str">
            <v>Marco Antonio</v>
          </cell>
          <cell r="E73" t="str">
            <v>M</v>
          </cell>
          <cell r="F73" t="str">
            <v>MAD</v>
          </cell>
          <cell r="G73" t="str">
            <v>MUÑOZ, Marco Antonio</v>
          </cell>
          <cell r="H73" t="str">
            <v>MADRID</v>
          </cell>
          <cell r="I73">
            <v>238</v>
          </cell>
        </row>
        <row r="74">
          <cell r="A74">
            <v>174</v>
          </cell>
          <cell r="B74" t="str">
            <v>DOMÍNGUEZ</v>
          </cell>
          <cell r="C74" t="str">
            <v>SIRVENT</v>
          </cell>
          <cell r="D74" t="str">
            <v>Natalia</v>
          </cell>
          <cell r="E74" t="str">
            <v>F</v>
          </cell>
          <cell r="F74" t="str">
            <v>MAD</v>
          </cell>
          <cell r="G74" t="str">
            <v>DOMÍNGUEZ, Natalia</v>
          </cell>
          <cell r="H74" t="str">
            <v>MADRID</v>
          </cell>
        </row>
        <row r="75">
          <cell r="A75">
            <v>175</v>
          </cell>
          <cell r="B75" t="str">
            <v>DOMÍNGUEZ</v>
          </cell>
          <cell r="C75" t="str">
            <v>SIRVENT</v>
          </cell>
          <cell r="D75" t="str">
            <v>Laura</v>
          </cell>
          <cell r="E75" t="str">
            <v>F</v>
          </cell>
          <cell r="F75" t="str">
            <v>MAD</v>
          </cell>
          <cell r="G75" t="str">
            <v>DOMÍNGUEZ, Laura</v>
          </cell>
          <cell r="H75" t="str">
            <v>MADRID</v>
          </cell>
        </row>
        <row r="76">
          <cell r="A76">
            <v>176</v>
          </cell>
          <cell r="B76" t="str">
            <v>BALLESTER</v>
          </cell>
          <cell r="C76" t="str">
            <v>FERNÁNDEZ</v>
          </cell>
          <cell r="D76" t="str">
            <v>Antonio</v>
          </cell>
          <cell r="E76" t="str">
            <v>M</v>
          </cell>
          <cell r="F76" t="str">
            <v>MUR</v>
          </cell>
          <cell r="G76" t="str">
            <v>BALLESTER, Antonio</v>
          </cell>
          <cell r="H76" t="str">
            <v>MURCIA</v>
          </cell>
          <cell r="I76">
            <v>106</v>
          </cell>
        </row>
        <row r="77">
          <cell r="A77">
            <v>177</v>
          </cell>
          <cell r="B77" t="str">
            <v>JEREZ</v>
          </cell>
          <cell r="C77" t="str">
            <v>ZAMORA</v>
          </cell>
          <cell r="D77" t="str">
            <v>Manuel</v>
          </cell>
          <cell r="E77" t="str">
            <v>M</v>
          </cell>
          <cell r="F77" t="str">
            <v>MUR</v>
          </cell>
          <cell r="G77" t="str">
            <v>JEREZ, Manuel</v>
          </cell>
          <cell r="H77" t="str">
            <v>MURCIA</v>
          </cell>
          <cell r="I77">
            <v>241</v>
          </cell>
        </row>
        <row r="78">
          <cell r="A78">
            <v>178</v>
          </cell>
          <cell r="B78" t="str">
            <v>ROS</v>
          </cell>
          <cell r="C78" t="str">
            <v>ORTEGA</v>
          </cell>
          <cell r="D78" t="str">
            <v>Francisco Javier</v>
          </cell>
          <cell r="E78" t="str">
            <v>M</v>
          </cell>
          <cell r="F78" t="str">
            <v>MUR</v>
          </cell>
          <cell r="G78" t="str">
            <v>ROS, Francisco Javier</v>
          </cell>
          <cell r="H78" t="str">
            <v>MURCIA</v>
          </cell>
          <cell r="I78">
            <v>65</v>
          </cell>
        </row>
        <row r="79">
          <cell r="A79">
            <v>179</v>
          </cell>
          <cell r="B79" t="str">
            <v>VILLADA</v>
          </cell>
          <cell r="C79" t="str">
            <v>MARTÍNEZ</v>
          </cell>
          <cell r="D79" t="str">
            <v>Jénnifer</v>
          </cell>
          <cell r="E79" t="str">
            <v>F</v>
          </cell>
          <cell r="F79" t="str">
            <v>MUR</v>
          </cell>
          <cell r="G79" t="str">
            <v>VILLADA, Jénnifer</v>
          </cell>
          <cell r="H79" t="str">
            <v>MURCIA</v>
          </cell>
          <cell r="I79">
            <v>1659</v>
          </cell>
        </row>
        <row r="80">
          <cell r="A80">
            <v>180</v>
          </cell>
          <cell r="B80" t="str">
            <v>MONTALBÁN</v>
          </cell>
          <cell r="C80" t="str">
            <v>CONESA</v>
          </cell>
          <cell r="D80" t="str">
            <v>Patricia</v>
          </cell>
          <cell r="E80" t="str">
            <v>F</v>
          </cell>
          <cell r="F80" t="str">
            <v>MUR</v>
          </cell>
          <cell r="G80" t="str">
            <v>MONTALBÁN, Patricia</v>
          </cell>
          <cell r="H80" t="str">
            <v>MURCIA</v>
          </cell>
          <cell r="I80">
            <v>550</v>
          </cell>
        </row>
        <row r="81">
          <cell r="A81">
            <v>181</v>
          </cell>
          <cell r="B81" t="str">
            <v>ROS</v>
          </cell>
          <cell r="C81" t="str">
            <v>ORTEGA</v>
          </cell>
          <cell r="D81" t="str">
            <v>Nuria</v>
          </cell>
          <cell r="E81" t="str">
            <v>F</v>
          </cell>
          <cell r="F81" t="str">
            <v>MUR</v>
          </cell>
          <cell r="G81" t="str">
            <v>ROS, Nuria</v>
          </cell>
          <cell r="H81" t="str">
            <v>MURCIA</v>
          </cell>
          <cell r="I81">
            <v>790</v>
          </cell>
        </row>
        <row r="82">
          <cell r="A82">
            <v>182</v>
          </cell>
          <cell r="B82" t="str">
            <v>EZQUER</v>
          </cell>
          <cell r="C82" t="str">
            <v>TIBERIO</v>
          </cell>
          <cell r="D82" t="str">
            <v>Daniel</v>
          </cell>
          <cell r="E82" t="str">
            <v>M</v>
          </cell>
          <cell r="F82" t="str">
            <v>NAV</v>
          </cell>
          <cell r="G82" t="str">
            <v>EZQUER, Daniel</v>
          </cell>
          <cell r="H82" t="str">
            <v>NAVARRA</v>
          </cell>
        </row>
        <row r="83">
          <cell r="A83">
            <v>183</v>
          </cell>
          <cell r="B83" t="str">
            <v>MARTÍNEZ</v>
          </cell>
          <cell r="C83" t="str">
            <v>IZCO</v>
          </cell>
          <cell r="D83" t="str">
            <v>Carlos</v>
          </cell>
          <cell r="E83" t="str">
            <v>M</v>
          </cell>
          <cell r="F83" t="str">
            <v>NAV</v>
          </cell>
          <cell r="G83" t="str">
            <v>MARTÍNEZ, Carlos</v>
          </cell>
          <cell r="H83" t="str">
            <v>NAVARRA</v>
          </cell>
        </row>
        <row r="84">
          <cell r="A84">
            <v>184</v>
          </cell>
          <cell r="B84" t="str">
            <v>PENG</v>
          </cell>
          <cell r="D84" t="str">
            <v>Yan Song</v>
          </cell>
          <cell r="E84" t="str">
            <v>M</v>
          </cell>
          <cell r="F84" t="str">
            <v>NAV</v>
          </cell>
          <cell r="G84" t="str">
            <v>PENG, Yan Song</v>
          </cell>
          <cell r="H84" t="str">
            <v>NAVARRA</v>
          </cell>
        </row>
        <row r="85">
          <cell r="A85">
            <v>185</v>
          </cell>
          <cell r="B85" t="str">
            <v>ALMENARA</v>
          </cell>
          <cell r="C85" t="str">
            <v>ESCUDERO</v>
          </cell>
          <cell r="D85" t="str">
            <v>Maite</v>
          </cell>
          <cell r="E85" t="str">
            <v>F</v>
          </cell>
          <cell r="F85" t="str">
            <v>NAV</v>
          </cell>
          <cell r="G85" t="str">
            <v>ALMENARA, Maite</v>
          </cell>
          <cell r="H85" t="str">
            <v>NAVARRA</v>
          </cell>
        </row>
        <row r="86">
          <cell r="A86">
            <v>186</v>
          </cell>
          <cell r="B86" t="str">
            <v>SERNA</v>
          </cell>
          <cell r="C86" t="str">
            <v>FERNÁNDEZ</v>
          </cell>
          <cell r="D86" t="str">
            <v>Araceli</v>
          </cell>
          <cell r="E86" t="str">
            <v>F</v>
          </cell>
          <cell r="F86" t="str">
            <v>NAV</v>
          </cell>
          <cell r="G86" t="str">
            <v>SERNA, Araceli</v>
          </cell>
          <cell r="H86" t="str">
            <v>NAVARRA</v>
          </cell>
        </row>
        <row r="87">
          <cell r="A87">
            <v>187</v>
          </cell>
          <cell r="B87" t="str">
            <v>ZUFÍA</v>
          </cell>
          <cell r="C87" t="str">
            <v>ELIZADE</v>
          </cell>
          <cell r="D87" t="str">
            <v>Edurne</v>
          </cell>
          <cell r="E87" t="str">
            <v>F</v>
          </cell>
          <cell r="F87" t="str">
            <v>NAV</v>
          </cell>
          <cell r="G87" t="str">
            <v>ZUFÍA, Edurne</v>
          </cell>
          <cell r="H87" t="str">
            <v>NAVARRA</v>
          </cell>
        </row>
        <row r="88">
          <cell r="A88">
            <v>188</v>
          </cell>
          <cell r="B88" t="str">
            <v>ROJO</v>
          </cell>
          <cell r="C88" t="str">
            <v>DE OLANO</v>
          </cell>
          <cell r="D88" t="str">
            <v>Unai</v>
          </cell>
          <cell r="E88" t="str">
            <v>M</v>
          </cell>
          <cell r="F88" t="str">
            <v>PVS</v>
          </cell>
          <cell r="G88" t="str">
            <v>ROJO, Unai</v>
          </cell>
          <cell r="H88" t="str">
            <v>PAÍS VASCO</v>
          </cell>
          <cell r="I88">
            <v>128</v>
          </cell>
        </row>
        <row r="89">
          <cell r="A89">
            <v>189</v>
          </cell>
          <cell r="B89" t="str">
            <v>MENZADONA</v>
          </cell>
          <cell r="C89" t="str">
            <v>GAROÑA</v>
          </cell>
          <cell r="D89" t="str">
            <v>Yon</v>
          </cell>
          <cell r="E89" t="str">
            <v>M</v>
          </cell>
          <cell r="F89" t="str">
            <v>PVS</v>
          </cell>
          <cell r="G89" t="str">
            <v>MENZADONA, Yon</v>
          </cell>
          <cell r="H89" t="str">
            <v>PAÍS VASCO</v>
          </cell>
        </row>
        <row r="90">
          <cell r="A90">
            <v>190</v>
          </cell>
          <cell r="B90" t="str">
            <v>VALVERDE</v>
          </cell>
          <cell r="C90" t="str">
            <v>JAÚREGUI</v>
          </cell>
          <cell r="D90" t="str">
            <v>Aitor</v>
          </cell>
          <cell r="E90" t="str">
            <v>M</v>
          </cell>
          <cell r="F90" t="str">
            <v>PVS</v>
          </cell>
          <cell r="G90" t="str">
            <v>VALVERDE, Aitor</v>
          </cell>
          <cell r="H90" t="str">
            <v>PAÍS VASCO</v>
          </cell>
          <cell r="I90">
            <v>400</v>
          </cell>
        </row>
        <row r="91">
          <cell r="A91">
            <v>191</v>
          </cell>
          <cell r="B91" t="str">
            <v>URIZANA</v>
          </cell>
          <cell r="C91" t="str">
            <v>VIADAS</v>
          </cell>
          <cell r="D91" t="str">
            <v>Jesús</v>
          </cell>
          <cell r="E91" t="str">
            <v>M</v>
          </cell>
          <cell r="F91" t="str">
            <v>RIO</v>
          </cell>
          <cell r="G91" t="str">
            <v>URIZANA, Jesús</v>
          </cell>
          <cell r="H91" t="str">
            <v>LA RIOJA</v>
          </cell>
        </row>
        <row r="92">
          <cell r="A92">
            <v>192</v>
          </cell>
          <cell r="B92" t="str">
            <v>RUIZ</v>
          </cell>
          <cell r="C92" t="str">
            <v>LORENTE</v>
          </cell>
          <cell r="D92" t="str">
            <v>Mario</v>
          </cell>
          <cell r="E92" t="str">
            <v>M</v>
          </cell>
          <cell r="F92" t="str">
            <v>RIO</v>
          </cell>
          <cell r="G92" t="str">
            <v>RUIZ, Mario</v>
          </cell>
          <cell r="H92" t="str">
            <v>LA RIOJA</v>
          </cell>
        </row>
        <row r="93">
          <cell r="A93">
            <v>193</v>
          </cell>
          <cell r="B93" t="str">
            <v>LEÓN</v>
          </cell>
          <cell r="C93" t="str">
            <v>SANTOS</v>
          </cell>
          <cell r="D93" t="str">
            <v>José Manuel</v>
          </cell>
          <cell r="E93" t="str">
            <v>M</v>
          </cell>
          <cell r="F93" t="str">
            <v>RIO</v>
          </cell>
          <cell r="G93" t="str">
            <v>LEÓN, José Manuel</v>
          </cell>
          <cell r="H93" t="str">
            <v>LA RIOJA</v>
          </cell>
        </row>
        <row r="94">
          <cell r="A94">
            <v>194</v>
          </cell>
          <cell r="B94" t="str">
            <v>SALVA</v>
          </cell>
          <cell r="C94" t="str">
            <v>MARTÍNEZ</v>
          </cell>
          <cell r="D94" t="str">
            <v>Pau</v>
          </cell>
          <cell r="E94" t="str">
            <v>M</v>
          </cell>
          <cell r="F94" t="str">
            <v>VAL</v>
          </cell>
          <cell r="G94" t="str">
            <v>SALVA, Pau</v>
          </cell>
          <cell r="H94" t="str">
            <v>COM. VALENCIANA</v>
          </cell>
          <cell r="I94">
            <v>43</v>
          </cell>
        </row>
        <row r="95">
          <cell r="A95">
            <v>195</v>
          </cell>
          <cell r="B95" t="str">
            <v>PINO</v>
          </cell>
          <cell r="C95" t="str">
            <v>RAMÍREZ</v>
          </cell>
          <cell r="D95" t="str">
            <v>Alejandro</v>
          </cell>
          <cell r="E95" t="str">
            <v>M</v>
          </cell>
          <cell r="F95" t="str">
            <v>VAL</v>
          </cell>
          <cell r="G95" t="str">
            <v>PINO, Alejandro</v>
          </cell>
          <cell r="H95" t="str">
            <v>COM. VALENCIANA</v>
          </cell>
        </row>
        <row r="96">
          <cell r="A96">
            <v>196</v>
          </cell>
          <cell r="B96" t="str">
            <v>VALERO</v>
          </cell>
          <cell r="C96" t="str">
            <v>TUINENBURG</v>
          </cell>
          <cell r="D96" t="str">
            <v>Antonio</v>
          </cell>
          <cell r="E96" t="str">
            <v>M</v>
          </cell>
          <cell r="F96" t="str">
            <v>VAL</v>
          </cell>
          <cell r="G96" t="str">
            <v>VALERO, Antonio</v>
          </cell>
          <cell r="H96" t="str">
            <v>COM. VALENCIANA</v>
          </cell>
        </row>
        <row r="97">
          <cell r="A97">
            <v>197</v>
          </cell>
          <cell r="B97" t="str">
            <v>BASTANTE</v>
          </cell>
          <cell r="C97" t="str">
            <v>GONZÁLEZ</v>
          </cell>
          <cell r="D97" t="str">
            <v>Gemma</v>
          </cell>
          <cell r="E97" t="str">
            <v>F</v>
          </cell>
          <cell r="F97" t="str">
            <v>VAL</v>
          </cell>
          <cell r="G97" t="str">
            <v>BASTANTE, Gemma</v>
          </cell>
          <cell r="H97" t="str">
            <v>COM. VALENCIANA</v>
          </cell>
          <cell r="I97">
            <v>144</v>
          </cell>
        </row>
        <row r="98">
          <cell r="A98">
            <v>198</v>
          </cell>
          <cell r="B98" t="str">
            <v>MARTÍNEZ</v>
          </cell>
          <cell r="C98" t="str">
            <v>GIJÓN</v>
          </cell>
          <cell r="D98" t="str">
            <v>Lucía</v>
          </cell>
          <cell r="E98" t="str">
            <v>F</v>
          </cell>
          <cell r="F98" t="str">
            <v>VAL</v>
          </cell>
          <cell r="G98" t="str">
            <v>MARTÍNEZ, Lucía</v>
          </cell>
          <cell r="H98" t="str">
            <v>COM. VALENCIANA</v>
          </cell>
          <cell r="I98">
            <v>113</v>
          </cell>
        </row>
        <row r="100">
          <cell r="D100" t="str">
            <v>Total Jugadores:</v>
          </cell>
          <cell r="E100">
            <v>54</v>
          </cell>
        </row>
        <row r="101">
          <cell r="D101" t="str">
            <v>Total Jugadoras:</v>
          </cell>
          <cell r="E101">
            <v>42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18_boys"/>
      <sheetName val="U18_girls"/>
      <sheetName val="ASS"/>
      <sheetName val="TT"/>
      <sheetName val="JB"/>
      <sheetName val="JG"/>
      <sheetName val="JBD"/>
      <sheetName val="JGD"/>
      <sheetName val="JXD"/>
      <sheetName val="JB (PRES)"/>
      <sheetName val="JG (PRES)"/>
      <sheetName val="BT1"/>
      <sheetName val="GT1"/>
      <sheetName val="BT2"/>
      <sheetName val="GT2"/>
      <sheetName val="TEAMS"/>
      <sheetName val="BTDet"/>
      <sheetName val="GTDet"/>
      <sheetName val="JBS2"/>
      <sheetName val="JGS2"/>
      <sheetName val="JBS1"/>
      <sheetName val="JGS1"/>
      <sheetName val="BDko"/>
      <sheetName val="GDko"/>
      <sheetName val="XDko"/>
      <sheetName val="Seeding List"/>
      <sheetName val="DRAW"/>
      <sheetName val="DRAW2"/>
      <sheetName val="Tabla"/>
      <sheetName val="Tabla (2)"/>
      <sheetName val="JBSDraw"/>
      <sheetName val="JGSDraw"/>
      <sheetName val="JBSDraw1"/>
      <sheetName val="JGSDraw1"/>
      <sheetName val="JB (SORTED)"/>
      <sheetName val="JG (SORTED)"/>
      <sheetName val="JBD (SORTED)"/>
      <sheetName val="JBDDraw"/>
      <sheetName val="JGD (SORTED)"/>
      <sheetName val="JGDDraw"/>
      <sheetName val="JXD (SORTED)"/>
      <sheetName val="JXDDraw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Nr</v>
          </cell>
          <cell r="B1" t="str">
            <v>NAME</v>
          </cell>
          <cell r="C1" t="str">
            <v>ASS</v>
          </cell>
          <cell r="D1" t="str">
            <v>Rk Points</v>
          </cell>
        </row>
        <row r="2">
          <cell r="A2">
            <v>1</v>
          </cell>
          <cell r="B2" t="str">
            <v>CARTER Trent</v>
          </cell>
          <cell r="C2" t="str">
            <v>AUS</v>
          </cell>
          <cell r="D2">
            <v>375</v>
          </cell>
          <cell r="E2">
            <v>32762</v>
          </cell>
        </row>
        <row r="3">
          <cell r="A3">
            <v>2</v>
          </cell>
          <cell r="B3" t="str">
            <v>DAVIS Kyle</v>
          </cell>
          <cell r="C3" t="str">
            <v>AUS</v>
          </cell>
          <cell r="D3">
            <v>510</v>
          </cell>
          <cell r="E3">
            <v>32526</v>
          </cell>
        </row>
        <row r="4">
          <cell r="A4">
            <v>3</v>
          </cell>
          <cell r="B4" t="str">
            <v>FRANK Robert</v>
          </cell>
          <cell r="C4" t="str">
            <v>AUS</v>
          </cell>
          <cell r="D4">
            <v>323</v>
          </cell>
          <cell r="E4">
            <v>32895</v>
          </cell>
        </row>
        <row r="5">
          <cell r="A5">
            <v>4</v>
          </cell>
          <cell r="B5" t="str">
            <v>SHIH Andy</v>
          </cell>
          <cell r="C5" t="str">
            <v>AUS</v>
          </cell>
          <cell r="D5">
            <v>335</v>
          </cell>
          <cell r="E5">
            <v>31911</v>
          </cell>
        </row>
        <row r="6">
          <cell r="A6">
            <v>5</v>
          </cell>
          <cell r="B6" t="str">
            <v>FEGERL Stefan</v>
          </cell>
          <cell r="C6" t="str">
            <v>AUT</v>
          </cell>
          <cell r="D6">
            <v>560</v>
          </cell>
          <cell r="E6">
            <v>32398</v>
          </cell>
        </row>
        <row r="7">
          <cell r="A7">
            <v>6</v>
          </cell>
          <cell r="B7" t="str">
            <v>FENG Xiaoquan</v>
          </cell>
          <cell r="C7" t="str">
            <v>AUT</v>
          </cell>
          <cell r="D7">
            <v>974</v>
          </cell>
          <cell r="E7">
            <v>31814</v>
          </cell>
        </row>
        <row r="8">
          <cell r="A8">
            <v>7</v>
          </cell>
          <cell r="B8" t="str">
            <v>KOVAC Boris</v>
          </cell>
          <cell r="C8" t="str">
            <v>AUT</v>
          </cell>
          <cell r="E8">
            <v>32581</v>
          </cell>
        </row>
        <row r="9">
          <cell r="A9">
            <v>8</v>
          </cell>
          <cell r="B9" t="str">
            <v>PROBST Thomas</v>
          </cell>
          <cell r="C9" t="str">
            <v>AUT</v>
          </cell>
          <cell r="D9">
            <v>322</v>
          </cell>
          <cell r="E9">
            <v>32040</v>
          </cell>
        </row>
        <row r="10">
          <cell r="A10">
            <v>9</v>
          </cell>
          <cell r="B10" t="str">
            <v>STORF Martin</v>
          </cell>
          <cell r="C10" t="str">
            <v>AUT</v>
          </cell>
          <cell r="E10">
            <v>32785</v>
          </cell>
        </row>
        <row r="11">
          <cell r="A11">
            <v>10</v>
          </cell>
          <cell r="B11" t="str">
            <v>ULBING Sebastian</v>
          </cell>
          <cell r="C11" t="str">
            <v>AUT</v>
          </cell>
          <cell r="E11">
            <v>31794</v>
          </cell>
        </row>
        <row r="12">
          <cell r="A12">
            <v>11</v>
          </cell>
          <cell r="B12" t="str">
            <v>DAVIDOVICH Dmitry</v>
          </cell>
          <cell r="C12" t="str">
            <v>BLR</v>
          </cell>
          <cell r="D12">
            <v>635</v>
          </cell>
          <cell r="E12">
            <v>31966</v>
          </cell>
        </row>
        <row r="13">
          <cell r="A13">
            <v>12</v>
          </cell>
          <cell r="B13" t="str">
            <v>BALTRUSHKA Dzmitry</v>
          </cell>
          <cell r="C13" t="str">
            <v>BLR</v>
          </cell>
          <cell r="D13">
            <v>560</v>
          </cell>
          <cell r="E13">
            <v>32152</v>
          </cell>
        </row>
        <row r="14">
          <cell r="A14">
            <v>13</v>
          </cell>
          <cell r="B14" t="str">
            <v>BERGAMINI Guilherme</v>
          </cell>
          <cell r="C14" t="str">
            <v>BRA</v>
          </cell>
          <cell r="D14">
            <v>348</v>
          </cell>
          <cell r="E14">
            <v>32354</v>
          </cell>
        </row>
        <row r="15">
          <cell r="A15">
            <v>14</v>
          </cell>
          <cell r="B15" t="str">
            <v>CARVALHO Efraim</v>
          </cell>
          <cell r="C15" t="str">
            <v>BRA</v>
          </cell>
          <cell r="D15">
            <v>673</v>
          </cell>
          <cell r="E15">
            <v>32172</v>
          </cell>
        </row>
        <row r="16">
          <cell r="A16">
            <v>15</v>
          </cell>
          <cell r="B16" t="str">
            <v>KOJIMA Ricardo</v>
          </cell>
          <cell r="C16" t="str">
            <v>BRA</v>
          </cell>
          <cell r="D16">
            <v>485</v>
          </cell>
          <cell r="E16">
            <v>32294</v>
          </cell>
        </row>
        <row r="17">
          <cell r="A17">
            <v>16</v>
          </cell>
          <cell r="B17" t="str">
            <v>MANCINI Eric</v>
          </cell>
          <cell r="C17" t="str">
            <v>BRA</v>
          </cell>
          <cell r="D17">
            <v>300</v>
          </cell>
          <cell r="E17">
            <v>32639</v>
          </cell>
        </row>
        <row r="18">
          <cell r="A18">
            <v>17</v>
          </cell>
          <cell r="B18" t="str">
            <v>GUO Peng</v>
          </cell>
          <cell r="C18" t="str">
            <v>CAN</v>
          </cell>
          <cell r="D18">
            <v>519</v>
          </cell>
          <cell r="E18">
            <v>32067</v>
          </cell>
        </row>
        <row r="19">
          <cell r="A19">
            <v>18</v>
          </cell>
          <cell r="B19" t="str">
            <v>HINSE Pierre-Luc</v>
          </cell>
          <cell r="C19" t="str">
            <v>CAN</v>
          </cell>
          <cell r="D19">
            <v>576</v>
          </cell>
          <cell r="E19">
            <v>32027</v>
          </cell>
        </row>
        <row r="20">
          <cell r="A20">
            <v>19</v>
          </cell>
          <cell r="B20" t="str">
            <v>HO Andre</v>
          </cell>
          <cell r="C20" t="str">
            <v>CAN</v>
          </cell>
          <cell r="E20">
            <v>33705</v>
          </cell>
        </row>
        <row r="21">
          <cell r="A21">
            <v>20</v>
          </cell>
          <cell r="B21" t="str">
            <v>MICHAUD Bryan</v>
          </cell>
          <cell r="C21" t="str">
            <v>CAN</v>
          </cell>
          <cell r="E21">
            <v>33028</v>
          </cell>
        </row>
        <row r="22">
          <cell r="A22">
            <v>21</v>
          </cell>
          <cell r="B22" t="str">
            <v>CARLIER Andres</v>
          </cell>
          <cell r="C22" t="str">
            <v>CHI</v>
          </cell>
          <cell r="D22">
            <v>482</v>
          </cell>
          <cell r="E22">
            <v>32121</v>
          </cell>
        </row>
        <row r="23">
          <cell r="A23">
            <v>22</v>
          </cell>
          <cell r="B23" t="str">
            <v>CORTES Andres</v>
          </cell>
          <cell r="C23" t="str">
            <v>CHI</v>
          </cell>
          <cell r="D23">
            <v>599</v>
          </cell>
          <cell r="E23">
            <v>31991</v>
          </cell>
        </row>
        <row r="24">
          <cell r="A24">
            <v>23</v>
          </cell>
          <cell r="B24" t="str">
            <v>LEVIS Bruno</v>
          </cell>
          <cell r="C24" t="str">
            <v>CHI</v>
          </cell>
          <cell r="D24">
            <v>310</v>
          </cell>
          <cell r="E24">
            <v>32438</v>
          </cell>
        </row>
        <row r="25">
          <cell r="A25">
            <v>24</v>
          </cell>
          <cell r="B25" t="str">
            <v>UBILLA Nicolas</v>
          </cell>
          <cell r="C25" t="str">
            <v>CHI</v>
          </cell>
          <cell r="D25">
            <v>191</v>
          </cell>
          <cell r="E25">
            <v>32325</v>
          </cell>
        </row>
        <row r="26">
          <cell r="A26">
            <v>25</v>
          </cell>
          <cell r="B26" t="str">
            <v>FANG Li</v>
          </cell>
          <cell r="C26" t="str">
            <v>CHN</v>
          </cell>
          <cell r="E26">
            <v>32364</v>
          </cell>
        </row>
        <row r="27">
          <cell r="A27">
            <v>26</v>
          </cell>
          <cell r="B27" t="str">
            <v>LIU Miao</v>
          </cell>
          <cell r="C27" t="str">
            <v>CHN</v>
          </cell>
          <cell r="D27">
            <v>1043</v>
          </cell>
          <cell r="E27">
            <v>33255</v>
          </cell>
        </row>
        <row r="28">
          <cell r="A28">
            <v>27</v>
          </cell>
          <cell r="B28" t="str">
            <v>SHI Lei</v>
          </cell>
          <cell r="C28" t="str">
            <v>CHN</v>
          </cell>
          <cell r="E28">
            <v>32189</v>
          </cell>
        </row>
        <row r="29">
          <cell r="A29">
            <v>28</v>
          </cell>
          <cell r="B29" t="str">
            <v>YANG Ce</v>
          </cell>
          <cell r="C29" t="str">
            <v>CHN</v>
          </cell>
          <cell r="E29">
            <v>32527</v>
          </cell>
        </row>
        <row r="30">
          <cell r="A30">
            <v>29</v>
          </cell>
          <cell r="B30" t="str">
            <v>CHIANG Hung-Chieh</v>
          </cell>
          <cell r="C30" t="str">
            <v>TPE</v>
          </cell>
          <cell r="D30">
            <v>1189</v>
          </cell>
          <cell r="E30">
            <v>32561</v>
          </cell>
        </row>
        <row r="31">
          <cell r="A31">
            <v>30</v>
          </cell>
          <cell r="B31" t="str">
            <v>CHOU Yuan-Chieh</v>
          </cell>
          <cell r="C31" t="str">
            <v>TPE</v>
          </cell>
          <cell r="E31">
            <v>32432</v>
          </cell>
        </row>
        <row r="32">
          <cell r="A32">
            <v>31</v>
          </cell>
          <cell r="B32" t="str">
            <v>HUANG Sheng-Sheng</v>
          </cell>
          <cell r="C32" t="str">
            <v>TPE</v>
          </cell>
          <cell r="D32">
            <v>913</v>
          </cell>
          <cell r="E32">
            <v>32076</v>
          </cell>
        </row>
        <row r="33">
          <cell r="A33">
            <v>32</v>
          </cell>
          <cell r="B33" t="str">
            <v>SHEN Chi-Min</v>
          </cell>
          <cell r="C33" t="str">
            <v>TPE</v>
          </cell>
          <cell r="D33">
            <v>992</v>
          </cell>
          <cell r="E33">
            <v>32199</v>
          </cell>
        </row>
        <row r="34">
          <cell r="A34">
            <v>33</v>
          </cell>
          <cell r="B34" t="str">
            <v>KOLAREK Tomislav</v>
          </cell>
          <cell r="C34" t="str">
            <v>HRV</v>
          </cell>
          <cell r="D34">
            <v>923</v>
          </cell>
          <cell r="E34">
            <v>32414</v>
          </cell>
        </row>
        <row r="35">
          <cell r="A35">
            <v>34</v>
          </cell>
          <cell r="B35" t="str">
            <v>KOVAC Borna</v>
          </cell>
          <cell r="C35" t="str">
            <v>HRV</v>
          </cell>
          <cell r="E35">
            <v>33295</v>
          </cell>
        </row>
        <row r="36">
          <cell r="A36">
            <v>35</v>
          </cell>
          <cell r="B36" t="str">
            <v>JANCARIK Lubomir</v>
          </cell>
          <cell r="C36" t="str">
            <v>CZE</v>
          </cell>
          <cell r="D36">
            <v>814</v>
          </cell>
          <cell r="E36">
            <v>32006</v>
          </cell>
        </row>
        <row r="37">
          <cell r="A37">
            <v>36</v>
          </cell>
          <cell r="B37" t="str">
            <v>SCHWARZER Antonin</v>
          </cell>
          <cell r="C37" t="str">
            <v>CZE</v>
          </cell>
          <cell r="D37">
            <v>548</v>
          </cell>
          <cell r="E37">
            <v>32526</v>
          </cell>
        </row>
        <row r="38">
          <cell r="A38">
            <v>37</v>
          </cell>
          <cell r="B38" t="str">
            <v>EL-SOBKY Mohamed Tarek</v>
          </cell>
          <cell r="C38" t="str">
            <v>EGY</v>
          </cell>
          <cell r="D38">
            <v>364</v>
          </cell>
          <cell r="E38">
            <v>32962</v>
          </cell>
        </row>
        <row r="39">
          <cell r="A39">
            <v>38</v>
          </cell>
          <cell r="B39" t="str">
            <v>SONBOL Islam</v>
          </cell>
          <cell r="C39" t="str">
            <v>EGY</v>
          </cell>
          <cell r="D39">
            <v>578</v>
          </cell>
          <cell r="E39">
            <v>31778</v>
          </cell>
        </row>
        <row r="40">
          <cell r="A40">
            <v>39</v>
          </cell>
          <cell r="B40" t="str">
            <v>ELBEIALI Mohamed</v>
          </cell>
          <cell r="C40" t="str">
            <v>EGY</v>
          </cell>
          <cell r="E40">
            <v>32326</v>
          </cell>
        </row>
        <row r="41">
          <cell r="A41">
            <v>40</v>
          </cell>
          <cell r="B41" t="str">
            <v>SALEH Mohamed Aly</v>
          </cell>
          <cell r="C41" t="str">
            <v>EGY</v>
          </cell>
          <cell r="D41">
            <v>472</v>
          </cell>
          <cell r="E41">
            <v>32366</v>
          </cell>
        </row>
        <row r="42">
          <cell r="A42">
            <v>41</v>
          </cell>
          <cell r="B42" t="str">
            <v>DRINKHALL Paul</v>
          </cell>
          <cell r="C42" t="str">
            <v>ENG</v>
          </cell>
          <cell r="D42">
            <v>840</v>
          </cell>
          <cell r="E42">
            <v>32889</v>
          </cell>
        </row>
        <row r="43">
          <cell r="A43">
            <v>42</v>
          </cell>
          <cell r="B43" t="str">
            <v>KNIGHT Darius</v>
          </cell>
          <cell r="C43" t="str">
            <v>ENG</v>
          </cell>
          <cell r="D43">
            <v>755</v>
          </cell>
          <cell r="E43">
            <v>32926</v>
          </cell>
        </row>
        <row r="44">
          <cell r="A44">
            <v>43</v>
          </cell>
          <cell r="B44" t="str">
            <v>REED Daniel</v>
          </cell>
          <cell r="C44" t="str">
            <v>ENG</v>
          </cell>
          <cell r="D44">
            <v>349</v>
          </cell>
          <cell r="E44">
            <v>32847</v>
          </cell>
        </row>
        <row r="45">
          <cell r="A45">
            <v>44</v>
          </cell>
          <cell r="B45" t="str">
            <v>MARTIN Francisco</v>
          </cell>
          <cell r="C45" t="str">
            <v>ESP</v>
          </cell>
          <cell r="D45">
            <v>582</v>
          </cell>
        </row>
        <row r="46">
          <cell r="A46">
            <v>45</v>
          </cell>
          <cell r="B46" t="str">
            <v>BAUBET Vincent</v>
          </cell>
          <cell r="C46" t="str">
            <v>FRA</v>
          </cell>
          <cell r="D46">
            <v>638</v>
          </cell>
          <cell r="E46">
            <v>32831</v>
          </cell>
        </row>
        <row r="47">
          <cell r="A47">
            <v>46</v>
          </cell>
          <cell r="B47" t="str">
            <v>LEBESSON Emmanuel</v>
          </cell>
          <cell r="C47" t="str">
            <v>FRA</v>
          </cell>
          <cell r="D47">
            <v>874</v>
          </cell>
          <cell r="E47">
            <v>32257</v>
          </cell>
        </row>
        <row r="48">
          <cell r="A48">
            <v>47</v>
          </cell>
          <cell r="B48" t="str">
            <v>MATTENET Adrien</v>
          </cell>
          <cell r="C48" t="str">
            <v>FRA</v>
          </cell>
          <cell r="D48">
            <v>624</v>
          </cell>
          <cell r="E48">
            <v>32065</v>
          </cell>
        </row>
        <row r="49">
          <cell r="A49">
            <v>48</v>
          </cell>
          <cell r="B49" t="str">
            <v>SALIFOU Abdel-Kader</v>
          </cell>
          <cell r="C49" t="str">
            <v>FRA</v>
          </cell>
          <cell r="D49">
            <v>716</v>
          </cell>
          <cell r="E49">
            <v>32849</v>
          </cell>
        </row>
        <row r="50">
          <cell r="A50">
            <v>49</v>
          </cell>
          <cell r="B50" t="str">
            <v>BAUM Patrick</v>
          </cell>
          <cell r="C50" t="str">
            <v>GER</v>
          </cell>
          <cell r="D50">
            <v>1131</v>
          </cell>
          <cell r="E50">
            <v>31951</v>
          </cell>
        </row>
        <row r="51">
          <cell r="A51">
            <v>50</v>
          </cell>
          <cell r="B51" t="str">
            <v>FILUS Ruwen</v>
          </cell>
          <cell r="C51" t="str">
            <v>GER</v>
          </cell>
          <cell r="D51">
            <v>994</v>
          </cell>
          <cell r="E51">
            <v>32187</v>
          </cell>
        </row>
        <row r="52">
          <cell r="A52">
            <v>51</v>
          </cell>
          <cell r="B52" t="str">
            <v>MENGEL Steffen</v>
          </cell>
          <cell r="C52" t="str">
            <v>GER</v>
          </cell>
          <cell r="D52">
            <v>836</v>
          </cell>
          <cell r="E52">
            <v>32357</v>
          </cell>
        </row>
        <row r="53">
          <cell r="A53">
            <v>52</v>
          </cell>
          <cell r="B53" t="str">
            <v>OVTCHAROV Dimitrij</v>
          </cell>
          <cell r="C53" t="str">
            <v>GER</v>
          </cell>
          <cell r="D53">
            <v>1217</v>
          </cell>
          <cell r="E53">
            <v>32388</v>
          </cell>
        </row>
        <row r="54">
          <cell r="A54">
            <v>53</v>
          </cell>
          <cell r="B54" t="str">
            <v>NAGY Krisztian</v>
          </cell>
          <cell r="C54" t="str">
            <v>HUN</v>
          </cell>
          <cell r="D54">
            <v>642</v>
          </cell>
          <cell r="E54">
            <v>32642</v>
          </cell>
        </row>
        <row r="55">
          <cell r="A55">
            <v>54</v>
          </cell>
          <cell r="B55" t="str">
            <v>ZOMBORI David</v>
          </cell>
          <cell r="C55" t="str">
            <v>HUN</v>
          </cell>
          <cell r="D55">
            <v>676</v>
          </cell>
          <cell r="E55">
            <v>32337</v>
          </cell>
        </row>
        <row r="56">
          <cell r="A56">
            <v>55</v>
          </cell>
          <cell r="B56" t="str">
            <v>RAVICHANDRAN Abishek</v>
          </cell>
          <cell r="C56" t="str">
            <v>IND</v>
          </cell>
          <cell r="D56">
            <v>645</v>
          </cell>
          <cell r="E56">
            <v>32140</v>
          </cell>
        </row>
        <row r="57">
          <cell r="A57">
            <v>56</v>
          </cell>
          <cell r="B57" t="str">
            <v>KOPARKAR Aniket Vinayak</v>
          </cell>
          <cell r="C57" t="str">
            <v>IND</v>
          </cell>
          <cell r="D57">
            <v>514</v>
          </cell>
          <cell r="E57">
            <v>32455</v>
          </cell>
        </row>
        <row r="58">
          <cell r="A58">
            <v>57</v>
          </cell>
          <cell r="B58" t="str">
            <v>SARKAR Soumyajit</v>
          </cell>
          <cell r="C58" t="str">
            <v>IND</v>
          </cell>
          <cell r="D58">
            <v>605</v>
          </cell>
          <cell r="E58">
            <v>33243</v>
          </cell>
        </row>
        <row r="59">
          <cell r="A59">
            <v>58</v>
          </cell>
          <cell r="B59" t="str">
            <v>REDINI Alberto</v>
          </cell>
          <cell r="C59" t="str">
            <v>ITA</v>
          </cell>
          <cell r="D59">
            <v>580</v>
          </cell>
          <cell r="E59">
            <v>32365</v>
          </cell>
        </row>
        <row r="60">
          <cell r="A60">
            <v>59</v>
          </cell>
          <cell r="B60" t="str">
            <v>STOYANOV Niagol</v>
          </cell>
          <cell r="C60" t="str">
            <v>ITA</v>
          </cell>
          <cell r="D60">
            <v>831</v>
          </cell>
          <cell r="E60">
            <v>31928</v>
          </cell>
        </row>
        <row r="61">
          <cell r="A61">
            <v>60</v>
          </cell>
          <cell r="B61" t="str">
            <v>KISHIKAWA Seiya</v>
          </cell>
          <cell r="C61" t="str">
            <v>JPN</v>
          </cell>
          <cell r="D61">
            <v>1400</v>
          </cell>
          <cell r="E61">
            <v>31918</v>
          </cell>
        </row>
        <row r="62">
          <cell r="A62">
            <v>61</v>
          </cell>
          <cell r="B62" t="str">
            <v>MIZUTANI Jun</v>
          </cell>
          <cell r="C62" t="str">
            <v>JPN</v>
          </cell>
          <cell r="D62">
            <v>1515</v>
          </cell>
          <cell r="E62">
            <v>32668</v>
          </cell>
        </row>
        <row r="63">
          <cell r="A63">
            <v>62</v>
          </cell>
          <cell r="B63" t="str">
            <v>OYA Hidetoshi</v>
          </cell>
          <cell r="C63" t="str">
            <v>JPN</v>
          </cell>
          <cell r="D63">
            <v>951</v>
          </cell>
          <cell r="E63">
            <v>32365</v>
          </cell>
        </row>
        <row r="64">
          <cell r="A64">
            <v>63</v>
          </cell>
          <cell r="B64" t="str">
            <v>TAKAKIWA Taku</v>
          </cell>
          <cell r="C64" t="str">
            <v>JPN</v>
          </cell>
          <cell r="D64">
            <v>1172</v>
          </cell>
          <cell r="E64">
            <v>32415</v>
          </cell>
        </row>
        <row r="65">
          <cell r="A65">
            <v>64</v>
          </cell>
          <cell r="B65" t="str">
            <v>HAN Ji Min</v>
          </cell>
          <cell r="C65" t="str">
            <v>KOR</v>
          </cell>
          <cell r="D65">
            <v>642</v>
          </cell>
          <cell r="E65">
            <v>32509</v>
          </cell>
        </row>
        <row r="66">
          <cell r="A66">
            <v>65</v>
          </cell>
          <cell r="B66" t="str">
            <v>KANG Dong Hoon</v>
          </cell>
          <cell r="C66" t="str">
            <v>KOR</v>
          </cell>
          <cell r="D66">
            <v>1005</v>
          </cell>
          <cell r="E66">
            <v>32107</v>
          </cell>
        </row>
        <row r="67">
          <cell r="A67">
            <v>66</v>
          </cell>
          <cell r="B67" t="str">
            <v>KIM Gang Woog</v>
          </cell>
          <cell r="C67" t="str">
            <v>KOR</v>
          </cell>
          <cell r="D67">
            <v>564</v>
          </cell>
          <cell r="E67">
            <v>32651</v>
          </cell>
        </row>
        <row r="68">
          <cell r="A68">
            <v>67</v>
          </cell>
          <cell r="B68" t="str">
            <v>LEE Jinkwon</v>
          </cell>
          <cell r="C68" t="str">
            <v>KOR</v>
          </cell>
          <cell r="D68">
            <v>1386</v>
          </cell>
          <cell r="E68">
            <v>32084</v>
          </cell>
        </row>
        <row r="69">
          <cell r="A69">
            <v>68</v>
          </cell>
          <cell r="B69" t="str">
            <v>KINTZELE Laurent</v>
          </cell>
          <cell r="C69" t="str">
            <v>LUX</v>
          </cell>
          <cell r="E69">
            <v>32915</v>
          </cell>
        </row>
        <row r="70">
          <cell r="A70">
            <v>69</v>
          </cell>
          <cell r="B70" t="str">
            <v>MICHELY Gilles</v>
          </cell>
          <cell r="C70" t="str">
            <v>LUX</v>
          </cell>
          <cell r="D70">
            <v>625</v>
          </cell>
          <cell r="E70">
            <v>32451</v>
          </cell>
        </row>
        <row r="71">
          <cell r="A71">
            <v>70</v>
          </cell>
          <cell r="B71" t="str">
            <v>BEDNARKIEWICZ Bartosz</v>
          </cell>
          <cell r="C71" t="str">
            <v>POL</v>
          </cell>
          <cell r="D71">
            <v>491</v>
          </cell>
          <cell r="E71">
            <v>32577</v>
          </cell>
        </row>
        <row r="72">
          <cell r="A72">
            <v>71</v>
          </cell>
          <cell r="B72" t="str">
            <v>MALICKI Szymon</v>
          </cell>
          <cell r="C72" t="str">
            <v>POL</v>
          </cell>
          <cell r="D72">
            <v>711</v>
          </cell>
          <cell r="E72">
            <v>32497</v>
          </cell>
        </row>
        <row r="73">
          <cell r="A73">
            <v>72</v>
          </cell>
          <cell r="B73" t="str">
            <v>SZARMACH Bartosz</v>
          </cell>
          <cell r="C73" t="str">
            <v>POL</v>
          </cell>
          <cell r="D73">
            <v>715</v>
          </cell>
          <cell r="E73">
            <v>32090</v>
          </cell>
        </row>
        <row r="74">
          <cell r="A74">
            <v>73</v>
          </cell>
          <cell r="B74" t="str">
            <v>SZARMACH Karol</v>
          </cell>
          <cell r="C74" t="str">
            <v>POL</v>
          </cell>
          <cell r="D74">
            <v>597</v>
          </cell>
          <cell r="E74">
            <v>32090</v>
          </cell>
        </row>
        <row r="75">
          <cell r="A75">
            <v>74</v>
          </cell>
          <cell r="B75" t="str">
            <v>FREITAS Marcos</v>
          </cell>
          <cell r="C75" t="str">
            <v>POR</v>
          </cell>
          <cell r="D75">
            <v>1098</v>
          </cell>
          <cell r="E75">
            <v>32241</v>
          </cell>
        </row>
        <row r="76">
          <cell r="A76">
            <v>75</v>
          </cell>
          <cell r="B76" t="str">
            <v>GOLOVANOV Stanislav</v>
          </cell>
          <cell r="C76" t="str">
            <v>RUS</v>
          </cell>
          <cell r="D76">
            <v>785</v>
          </cell>
          <cell r="E76">
            <v>32409</v>
          </cell>
        </row>
        <row r="77">
          <cell r="A77">
            <v>76</v>
          </cell>
          <cell r="B77" t="str">
            <v>PAYKOV Mikhail</v>
          </cell>
          <cell r="C77" t="str">
            <v>RUS</v>
          </cell>
          <cell r="D77">
            <v>602</v>
          </cell>
          <cell r="E77">
            <v>32720</v>
          </cell>
        </row>
        <row r="78">
          <cell r="A78">
            <v>77</v>
          </cell>
          <cell r="B78" t="str">
            <v>SKACHKOV Kirill</v>
          </cell>
          <cell r="C78" t="str">
            <v>RUS</v>
          </cell>
          <cell r="D78">
            <v>929</v>
          </cell>
          <cell r="E78">
            <v>31995</v>
          </cell>
        </row>
        <row r="79">
          <cell r="A79">
            <v>78</v>
          </cell>
          <cell r="B79" t="str">
            <v>UTOCHKIN Artem</v>
          </cell>
          <cell r="C79" t="str">
            <v>RUS</v>
          </cell>
          <cell r="D79">
            <v>630</v>
          </cell>
          <cell r="E79">
            <v>32603</v>
          </cell>
        </row>
        <row r="80">
          <cell r="A80">
            <v>79</v>
          </cell>
          <cell r="B80" t="str">
            <v>BORCIC Dorde</v>
          </cell>
          <cell r="C80" t="str">
            <v>SCG</v>
          </cell>
          <cell r="D80">
            <v>416</v>
          </cell>
          <cell r="E80">
            <v>32112</v>
          </cell>
        </row>
        <row r="81">
          <cell r="A81">
            <v>80</v>
          </cell>
          <cell r="B81" t="str">
            <v>GORDIC Uros</v>
          </cell>
          <cell r="C81" t="str">
            <v>SCG</v>
          </cell>
          <cell r="D81">
            <v>448</v>
          </cell>
          <cell r="E81">
            <v>32268</v>
          </cell>
        </row>
        <row r="82">
          <cell r="A82">
            <v>81</v>
          </cell>
          <cell r="B82" t="str">
            <v>JEVTOVIC Marko</v>
          </cell>
          <cell r="C82" t="str">
            <v>SCG</v>
          </cell>
          <cell r="D82">
            <v>887</v>
          </cell>
          <cell r="E82">
            <v>31782</v>
          </cell>
        </row>
        <row r="83">
          <cell r="A83">
            <v>82</v>
          </cell>
          <cell r="B83" t="str">
            <v>PETE Zolt</v>
          </cell>
          <cell r="C83" t="str">
            <v>SCG</v>
          </cell>
          <cell r="D83">
            <v>901</v>
          </cell>
          <cell r="E83">
            <v>32111</v>
          </cell>
        </row>
        <row r="84">
          <cell r="A84">
            <v>83</v>
          </cell>
          <cell r="B84" t="str">
            <v>ABRAHAMS Luke</v>
          </cell>
          <cell r="C84" t="str">
            <v>RSA</v>
          </cell>
          <cell r="D84">
            <v>251</v>
          </cell>
          <cell r="E84">
            <v>32328</v>
          </cell>
        </row>
        <row r="85">
          <cell r="A85">
            <v>84</v>
          </cell>
          <cell r="B85" t="str">
            <v>COGILL Theo</v>
          </cell>
          <cell r="C85" t="str">
            <v>RSA</v>
          </cell>
          <cell r="D85">
            <v>391</v>
          </cell>
          <cell r="E85">
            <v>31831</v>
          </cell>
        </row>
        <row r="86">
          <cell r="A86">
            <v>85</v>
          </cell>
          <cell r="B86" t="str">
            <v>LINGEVELDT Theo</v>
          </cell>
          <cell r="C86" t="str">
            <v>RSA</v>
          </cell>
          <cell r="E86">
            <v>31855</v>
          </cell>
        </row>
        <row r="87">
          <cell r="A87">
            <v>86</v>
          </cell>
          <cell r="B87" t="str">
            <v>AKERSTROM Fabian</v>
          </cell>
          <cell r="C87" t="str">
            <v>SWE</v>
          </cell>
          <cell r="D87">
            <v>732</v>
          </cell>
          <cell r="E87">
            <v>32491</v>
          </cell>
        </row>
        <row r="88">
          <cell r="A88">
            <v>87</v>
          </cell>
          <cell r="B88" t="str">
            <v>RAMSTRAND Tomas</v>
          </cell>
          <cell r="C88" t="str">
            <v>SWE</v>
          </cell>
          <cell r="D88">
            <v>553</v>
          </cell>
          <cell r="E88">
            <v>31796</v>
          </cell>
        </row>
        <row r="89">
          <cell r="A89">
            <v>88</v>
          </cell>
          <cell r="B89" t="str">
            <v>AVCI Safa</v>
          </cell>
          <cell r="C89" t="str">
            <v>TUR</v>
          </cell>
          <cell r="D89">
            <v>800</v>
          </cell>
          <cell r="E89">
            <v>31995</v>
          </cell>
        </row>
        <row r="90">
          <cell r="A90">
            <v>89</v>
          </cell>
          <cell r="B90" t="str">
            <v>DOGAN Hasan</v>
          </cell>
          <cell r="C90" t="str">
            <v>TUR</v>
          </cell>
        </row>
        <row r="91">
          <cell r="A91">
            <v>90</v>
          </cell>
          <cell r="B91" t="str">
            <v>JIANG Pengfei</v>
          </cell>
          <cell r="C91" t="str">
            <v>TUR</v>
          </cell>
          <cell r="D91">
            <v>774</v>
          </cell>
          <cell r="E91">
            <v>32569</v>
          </cell>
        </row>
        <row r="92">
          <cell r="A92">
            <v>91</v>
          </cell>
          <cell r="B92" t="str">
            <v>MENGE Gencay</v>
          </cell>
          <cell r="C92" t="str">
            <v>TUR</v>
          </cell>
          <cell r="D92">
            <v>553</v>
          </cell>
          <cell r="E92">
            <v>32616</v>
          </cell>
        </row>
        <row r="93">
          <cell r="A93">
            <v>92</v>
          </cell>
          <cell r="B93" t="str">
            <v>DIDUKH Viktor</v>
          </cell>
          <cell r="C93" t="str">
            <v>UKR</v>
          </cell>
          <cell r="D93">
            <v>646</v>
          </cell>
          <cell r="E93">
            <v>31800</v>
          </cell>
        </row>
        <row r="94">
          <cell r="A94">
            <v>93</v>
          </cell>
          <cell r="B94" t="str">
            <v>ZHMUDENKO Yaroslav</v>
          </cell>
          <cell r="C94" t="str">
            <v>UKR</v>
          </cell>
          <cell r="D94">
            <v>988</v>
          </cell>
          <cell r="E94">
            <v>32410</v>
          </cell>
        </row>
        <row r="99">
          <cell r="A99" t="str">
            <v xml:space="preserve"> </v>
          </cell>
          <cell r="B99" t="str">
            <v>BYE</v>
          </cell>
          <cell r="C99" t="str">
            <v xml:space="preserve"> 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g"/>
      <sheetName val="Actas"/>
      <sheetName val="Resul"/>
      <sheetName val="Resum"/>
    </sheetNames>
    <sheetDataSet>
      <sheetData sheetId="0" refreshError="1">
        <row r="2">
          <cell r="A2">
            <v>1</v>
          </cell>
          <cell r="B2" t="str">
            <v>RUIZ</v>
          </cell>
          <cell r="C2" t="str">
            <v>José Manuel</v>
          </cell>
          <cell r="D2" t="str">
            <v>La Raqueta F.A.M.A.</v>
          </cell>
        </row>
        <row r="3">
          <cell r="A3">
            <v>2</v>
          </cell>
          <cell r="B3" t="str">
            <v>ROPERO</v>
          </cell>
          <cell r="C3" t="str">
            <v>Joaquín</v>
          </cell>
          <cell r="D3" t="str">
            <v>La Raqueta F.A.M.A.</v>
          </cell>
        </row>
        <row r="4">
          <cell r="A4">
            <v>3</v>
          </cell>
          <cell r="B4" t="str">
            <v>ROBLES</v>
          </cell>
          <cell r="C4" t="str">
            <v>Manuel</v>
          </cell>
          <cell r="D4" t="str">
            <v>La Raqueta F.A.M.A.</v>
          </cell>
        </row>
        <row r="5">
          <cell r="A5">
            <v>4</v>
          </cell>
          <cell r="B5" t="str">
            <v>VALERA</v>
          </cell>
          <cell r="C5" t="str">
            <v>Álvaro</v>
          </cell>
          <cell r="D5" t="str">
            <v>C.D. Carolina</v>
          </cell>
        </row>
        <row r="6">
          <cell r="A6">
            <v>5</v>
          </cell>
          <cell r="B6" t="str">
            <v>REY</v>
          </cell>
          <cell r="C6" t="str">
            <v>Fco. Javier</v>
          </cell>
          <cell r="D6" t="str">
            <v>C.D. Carolina</v>
          </cell>
        </row>
        <row r="7">
          <cell r="A7">
            <v>6</v>
          </cell>
          <cell r="B7" t="str">
            <v>SANTOS</v>
          </cell>
          <cell r="C7" t="str">
            <v>Emilio</v>
          </cell>
          <cell r="D7" t="str">
            <v>C.D. Carolina</v>
          </cell>
        </row>
        <row r="8">
          <cell r="A8">
            <v>7</v>
          </cell>
          <cell r="B8" t="str">
            <v>MORALES</v>
          </cell>
          <cell r="C8" t="str">
            <v>Jordi</v>
          </cell>
          <cell r="D8" t="str">
            <v>San Rafael</v>
          </cell>
        </row>
        <row r="9">
          <cell r="A9">
            <v>8</v>
          </cell>
          <cell r="B9" t="str">
            <v>SÁNCHEZ</v>
          </cell>
          <cell r="C9" t="str">
            <v>Enrique</v>
          </cell>
          <cell r="D9" t="str">
            <v>San Rafael</v>
          </cell>
        </row>
        <row r="10">
          <cell r="A10">
            <v>9</v>
          </cell>
          <cell r="B10" t="str">
            <v>AGUILAR</v>
          </cell>
          <cell r="C10" t="str">
            <v>Joaquín</v>
          </cell>
          <cell r="D10" t="str">
            <v>San Rafael</v>
          </cell>
        </row>
        <row r="11">
          <cell r="A11">
            <v>10</v>
          </cell>
          <cell r="B11" t="str">
            <v>RODRÍGUEZ</v>
          </cell>
          <cell r="C11" t="str">
            <v>Miguel</v>
          </cell>
          <cell r="D11" t="str">
            <v>Arrayán F.A.M.A.</v>
          </cell>
        </row>
        <row r="12">
          <cell r="A12">
            <v>11</v>
          </cell>
          <cell r="B12" t="str">
            <v>BORJA</v>
          </cell>
          <cell r="C12" t="str">
            <v>Alfonso</v>
          </cell>
          <cell r="D12" t="str">
            <v>Arrayán F.A.M.A.</v>
          </cell>
        </row>
        <row r="13">
          <cell r="A13">
            <v>12</v>
          </cell>
          <cell r="B13" t="str">
            <v>CELAYA</v>
          </cell>
          <cell r="C13" t="str">
            <v>Enrique</v>
          </cell>
          <cell r="D13" t="str">
            <v>Arrayán F.A.M.A.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R20060501"/>
      <sheetName val="TT"/>
      <sheetName val="JBTMatches"/>
      <sheetName val="JGTMatches"/>
      <sheetName val="CBTMatches"/>
      <sheetName val="CGTMatches"/>
      <sheetName val="JBTDraw"/>
      <sheetName val="JGTDraw"/>
      <sheetName val="CBTDraw"/>
      <sheetName val="CGTDraw"/>
      <sheetName val="COVER"/>
      <sheetName val="Medals"/>
      <sheetName val="Players"/>
      <sheetName val="JBS"/>
      <sheetName val="JGS"/>
      <sheetName val="CBS"/>
      <sheetName val="CGS"/>
      <sheetName val="BD"/>
      <sheetName val="GD"/>
      <sheetName val="JBT"/>
      <sheetName val="JGT"/>
      <sheetName val="JBTPr"/>
      <sheetName val="JGTPr"/>
      <sheetName val="JBTDet"/>
      <sheetName val="JGTDet"/>
      <sheetName val="JBTeams"/>
      <sheetName val="JGTeams"/>
      <sheetName val="CBSDraw"/>
      <sheetName val="CGSDraw"/>
      <sheetName val="BDDraw"/>
      <sheetName val="GDDraw"/>
      <sheetName val="JBSDraw1"/>
      <sheetName val="JGSDraw1"/>
      <sheetName val="CBT"/>
      <sheetName val="CGT"/>
      <sheetName val="CBTDet"/>
      <sheetName val="CGTDet"/>
      <sheetName val="CBTeams"/>
      <sheetName val="CGTeams"/>
      <sheetName val="BDKO"/>
      <sheetName val="GDKO"/>
      <sheetName val="BDPr"/>
      <sheetName val="GDPr"/>
      <sheetName val="JBS-Direct entries"/>
      <sheetName val="JGS-Direct entries"/>
      <sheetName val="JBS2"/>
      <sheetName val="JGS2"/>
      <sheetName val="JBS1"/>
      <sheetName val="JGS1"/>
      <sheetName val="CBSKO"/>
      <sheetName val="CGSKO"/>
      <sheetName val="CBSPr"/>
      <sheetName val="CGSPr"/>
      <sheetName val="FINALS"/>
      <sheetName val="pres"/>
      <sheetName val="JBSDraw2"/>
      <sheetName val="JGSDraw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4">
          <cell r="B4" t="str">
            <v>TEPLITZKY</v>
          </cell>
          <cell r="C4" t="str">
            <v>Ariel</v>
          </cell>
          <cell r="D4" t="str">
            <v>ARG</v>
          </cell>
          <cell r="E4">
            <v>33912</v>
          </cell>
          <cell r="G4">
            <v>4</v>
          </cell>
          <cell r="H4" t="str">
            <v>TEPLITZKY Ariel</v>
          </cell>
        </row>
        <row r="5">
          <cell r="B5" t="str">
            <v>CODINA</v>
          </cell>
          <cell r="C5" t="str">
            <v>Ana</v>
          </cell>
          <cell r="D5" t="str">
            <v>ARG</v>
          </cell>
          <cell r="E5">
            <v>33262</v>
          </cell>
          <cell r="G5">
            <v>5</v>
          </cell>
          <cell r="H5" t="str">
            <v>CODINA Ana</v>
          </cell>
        </row>
        <row r="6">
          <cell r="B6" t="str">
            <v>FEGERL</v>
          </cell>
          <cell r="C6" t="str">
            <v>Stefan</v>
          </cell>
          <cell r="D6" t="str">
            <v>AUT</v>
          </cell>
          <cell r="E6">
            <v>32398</v>
          </cell>
          <cell r="G6">
            <v>6</v>
          </cell>
          <cell r="H6" t="str">
            <v>FEGERL Stefan</v>
          </cell>
        </row>
        <row r="7">
          <cell r="B7" t="str">
            <v>STORF</v>
          </cell>
          <cell r="C7" t="str">
            <v>Martin</v>
          </cell>
          <cell r="D7" t="str">
            <v>AUT</v>
          </cell>
          <cell r="E7">
            <v>32785</v>
          </cell>
          <cell r="G7">
            <v>7</v>
          </cell>
          <cell r="H7" t="str">
            <v>STORF Martin</v>
          </cell>
        </row>
        <row r="8">
          <cell r="B8" t="str">
            <v>ROGIERS</v>
          </cell>
          <cell r="C8" t="str">
            <v>Benjamin</v>
          </cell>
          <cell r="D8" t="str">
            <v>BEL</v>
          </cell>
          <cell r="E8">
            <v>32805</v>
          </cell>
          <cell r="G8">
            <v>8</v>
          </cell>
          <cell r="H8" t="str">
            <v>ROGIERS Benjamin</v>
          </cell>
        </row>
        <row r="9">
          <cell r="B9" t="str">
            <v>LAGNEAUX</v>
          </cell>
          <cell r="C9" t="str">
            <v>Maxime</v>
          </cell>
          <cell r="D9" t="str">
            <v>BEL</v>
          </cell>
          <cell r="G9">
            <v>9</v>
          </cell>
          <cell r="H9" t="str">
            <v>LAGNEAUX Maxime</v>
          </cell>
        </row>
        <row r="10">
          <cell r="B10" t="str">
            <v>VITTA</v>
          </cell>
          <cell r="C10" t="str">
            <v>Kilomo</v>
          </cell>
          <cell r="D10" t="str">
            <v>BEL</v>
          </cell>
          <cell r="E10">
            <v>32278</v>
          </cell>
          <cell r="G10">
            <v>10</v>
          </cell>
          <cell r="H10" t="str">
            <v>VITTA Kilomo</v>
          </cell>
        </row>
        <row r="11">
          <cell r="B11" t="str">
            <v>DEPUYDT</v>
          </cell>
          <cell r="C11" t="str">
            <v>Robin</v>
          </cell>
          <cell r="D11" t="str">
            <v>BEL</v>
          </cell>
          <cell r="E11">
            <v>32227</v>
          </cell>
          <cell r="G11">
            <v>11</v>
          </cell>
          <cell r="H11" t="str">
            <v>DEPUYDT Robin</v>
          </cell>
        </row>
        <row r="12">
          <cell r="B12" t="str">
            <v>VAN DEN BERG</v>
          </cell>
          <cell r="C12" t="str">
            <v>Kristel</v>
          </cell>
          <cell r="D12" t="str">
            <v>BEL</v>
          </cell>
          <cell r="E12">
            <v>32167</v>
          </cell>
          <cell r="G12">
            <v>12</v>
          </cell>
          <cell r="H12" t="str">
            <v>VAN DEN BERG Kristel</v>
          </cell>
        </row>
        <row r="13">
          <cell r="B13" t="str">
            <v xml:space="preserve">PRINCENT </v>
          </cell>
          <cell r="C13" t="str">
            <v>Johanna</v>
          </cell>
          <cell r="D13" t="str">
            <v>BEL</v>
          </cell>
          <cell r="E13">
            <v>32878</v>
          </cell>
          <cell r="G13">
            <v>13</v>
          </cell>
          <cell r="H13" t="str">
            <v>PRINCENT  Johanna</v>
          </cell>
        </row>
        <row r="14">
          <cell r="B14" t="str">
            <v>VINCI</v>
          </cell>
          <cell r="C14" t="str">
            <v>Gabriella</v>
          </cell>
          <cell r="D14" t="str">
            <v>BEL</v>
          </cell>
          <cell r="E14">
            <v>32848</v>
          </cell>
          <cell r="G14">
            <v>14</v>
          </cell>
          <cell r="H14" t="str">
            <v>VINCI Gabriella</v>
          </cell>
        </row>
        <row r="15">
          <cell r="B15" t="str">
            <v>SCHOULEUR</v>
          </cell>
          <cell r="C15" t="str">
            <v>Charlene</v>
          </cell>
          <cell r="D15" t="str">
            <v>BEL</v>
          </cell>
          <cell r="G15">
            <v>15</v>
          </cell>
          <cell r="H15" t="str">
            <v>SCHOULEUR Charlene</v>
          </cell>
        </row>
        <row r="16">
          <cell r="B16" t="str">
            <v>JEAN</v>
          </cell>
          <cell r="C16" t="str">
            <v>Lauric</v>
          </cell>
          <cell r="D16" t="str">
            <v>BEL</v>
          </cell>
          <cell r="E16">
            <v>33760</v>
          </cell>
          <cell r="G16">
            <v>16</v>
          </cell>
          <cell r="H16" t="str">
            <v>JEAN Lauric</v>
          </cell>
        </row>
        <row r="17">
          <cell r="B17" t="str">
            <v>RENARD</v>
          </cell>
          <cell r="C17" t="str">
            <v>Julien</v>
          </cell>
          <cell r="D17" t="str">
            <v>BEL</v>
          </cell>
          <cell r="G17">
            <v>17</v>
          </cell>
          <cell r="H17" t="str">
            <v>RENARD Julien</v>
          </cell>
        </row>
        <row r="18">
          <cell r="B18" t="str">
            <v>INDEHERBERG</v>
          </cell>
          <cell r="C18" t="str">
            <v>Julien</v>
          </cell>
          <cell r="D18" t="str">
            <v>BEL</v>
          </cell>
          <cell r="G18">
            <v>18</v>
          </cell>
          <cell r="H18" t="str">
            <v>INDEHERBERG Julien</v>
          </cell>
        </row>
        <row r="19">
          <cell r="B19" t="str">
            <v>VAN ROSOMME</v>
          </cell>
          <cell r="C19" t="str">
            <v>Emilien</v>
          </cell>
          <cell r="D19" t="str">
            <v>BEL</v>
          </cell>
          <cell r="G19">
            <v>19</v>
          </cell>
          <cell r="H19" t="str">
            <v>VAN ROSOMME Emilien</v>
          </cell>
        </row>
        <row r="20">
          <cell r="B20" t="str">
            <v>BIERNY</v>
          </cell>
          <cell r="C20" t="str">
            <v>Ludovic</v>
          </cell>
          <cell r="D20" t="str">
            <v>BEL</v>
          </cell>
          <cell r="E20">
            <v>33937</v>
          </cell>
          <cell r="G20">
            <v>20</v>
          </cell>
          <cell r="H20" t="str">
            <v>BIERNY Ludovic</v>
          </cell>
        </row>
        <row r="21">
          <cell r="B21" t="str">
            <v>NUYTINCK</v>
          </cell>
          <cell r="C21" t="str">
            <v>Cedric</v>
          </cell>
          <cell r="D21" t="str">
            <v>BEL</v>
          </cell>
          <cell r="E21">
            <v>33975</v>
          </cell>
          <cell r="G21">
            <v>21</v>
          </cell>
          <cell r="H21" t="str">
            <v>NUYTINCK Cedric</v>
          </cell>
        </row>
        <row r="22">
          <cell r="B22" t="str">
            <v>CHRISTIAN</v>
          </cell>
          <cell r="C22" t="str">
            <v>Lisiane</v>
          </cell>
          <cell r="D22" t="str">
            <v>BEL</v>
          </cell>
          <cell r="G22">
            <v>22</v>
          </cell>
          <cell r="H22" t="str">
            <v>CHRISTIAN Lisiane</v>
          </cell>
        </row>
        <row r="23">
          <cell r="B23" t="str">
            <v>HEINE</v>
          </cell>
          <cell r="C23" t="str">
            <v>Fanny</v>
          </cell>
          <cell r="D23" t="str">
            <v>BEL</v>
          </cell>
          <cell r="G23">
            <v>23</v>
          </cell>
          <cell r="H23" t="str">
            <v>HEINE Fanny</v>
          </cell>
        </row>
        <row r="24">
          <cell r="B24" t="str">
            <v>MANCINI</v>
          </cell>
          <cell r="C24" t="str">
            <v>Eric</v>
          </cell>
          <cell r="D24" t="str">
            <v>BRA</v>
          </cell>
          <cell r="E24">
            <v>32639</v>
          </cell>
          <cell r="G24">
            <v>24</v>
          </cell>
          <cell r="H24" t="str">
            <v>MANCINI Eric</v>
          </cell>
        </row>
        <row r="25">
          <cell r="B25" t="str">
            <v>KOJIMA</v>
          </cell>
          <cell r="C25" t="str">
            <v>Ricardo</v>
          </cell>
          <cell r="D25" t="str">
            <v>BRA</v>
          </cell>
          <cell r="E25">
            <v>32294</v>
          </cell>
          <cell r="G25">
            <v>25</v>
          </cell>
          <cell r="H25" t="str">
            <v>KOJIMA Ricardo</v>
          </cell>
        </row>
        <row r="26">
          <cell r="B26" t="str">
            <v>NONAKA</v>
          </cell>
          <cell r="C26" t="str">
            <v>Mariany</v>
          </cell>
          <cell r="D26" t="str">
            <v>BRA</v>
          </cell>
          <cell r="E26">
            <v>32255</v>
          </cell>
          <cell r="G26">
            <v>26</v>
          </cell>
          <cell r="H26" t="str">
            <v>NONAKA Mariany</v>
          </cell>
        </row>
        <row r="27">
          <cell r="B27" t="str">
            <v>SAKO</v>
          </cell>
          <cell r="C27" t="str">
            <v>Karin</v>
          </cell>
          <cell r="D27" t="str">
            <v>BRA</v>
          </cell>
          <cell r="E27">
            <v>32167</v>
          </cell>
          <cell r="G27">
            <v>27</v>
          </cell>
          <cell r="H27" t="str">
            <v>SAKO Karin</v>
          </cell>
        </row>
        <row r="28">
          <cell r="B28" t="str">
            <v>OLIVARES</v>
          </cell>
          <cell r="C28" t="str">
            <v>Felipe</v>
          </cell>
          <cell r="D28" t="str">
            <v>CHI</v>
          </cell>
          <cell r="E28">
            <v>33684</v>
          </cell>
          <cell r="G28">
            <v>28</v>
          </cell>
          <cell r="H28" t="str">
            <v>OLIVARES Felipe</v>
          </cell>
        </row>
        <row r="29">
          <cell r="B29" t="str">
            <v>CONTRERAS</v>
          </cell>
          <cell r="C29" t="str">
            <v>Matias</v>
          </cell>
          <cell r="D29" t="str">
            <v>CHI</v>
          </cell>
          <cell r="E29">
            <v>33782</v>
          </cell>
          <cell r="G29">
            <v>29</v>
          </cell>
          <cell r="H29" t="str">
            <v>CONTRERAS Matias</v>
          </cell>
        </row>
        <row r="30">
          <cell r="B30" t="str">
            <v>RESTREPO</v>
          </cell>
          <cell r="C30" t="str">
            <v>Juan</v>
          </cell>
          <cell r="D30" t="str">
            <v>COL</v>
          </cell>
          <cell r="E30">
            <v>32937</v>
          </cell>
          <cell r="G30">
            <v>30</v>
          </cell>
          <cell r="H30" t="str">
            <v>RESTREPO Juan</v>
          </cell>
        </row>
        <row r="31">
          <cell r="B31" t="str">
            <v>MEDINA</v>
          </cell>
          <cell r="C31" t="str">
            <v>Paula</v>
          </cell>
          <cell r="D31" t="str">
            <v>COL</v>
          </cell>
          <cell r="E31">
            <v>32610</v>
          </cell>
          <cell r="G31">
            <v>31</v>
          </cell>
          <cell r="H31" t="str">
            <v>MEDINA Paula</v>
          </cell>
        </row>
        <row r="32">
          <cell r="B32" t="str">
            <v>CABALLERO</v>
          </cell>
          <cell r="C32" t="str">
            <v>Carolina</v>
          </cell>
          <cell r="D32" t="str">
            <v>COL</v>
          </cell>
          <cell r="E32">
            <v>32166</v>
          </cell>
          <cell r="G32">
            <v>32</v>
          </cell>
          <cell r="H32" t="str">
            <v>CABALLERO Carolina</v>
          </cell>
        </row>
        <row r="33">
          <cell r="B33" t="str">
            <v>KOLAREK</v>
          </cell>
          <cell r="C33" t="str">
            <v>Tomislav</v>
          </cell>
          <cell r="D33" t="str">
            <v>HRV</v>
          </cell>
          <cell r="G33">
            <v>33</v>
          </cell>
          <cell r="H33" t="str">
            <v>KOLAREK Tomislav</v>
          </cell>
        </row>
        <row r="34">
          <cell r="B34" t="str">
            <v>SLAVIC</v>
          </cell>
          <cell r="C34" t="str">
            <v>Ivan</v>
          </cell>
          <cell r="D34" t="str">
            <v>HRV</v>
          </cell>
          <cell r="G34">
            <v>34</v>
          </cell>
          <cell r="H34" t="str">
            <v>SLAVIC Ivan</v>
          </cell>
        </row>
        <row r="35">
          <cell r="B35" t="str">
            <v>PAUKOVIC</v>
          </cell>
          <cell r="C35" t="str">
            <v>Sanja</v>
          </cell>
          <cell r="D35" t="str">
            <v>HRV</v>
          </cell>
          <cell r="G35">
            <v>35</v>
          </cell>
          <cell r="H35" t="str">
            <v>PAUKOVIC Sanja</v>
          </cell>
        </row>
        <row r="36">
          <cell r="B36" t="str">
            <v>DJURAK</v>
          </cell>
          <cell r="C36" t="str">
            <v>Mirela</v>
          </cell>
          <cell r="D36" t="str">
            <v>HRV</v>
          </cell>
          <cell r="G36">
            <v>36</v>
          </cell>
          <cell r="H36" t="str">
            <v>DJURAK Mirela</v>
          </cell>
        </row>
        <row r="37">
          <cell r="B37" t="str">
            <v>KOVAC</v>
          </cell>
          <cell r="C37" t="str">
            <v>Borna</v>
          </cell>
          <cell r="D37" t="str">
            <v>HRV</v>
          </cell>
          <cell r="G37">
            <v>37</v>
          </cell>
          <cell r="H37" t="str">
            <v>KOVAC Borna</v>
          </cell>
        </row>
        <row r="38">
          <cell r="B38" t="str">
            <v>KOJIC</v>
          </cell>
          <cell r="C38" t="str">
            <v>Frane</v>
          </cell>
          <cell r="D38" t="str">
            <v>HRV</v>
          </cell>
          <cell r="G38">
            <v>38</v>
          </cell>
          <cell r="H38" t="str">
            <v>KOJIC Frane</v>
          </cell>
        </row>
        <row r="39">
          <cell r="B39" t="str">
            <v>FAZLIC</v>
          </cell>
          <cell r="C39" t="str">
            <v>Almasa</v>
          </cell>
          <cell r="D39" t="str">
            <v>HRV</v>
          </cell>
          <cell r="G39">
            <v>39</v>
          </cell>
          <cell r="H39" t="str">
            <v>FAZLIC Almasa</v>
          </cell>
        </row>
        <row r="40">
          <cell r="B40" t="str">
            <v>TOMIC</v>
          </cell>
          <cell r="C40" t="str">
            <v>Mirna</v>
          </cell>
          <cell r="D40" t="str">
            <v>HRV</v>
          </cell>
          <cell r="G40">
            <v>40</v>
          </cell>
          <cell r="H40" t="str">
            <v>TOMIC Mirna</v>
          </cell>
        </row>
        <row r="41">
          <cell r="B41" t="str">
            <v>IVANUSA</v>
          </cell>
          <cell r="C41" t="str">
            <v>Anja</v>
          </cell>
          <cell r="D41" t="str">
            <v>HRV</v>
          </cell>
          <cell r="G41">
            <v>41</v>
          </cell>
          <cell r="H41" t="str">
            <v>IVANUSA Anja</v>
          </cell>
        </row>
        <row r="42">
          <cell r="B42" t="str">
            <v>DRGLEZ</v>
          </cell>
          <cell r="C42" t="str">
            <v>Martina</v>
          </cell>
          <cell r="D42" t="str">
            <v>HRV</v>
          </cell>
          <cell r="G42">
            <v>42</v>
          </cell>
          <cell r="H42" t="str">
            <v>DRGLEZ Martina</v>
          </cell>
        </row>
        <row r="43">
          <cell r="B43" t="str">
            <v>PEREIRA</v>
          </cell>
          <cell r="C43" t="str">
            <v>Andy</v>
          </cell>
          <cell r="D43" t="str">
            <v>CUB</v>
          </cell>
          <cell r="G43">
            <v>43</v>
          </cell>
          <cell r="H43" t="str">
            <v>PEREIRA Andy</v>
          </cell>
        </row>
        <row r="44">
          <cell r="B44" t="str">
            <v>RONDON</v>
          </cell>
          <cell r="C44" t="str">
            <v>Juan Damian</v>
          </cell>
          <cell r="D44" t="str">
            <v>CUB</v>
          </cell>
          <cell r="G44">
            <v>44</v>
          </cell>
          <cell r="H44" t="str">
            <v>RONDON Juan Damian</v>
          </cell>
        </row>
        <row r="45">
          <cell r="B45" t="str">
            <v>PLACEK</v>
          </cell>
          <cell r="C45" t="str">
            <v>Frantisek</v>
          </cell>
          <cell r="D45" t="str">
            <v>CZE</v>
          </cell>
          <cell r="G45">
            <v>45</v>
          </cell>
          <cell r="H45" t="str">
            <v>PLACEK Frantisek</v>
          </cell>
        </row>
        <row r="46">
          <cell r="B46" t="str">
            <v>TREGLER</v>
          </cell>
          <cell r="C46" t="str">
            <v>Tomas</v>
          </cell>
          <cell r="D46" t="str">
            <v>CZE</v>
          </cell>
          <cell r="G46">
            <v>46</v>
          </cell>
          <cell r="H46" t="str">
            <v>TREGLER Tomas</v>
          </cell>
        </row>
        <row r="47">
          <cell r="B47" t="str">
            <v>OBESLO</v>
          </cell>
          <cell r="C47" t="str">
            <v>Michal</v>
          </cell>
          <cell r="D47" t="str">
            <v>CZE</v>
          </cell>
          <cell r="G47">
            <v>47</v>
          </cell>
          <cell r="H47" t="str">
            <v>OBESLO Michal</v>
          </cell>
        </row>
        <row r="48">
          <cell r="B48" t="str">
            <v>SCHWARZER</v>
          </cell>
          <cell r="C48" t="str">
            <v>Antonin</v>
          </cell>
          <cell r="D48" t="str">
            <v>CZE</v>
          </cell>
          <cell r="G48">
            <v>48</v>
          </cell>
          <cell r="H48" t="str">
            <v>SCHWARZER Antonin</v>
          </cell>
        </row>
        <row r="49">
          <cell r="B49" t="str">
            <v>CRHA</v>
          </cell>
          <cell r="C49" t="str">
            <v>Jakub</v>
          </cell>
          <cell r="D49" t="str">
            <v>CZE</v>
          </cell>
          <cell r="G49">
            <v>49</v>
          </cell>
          <cell r="H49" t="str">
            <v>CRHA Jakub</v>
          </cell>
        </row>
        <row r="50">
          <cell r="B50" t="str">
            <v>ROHLIKOVA</v>
          </cell>
          <cell r="C50" t="str">
            <v>Michaela</v>
          </cell>
          <cell r="D50" t="str">
            <v>CZE</v>
          </cell>
          <cell r="G50">
            <v>50</v>
          </cell>
          <cell r="H50" t="str">
            <v>ROHLIKOVA Michaela</v>
          </cell>
        </row>
        <row r="51">
          <cell r="B51" t="str">
            <v>ONDRISKOVA</v>
          </cell>
          <cell r="C51" t="str">
            <v>Kristina</v>
          </cell>
          <cell r="D51" t="str">
            <v>CZE</v>
          </cell>
          <cell r="G51">
            <v>51</v>
          </cell>
          <cell r="H51" t="str">
            <v>ONDRISKOVA Kristina</v>
          </cell>
        </row>
        <row r="52">
          <cell r="B52" t="str">
            <v>MATELOVA</v>
          </cell>
          <cell r="C52" t="str">
            <v>Hanna</v>
          </cell>
          <cell r="D52" t="str">
            <v>CZE</v>
          </cell>
          <cell r="G52">
            <v>52</v>
          </cell>
          <cell r="H52" t="str">
            <v>MATELOVA Hanna</v>
          </cell>
        </row>
        <row r="53">
          <cell r="B53" t="str">
            <v>SAGLOVA</v>
          </cell>
          <cell r="C53" t="str">
            <v>Miroslava</v>
          </cell>
          <cell r="D53" t="str">
            <v>CZE</v>
          </cell>
          <cell r="G53">
            <v>53</v>
          </cell>
          <cell r="H53" t="str">
            <v>SAGLOVA Miroslava</v>
          </cell>
        </row>
        <row r="54">
          <cell r="B54" t="str">
            <v>ZMOLIKOVA</v>
          </cell>
          <cell r="C54" t="str">
            <v>Lucie</v>
          </cell>
          <cell r="D54" t="str">
            <v>CZE</v>
          </cell>
          <cell r="G54">
            <v>54</v>
          </cell>
          <cell r="H54" t="str">
            <v>ZMOLIKOVA Lucie</v>
          </cell>
        </row>
        <row r="55">
          <cell r="B55" t="str">
            <v>HINDERSSON</v>
          </cell>
          <cell r="C55" t="str">
            <v>Mikkel</v>
          </cell>
          <cell r="D55" t="str">
            <v>DEN</v>
          </cell>
          <cell r="E55">
            <v>32961</v>
          </cell>
          <cell r="G55">
            <v>55</v>
          </cell>
          <cell r="H55" t="str">
            <v>HINDERSSON Mikkel</v>
          </cell>
        </row>
        <row r="56">
          <cell r="B56" t="str">
            <v>STERNBERG</v>
          </cell>
          <cell r="C56" t="str">
            <v>Kasper</v>
          </cell>
          <cell r="D56" t="str">
            <v>DEN</v>
          </cell>
          <cell r="E56">
            <v>32565</v>
          </cell>
          <cell r="G56">
            <v>56</v>
          </cell>
          <cell r="H56" t="str">
            <v>STERNBERG Kasper</v>
          </cell>
        </row>
        <row r="57">
          <cell r="B57" t="str">
            <v>RASMUSSEN</v>
          </cell>
          <cell r="C57" t="str">
            <v>Morten</v>
          </cell>
          <cell r="D57" t="str">
            <v>DEN</v>
          </cell>
          <cell r="E57">
            <v>32556</v>
          </cell>
          <cell r="G57">
            <v>57</v>
          </cell>
          <cell r="H57" t="str">
            <v>RASMUSSEN Morten</v>
          </cell>
        </row>
        <row r="58">
          <cell r="B58" t="str">
            <v>SANTOS</v>
          </cell>
          <cell r="C58" t="str">
            <v>Emil</v>
          </cell>
          <cell r="D58" t="str">
            <v>DOM</v>
          </cell>
          <cell r="E58">
            <v>32949</v>
          </cell>
          <cell r="G58">
            <v>58</v>
          </cell>
          <cell r="H58" t="str">
            <v>SANTOS Emil</v>
          </cell>
        </row>
        <row r="59">
          <cell r="B59" t="str">
            <v>VILA</v>
          </cell>
          <cell r="C59" t="str">
            <v>Juan Antonio</v>
          </cell>
          <cell r="D59" t="str">
            <v>DOM</v>
          </cell>
          <cell r="E59">
            <v>32954</v>
          </cell>
          <cell r="G59">
            <v>59</v>
          </cell>
          <cell r="H59" t="str">
            <v>VILA Juan Antonio</v>
          </cell>
        </row>
        <row r="60">
          <cell r="B60" t="str">
            <v>SANTOS</v>
          </cell>
          <cell r="C60" t="str">
            <v>Ercilia</v>
          </cell>
          <cell r="D60" t="str">
            <v>DOM</v>
          </cell>
          <cell r="E60">
            <v>33424</v>
          </cell>
          <cell r="G60">
            <v>60</v>
          </cell>
          <cell r="H60" t="str">
            <v>SANTOS Ercilia</v>
          </cell>
        </row>
        <row r="61">
          <cell r="B61" t="str">
            <v>MARTE</v>
          </cell>
          <cell r="C61" t="str">
            <v>Lucia</v>
          </cell>
          <cell r="D61" t="str">
            <v>DOM</v>
          </cell>
          <cell r="E61">
            <v>33498</v>
          </cell>
          <cell r="G61">
            <v>61</v>
          </cell>
          <cell r="H61" t="str">
            <v>MARTE Lucia</v>
          </cell>
        </row>
        <row r="62">
          <cell r="B62" t="str">
            <v>DONADO</v>
          </cell>
          <cell r="C62" t="str">
            <v>Josue</v>
          </cell>
          <cell r="D62" t="str">
            <v>ESA</v>
          </cell>
          <cell r="E62">
            <v>32906</v>
          </cell>
          <cell r="G62">
            <v>66</v>
          </cell>
          <cell r="H62" t="str">
            <v>DONADO Josue</v>
          </cell>
        </row>
        <row r="63">
          <cell r="B63" t="str">
            <v>MARTINEZ</v>
          </cell>
          <cell r="C63" t="str">
            <v>Mario</v>
          </cell>
          <cell r="D63" t="str">
            <v>ESA</v>
          </cell>
          <cell r="E63">
            <v>32686</v>
          </cell>
          <cell r="G63">
            <v>67</v>
          </cell>
          <cell r="H63" t="str">
            <v>MARTINEZ Mario</v>
          </cell>
        </row>
        <row r="64">
          <cell r="B64" t="str">
            <v>MERINO</v>
          </cell>
          <cell r="C64" t="str">
            <v>Edilberto</v>
          </cell>
          <cell r="D64" t="str">
            <v>ESA</v>
          </cell>
          <cell r="E64">
            <v>33771</v>
          </cell>
          <cell r="G64">
            <v>68</v>
          </cell>
          <cell r="H64" t="str">
            <v>MERINO Edilberto</v>
          </cell>
        </row>
        <row r="65">
          <cell r="B65" t="str">
            <v>DRINKHALL</v>
          </cell>
          <cell r="C65" t="str">
            <v>Paul</v>
          </cell>
          <cell r="D65" t="str">
            <v>ENG</v>
          </cell>
          <cell r="E65">
            <v>32889</v>
          </cell>
          <cell r="G65">
            <v>69</v>
          </cell>
          <cell r="H65" t="str">
            <v>DRINKHALL Paul</v>
          </cell>
        </row>
        <row r="66">
          <cell r="B66" t="str">
            <v>KNIGHT</v>
          </cell>
          <cell r="C66" t="str">
            <v>Darius</v>
          </cell>
          <cell r="D66" t="str">
            <v>ENG</v>
          </cell>
          <cell r="E66">
            <v>32926</v>
          </cell>
          <cell r="G66">
            <v>70</v>
          </cell>
          <cell r="H66" t="str">
            <v>KNIGHT Darius</v>
          </cell>
        </row>
        <row r="67">
          <cell r="B67" t="str">
            <v>YARNALL</v>
          </cell>
          <cell r="C67" t="str">
            <v>Tim</v>
          </cell>
          <cell r="D67" t="str">
            <v>ENG</v>
          </cell>
          <cell r="E67">
            <v>32201</v>
          </cell>
          <cell r="G67">
            <v>71</v>
          </cell>
          <cell r="H67" t="str">
            <v>YARNALL Tim</v>
          </cell>
        </row>
        <row r="68">
          <cell r="B68" t="str">
            <v>MEADS</v>
          </cell>
          <cell r="C68" t="str">
            <v>David</v>
          </cell>
          <cell r="D68" t="str">
            <v>ENG</v>
          </cell>
          <cell r="E68">
            <v>32778</v>
          </cell>
          <cell r="G68">
            <v>72</v>
          </cell>
          <cell r="H68" t="str">
            <v>MEADS David</v>
          </cell>
        </row>
        <row r="69">
          <cell r="B69" t="str">
            <v>SIBLEY</v>
          </cell>
          <cell r="C69" t="str">
            <v>Kelly</v>
          </cell>
          <cell r="D69" t="str">
            <v>ENG</v>
          </cell>
          <cell r="E69">
            <v>32284</v>
          </cell>
          <cell r="G69">
            <v>73</v>
          </cell>
          <cell r="H69" t="str">
            <v>SIBLEY Kelly</v>
          </cell>
        </row>
        <row r="70">
          <cell r="B70" t="str">
            <v>WANG</v>
          </cell>
          <cell r="C70" t="str">
            <v>Sara</v>
          </cell>
          <cell r="D70" t="str">
            <v>ENG</v>
          </cell>
          <cell r="E70">
            <v>32917</v>
          </cell>
          <cell r="G70">
            <v>74</v>
          </cell>
          <cell r="H70" t="str">
            <v>WANG Sara</v>
          </cell>
        </row>
        <row r="71">
          <cell r="B71" t="str">
            <v>EVANS</v>
          </cell>
          <cell r="C71" t="str">
            <v>Gavin</v>
          </cell>
          <cell r="D71" t="str">
            <v>ENG</v>
          </cell>
          <cell r="E71">
            <v>34074</v>
          </cell>
          <cell r="G71">
            <v>75</v>
          </cell>
          <cell r="H71" t="str">
            <v>EVANS Gavin</v>
          </cell>
        </row>
        <row r="72">
          <cell r="B72" t="str">
            <v>EVANS</v>
          </cell>
          <cell r="C72" t="str">
            <v>Myles</v>
          </cell>
          <cell r="D72" t="str">
            <v>ENG</v>
          </cell>
          <cell r="E72">
            <v>33529</v>
          </cell>
          <cell r="G72">
            <v>76</v>
          </cell>
          <cell r="H72" t="str">
            <v>EVANS Myles</v>
          </cell>
        </row>
        <row r="73">
          <cell r="B73" t="str">
            <v>LEBESSON</v>
          </cell>
          <cell r="C73" t="str">
            <v>Emmanuel</v>
          </cell>
          <cell r="D73" t="str">
            <v>FRA</v>
          </cell>
          <cell r="E73">
            <v>32253</v>
          </cell>
          <cell r="G73">
            <v>77</v>
          </cell>
          <cell r="H73" t="str">
            <v>LEBESSON Emmanuel</v>
          </cell>
        </row>
        <row r="74">
          <cell r="B74" t="str">
            <v>BAUBET</v>
          </cell>
          <cell r="C74" t="str">
            <v>Vincent</v>
          </cell>
          <cell r="D74" t="str">
            <v>FRA</v>
          </cell>
          <cell r="E74">
            <v>32831</v>
          </cell>
          <cell r="G74">
            <v>78</v>
          </cell>
          <cell r="H74" t="str">
            <v>BAUBET Vincent</v>
          </cell>
        </row>
        <row r="75">
          <cell r="B75" t="str">
            <v>SAMOUILLAN</v>
          </cell>
          <cell r="C75" t="str">
            <v>Michael</v>
          </cell>
          <cell r="D75" t="str">
            <v>FRA</v>
          </cell>
          <cell r="E75">
            <v>32970</v>
          </cell>
          <cell r="G75">
            <v>79</v>
          </cell>
          <cell r="H75" t="str">
            <v>SAMOUILLAN Michael</v>
          </cell>
        </row>
        <row r="76">
          <cell r="B76" t="str">
            <v>SALIFOU</v>
          </cell>
          <cell r="C76" t="str">
            <v>Abdel-Kader</v>
          </cell>
          <cell r="D76" t="str">
            <v>FRA</v>
          </cell>
          <cell r="E76">
            <v>32849</v>
          </cell>
          <cell r="G76">
            <v>80</v>
          </cell>
          <cell r="H76" t="str">
            <v>SALIFOU Abdel-Kader</v>
          </cell>
        </row>
        <row r="77">
          <cell r="B77" t="str">
            <v>BEZARD</v>
          </cell>
          <cell r="C77" t="str">
            <v>Pierre</v>
          </cell>
          <cell r="D77" t="str">
            <v>FRA</v>
          </cell>
          <cell r="E77">
            <v>33233</v>
          </cell>
          <cell r="G77">
            <v>81</v>
          </cell>
          <cell r="H77" t="str">
            <v>BEZARD Pierre</v>
          </cell>
        </row>
        <row r="78">
          <cell r="B78" t="str">
            <v>DROP</v>
          </cell>
          <cell r="C78" t="str">
            <v>Clement</v>
          </cell>
          <cell r="D78" t="str">
            <v>FRA</v>
          </cell>
          <cell r="E78">
            <v>32985</v>
          </cell>
          <cell r="G78">
            <v>82</v>
          </cell>
          <cell r="H78" t="str">
            <v>DROP Clement</v>
          </cell>
        </row>
        <row r="79">
          <cell r="B79" t="str">
            <v>LASCOLS</v>
          </cell>
          <cell r="C79" t="str">
            <v>Solene</v>
          </cell>
          <cell r="D79" t="str">
            <v>FRA</v>
          </cell>
          <cell r="E79">
            <v>32228</v>
          </cell>
          <cell r="G79">
            <v>83</v>
          </cell>
          <cell r="H79" t="str">
            <v>LASCOLS Solene</v>
          </cell>
        </row>
        <row r="80">
          <cell r="B80" t="str">
            <v>ZANARDI</v>
          </cell>
          <cell r="C80" t="str">
            <v>Marine</v>
          </cell>
          <cell r="D80" t="str">
            <v>FRA</v>
          </cell>
          <cell r="E80">
            <v>32155</v>
          </cell>
          <cell r="G80">
            <v>84</v>
          </cell>
          <cell r="H80" t="str">
            <v>ZANARDI Marine</v>
          </cell>
        </row>
        <row r="81">
          <cell r="B81" t="str">
            <v>SAUL</v>
          </cell>
          <cell r="C81" t="str">
            <v>Penelope</v>
          </cell>
          <cell r="D81" t="str">
            <v>FRA</v>
          </cell>
          <cell r="E81">
            <v>33492</v>
          </cell>
          <cell r="G81">
            <v>85</v>
          </cell>
          <cell r="H81" t="str">
            <v>SAUL Penelope</v>
          </cell>
        </row>
        <row r="82">
          <cell r="B82" t="str">
            <v>LESUEUR</v>
          </cell>
          <cell r="C82" t="str">
            <v>Aude</v>
          </cell>
          <cell r="D82" t="str">
            <v>FRA</v>
          </cell>
          <cell r="E82">
            <v>32737</v>
          </cell>
          <cell r="G82">
            <v>86</v>
          </cell>
          <cell r="H82" t="str">
            <v>LESUEUR Aude</v>
          </cell>
        </row>
        <row r="83">
          <cell r="B83" t="str">
            <v>PEROCHEAU</v>
          </cell>
          <cell r="C83" t="str">
            <v>Laura</v>
          </cell>
          <cell r="D83" t="str">
            <v>FRA</v>
          </cell>
          <cell r="E83">
            <v>33101</v>
          </cell>
          <cell r="G83">
            <v>87</v>
          </cell>
          <cell r="H83" t="str">
            <v>PEROCHEAU Laura</v>
          </cell>
        </row>
        <row r="84">
          <cell r="B84" t="str">
            <v>DESSAINT</v>
          </cell>
          <cell r="C84" t="str">
            <v>Aurore</v>
          </cell>
          <cell r="D84" t="str">
            <v>FRA</v>
          </cell>
          <cell r="E84">
            <v>33493</v>
          </cell>
          <cell r="G84">
            <v>88</v>
          </cell>
          <cell r="H84" t="str">
            <v>DESSAINT Aurore</v>
          </cell>
        </row>
        <row r="85">
          <cell r="B85" t="str">
            <v>JEAN</v>
          </cell>
          <cell r="C85" t="str">
            <v>Gregoire</v>
          </cell>
          <cell r="D85" t="str">
            <v>FRA</v>
          </cell>
          <cell r="E85">
            <v>33856</v>
          </cell>
          <cell r="G85">
            <v>89</v>
          </cell>
          <cell r="H85" t="str">
            <v>JEAN Gregoire</v>
          </cell>
        </row>
        <row r="86">
          <cell r="B86" t="str">
            <v>TRAN VAN THOAN</v>
          </cell>
          <cell r="C86" t="str">
            <v>Thomas</v>
          </cell>
          <cell r="D86" t="str">
            <v>FRA</v>
          </cell>
          <cell r="E86">
            <v>33437</v>
          </cell>
          <cell r="G86">
            <v>90</v>
          </cell>
          <cell r="H86" t="str">
            <v>TRAN VAN THOAN Thomas</v>
          </cell>
        </row>
        <row r="87">
          <cell r="B87" t="str">
            <v>LE BRETON</v>
          </cell>
          <cell r="C87" t="str">
            <v>Thomas</v>
          </cell>
          <cell r="D87" t="str">
            <v>FRA</v>
          </cell>
          <cell r="E87">
            <v>33734</v>
          </cell>
          <cell r="G87">
            <v>91</v>
          </cell>
          <cell r="H87" t="str">
            <v>LE BRETON Thomas</v>
          </cell>
        </row>
        <row r="88">
          <cell r="B88" t="str">
            <v>GRAIZEAU</v>
          </cell>
          <cell r="C88" t="str">
            <v>Sylvain</v>
          </cell>
          <cell r="D88" t="str">
            <v>FRA</v>
          </cell>
          <cell r="E88">
            <v>33657</v>
          </cell>
          <cell r="G88">
            <v>92</v>
          </cell>
          <cell r="H88" t="str">
            <v>GRAIZEAU Sylvain</v>
          </cell>
        </row>
        <row r="89">
          <cell r="B89" t="str">
            <v>LORENTZ</v>
          </cell>
          <cell r="C89" t="str">
            <v>Romain</v>
          </cell>
          <cell r="D89" t="str">
            <v>FRA</v>
          </cell>
          <cell r="E89">
            <v>33977</v>
          </cell>
          <cell r="G89">
            <v>93</v>
          </cell>
          <cell r="H89" t="str">
            <v>LORENTZ Romain</v>
          </cell>
        </row>
        <row r="90">
          <cell r="B90" t="str">
            <v>PAVOT</v>
          </cell>
          <cell r="C90" t="str">
            <v>Marine</v>
          </cell>
          <cell r="D90" t="str">
            <v>FRA</v>
          </cell>
          <cell r="E90">
            <v>33608</v>
          </cell>
          <cell r="G90">
            <v>94</v>
          </cell>
          <cell r="H90" t="str">
            <v>PAVOT Marine</v>
          </cell>
        </row>
        <row r="91">
          <cell r="B91" t="str">
            <v>ABBAT</v>
          </cell>
          <cell r="C91" t="str">
            <v>Alice</v>
          </cell>
          <cell r="D91" t="str">
            <v>FRA</v>
          </cell>
          <cell r="E91">
            <v>33625</v>
          </cell>
          <cell r="G91">
            <v>95</v>
          </cell>
          <cell r="H91" t="str">
            <v>ABBAT Alice</v>
          </cell>
        </row>
        <row r="92">
          <cell r="B92" t="str">
            <v>SCHAEFFER</v>
          </cell>
          <cell r="C92" t="str">
            <v>Stephanie</v>
          </cell>
          <cell r="D92" t="str">
            <v>FRA</v>
          </cell>
          <cell r="E92">
            <v>33942</v>
          </cell>
          <cell r="G92">
            <v>96</v>
          </cell>
          <cell r="H92" t="str">
            <v>SCHAEFFER Stephanie</v>
          </cell>
        </row>
        <row r="93">
          <cell r="B93" t="str">
            <v>LEVEQUE</v>
          </cell>
          <cell r="C93" t="str">
            <v>Anais</v>
          </cell>
          <cell r="D93" t="str">
            <v>FRA</v>
          </cell>
          <cell r="E93">
            <v>34104</v>
          </cell>
          <cell r="G93">
            <v>97</v>
          </cell>
          <cell r="H93" t="str">
            <v>LEVEQUE Anais</v>
          </cell>
        </row>
        <row r="94">
          <cell r="B94" t="str">
            <v>OVTCHAROV</v>
          </cell>
          <cell r="C94" t="str">
            <v>Dimitrij</v>
          </cell>
          <cell r="D94" t="str">
            <v>GER</v>
          </cell>
          <cell r="E94">
            <v>32187</v>
          </cell>
          <cell r="G94">
            <v>98</v>
          </cell>
          <cell r="H94" t="str">
            <v>OVTCHAROV Dimitrij</v>
          </cell>
        </row>
        <row r="95">
          <cell r="B95" t="str">
            <v>FILUS</v>
          </cell>
          <cell r="C95" t="str">
            <v>Ruwen</v>
          </cell>
          <cell r="D95" t="str">
            <v>GER</v>
          </cell>
          <cell r="E95">
            <v>32388</v>
          </cell>
          <cell r="G95">
            <v>99</v>
          </cell>
          <cell r="H95" t="str">
            <v>FILUS Ruwen</v>
          </cell>
        </row>
        <row r="96">
          <cell r="B96" t="str">
            <v>MENGEL</v>
          </cell>
          <cell r="C96" t="str">
            <v>Steffen</v>
          </cell>
          <cell r="D96" t="str">
            <v>GER</v>
          </cell>
          <cell r="E96">
            <v>32388</v>
          </cell>
          <cell r="G96">
            <v>100</v>
          </cell>
          <cell r="H96" t="str">
            <v>MENGEL Steffen</v>
          </cell>
        </row>
        <row r="97">
          <cell r="B97" t="str">
            <v>KURKOWSKI</v>
          </cell>
          <cell r="C97" t="str">
            <v>Jens</v>
          </cell>
          <cell r="D97" t="str">
            <v>GER</v>
          </cell>
          <cell r="E97">
            <v>32223</v>
          </cell>
          <cell r="G97">
            <v>101</v>
          </cell>
          <cell r="H97" t="str">
            <v>KURKOWSKI Jens</v>
          </cell>
        </row>
        <row r="98">
          <cell r="B98" t="str">
            <v>SOLJA</v>
          </cell>
          <cell r="C98" t="str">
            <v>Amelie</v>
          </cell>
          <cell r="D98" t="str">
            <v>GER</v>
          </cell>
          <cell r="E98">
            <v>33145</v>
          </cell>
          <cell r="G98">
            <v>102</v>
          </cell>
          <cell r="H98" t="str">
            <v>SOLJA Amelie</v>
          </cell>
        </row>
        <row r="99">
          <cell r="B99" t="str">
            <v>MATZKE</v>
          </cell>
          <cell r="C99" t="str">
            <v>Laura</v>
          </cell>
          <cell r="D99" t="str">
            <v>GER</v>
          </cell>
          <cell r="E99">
            <v>32446</v>
          </cell>
          <cell r="G99">
            <v>103</v>
          </cell>
          <cell r="H99" t="str">
            <v>MATZKE Laura</v>
          </cell>
        </row>
        <row r="100">
          <cell r="B100" t="str">
            <v>GURZ</v>
          </cell>
          <cell r="C100" t="str">
            <v>Angelina</v>
          </cell>
          <cell r="D100" t="str">
            <v>GER</v>
          </cell>
          <cell r="E100">
            <v>32351</v>
          </cell>
          <cell r="G100">
            <v>104</v>
          </cell>
          <cell r="H100" t="str">
            <v>GURZ Angelina</v>
          </cell>
        </row>
        <row r="101">
          <cell r="B101" t="str">
            <v>ZHAN</v>
          </cell>
          <cell r="C101" t="str">
            <v>Ying-Ni</v>
          </cell>
          <cell r="D101" t="str">
            <v>GER</v>
          </cell>
          <cell r="E101">
            <v>32570</v>
          </cell>
          <cell r="G101">
            <v>105</v>
          </cell>
          <cell r="H101" t="str">
            <v>ZHAN Ying-Ni</v>
          </cell>
        </row>
        <row r="102">
          <cell r="B102" t="str">
            <v>STAHR</v>
          </cell>
          <cell r="C102" t="str">
            <v>Rosalia</v>
          </cell>
          <cell r="D102" t="str">
            <v>GER</v>
          </cell>
          <cell r="E102">
            <v>33132</v>
          </cell>
          <cell r="G102">
            <v>106</v>
          </cell>
          <cell r="H102" t="str">
            <v>STAHR Rosalia</v>
          </cell>
        </row>
        <row r="103">
          <cell r="B103" t="str">
            <v>MICHAJLOVA</v>
          </cell>
          <cell r="C103" t="str">
            <v>Katharina</v>
          </cell>
          <cell r="D103" t="str">
            <v>GER</v>
          </cell>
          <cell r="E103">
            <v>32535</v>
          </cell>
          <cell r="G103">
            <v>107</v>
          </cell>
          <cell r="H103" t="str">
            <v>MICHAJLOVA Katharina</v>
          </cell>
        </row>
        <row r="104">
          <cell r="B104" t="str">
            <v>WALTHER</v>
          </cell>
          <cell r="C104" t="str">
            <v>Ricardo</v>
          </cell>
          <cell r="D104" t="str">
            <v>GER</v>
          </cell>
          <cell r="E104">
            <v>33572</v>
          </cell>
          <cell r="G104">
            <v>108</v>
          </cell>
          <cell r="H104" t="str">
            <v>WALTHER Ricardo</v>
          </cell>
        </row>
        <row r="105">
          <cell r="B105" t="str">
            <v>FRANZISKA</v>
          </cell>
          <cell r="C105" t="str">
            <v>Patrick</v>
          </cell>
          <cell r="D105" t="str">
            <v>GER</v>
          </cell>
          <cell r="E105">
            <v>33766</v>
          </cell>
          <cell r="G105">
            <v>109</v>
          </cell>
          <cell r="H105" t="str">
            <v>FRANZISKA Patrick</v>
          </cell>
        </row>
        <row r="106">
          <cell r="B106" t="str">
            <v>HAGEMANN</v>
          </cell>
          <cell r="C106" t="str">
            <v>Maris</v>
          </cell>
          <cell r="D106" t="str">
            <v>GER</v>
          </cell>
          <cell r="E106">
            <v>33460</v>
          </cell>
          <cell r="G106">
            <v>110</v>
          </cell>
          <cell r="H106" t="str">
            <v>HAGEMANN Maris</v>
          </cell>
        </row>
        <row r="107">
          <cell r="B107" t="str">
            <v>MALESSA</v>
          </cell>
          <cell r="C107" t="str">
            <v>Robin</v>
          </cell>
          <cell r="D107" t="str">
            <v>GER</v>
          </cell>
          <cell r="E107">
            <v>33240</v>
          </cell>
          <cell r="G107">
            <v>111</v>
          </cell>
          <cell r="H107" t="str">
            <v>MALESSA Robin</v>
          </cell>
        </row>
        <row r="108">
          <cell r="B108" t="str">
            <v>SOLJA</v>
          </cell>
          <cell r="C108" t="str">
            <v>Petrissa</v>
          </cell>
          <cell r="D108" t="str">
            <v>GER</v>
          </cell>
          <cell r="E108">
            <v>34404</v>
          </cell>
          <cell r="G108">
            <v>112</v>
          </cell>
          <cell r="H108" t="str">
            <v>SOLJA Petrissa</v>
          </cell>
        </row>
        <row r="109">
          <cell r="B109" t="str">
            <v>MUHLBACH</v>
          </cell>
          <cell r="C109" t="str">
            <v>Kathrin</v>
          </cell>
          <cell r="D109" t="str">
            <v>GER</v>
          </cell>
          <cell r="E109">
            <v>33633</v>
          </cell>
          <cell r="G109">
            <v>113</v>
          </cell>
          <cell r="H109" t="str">
            <v>MUHLBACH Kathrin</v>
          </cell>
        </row>
        <row r="110">
          <cell r="B110" t="str">
            <v>WINTER</v>
          </cell>
          <cell r="C110" t="str">
            <v>Sabine</v>
          </cell>
          <cell r="D110" t="str">
            <v>GER</v>
          </cell>
          <cell r="E110">
            <v>33874</v>
          </cell>
          <cell r="G110">
            <v>114</v>
          </cell>
          <cell r="H110" t="str">
            <v>WINTER Sabine</v>
          </cell>
        </row>
        <row r="111">
          <cell r="B111" t="str">
            <v>KRAPF</v>
          </cell>
          <cell r="C111" t="str">
            <v>Lena</v>
          </cell>
          <cell r="D111" t="str">
            <v>GER</v>
          </cell>
          <cell r="E111">
            <v>33377</v>
          </cell>
          <cell r="G111">
            <v>115</v>
          </cell>
          <cell r="H111" t="str">
            <v>KRAPF Lena</v>
          </cell>
        </row>
        <row r="112">
          <cell r="B112" t="str">
            <v>LI</v>
          </cell>
          <cell r="C112" t="str">
            <v>Chung Him</v>
          </cell>
          <cell r="D112" t="str">
            <v>HKG</v>
          </cell>
          <cell r="E112">
            <v>33304</v>
          </cell>
          <cell r="G112">
            <v>116</v>
          </cell>
          <cell r="H112" t="str">
            <v>LI Chung Him</v>
          </cell>
        </row>
        <row r="113">
          <cell r="B113" t="str">
            <v>CHIU</v>
          </cell>
          <cell r="C113" t="str">
            <v>Chung Hei</v>
          </cell>
          <cell r="D113" t="str">
            <v>HKG</v>
          </cell>
          <cell r="E113">
            <v>34403</v>
          </cell>
          <cell r="G113">
            <v>117</v>
          </cell>
          <cell r="H113" t="str">
            <v>CHIU Chung Hei</v>
          </cell>
        </row>
        <row r="114">
          <cell r="B114" t="str">
            <v>LEE</v>
          </cell>
          <cell r="C114" t="str">
            <v>Ho Ching</v>
          </cell>
          <cell r="D114" t="str">
            <v>HKG</v>
          </cell>
          <cell r="E114">
            <v>33932</v>
          </cell>
          <cell r="G114">
            <v>118</v>
          </cell>
          <cell r="H114" t="str">
            <v>LEE Ho Ching</v>
          </cell>
        </row>
        <row r="115">
          <cell r="B115" t="str">
            <v>NG</v>
          </cell>
          <cell r="C115" t="str">
            <v>Wing Nam</v>
          </cell>
          <cell r="D115" t="str">
            <v>HKG</v>
          </cell>
          <cell r="E115">
            <v>33825</v>
          </cell>
          <cell r="G115">
            <v>119</v>
          </cell>
          <cell r="H115" t="str">
            <v>NG Wing Nam</v>
          </cell>
        </row>
        <row r="116">
          <cell r="B116" t="str">
            <v>NAGY</v>
          </cell>
          <cell r="C116" t="str">
            <v>Krisztian</v>
          </cell>
          <cell r="D116" t="str">
            <v>HUN</v>
          </cell>
          <cell r="E116">
            <v>32642</v>
          </cell>
          <cell r="G116">
            <v>120</v>
          </cell>
          <cell r="H116" t="str">
            <v>NAGY Krisztian</v>
          </cell>
        </row>
        <row r="117">
          <cell r="B117" t="str">
            <v>KRISTON</v>
          </cell>
          <cell r="C117" t="str">
            <v>Daniel</v>
          </cell>
          <cell r="D117" t="str">
            <v>HUN</v>
          </cell>
          <cell r="E117">
            <v>32755</v>
          </cell>
          <cell r="G117">
            <v>121</v>
          </cell>
          <cell r="H117" t="str">
            <v>KRISTON Daniel</v>
          </cell>
        </row>
        <row r="118">
          <cell r="B118" t="str">
            <v>VAJDA</v>
          </cell>
          <cell r="C118" t="str">
            <v>Atilla</v>
          </cell>
          <cell r="D118" t="str">
            <v>HUN</v>
          </cell>
          <cell r="E118">
            <v>32804</v>
          </cell>
          <cell r="G118">
            <v>122</v>
          </cell>
          <cell r="H118" t="str">
            <v>VAJDA Atilla</v>
          </cell>
        </row>
        <row r="119">
          <cell r="B119" t="str">
            <v>SEBESTYEN</v>
          </cell>
          <cell r="C119" t="str">
            <v>Peter</v>
          </cell>
          <cell r="D119" t="str">
            <v>HUN</v>
          </cell>
          <cell r="E119">
            <v>33121</v>
          </cell>
          <cell r="G119">
            <v>123</v>
          </cell>
          <cell r="H119" t="str">
            <v>SEBESTYEN Peter</v>
          </cell>
        </row>
        <row r="120">
          <cell r="B120" t="str">
            <v>LI</v>
          </cell>
          <cell r="C120" t="str">
            <v>Bin</v>
          </cell>
          <cell r="D120" t="str">
            <v>HUN</v>
          </cell>
          <cell r="E120">
            <v>32294</v>
          </cell>
          <cell r="G120">
            <v>124</v>
          </cell>
          <cell r="H120" t="str">
            <v>LI Bin</v>
          </cell>
        </row>
        <row r="121">
          <cell r="B121" t="str">
            <v>PERGEL</v>
          </cell>
          <cell r="C121" t="str">
            <v>Szandra</v>
          </cell>
          <cell r="D121" t="str">
            <v>HUN</v>
          </cell>
          <cell r="E121">
            <v>32501</v>
          </cell>
          <cell r="G121">
            <v>125</v>
          </cell>
          <cell r="H121" t="str">
            <v>PERGEL Szandra</v>
          </cell>
        </row>
        <row r="122">
          <cell r="B122" t="str">
            <v>BARASSO</v>
          </cell>
          <cell r="C122" t="str">
            <v>Barbara</v>
          </cell>
          <cell r="D122" t="str">
            <v>HUN</v>
          </cell>
          <cell r="E122">
            <v>32934</v>
          </cell>
          <cell r="G122">
            <v>126</v>
          </cell>
          <cell r="H122" t="str">
            <v>BARASSO Barbara</v>
          </cell>
        </row>
        <row r="123">
          <cell r="B123" t="str">
            <v>VARGA</v>
          </cell>
          <cell r="C123" t="str">
            <v>Timea</v>
          </cell>
          <cell r="D123" t="str">
            <v>HUN</v>
          </cell>
          <cell r="E123">
            <v>32358</v>
          </cell>
          <cell r="G123">
            <v>127</v>
          </cell>
          <cell r="H123" t="str">
            <v>VARGA Timea</v>
          </cell>
        </row>
        <row r="124">
          <cell r="B124" t="str">
            <v>KOSIBA</v>
          </cell>
          <cell r="C124" t="str">
            <v>Daniel</v>
          </cell>
          <cell r="D124" t="str">
            <v>HUN</v>
          </cell>
          <cell r="E124">
            <v>29862</v>
          </cell>
          <cell r="G124">
            <v>128</v>
          </cell>
          <cell r="H124" t="str">
            <v>KOSIBA Daniel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5EFAE-7FA6-4E84-A61C-3AAAF65D6E93}">
  <dimension ref="A1"/>
  <sheetViews>
    <sheetView workbookViewId="0"/>
  </sheetViews>
  <sheetFormatPr defaultColWidth="8.710937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D861D-D244-4DC2-8B26-DB32239C6E9B}">
  <sheetPr published="0" codeName="Sheet1">
    <tabColor rgb="FFFF0000"/>
  </sheetPr>
  <dimension ref="B1:P55"/>
  <sheetViews>
    <sheetView topLeftCell="A24" zoomScaleNormal="100" workbookViewId="0"/>
  </sheetViews>
  <sheetFormatPr defaultColWidth="8.85546875" defaultRowHeight="15" x14ac:dyDescent="0.25"/>
  <cols>
    <col min="1" max="16384" width="8.85546875" style="1"/>
  </cols>
  <sheetData>
    <row r="1" spans="2:16" ht="15.75" thickBot="1" x14ac:dyDescent="0.3">
      <c r="C1" s="401" t="s">
        <v>0</v>
      </c>
      <c r="D1" s="401"/>
      <c r="F1" s="402" t="s">
        <v>1</v>
      </c>
      <c r="G1" s="402"/>
      <c r="K1" s="2">
        <v>14</v>
      </c>
      <c r="L1" s="3" cm="1">
        <f t="array" aca="1" ref="L1" ca="1">VLOOKUP(INDIRECT("'Grupo " &amp; K1 &amp; "'!J18"),INDIRECT("'Grupo " &amp; K1 &amp; "'!B12"):INDIRECT("'Grupo " &amp; K1 &amp; "'!J15"),2,FALSE)</f>
        <v>4363</v>
      </c>
      <c r="M1" s="4" cm="1">
        <f t="array" aca="1" ref="M1" ca="1">VLOOKUP(IF(INDIRECT("'Grupo " &amp; K1 &amp; "'!J18")=INDIRECT("'Grupo " &amp; K1 &amp; "'!C18"),INDIRECT("'Grupo " &amp; K1 &amp; "'!C19"),INDIRECT("'Grupo " &amp; K1 &amp; "'!C18")),INDIRECT("'Grupo " &amp; K1 &amp; "'!B12"):INDIRECT("'Grupo " &amp; K1 &amp; "'!G15"),2,FALSE)</f>
        <v>4851</v>
      </c>
      <c r="O1" s="5" cm="1">
        <f t="array" aca="1" ref="O1" ca="1">VLOOKUP(IF(INDIRECT("'Grupo " &amp; K1 &amp; "'!J18")=INDIRECT("'Grupo " &amp; K1 &amp; "'!C18"),INDIRECT("'Grupo " &amp; K1 &amp; "'!C19"),INDIRECT("'Grupo " &amp; K1 &amp; "'!C18")),INDIRECT("'Grupo " &amp; K1 &amp; "'!B12"):INDIRECT("'Grupo " &amp; K1 &amp; "'!G15"),2,FALSE)</f>
        <v>4851</v>
      </c>
      <c r="P1" s="6" cm="1">
        <f t="array" aca="1" ref="P1" ca="1">VLOOKUP(INDIRECT("'Grupo " &amp; K1 &amp; "'!J18"),INDIRECT("'Grupo " &amp; K1 &amp; "'!B12"):INDIRECT("'Grupo " &amp; K1 &amp; "'!J15"),2,FALSE)</f>
        <v>4363</v>
      </c>
    </row>
    <row r="2" spans="2:16" ht="15.75" thickBot="1" x14ac:dyDescent="0.3">
      <c r="B2" s="7">
        <v>1</v>
      </c>
      <c r="C2" s="3" cm="1">
        <f t="array" aca="1" ref="C2" ca="1">VLOOKUP(INDIRECT("'Grupo " &amp; B2 &amp; "'!J18"),INDIRECT("'Grupo " &amp; B2 &amp; "'!B12"):INDIRECT("'Grupo " &amp; B2 &amp; "'!J15"),2,FALSE)</f>
        <v>2515</v>
      </c>
      <c r="D2" s="4" cm="1">
        <f t="array" aca="1" ref="D2" ca="1">VLOOKUP(IF(INDIRECT("'Grupo " &amp; B2 &amp; "'!J18")=INDIRECT("'Grupo " &amp; B2 &amp; "'!C18"),INDIRECT("'Grupo " &amp; B2 &amp; "'!C19"),INDIRECT("'Grupo " &amp; B2 &amp; "'!C18")),INDIRECT("'Grupo " &amp; B2 &amp; "'!B12"):INDIRECT("'Grupo " &amp; B2 &amp; "'!G15"),2,FALSE)</f>
        <v>3670</v>
      </c>
      <c r="F2" s="5" cm="1">
        <f t="array" aca="1" ref="F2" ca="1">VLOOKUP(IF(INDIRECT("'Grupo " &amp; B2 &amp; "'!J18")=INDIRECT("'Grupo " &amp; B2 &amp; "'!C18"),INDIRECT("'Grupo " &amp; B2 &amp; "'!C19"),INDIRECT("'Grupo " &amp; B2 &amp; "'!C18")),INDIRECT("'Grupo " &amp; B2 &amp; "'!B12"):INDIRECT("'Grupo " &amp; B2 &amp; "'!G15"),2,FALSE)</f>
        <v>3670</v>
      </c>
      <c r="G2" s="6" cm="1">
        <f t="array" aca="1" ref="G2" ca="1">VLOOKUP(INDIRECT("'Grupo " &amp; B2 &amp; "'!J18"),INDIRECT("'Grupo " &amp; B2 &amp; "'!B12"):INDIRECT("'Grupo " &amp; B2 &amp; "'!J15"),2,FALSE)</f>
        <v>2515</v>
      </c>
      <c r="L2" s="8" cm="1">
        <f t="array" aca="1" ref="L2" ca="1">VLOOKUP(INDIRECT("'Grupo " &amp; K1 &amp; "'!J20"),INDIRECT("'Grupo " &amp; K1 &amp; "'!B12"):INDIRECT("'Grupo " &amp; K1 &amp; "'!J15"),2,FALSE)</f>
        <v>4363</v>
      </c>
      <c r="M2" s="9" cm="1">
        <f t="array" aca="1" ref="M2" ca="1">VLOOKUP(IF(INDIRECT("'Grupo " &amp; K1 &amp; "'!J20")=INDIRECT("'Grupo " &amp; K1 &amp; "'!C20"),INDIRECT("'Grupo " &amp; K1 &amp; "'!C21"),INDIRECT("'Grupo " &amp; K1 &amp; "'!C20")),INDIRECT("'Grupo " &amp; K1 &amp; "'!B12"):INDIRECT("'Grupo " &amp; K1 &amp; "'!G15"),2,FALSE)</f>
        <v>4056</v>
      </c>
      <c r="O2" s="10" cm="1">
        <f t="array" aca="1" ref="O2" ca="1">VLOOKUP(IF(INDIRECT("'Grupo " &amp; K1 &amp; "'!J20")=INDIRECT("'Grupo " &amp; K1 &amp; "'!C20"),INDIRECT("'Grupo " &amp; K1 &amp; "'!C21"),INDIRECT("'Grupo " &amp; K1 &amp; "'!C20")),INDIRECT("'Grupo " &amp; K1 &amp; "'!B12"):INDIRECT("'Grupo " &amp; K1 &amp; "'!G15"),2,FALSE)</f>
        <v>4056</v>
      </c>
      <c r="P2" s="11" cm="1">
        <f t="array" aca="1" ref="P2" ca="1">VLOOKUP(INDIRECT("'Grupo " &amp; K1 &amp; "'!J20"),INDIRECT("'Grupo " &amp; K1 &amp; "'!B12"):INDIRECT("'Grupo " &amp; K1 &amp; "'!J15"),2,FALSE)</f>
        <v>4363</v>
      </c>
    </row>
    <row r="3" spans="2:16" x14ac:dyDescent="0.25">
      <c r="C3" s="8" cm="1">
        <f t="array" aca="1" ref="C3" ca="1">VLOOKUP(INDIRECT("'Grupo " &amp; B2 &amp; "'!J20"),INDIRECT("'Grupo " &amp; B2 &amp; "'!B12"):INDIRECT("'Grupo " &amp; B2 &amp; "'!J15"),2,FALSE)</f>
        <v>2515</v>
      </c>
      <c r="D3" s="9" cm="1">
        <f t="array" aca="1" ref="D3" ca="1">VLOOKUP(IF(INDIRECT("'Grupo " &amp; B2 &amp; "'!J20")=INDIRECT("'Grupo " &amp; B2 &amp; "'!C20"),INDIRECT("'Grupo " &amp; B2 &amp; "'!C21"),INDIRECT("'Grupo " &amp; B2 &amp; "'!C20")),INDIRECT("'Grupo " &amp; B2 &amp; "'!B12"):INDIRECT("'Grupo " &amp; B2 &amp; "'!G15"),2,FALSE)</f>
        <v>4513</v>
      </c>
      <c r="F3" s="10" cm="1">
        <f t="array" aca="1" ref="F3" ca="1">VLOOKUP(IF(INDIRECT("'Grupo " &amp; B2 &amp; "'!J20")=INDIRECT("'Grupo " &amp; B2 &amp; "'!C20"),INDIRECT("'Grupo " &amp; B2 &amp; "'!C21"),INDIRECT("'Grupo " &amp; B2 &amp; "'!C20")),INDIRECT("'Grupo " &amp; B2 &amp; "'!B12"):INDIRECT("'Grupo " &amp; B2 &amp; "'!G15"),2,FALSE)</f>
        <v>4513</v>
      </c>
      <c r="G3" s="11" cm="1">
        <f t="array" aca="1" ref="G3" ca="1">VLOOKUP(INDIRECT("'Grupo " &amp; B2 &amp; "'!J20"),INDIRECT("'Grupo " &amp; B2 &amp; "'!B12"):INDIRECT("'Grupo " &amp; B2 &amp; "'!J15"),2,FALSE)</f>
        <v>2515</v>
      </c>
      <c r="L3" s="8" cm="1">
        <f t="array" aca="1" ref="L3" ca="1">VLOOKUP(INDIRECT("'Grupo " &amp; K1 &amp; "'!J22"),INDIRECT("'Grupo " &amp; K1 &amp; "'!B12"):INDIRECT("'Grupo " &amp; K1 &amp; "'!J15"),2,FALSE)</f>
        <v>4056</v>
      </c>
      <c r="M3" s="9" cm="1">
        <f t="array" aca="1" ref="M3" ca="1">VLOOKUP(IF(INDIRECT("'Grupo " &amp; K1 &amp; "'!J22")=INDIRECT("'Grupo " &amp; K1 &amp; "'!C22"),INDIRECT("'Grupo " &amp; K1 &amp; "'!C23"),INDIRECT("'Grupo " &amp; K1 &amp; "'!C22")),INDIRECT("'Grupo " &amp; K1 &amp; "'!B12"):INDIRECT("'Grupo " &amp; K1 &amp; "'!G15"),2,FALSE)</f>
        <v>4851</v>
      </c>
      <c r="O3" s="10" cm="1">
        <f t="array" aca="1" ref="O3" ca="1">VLOOKUP(IF(INDIRECT("'Grupo " &amp; K1 &amp; "'!J22")=INDIRECT("'Grupo " &amp; K1 &amp; "'!C22"),INDIRECT("'Grupo " &amp; K1 &amp; "'!C23"),INDIRECT("'Grupo " &amp; K1 &amp; "'!C22")),INDIRECT("'Grupo " &amp; K1 &amp; "'!B12"):INDIRECT("'Grupo " &amp; K1 &amp; "'!G15"),2,FALSE)</f>
        <v>4851</v>
      </c>
      <c r="P3" s="11" cm="1">
        <f t="array" aca="1" ref="P3" ca="1">VLOOKUP(INDIRECT("'Grupo " &amp; K1 &amp; "'!J22"),INDIRECT("'Grupo " &amp; K1 &amp; "'!B12"):INDIRECT("'Grupo " &amp; K1 &amp; "'!J15"),2,FALSE)</f>
        <v>4056</v>
      </c>
    </row>
    <row r="4" spans="2:16" ht="15.75" thickBot="1" x14ac:dyDescent="0.3">
      <c r="C4" s="12" cm="1">
        <f t="array" aca="1" ref="C4" ca="1">VLOOKUP(INDIRECT("'Grupo " &amp; B2 &amp; "'!J22"),INDIRECT("'Grupo " &amp; B2 &amp; "'!B12"):INDIRECT("'Grupo " &amp; B2 &amp; "'!J15"),2,FALSE)</f>
        <v>4513</v>
      </c>
      <c r="D4" s="13" cm="1">
        <f t="array" aca="1" ref="D4" ca="1">VLOOKUP(IF(INDIRECT("'Grupo " &amp; B2 &amp; "'!J22")=INDIRECT("'Grupo " &amp; B2 &amp; "'!C22"),INDIRECT("'Grupo " &amp; B2 &amp; "'!C23"),INDIRECT("'Grupo " &amp; B2 &amp; "'!C22")),INDIRECT("'Grupo " &amp; B2 &amp; "'!B12"):INDIRECT("'Grupo " &amp; B2 &amp; "'!G15"),2,FALSE)</f>
        <v>3670</v>
      </c>
      <c r="F4" s="14" cm="1">
        <f t="array" aca="1" ref="F4" ca="1">VLOOKUP(IF(INDIRECT("'Grupo " &amp; B2 &amp; "'!J22")=INDIRECT("'Grupo " &amp; B2 &amp; "'!C22"),INDIRECT("'Grupo " &amp; B2 &amp; "'!C23"),INDIRECT("'Grupo " &amp; B2 &amp; "'!C22")),INDIRECT("'Grupo " &amp; B2 &amp; "'!B12"):INDIRECT("'Grupo " &amp; B2 &amp; "'!G15"),2,FALSE)</f>
        <v>3670</v>
      </c>
      <c r="G4" s="15" cm="1">
        <f t="array" aca="1" ref="G4" ca="1">VLOOKUP(INDIRECT("'Grupo " &amp; B2 &amp; "'!J22"),INDIRECT("'Grupo " &amp; B2 &amp; "'!B12"):INDIRECT("'Grupo " &amp; B2 &amp; "'!J15"),2,FALSE)</f>
        <v>4513</v>
      </c>
      <c r="L4" s="8" t="e" cm="1">
        <f t="array" aca="1" ref="L4" ca="1">VLOOKUP(INDIRECT("'Grupo " &amp; K1 &amp; "'!J24"),INDIRECT("'Grupo " &amp; K1 &amp; "'!B12"):INDIRECT("'Grupo " &amp; K1 &amp; "'!J15"),2,FALSE)</f>
        <v>#N/A</v>
      </c>
      <c r="M4" s="9" t="e" cm="1">
        <f t="array" aca="1" ref="M4" ca="1">VLOOKUP(IF(INDIRECT("'Grupo " &amp; K1 &amp; "'!J24")=INDIRECT("'Grupo " &amp; K1 &amp; "'!C24"),INDIRECT("'Grupo " &amp; K1 &amp; "'!C25"),INDIRECT("'Grupo " &amp; K1 &amp; "'!C24")),INDIRECT("'Grupo " &amp; K1 &amp; "'!B12"):INDIRECT("'Grupo " &amp; K1 &amp; "'!G15"),2,FALSE)</f>
        <v>#N/A</v>
      </c>
      <c r="O4" s="10" t="e" cm="1">
        <f t="array" aca="1" ref="O4" ca="1">VLOOKUP(IF(INDIRECT("'Grupo " &amp; K1 &amp; "'!J24")=INDIRECT("'Grupo " &amp; K1 &amp; "'!C24"),INDIRECT("'Grupo " &amp; K1 &amp; "'!C25"),INDIRECT("'Grupo " &amp; K1 &amp; "'!C24")),INDIRECT("'Grupo " &amp; K1 &amp; "'!B12"):INDIRECT("'Grupo " &amp; K1 &amp; "'!G15"),2,FALSE)</f>
        <v>#N/A</v>
      </c>
      <c r="P4" s="11" t="e" cm="1">
        <f t="array" aca="1" ref="P4" ca="1">VLOOKUP(INDIRECT("'Grupo " &amp; K1 &amp; "'!J24"),INDIRECT("'Grupo " &amp; K1 &amp; "'!B12"):INDIRECT("'Grupo " &amp; K1 &amp; "'!J15"),2,FALSE)</f>
        <v>#N/A</v>
      </c>
    </row>
    <row r="5" spans="2:16" ht="15.75" thickBot="1" x14ac:dyDescent="0.3">
      <c r="B5" s="7">
        <f>B2+1</f>
        <v>2</v>
      </c>
      <c r="C5" s="3" cm="1">
        <f t="array" aca="1" ref="C5" ca="1">VLOOKUP(INDIRECT("'Grupo " &amp; B5 &amp; "'!J18"),INDIRECT("'Grupo " &amp; B5 &amp; "'!B12"):INDIRECT("'Grupo " &amp; B5 &amp; "'!J15"),2,FALSE)</f>
        <v>4144</v>
      </c>
      <c r="D5" s="4" cm="1">
        <f t="array" aca="1" ref="D5" ca="1">VLOOKUP(IF(INDIRECT("'Grupo " &amp; B5 &amp; "'!J18")=INDIRECT("'Grupo " &amp; B5 &amp; "'!C18"),INDIRECT("'Grupo " &amp; B5 &amp; "'!C19"),INDIRECT("'Grupo " &amp; B5 &amp; "'!C18")),INDIRECT("'Grupo " &amp; B5 &amp; "'!B12"):INDIRECT("'Grupo " &amp; B5 &amp; "'!G15"),2,FALSE)</f>
        <v>2582</v>
      </c>
      <c r="F5" s="5" cm="1">
        <f t="array" aca="1" ref="F5" ca="1">VLOOKUP(IF(INDIRECT("'Grupo " &amp; B5 &amp; "'!J18")=INDIRECT("'Grupo " &amp; B5 &amp; "'!C18"),INDIRECT("'Grupo " &amp; B5 &amp; "'!C19"),INDIRECT("'Grupo " &amp; B5 &amp; "'!C18")),INDIRECT("'Grupo " &amp; B5 &amp; "'!B12"):INDIRECT("'Grupo " &amp; B5 &amp; "'!G15"),2,FALSE)</f>
        <v>2582</v>
      </c>
      <c r="G5" s="6" cm="1">
        <f t="array" aca="1" ref="G5" ca="1">VLOOKUP(INDIRECT("'Grupo " &amp; B5 &amp; "'!J18"),INDIRECT("'Grupo " &amp; B5 &amp; "'!B12"):INDIRECT("'Grupo " &amp; B5 &amp; "'!J15"),2,FALSE)</f>
        <v>4144</v>
      </c>
      <c r="L5" s="8" t="e" cm="1">
        <f t="array" aca="1" ref="L5" ca="1">VLOOKUP(INDIRECT("'Grupo " &amp; K1 &amp; "'!J26"),INDIRECT("'Grupo " &amp; K1 &amp; "'!B12"):INDIRECT("'Grupo " &amp; K1 &amp; "'!J15"),2,FALSE)</f>
        <v>#N/A</v>
      </c>
      <c r="M5" s="9" t="e" cm="1">
        <f t="array" aca="1" ref="M5" ca="1">VLOOKUP(IF(INDIRECT("'Grupo " &amp; K1 &amp; "'!J26")=INDIRECT("'Grupo " &amp; K1 &amp; "'!C26"),INDIRECT("'Grupo " &amp; K1 &amp; "'!C27"),INDIRECT("'Grupo " &amp; K1 &amp; "'!C26")),INDIRECT("'Grupo " &amp; K1 &amp; "'!B12"):INDIRECT("'Grupo " &amp; K1 &amp; "'!G15"),2,FALSE)</f>
        <v>#N/A</v>
      </c>
      <c r="O5" s="10" t="e" cm="1">
        <f t="array" aca="1" ref="O5" ca="1">VLOOKUP(IF(INDIRECT("'Grupo " &amp; K1 &amp; "'!J26")=INDIRECT("'Grupo " &amp; K1 &amp; "'!C26"),INDIRECT("'Grupo " &amp; K1 &amp; "'!C27"),INDIRECT("'Grupo " &amp; K1 &amp; "'!C26")),INDIRECT("'Grupo " &amp; K1 &amp; "'!B12"):INDIRECT("'Grupo " &amp; K1 &amp; "'!G15"),2,FALSE)</f>
        <v>#N/A</v>
      </c>
      <c r="P5" s="11" t="e" cm="1">
        <f t="array" aca="1" ref="P5" ca="1">VLOOKUP(INDIRECT("'Grupo " &amp; K1 &amp; "'!J26"),INDIRECT("'Grupo " &amp; K1 &amp; "'!B12"):INDIRECT("'Grupo " &amp; K1 &amp; "'!J15"),2,FALSE)</f>
        <v>#N/A</v>
      </c>
    </row>
    <row r="6" spans="2:16" ht="15.75" thickBot="1" x14ac:dyDescent="0.3">
      <c r="C6" s="8" cm="1">
        <f t="array" aca="1" ref="C6" ca="1">VLOOKUP(INDIRECT("'Grupo " &amp; B5 &amp; "'!J20"),INDIRECT("'Grupo " &amp; B5 &amp; "'!B12"):INDIRECT("'Grupo " &amp; B5 &amp; "'!J15"),2,FALSE)</f>
        <v>2513</v>
      </c>
      <c r="D6" s="9" cm="1">
        <f t="array" aca="1" ref="D6" ca="1">VLOOKUP(IF(INDIRECT("'Grupo " &amp; B5 &amp; "'!J20")=INDIRECT("'Grupo " &amp; B5 &amp; "'!C20"),INDIRECT("'Grupo " &amp; B5 &amp; "'!C21"),INDIRECT("'Grupo " &amp; B5 &amp; "'!C20")),INDIRECT("'Grupo " &amp; B5 &amp; "'!B12"):INDIRECT("'Grupo " &amp; B5 &amp; "'!G15"),2,FALSE)</f>
        <v>2582</v>
      </c>
      <c r="F6" s="10" cm="1">
        <f t="array" aca="1" ref="F6" ca="1">VLOOKUP(IF(INDIRECT("'Grupo " &amp; B5 &amp; "'!J20")=INDIRECT("'Grupo " &amp; B5 &amp; "'!C20"),INDIRECT("'Grupo " &amp; B5 &amp; "'!C21"),INDIRECT("'Grupo " &amp; B5 &amp; "'!C20")),INDIRECT("'Grupo " &amp; B5 &amp; "'!B12"):INDIRECT("'Grupo " &amp; B5 &amp; "'!G15"),2,FALSE)</f>
        <v>2582</v>
      </c>
      <c r="G6" s="11" cm="1">
        <f t="array" aca="1" ref="G6" ca="1">VLOOKUP(INDIRECT("'Grupo " &amp; B5 &amp; "'!J20"),INDIRECT("'Grupo " &amp; B5 &amp; "'!B12"):INDIRECT("'Grupo " &amp; B5 &amp; "'!J15"),2,FALSE)</f>
        <v>2513</v>
      </c>
      <c r="L6" s="12" t="e" cm="1">
        <f t="array" aca="1" ref="L6" ca="1">VLOOKUP(INDIRECT("'Grupo " &amp; K1 &amp; "'!J28"),INDIRECT("'Grupo " &amp; K1 &amp; "'!B12"):INDIRECT("'Grupo " &amp; K1 &amp; "'!J15"),2,FALSE)</f>
        <v>#N/A</v>
      </c>
      <c r="M6" s="13" t="e" cm="1">
        <f t="array" aca="1" ref="M6" ca="1">VLOOKUP(IF(INDIRECT("'Grupo " &amp; K1 &amp; "'!J28")=INDIRECT("'Grupo " &amp; K1 &amp; "'!C28"),INDIRECT("'Grupo " &amp; K1 &amp; "'!C29"),INDIRECT("'Grupo " &amp; K1 &amp; "'!C28")),INDIRECT("'Grupo " &amp; K1 &amp; "'!B12"):INDIRECT("'Grupo " &amp; K1 &amp; "'!G15"),2,FALSE)</f>
        <v>#N/A</v>
      </c>
      <c r="O6" s="14" t="e" cm="1">
        <f t="array" aca="1" ref="O6" ca="1">VLOOKUP(IF(INDIRECT("'Grupo " &amp; K1 &amp; "'!J28")=INDIRECT("'Grupo " &amp; K1 &amp; "'!C28"),INDIRECT("'Grupo " &amp; K1 &amp; "'!C29"),INDIRECT("'Grupo " &amp; K1 &amp; "'!C28")),INDIRECT("'Grupo " &amp; K1 &amp; "'!B12"):INDIRECT("'Grupo " &amp; K1 &amp; "'!G15"),2,FALSE)</f>
        <v>#N/A</v>
      </c>
      <c r="P6" s="15" t="e" cm="1">
        <f t="array" aca="1" ref="P6" ca="1">VLOOKUP(INDIRECT("'Grupo " &amp; K1 &amp; "'!J28"),INDIRECT("'Grupo " &amp; K1 &amp; "'!B12"):INDIRECT("'Grupo " &amp; K1 &amp; "'!J15"),2,FALSE)</f>
        <v>#N/A</v>
      </c>
    </row>
    <row r="7" spans="2:16" ht="15.75" thickBot="1" x14ac:dyDescent="0.3">
      <c r="C7" s="12" cm="1">
        <f t="array" aca="1" ref="C7" ca="1">VLOOKUP(INDIRECT("'Grupo " &amp; B5 &amp; "'!J22"),INDIRECT("'Grupo " &amp; B5 &amp; "'!B12"):INDIRECT("'Grupo " &amp; B5 &amp; "'!J15"),2,FALSE)</f>
        <v>4144</v>
      </c>
      <c r="D7" s="13" cm="1">
        <f t="array" aca="1" ref="D7" ca="1">VLOOKUP(IF(INDIRECT("'Grupo " &amp; B5 &amp; "'!J22")=INDIRECT("'Grupo " &amp; B5 &amp; "'!C22"),INDIRECT("'Grupo " &amp; B5 &amp; "'!C23"),INDIRECT("'Grupo " &amp; B5 &amp; "'!C22")),INDIRECT("'Grupo " &amp; B5 &amp; "'!B12"):INDIRECT("'Grupo " &amp; B5 &amp; "'!G15"),2,FALSE)</f>
        <v>2513</v>
      </c>
      <c r="F7" s="14" cm="1">
        <f t="array" aca="1" ref="F7" ca="1">VLOOKUP(IF(INDIRECT("'Grupo " &amp; B5 &amp; "'!J22")=INDIRECT("'Grupo " &amp; B5 &amp; "'!C22"),INDIRECT("'Grupo " &amp; B5 &amp; "'!C23"),INDIRECT("'Grupo " &amp; B5 &amp; "'!C22")),INDIRECT("'Grupo " &amp; B5 &amp; "'!B12"):INDIRECT("'Grupo " &amp; B5 &amp; "'!G15"),2,FALSE)</f>
        <v>2513</v>
      </c>
      <c r="G7" s="15" cm="1">
        <f t="array" aca="1" ref="G7" ca="1">VLOOKUP(INDIRECT("'Grupo " &amp; B5 &amp; "'!J22"),INDIRECT("'Grupo " &amp; B5 &amp; "'!B12"):INDIRECT("'Grupo " &amp; B5 &amp; "'!J15"),2,FALSE)</f>
        <v>4144</v>
      </c>
    </row>
    <row r="8" spans="2:16" ht="15.75" thickBot="1" x14ac:dyDescent="0.3">
      <c r="B8" s="7">
        <f>B5+1</f>
        <v>3</v>
      </c>
      <c r="C8" s="3" cm="1">
        <f t="array" aca="1" ref="C8" ca="1">VLOOKUP(INDIRECT("'Grupo " &amp; B8 &amp; "'!J18"),INDIRECT("'Grupo " &amp; B8 &amp; "'!B12"):INDIRECT("'Grupo " &amp; B8 &amp; "'!J15"),2,FALSE)</f>
        <v>4034</v>
      </c>
      <c r="D8" s="4" cm="1">
        <f t="array" aca="1" ref="D8" ca="1">VLOOKUP(IF(INDIRECT("'Grupo " &amp; B8 &amp; "'!J18")=INDIRECT("'Grupo " &amp; B8 &amp; "'!C18"),INDIRECT("'Grupo " &amp; B8 &amp; "'!C19"),INDIRECT("'Grupo " &amp; B8 &amp; "'!C18")),INDIRECT("'Grupo " &amp; B8 &amp; "'!B12"):INDIRECT("'Grupo " &amp; B8 &amp; "'!G15"),2,FALSE)</f>
        <v>4415</v>
      </c>
      <c r="F8" s="5" cm="1">
        <f t="array" aca="1" ref="F8" ca="1">VLOOKUP(IF(INDIRECT("'Grupo " &amp; B8 &amp; "'!J18")=INDIRECT("'Grupo " &amp; B8 &amp; "'!C18"),INDIRECT("'Grupo " &amp; B8 &amp; "'!C19"),INDIRECT("'Grupo " &amp; B8 &amp; "'!C18")),INDIRECT("'Grupo " &amp; B8 &amp; "'!B12"):INDIRECT("'Grupo " &amp; B8 &amp; "'!G15"),2,FALSE)</f>
        <v>4415</v>
      </c>
      <c r="G8" s="6" cm="1">
        <f t="array" aca="1" ref="G8" ca="1">VLOOKUP(INDIRECT("'Grupo " &amp; B8 &amp; "'!J18"),INDIRECT("'Grupo " &amp; B8 &amp; "'!B12"):INDIRECT("'Grupo " &amp; B8 &amp; "'!J15"),2,FALSE)</f>
        <v>4034</v>
      </c>
    </row>
    <row r="9" spans="2:16" x14ac:dyDescent="0.25">
      <c r="C9" s="8" cm="1">
        <f t="array" aca="1" ref="C9" ca="1">VLOOKUP(INDIRECT("'Grupo " &amp; B8 &amp; "'!J20"),INDIRECT("'Grupo " &amp; B8 &amp; "'!B12"):INDIRECT("'Grupo " &amp; B8 &amp; "'!J15"),2,FALSE)</f>
        <v>4034</v>
      </c>
      <c r="D9" s="9" cm="1">
        <f t="array" aca="1" ref="D9" ca="1">VLOOKUP(IF(INDIRECT("'Grupo " &amp; B8 &amp; "'!J20")=INDIRECT("'Grupo " &amp; B8 &amp; "'!C20"),INDIRECT("'Grupo " &amp; B8 &amp; "'!C21"),INDIRECT("'Grupo " &amp; B8 &amp; "'!C20")),INDIRECT("'Grupo " &amp; B8 &amp; "'!B12"):INDIRECT("'Grupo " &amp; B8 &amp; "'!G15"),2,FALSE)</f>
        <v>2847</v>
      </c>
      <c r="F9" s="10" cm="1">
        <f t="array" aca="1" ref="F9" ca="1">VLOOKUP(IF(INDIRECT("'Grupo " &amp; B8 &amp; "'!J20")=INDIRECT("'Grupo " &amp; B8 &amp; "'!C20"),INDIRECT("'Grupo " &amp; B8 &amp; "'!C21"),INDIRECT("'Grupo " &amp; B8 &amp; "'!C20")),INDIRECT("'Grupo " &amp; B8 &amp; "'!B12"):INDIRECT("'Grupo " &amp; B8 &amp; "'!G15"),2,FALSE)</f>
        <v>2847</v>
      </c>
      <c r="G9" s="11" cm="1">
        <f t="array" aca="1" ref="G9" ca="1">VLOOKUP(INDIRECT("'Grupo " &amp; B8 &amp; "'!J20"),INDIRECT("'Grupo " &amp; B8 &amp; "'!B12"):INDIRECT("'Grupo " &amp; B8 &amp; "'!J15"),2,FALSE)</f>
        <v>4034</v>
      </c>
    </row>
    <row r="10" spans="2:16" ht="15.75" thickBot="1" x14ac:dyDescent="0.3">
      <c r="C10" s="12" cm="1">
        <f t="array" aca="1" ref="C10" ca="1">VLOOKUP(INDIRECT("'Grupo " &amp; B8 &amp; "'!J22"),INDIRECT("'Grupo " &amp; B8 &amp; "'!B12"):INDIRECT("'Grupo " &amp; B8 &amp; "'!J15"),2,FALSE)</f>
        <v>2847</v>
      </c>
      <c r="D10" s="13" cm="1">
        <f t="array" aca="1" ref="D10" ca="1">VLOOKUP(IF(INDIRECT("'Grupo " &amp; B8 &amp; "'!J22")=INDIRECT("'Grupo " &amp; B8 &amp; "'!C22"),INDIRECT("'Grupo " &amp; B8 &amp; "'!C23"),INDIRECT("'Grupo " &amp; B8 &amp; "'!C22")),INDIRECT("'Grupo " &amp; B8 &amp; "'!B12"):INDIRECT("'Grupo " &amp; B8 &amp; "'!G15"),2,FALSE)</f>
        <v>4415</v>
      </c>
      <c r="F10" s="14" cm="1">
        <f t="array" aca="1" ref="F10" ca="1">VLOOKUP(IF(INDIRECT("'Grupo " &amp; B8 &amp; "'!J22")=INDIRECT("'Grupo " &amp; B8 &amp; "'!C22"),INDIRECT("'Grupo " &amp; B8 &amp; "'!C23"),INDIRECT("'Grupo " &amp; B8 &amp; "'!C22")),INDIRECT("'Grupo " &amp; B8 &amp; "'!B12"):INDIRECT("'Grupo " &amp; B8 &amp; "'!G15"),2,FALSE)</f>
        <v>4415</v>
      </c>
      <c r="G10" s="15" cm="1">
        <f t="array" aca="1" ref="G10" ca="1">VLOOKUP(INDIRECT("'Grupo " &amp; B8 &amp; "'!J22"),INDIRECT("'Grupo " &amp; B8 &amp; "'!B12"):INDIRECT("'Grupo " &amp; B8 &amp; "'!J15"),2,FALSE)</f>
        <v>2847</v>
      </c>
    </row>
    <row r="11" spans="2:16" ht="15.75" thickBot="1" x14ac:dyDescent="0.3">
      <c r="B11" s="7">
        <f>B8+1</f>
        <v>4</v>
      </c>
      <c r="C11" s="3" cm="1">
        <f t="array" aca="1" ref="C11" ca="1">VLOOKUP(INDIRECT("'Grupo " &amp; B11 &amp; "'!J18"),INDIRECT("'Grupo " &amp; B11 &amp; "'!B12"):INDIRECT("'Grupo " &amp; B11 &amp; "'!J15"),2,FALSE)</f>
        <v>3472</v>
      </c>
      <c r="D11" s="4" cm="1">
        <f t="array" aca="1" ref="D11" ca="1">VLOOKUP(IF(INDIRECT("'Grupo " &amp; B11 &amp; "'!J18")=INDIRECT("'Grupo " &amp; B11 &amp; "'!C18"),INDIRECT("'Grupo " &amp; B11 &amp; "'!C19"),INDIRECT("'Grupo " &amp; B11 &amp; "'!C18")),INDIRECT("'Grupo " &amp; B11 &amp; "'!B12"):INDIRECT("'Grupo " &amp; B11 &amp; "'!G15"),2,FALSE)</f>
        <v>4464</v>
      </c>
      <c r="F11" s="5" cm="1">
        <f t="array" aca="1" ref="F11" ca="1">VLOOKUP(IF(INDIRECT("'Grupo " &amp; B11 &amp; "'!J18")=INDIRECT("'Grupo " &amp; B11 &amp; "'!C18"),INDIRECT("'Grupo " &amp; B11 &amp; "'!C19"),INDIRECT("'Grupo " &amp; B11 &amp; "'!C18")),INDIRECT("'Grupo " &amp; B11 &amp; "'!B12"):INDIRECT("'Grupo " &amp; B11 &amp; "'!G15"),2,FALSE)</f>
        <v>4464</v>
      </c>
      <c r="G11" s="6" cm="1">
        <f t="array" aca="1" ref="G11" ca="1">VLOOKUP(INDIRECT("'Grupo " &amp; B11 &amp; "'!J18"),INDIRECT("'Grupo " &amp; B11 &amp; "'!B12"):INDIRECT("'Grupo " &amp; B11 &amp; "'!J15"),2,FALSE)</f>
        <v>3472</v>
      </c>
    </row>
    <row r="12" spans="2:16" x14ac:dyDescent="0.25">
      <c r="C12" s="8" cm="1">
        <f t="array" aca="1" ref="C12" ca="1">VLOOKUP(INDIRECT("'Grupo " &amp; B11 &amp; "'!J20"),INDIRECT("'Grupo " &amp; B11 &amp; "'!B12"):INDIRECT("'Grupo " &amp; B11 &amp; "'!J15"),2,FALSE)</f>
        <v>3472</v>
      </c>
      <c r="D12" s="9" cm="1">
        <f t="array" aca="1" ref="D12" ca="1">VLOOKUP(IF(INDIRECT("'Grupo " &amp; B11 &amp; "'!J20")=INDIRECT("'Grupo " &amp; B11 &amp; "'!C20"),INDIRECT("'Grupo " &amp; B11 &amp; "'!C21"),INDIRECT("'Grupo " &amp; B11 &amp; "'!C20")),INDIRECT("'Grupo " &amp; B11 &amp; "'!B12"):INDIRECT("'Grupo " &amp; B11 &amp; "'!G15"),2,FALSE)</f>
        <v>4248</v>
      </c>
      <c r="F12" s="10" cm="1">
        <f t="array" aca="1" ref="F12" ca="1">VLOOKUP(IF(INDIRECT("'Grupo " &amp; B11 &amp; "'!J20")=INDIRECT("'Grupo " &amp; B11 &amp; "'!C20"),INDIRECT("'Grupo " &amp; B11 &amp; "'!C21"),INDIRECT("'Grupo " &amp; B11 &amp; "'!C20")),INDIRECT("'Grupo " &amp; B11 &amp; "'!B12"):INDIRECT("'Grupo " &amp; B11 &amp; "'!G15"),2,FALSE)</f>
        <v>4248</v>
      </c>
      <c r="G12" s="11" cm="1">
        <f t="array" aca="1" ref="G12" ca="1">VLOOKUP(INDIRECT("'Grupo " &amp; B11 &amp; "'!J20"),INDIRECT("'Grupo " &amp; B11 &amp; "'!B12"):INDIRECT("'Grupo " &amp; B11 &amp; "'!J15"),2,FALSE)</f>
        <v>3472</v>
      </c>
      <c r="N12" s="16"/>
    </row>
    <row r="13" spans="2:16" ht="15.75" thickBot="1" x14ac:dyDescent="0.3">
      <c r="C13" s="12" cm="1">
        <f t="array" aca="1" ref="C13" ca="1">VLOOKUP(INDIRECT("'Grupo " &amp; B11 &amp; "'!J22"),INDIRECT("'Grupo " &amp; B11 &amp; "'!B12"):INDIRECT("'Grupo " &amp; B11 &amp; "'!J15"),2,FALSE)</f>
        <v>4464</v>
      </c>
      <c r="D13" s="13" cm="1">
        <f t="array" aca="1" ref="D13" ca="1">VLOOKUP(IF(INDIRECT("'Grupo " &amp; B11 &amp; "'!J22")=INDIRECT("'Grupo " &amp; B11 &amp; "'!C22"),INDIRECT("'Grupo " &amp; B11 &amp; "'!C23"),INDIRECT("'Grupo " &amp; B11 &amp; "'!C22")),INDIRECT("'Grupo " &amp; B11 &amp; "'!B12"):INDIRECT("'Grupo " &amp; B11 &amp; "'!G15"),2,FALSE)</f>
        <v>4248</v>
      </c>
      <c r="F13" s="14" cm="1">
        <f t="array" aca="1" ref="F13" ca="1">VLOOKUP(IF(INDIRECT("'Grupo " &amp; B11 &amp; "'!J22")=INDIRECT("'Grupo " &amp; B11 &amp; "'!C22"),INDIRECT("'Grupo " &amp; B11 &amp; "'!C23"),INDIRECT("'Grupo " &amp; B11 &amp; "'!C22")),INDIRECT("'Grupo " &amp; B11 &amp; "'!B12"):INDIRECT("'Grupo " &amp; B11 &amp; "'!G15"),2,FALSE)</f>
        <v>4248</v>
      </c>
      <c r="G13" s="15" cm="1">
        <f t="array" aca="1" ref="G13" ca="1">VLOOKUP(INDIRECT("'Grupo " &amp; B11 &amp; "'!J22"),INDIRECT("'Grupo " &amp; B11 &amp; "'!B12"):INDIRECT("'Grupo " &amp; B11 &amp; "'!J15"),2,FALSE)</f>
        <v>4464</v>
      </c>
    </row>
    <row r="14" spans="2:16" ht="15.75" thickBot="1" x14ac:dyDescent="0.3">
      <c r="B14" s="7">
        <f>B11+1</f>
        <v>5</v>
      </c>
      <c r="C14" s="3" cm="1">
        <f t="array" aca="1" ref="C14" ca="1">VLOOKUP(INDIRECT("'Grupo " &amp; B14 &amp; "'!J18"),INDIRECT("'Grupo " &amp; B14 &amp; "'!B12"):INDIRECT("'Grupo " &amp; B14 &amp; "'!J15"),2,FALSE)</f>
        <v>2895</v>
      </c>
      <c r="D14" s="4" cm="1">
        <f t="array" aca="1" ref="D14" ca="1">VLOOKUP(IF(INDIRECT("'Grupo " &amp; B14 &amp; "'!J18")=INDIRECT("'Grupo " &amp; B14 &amp; "'!C18"),INDIRECT("'Grupo " &amp; B14 &amp; "'!C19"),INDIRECT("'Grupo " &amp; B14 &amp; "'!C18")),INDIRECT("'Grupo " &amp; B14 &amp; "'!B12"):INDIRECT("'Grupo " &amp; B14 &amp; "'!G15"),2,FALSE)</f>
        <v>3450</v>
      </c>
      <c r="F14" s="5" cm="1">
        <f t="array" aca="1" ref="F14" ca="1">VLOOKUP(IF(INDIRECT("'Grupo " &amp; B14 &amp; "'!J18")=INDIRECT("'Grupo " &amp; B14 &amp; "'!C18"),INDIRECT("'Grupo " &amp; B14 &amp; "'!C19"),INDIRECT("'Grupo " &amp; B14 &amp; "'!C18")),INDIRECT("'Grupo " &amp; B14 &amp; "'!B12"):INDIRECT("'Grupo " &amp; B14 &amp; "'!G15"),2,FALSE)</f>
        <v>3450</v>
      </c>
      <c r="G14" s="6" cm="1">
        <f t="array" aca="1" ref="G14" ca="1">VLOOKUP(INDIRECT("'Grupo " &amp; B14 &amp; "'!J18"),INDIRECT("'Grupo " &amp; B14 &amp; "'!B12"):INDIRECT("'Grupo " &amp; B14 &amp; "'!J15"),2,FALSE)</f>
        <v>2895</v>
      </c>
    </row>
    <row r="15" spans="2:16" x14ac:dyDescent="0.25">
      <c r="C15" s="8" cm="1">
        <f t="array" aca="1" ref="C15" ca="1">VLOOKUP(INDIRECT("'Grupo " &amp; B14 &amp; "'!J20"),INDIRECT("'Grupo " &amp; B14 &amp; "'!B12"):INDIRECT("'Grupo " &amp; B14 &amp; "'!J15"),2,FALSE)</f>
        <v>2895</v>
      </c>
      <c r="D15" s="9" cm="1">
        <f t="array" aca="1" ref="D15" ca="1">VLOOKUP(IF(INDIRECT("'Grupo " &amp; B14 &amp; "'!J20")=INDIRECT("'Grupo " &amp; B14 &amp; "'!C20"),INDIRECT("'Grupo " &amp; B14 &amp; "'!C21"),INDIRECT("'Grupo " &amp; B14 &amp; "'!C20")),INDIRECT("'Grupo " &amp; B14 &amp; "'!B12"):INDIRECT("'Grupo " &amp; B14 &amp; "'!G15"),2,FALSE)</f>
        <v>3898</v>
      </c>
      <c r="F15" s="10" cm="1">
        <f t="array" aca="1" ref="F15" ca="1">VLOOKUP(IF(INDIRECT("'Grupo " &amp; B14 &amp; "'!J20")=INDIRECT("'Grupo " &amp; B14 &amp; "'!C20"),INDIRECT("'Grupo " &amp; B14 &amp; "'!C21"),INDIRECT("'Grupo " &amp; B14 &amp; "'!C20")),INDIRECT("'Grupo " &amp; B14 &amp; "'!B12"):INDIRECT("'Grupo " &amp; B14 &amp; "'!G15"),2,FALSE)</f>
        <v>3898</v>
      </c>
      <c r="G15" s="11" cm="1">
        <f t="array" aca="1" ref="G15" ca="1">VLOOKUP(INDIRECT("'Grupo " &amp; B14 &amp; "'!J20"),INDIRECT("'Grupo " &amp; B14 &amp; "'!B12"):INDIRECT("'Grupo " &amp; B14 &amp; "'!J15"),2,FALSE)</f>
        <v>2895</v>
      </c>
    </row>
    <row r="16" spans="2:16" ht="15.75" thickBot="1" x14ac:dyDescent="0.3">
      <c r="C16" s="12" cm="1">
        <f t="array" aca="1" ref="C16" ca="1">VLOOKUP(INDIRECT("'Grupo " &amp; B14 &amp; "'!J22"),INDIRECT("'Grupo " &amp; B14 &amp; "'!B12"):INDIRECT("'Grupo " &amp; B14 &amp; "'!J15"),2,FALSE)</f>
        <v>3450</v>
      </c>
      <c r="D16" s="13" cm="1">
        <f t="array" aca="1" ref="D16" ca="1">VLOOKUP(IF(INDIRECT("'Grupo " &amp; B14 &amp; "'!J22")=INDIRECT("'Grupo " &amp; B14 &amp; "'!C22"),INDIRECT("'Grupo " &amp; B14 &amp; "'!C23"),INDIRECT("'Grupo " &amp; B14 &amp; "'!C22")),INDIRECT("'Grupo " &amp; B14 &amp; "'!B12"):INDIRECT("'Grupo " &amp; B14 &amp; "'!G15"),2,FALSE)</f>
        <v>3898</v>
      </c>
      <c r="F16" s="14" cm="1">
        <f t="array" aca="1" ref="F16" ca="1">VLOOKUP(IF(INDIRECT("'Grupo " &amp; B14 &amp; "'!J22")=INDIRECT("'Grupo " &amp; B14 &amp; "'!C22"),INDIRECT("'Grupo " &amp; B14 &amp; "'!C23"),INDIRECT("'Grupo " &amp; B14 &amp; "'!C22")),INDIRECT("'Grupo " &amp; B14 &amp; "'!B12"):INDIRECT("'Grupo " &amp; B14 &amp; "'!G15"),2,FALSE)</f>
        <v>3898</v>
      </c>
      <c r="G16" s="15" cm="1">
        <f t="array" aca="1" ref="G16" ca="1">VLOOKUP(INDIRECT("'Grupo " &amp; B14 &amp; "'!J22"),INDIRECT("'Grupo " &amp; B14 &amp; "'!B12"):INDIRECT("'Grupo " &amp; B14 &amp; "'!J15"),2,FALSE)</f>
        <v>3450</v>
      </c>
    </row>
    <row r="17" spans="2:7" ht="15.75" thickBot="1" x14ac:dyDescent="0.3">
      <c r="B17" s="7">
        <f>B14+1</f>
        <v>6</v>
      </c>
      <c r="C17" s="3" cm="1">
        <f t="array" aca="1" ref="C17" ca="1">VLOOKUP(INDIRECT("'Grupo " &amp; B17 &amp; "'!J18"),INDIRECT("'Grupo " &amp; B17 &amp; "'!B12"):INDIRECT("'Grupo " &amp; B17 &amp; "'!J15"),2,FALSE)</f>
        <v>2623</v>
      </c>
      <c r="D17" s="4" cm="1">
        <f t="array" aca="1" ref="D17" ca="1">VLOOKUP(IF(INDIRECT("'Grupo " &amp; B17 &amp; "'!J18")=INDIRECT("'Grupo " &amp; B17 &amp; "'!C18"),INDIRECT("'Grupo " &amp; B17 &amp; "'!C19"),INDIRECT("'Grupo " &amp; B17 &amp; "'!C18")),INDIRECT("'Grupo " &amp; B17 &amp; "'!B12"):INDIRECT("'Grupo " &amp; B17 &amp; "'!G15"),2,FALSE)</f>
        <v>4528</v>
      </c>
      <c r="F17" s="5" cm="1">
        <f t="array" aca="1" ref="F17" ca="1">VLOOKUP(IF(INDIRECT("'Grupo " &amp; B17 &amp; "'!J18")=INDIRECT("'Grupo " &amp; B17 &amp; "'!C18"),INDIRECT("'Grupo " &amp; B17 &amp; "'!C19"),INDIRECT("'Grupo " &amp; B17 &amp; "'!C18")),INDIRECT("'Grupo " &amp; B17 &amp; "'!B12"):INDIRECT("'Grupo " &amp; B17 &amp; "'!G15"),2,FALSE)</f>
        <v>4528</v>
      </c>
      <c r="G17" s="6" cm="1">
        <f t="array" aca="1" ref="G17" ca="1">VLOOKUP(INDIRECT("'Grupo " &amp; B17 &amp; "'!J18"),INDIRECT("'Grupo " &amp; B17 &amp; "'!B12"):INDIRECT("'Grupo " &amp; B17 &amp; "'!J15"),2,FALSE)</f>
        <v>2623</v>
      </c>
    </row>
    <row r="18" spans="2:7" x14ac:dyDescent="0.25">
      <c r="C18" s="8" cm="1">
        <f t="array" aca="1" ref="C18" ca="1">VLOOKUP(INDIRECT("'Grupo " &amp; B17 &amp; "'!J20"),INDIRECT("'Grupo " &amp; B17 &amp; "'!B12"):INDIRECT("'Grupo " &amp; B17 &amp; "'!J15"),2,FALSE)</f>
        <v>2623</v>
      </c>
      <c r="D18" s="9" cm="1">
        <f t="array" aca="1" ref="D18" ca="1">VLOOKUP(IF(INDIRECT("'Grupo " &amp; B17 &amp; "'!J20")=INDIRECT("'Grupo " &amp; B17 &amp; "'!C20"),INDIRECT("'Grupo " &amp; B17 &amp; "'!C21"),INDIRECT("'Grupo " &amp; B17 &amp; "'!C20")),INDIRECT("'Grupo " &amp; B17 &amp; "'!B12"):INDIRECT("'Grupo " &amp; B17 &amp; "'!G15"),2,FALSE)</f>
        <v>4463</v>
      </c>
      <c r="F18" s="10" cm="1">
        <f t="array" aca="1" ref="F18" ca="1">VLOOKUP(IF(INDIRECT("'Grupo " &amp; B17 &amp; "'!J20")=INDIRECT("'Grupo " &amp; B17 &amp; "'!C20"),INDIRECT("'Grupo " &amp; B17 &amp; "'!C21"),INDIRECT("'Grupo " &amp; B17 &amp; "'!C20")),INDIRECT("'Grupo " &amp; B17 &amp; "'!B12"):INDIRECT("'Grupo " &amp; B17 &amp; "'!G15"),2,FALSE)</f>
        <v>4463</v>
      </c>
      <c r="G18" s="11" cm="1">
        <f t="array" aca="1" ref="G18" ca="1">VLOOKUP(INDIRECT("'Grupo " &amp; B17 &amp; "'!J20"),INDIRECT("'Grupo " &amp; B17 &amp; "'!B12"):INDIRECT("'Grupo " &amp; B17 &amp; "'!J15"),2,FALSE)</f>
        <v>2623</v>
      </c>
    </row>
    <row r="19" spans="2:7" ht="15.75" thickBot="1" x14ac:dyDescent="0.3">
      <c r="C19" s="12" cm="1">
        <f t="array" aca="1" ref="C19" ca="1">VLOOKUP(INDIRECT("'Grupo " &amp; B17 &amp; "'!J22"),INDIRECT("'Grupo " &amp; B17 &amp; "'!B12"):INDIRECT("'Grupo " &amp; B17 &amp; "'!J15"),2,FALSE)</f>
        <v>4463</v>
      </c>
      <c r="D19" s="13" cm="1">
        <f t="array" aca="1" ref="D19" ca="1">VLOOKUP(IF(INDIRECT("'Grupo " &amp; B17 &amp; "'!J22")=INDIRECT("'Grupo " &amp; B17 &amp; "'!C22"),INDIRECT("'Grupo " &amp; B17 &amp; "'!C23"),INDIRECT("'Grupo " &amp; B17 &amp; "'!C22")),INDIRECT("'Grupo " &amp; B17 &amp; "'!B12"):INDIRECT("'Grupo " &amp; B17 &amp; "'!G15"),2,FALSE)</f>
        <v>4528</v>
      </c>
      <c r="F19" s="14" cm="1">
        <f t="array" aca="1" ref="F19" ca="1">VLOOKUP(IF(INDIRECT("'Grupo " &amp; B17 &amp; "'!J22")=INDIRECT("'Grupo " &amp; B17 &amp; "'!C22"),INDIRECT("'Grupo " &amp; B17 &amp; "'!C23"),INDIRECT("'Grupo " &amp; B17 &amp; "'!C22")),INDIRECT("'Grupo " &amp; B17 &amp; "'!B12"):INDIRECT("'Grupo " &amp; B17 &amp; "'!G15"),2,FALSE)</f>
        <v>4528</v>
      </c>
      <c r="G19" s="15" cm="1">
        <f t="array" aca="1" ref="G19" ca="1">VLOOKUP(INDIRECT("'Grupo " &amp; B17 &amp; "'!J22"),INDIRECT("'Grupo " &amp; B17 &amp; "'!B12"):INDIRECT("'Grupo " &amp; B17 &amp; "'!J15"),2,FALSE)</f>
        <v>4463</v>
      </c>
    </row>
    <row r="20" spans="2:7" ht="15.75" thickBot="1" x14ac:dyDescent="0.3">
      <c r="B20" s="7">
        <f>B17+1</f>
        <v>7</v>
      </c>
      <c r="C20" s="3" cm="1">
        <f t="array" aca="1" ref="C20" ca="1">VLOOKUP(INDIRECT("'Grupo " &amp; B20 &amp; "'!J18"),INDIRECT("'Grupo " &amp; B20 &amp; "'!B12"):INDIRECT("'Grupo " &amp; B20 &amp; "'!J15"),2,FALSE)</f>
        <v>3153</v>
      </c>
      <c r="D20" s="4" cm="1">
        <f t="array" aca="1" ref="D20" ca="1">VLOOKUP(IF(INDIRECT("'Grupo " &amp; B20 &amp; "'!J18")=INDIRECT("'Grupo " &amp; B20 &amp; "'!C18"),INDIRECT("'Grupo " &amp; B20 &amp; "'!C19"),INDIRECT("'Grupo " &amp; B20 &amp; "'!C18")),INDIRECT("'Grupo " &amp; B20 &amp; "'!B12"):INDIRECT("'Grupo " &amp; B20 &amp; "'!G15"),2,FALSE)</f>
        <v>4284</v>
      </c>
      <c r="F20" s="5" cm="1">
        <f t="array" aca="1" ref="F20" ca="1">VLOOKUP(IF(INDIRECT("'Grupo " &amp; B20 &amp; "'!J18")=INDIRECT("'Grupo " &amp; B20 &amp; "'!C18"),INDIRECT("'Grupo " &amp; B20 &amp; "'!C19"),INDIRECT("'Grupo " &amp; B20 &amp; "'!C18")),INDIRECT("'Grupo " &amp; B20 &amp; "'!B12"):INDIRECT("'Grupo " &amp; B20 &amp; "'!G15"),2,FALSE)</f>
        <v>4284</v>
      </c>
      <c r="G20" s="6" cm="1">
        <f t="array" aca="1" ref="G20" ca="1">VLOOKUP(INDIRECT("'Grupo " &amp; B20 &amp; "'!J18"),INDIRECT("'Grupo " &amp; B20 &amp; "'!B12"):INDIRECT("'Grupo " &amp; B20 &amp; "'!J15"),2,FALSE)</f>
        <v>3153</v>
      </c>
    </row>
    <row r="21" spans="2:7" x14ac:dyDescent="0.25">
      <c r="C21" s="8" cm="1">
        <f t="array" aca="1" ref="C21" ca="1">VLOOKUP(INDIRECT("'Grupo " &amp; B20 &amp; "'!J20"),INDIRECT("'Grupo " &amp; B20 &amp; "'!B12"):INDIRECT("'Grupo " &amp; B20 &amp; "'!J15"),2,FALSE)</f>
        <v>3153</v>
      </c>
      <c r="D21" s="9" cm="1">
        <f t="array" aca="1" ref="D21" ca="1">VLOOKUP(IF(INDIRECT("'Grupo " &amp; B20 &amp; "'!J20")=INDIRECT("'Grupo " &amp; B20 &amp; "'!C20"),INDIRECT("'Grupo " &amp; B20 &amp; "'!C21"),INDIRECT("'Grupo " &amp; B20 &amp; "'!C20")),INDIRECT("'Grupo " &amp; B20 &amp; "'!B12"):INDIRECT("'Grupo " &amp; B20 &amp; "'!G15"),2,FALSE)</f>
        <v>4677</v>
      </c>
      <c r="F21" s="10" cm="1">
        <f t="array" aca="1" ref="F21" ca="1">VLOOKUP(IF(INDIRECT("'Grupo " &amp; B20 &amp; "'!J20")=INDIRECT("'Grupo " &amp; B20 &amp; "'!C20"),INDIRECT("'Grupo " &amp; B20 &amp; "'!C21"),INDIRECT("'Grupo " &amp; B20 &amp; "'!C20")),INDIRECT("'Grupo " &amp; B20 &amp; "'!B12"):INDIRECT("'Grupo " &amp; B20 &amp; "'!G15"),2,FALSE)</f>
        <v>4677</v>
      </c>
      <c r="G21" s="11" cm="1">
        <f t="array" aca="1" ref="G21" ca="1">VLOOKUP(INDIRECT("'Grupo " &amp; B20 &amp; "'!J20"),INDIRECT("'Grupo " &amp; B20 &amp; "'!B12"):INDIRECT("'Grupo " &amp; B20 &amp; "'!J15"),2,FALSE)</f>
        <v>3153</v>
      </c>
    </row>
    <row r="22" spans="2:7" ht="15.75" thickBot="1" x14ac:dyDescent="0.3">
      <c r="C22" s="12" cm="1">
        <f t="array" aca="1" ref="C22" ca="1">VLOOKUP(INDIRECT("'Grupo " &amp; B20 &amp; "'!J22"),INDIRECT("'Grupo " &amp; B20 &amp; "'!B12"):INDIRECT("'Grupo " &amp; B20 &amp; "'!J15"),2,FALSE)</f>
        <v>4284</v>
      </c>
      <c r="D22" s="13" cm="1">
        <f t="array" aca="1" ref="D22" ca="1">VLOOKUP(IF(INDIRECT("'Grupo " &amp; B20 &amp; "'!J22")=INDIRECT("'Grupo " &amp; B20 &amp; "'!C22"),INDIRECT("'Grupo " &amp; B20 &amp; "'!C23"),INDIRECT("'Grupo " &amp; B20 &amp; "'!C22")),INDIRECT("'Grupo " &amp; B20 &amp; "'!B12"):INDIRECT("'Grupo " &amp; B20 &amp; "'!G15"),2,FALSE)</f>
        <v>4677</v>
      </c>
      <c r="F22" s="14" cm="1">
        <f t="array" aca="1" ref="F22" ca="1">VLOOKUP(IF(INDIRECT("'Grupo " &amp; B20 &amp; "'!J22")=INDIRECT("'Grupo " &amp; B20 &amp; "'!C22"),INDIRECT("'Grupo " &amp; B20 &amp; "'!C23"),INDIRECT("'Grupo " &amp; B20 &amp; "'!C22")),INDIRECT("'Grupo " &amp; B20 &amp; "'!B12"):INDIRECT("'Grupo " &amp; B20 &amp; "'!G15"),2,FALSE)</f>
        <v>4677</v>
      </c>
      <c r="G22" s="15" cm="1">
        <f t="array" aca="1" ref="G22" ca="1">VLOOKUP(INDIRECT("'Grupo " &amp; B20 &amp; "'!J22"),INDIRECT("'Grupo " &amp; B20 &amp; "'!B12"):INDIRECT("'Grupo " &amp; B20 &amp; "'!J15"),2,FALSE)</f>
        <v>4284</v>
      </c>
    </row>
    <row r="23" spans="2:7" ht="15.75" thickBot="1" x14ac:dyDescent="0.3">
      <c r="B23" s="7">
        <f>B20+1</f>
        <v>8</v>
      </c>
      <c r="C23" s="3" cm="1">
        <f t="array" aca="1" ref="C23" ca="1">VLOOKUP(INDIRECT("'Grupo " &amp; B23 &amp; "'!J18"),INDIRECT("'Grupo " &amp; B23 &amp; "'!B12"):INDIRECT("'Grupo " &amp; B23 &amp; "'!J15"),2,FALSE)</f>
        <v>3839</v>
      </c>
      <c r="D23" s="4" cm="1">
        <f t="array" aca="1" ref="D23" ca="1">VLOOKUP(IF(INDIRECT("'Grupo " &amp; B23 &amp; "'!J18")=INDIRECT("'Grupo " &amp; B23 &amp; "'!C18"),INDIRECT("'Grupo " &amp; B23 &amp; "'!C19"),INDIRECT("'Grupo " &amp; B23 &amp; "'!C18")),INDIRECT("'Grupo " &amp; B23 &amp; "'!B12"):INDIRECT("'Grupo " &amp; B23 &amp; "'!G15"),2,FALSE)</f>
        <v>4641</v>
      </c>
      <c r="F23" s="5" cm="1">
        <f t="array" aca="1" ref="F23" ca="1">VLOOKUP(IF(INDIRECT("'Grupo " &amp; B23 &amp; "'!J18")=INDIRECT("'Grupo " &amp; B23 &amp; "'!C18"),INDIRECT("'Grupo " &amp; B23 &amp; "'!C19"),INDIRECT("'Grupo " &amp; B23 &amp; "'!C18")),INDIRECT("'Grupo " &amp; B23 &amp; "'!B12"):INDIRECT("'Grupo " &amp; B23 &amp; "'!G15"),2,FALSE)</f>
        <v>4641</v>
      </c>
      <c r="G23" s="6" cm="1">
        <f t="array" aca="1" ref="G23" ca="1">VLOOKUP(INDIRECT("'Grupo " &amp; B23 &amp; "'!J18"),INDIRECT("'Grupo " &amp; B23 &amp; "'!B12"):INDIRECT("'Grupo " &amp; B23 &amp; "'!J15"),2,FALSE)</f>
        <v>3839</v>
      </c>
    </row>
    <row r="24" spans="2:7" x14ac:dyDescent="0.25">
      <c r="C24" s="8" cm="1">
        <f t="array" aca="1" ref="C24" ca="1">VLOOKUP(INDIRECT("'Grupo " &amp; B23 &amp; "'!J20"),INDIRECT("'Grupo " &amp; B23 &amp; "'!B12"):INDIRECT("'Grupo " &amp; B23 &amp; "'!J15"),2,FALSE)</f>
        <v>4002</v>
      </c>
      <c r="D24" s="9" cm="1">
        <f t="array" aca="1" ref="D24" ca="1">VLOOKUP(IF(INDIRECT("'Grupo " &amp; B23 &amp; "'!J20")=INDIRECT("'Grupo " &amp; B23 &amp; "'!C20"),INDIRECT("'Grupo " &amp; B23 &amp; "'!C21"),INDIRECT("'Grupo " &amp; B23 &amp; "'!C20")),INDIRECT("'Grupo " &amp; B23 &amp; "'!B12"):INDIRECT("'Grupo " &amp; B23 &amp; "'!G15"),2,FALSE)</f>
        <v>3839</v>
      </c>
      <c r="F24" s="10" cm="1">
        <f t="array" aca="1" ref="F24" ca="1">VLOOKUP(IF(INDIRECT("'Grupo " &amp; B23 &amp; "'!J20")=INDIRECT("'Grupo " &amp; B23 &amp; "'!C20"),INDIRECT("'Grupo " &amp; B23 &amp; "'!C21"),INDIRECT("'Grupo " &amp; B23 &amp; "'!C20")),INDIRECT("'Grupo " &amp; B23 &amp; "'!B12"):INDIRECT("'Grupo " &amp; B23 &amp; "'!G15"),2,FALSE)</f>
        <v>3839</v>
      </c>
      <c r="G24" s="11" cm="1">
        <f t="array" aca="1" ref="G24" ca="1">VLOOKUP(INDIRECT("'Grupo " &amp; B23 &amp; "'!J20"),INDIRECT("'Grupo " &amp; B23 &amp; "'!B12"):INDIRECT("'Grupo " &amp; B23 &amp; "'!J15"),2,FALSE)</f>
        <v>4002</v>
      </c>
    </row>
    <row r="25" spans="2:7" ht="15.75" thickBot="1" x14ac:dyDescent="0.3">
      <c r="C25" s="12" cm="1">
        <f t="array" aca="1" ref="C25" ca="1">VLOOKUP(INDIRECT("'Grupo " &amp; B23 &amp; "'!J22"),INDIRECT("'Grupo " &amp; B23 &amp; "'!B12"):INDIRECT("'Grupo " &amp; B23 &amp; "'!J15"),2,FALSE)</f>
        <v>4002</v>
      </c>
      <c r="D25" s="13" cm="1">
        <f t="array" aca="1" ref="D25" ca="1">VLOOKUP(IF(INDIRECT("'Grupo " &amp; B23 &amp; "'!J22")=INDIRECT("'Grupo " &amp; B23 &amp; "'!C22"),INDIRECT("'Grupo " &amp; B23 &amp; "'!C23"),INDIRECT("'Grupo " &amp; B23 &amp; "'!C22")),INDIRECT("'Grupo " &amp; B23 &amp; "'!B12"):INDIRECT("'Grupo " &amp; B23 &amp; "'!G15"),2,FALSE)</f>
        <v>4641</v>
      </c>
      <c r="F25" s="14" cm="1">
        <f t="array" aca="1" ref="F25" ca="1">VLOOKUP(IF(INDIRECT("'Grupo " &amp; B23 &amp; "'!J22")=INDIRECT("'Grupo " &amp; B23 &amp; "'!C22"),INDIRECT("'Grupo " &amp; B23 &amp; "'!C23"),INDIRECT("'Grupo " &amp; B23 &amp; "'!C22")),INDIRECT("'Grupo " &amp; B23 &amp; "'!B12"):INDIRECT("'Grupo " &amp; B23 &amp; "'!G15"),2,FALSE)</f>
        <v>4641</v>
      </c>
      <c r="G25" s="15" cm="1">
        <f t="array" aca="1" ref="G25" ca="1">VLOOKUP(INDIRECT("'Grupo " &amp; B23 &amp; "'!J22"),INDIRECT("'Grupo " &amp; B23 &amp; "'!B12"):INDIRECT("'Grupo " &amp; B23 &amp; "'!J15"),2,FALSE)</f>
        <v>4002</v>
      </c>
    </row>
    <row r="26" spans="2:7" ht="15.75" thickBot="1" x14ac:dyDescent="0.3">
      <c r="B26" s="7">
        <f>B23+1</f>
        <v>9</v>
      </c>
      <c r="C26" s="3" cm="1">
        <f t="array" aca="1" ref="C26" ca="1">VLOOKUP(INDIRECT("'Grupo " &amp; B26 &amp; "'!J18"),INDIRECT("'Grupo " &amp; B26 &amp; "'!B12"):INDIRECT("'Grupo " &amp; B26 &amp; "'!J15"),2,FALSE)</f>
        <v>3836</v>
      </c>
      <c r="D26" s="4" cm="1">
        <f t="array" aca="1" ref="D26" ca="1">VLOOKUP(IF(INDIRECT("'Grupo " &amp; B26 &amp; "'!J18")=INDIRECT("'Grupo " &amp; B26 &amp; "'!C18"),INDIRECT("'Grupo " &amp; B26 &amp; "'!C19"),INDIRECT("'Grupo " &amp; B26 &amp; "'!C18")),INDIRECT("'Grupo " &amp; B26 &amp; "'!B12"):INDIRECT("'Grupo " &amp; B26 &amp; "'!G15"),2,FALSE)</f>
        <v>4115</v>
      </c>
      <c r="F26" s="5" cm="1">
        <f t="array" aca="1" ref="F26" ca="1">VLOOKUP(IF(INDIRECT("'Grupo " &amp; B26 &amp; "'!J18")=INDIRECT("'Grupo " &amp; B26 &amp; "'!C18"),INDIRECT("'Grupo " &amp; B26 &amp; "'!C19"),INDIRECT("'Grupo " &amp; B26 &amp; "'!C18")),INDIRECT("'Grupo " &amp; B26 &amp; "'!B12"):INDIRECT("'Grupo " &amp; B26 &amp; "'!G15"),2,FALSE)</f>
        <v>4115</v>
      </c>
      <c r="G26" s="6" cm="1">
        <f t="array" aca="1" ref="G26" ca="1">VLOOKUP(INDIRECT("'Grupo " &amp; B26 &amp; "'!J18"),INDIRECT("'Grupo " &amp; B26 &amp; "'!B12"):INDIRECT("'Grupo " &amp; B26 &amp; "'!J15"),2,FALSE)</f>
        <v>3836</v>
      </c>
    </row>
    <row r="27" spans="2:7" x14ac:dyDescent="0.25">
      <c r="C27" s="8" cm="1">
        <f t="array" aca="1" ref="C27" ca="1">VLOOKUP(INDIRECT("'Grupo " &amp; B26 &amp; "'!J20"),INDIRECT("'Grupo " &amp; B26 &amp; "'!B12"):INDIRECT("'Grupo " &amp; B26 &amp; "'!J15"),2,FALSE)</f>
        <v>3836</v>
      </c>
      <c r="D27" s="9" cm="1">
        <f t="array" aca="1" ref="D27" ca="1">VLOOKUP(IF(INDIRECT("'Grupo " &amp; B26 &amp; "'!J20")=INDIRECT("'Grupo " &amp; B26 &amp; "'!C20"),INDIRECT("'Grupo " &amp; B26 &amp; "'!C21"),INDIRECT("'Grupo " &amp; B26 &amp; "'!C20")),INDIRECT("'Grupo " &amp; B26 &amp; "'!B12"):INDIRECT("'Grupo " &amp; B26 &amp; "'!G15"),2,FALSE)</f>
        <v>3234</v>
      </c>
      <c r="F27" s="10" cm="1">
        <f t="array" aca="1" ref="F27" ca="1">VLOOKUP(IF(INDIRECT("'Grupo " &amp; B26 &amp; "'!J20")=INDIRECT("'Grupo " &amp; B26 &amp; "'!C20"),INDIRECT("'Grupo " &amp; B26 &amp; "'!C21"),INDIRECT("'Grupo " &amp; B26 &amp; "'!C20")),INDIRECT("'Grupo " &amp; B26 &amp; "'!B12"):INDIRECT("'Grupo " &amp; B26 &amp; "'!G15"),2,FALSE)</f>
        <v>3234</v>
      </c>
      <c r="G27" s="11" cm="1">
        <f t="array" aca="1" ref="G27" ca="1">VLOOKUP(INDIRECT("'Grupo " &amp; B26 &amp; "'!J20"),INDIRECT("'Grupo " &amp; B26 &amp; "'!B12"):INDIRECT("'Grupo " &amp; B26 &amp; "'!J15"),2,FALSE)</f>
        <v>3836</v>
      </c>
    </row>
    <row r="28" spans="2:7" ht="15.75" thickBot="1" x14ac:dyDescent="0.3">
      <c r="C28" s="12" cm="1">
        <f t="array" aca="1" ref="C28" ca="1">VLOOKUP(INDIRECT("'Grupo " &amp; B26 &amp; "'!J22"),INDIRECT("'Grupo " &amp; B26 &amp; "'!B12"):INDIRECT("'Grupo " &amp; B26 &amp; "'!J15"),2,FALSE)</f>
        <v>4115</v>
      </c>
      <c r="D28" s="13" cm="1">
        <f t="array" aca="1" ref="D28" ca="1">VLOOKUP(IF(INDIRECT("'Grupo " &amp; B26 &amp; "'!J22")=INDIRECT("'Grupo " &amp; B26 &amp; "'!C22"),INDIRECT("'Grupo " &amp; B26 &amp; "'!C23"),INDIRECT("'Grupo " &amp; B26 &amp; "'!C22")),INDIRECT("'Grupo " &amp; B26 &amp; "'!B12"):INDIRECT("'Grupo " &amp; B26 &amp; "'!G15"),2,FALSE)</f>
        <v>3234</v>
      </c>
      <c r="F28" s="14" cm="1">
        <f t="array" aca="1" ref="F28" ca="1">VLOOKUP(IF(INDIRECT("'Grupo " &amp; B26 &amp; "'!J22")=INDIRECT("'Grupo " &amp; B26 &amp; "'!C22"),INDIRECT("'Grupo " &amp; B26 &amp; "'!C23"),INDIRECT("'Grupo " &amp; B26 &amp; "'!C22")),INDIRECT("'Grupo " &amp; B26 &amp; "'!B12"):INDIRECT("'Grupo " &amp; B26 &amp; "'!G15"),2,FALSE)</f>
        <v>3234</v>
      </c>
      <c r="G28" s="15" cm="1">
        <f t="array" aca="1" ref="G28" ca="1">VLOOKUP(INDIRECT("'Grupo " &amp; B26 &amp; "'!J22"),INDIRECT("'Grupo " &amp; B26 &amp; "'!B12"):INDIRECT("'Grupo " &amp; B26 &amp; "'!J15"),2,FALSE)</f>
        <v>4115</v>
      </c>
    </row>
    <row r="29" spans="2:7" ht="15.75" thickBot="1" x14ac:dyDescent="0.3">
      <c r="B29" s="7">
        <f>B26+1</f>
        <v>10</v>
      </c>
      <c r="C29" s="3" cm="1">
        <f t="array" aca="1" ref="C29" ca="1">VLOOKUP(INDIRECT("'Grupo " &amp; B29 &amp; "'!J18"),INDIRECT("'Grupo " &amp; B29 &amp; "'!B12"):INDIRECT("'Grupo " &amp; B29 &amp; "'!J15"),2,FALSE)</f>
        <v>3671</v>
      </c>
      <c r="D29" s="4" cm="1">
        <f t="array" aca="1" ref="D29" ca="1">VLOOKUP(IF(INDIRECT("'Grupo " &amp; B29 &amp; "'!J18")=INDIRECT("'Grupo " &amp; B29 &amp; "'!C18"),INDIRECT("'Grupo " &amp; B29 &amp; "'!C19"),INDIRECT("'Grupo " &amp; B29 &amp; "'!C18")),INDIRECT("'Grupo " &amp; B29 &amp; "'!B12"):INDIRECT("'Grupo " &amp; B29 &amp; "'!G15"),2,FALSE)</f>
        <v>4236</v>
      </c>
      <c r="F29" s="5" cm="1">
        <f t="array" aca="1" ref="F29" ca="1">VLOOKUP(IF(INDIRECT("'Grupo " &amp; B29 &amp; "'!J18")=INDIRECT("'Grupo " &amp; B29 &amp; "'!C18"),INDIRECT("'Grupo " &amp; B29 &amp; "'!C19"),INDIRECT("'Grupo " &amp; B29 &amp; "'!C18")),INDIRECT("'Grupo " &amp; B29 &amp; "'!B12"):INDIRECT("'Grupo " &amp; B29 &amp; "'!G15"),2,FALSE)</f>
        <v>4236</v>
      </c>
      <c r="G29" s="6" cm="1">
        <f t="array" aca="1" ref="G29" ca="1">VLOOKUP(INDIRECT("'Grupo " &amp; B29 &amp; "'!J18"),INDIRECT("'Grupo " &amp; B29 &amp; "'!B12"):INDIRECT("'Grupo " &amp; B29 &amp; "'!J15"),2,FALSE)</f>
        <v>3671</v>
      </c>
    </row>
    <row r="30" spans="2:7" x14ac:dyDescent="0.25">
      <c r="C30" s="8" cm="1">
        <f t="array" aca="1" ref="C30" ca="1">VLOOKUP(INDIRECT("'Grupo " &amp; B29 &amp; "'!J20"),INDIRECT("'Grupo " &amp; B29 &amp; "'!B12"):INDIRECT("'Grupo " &amp; B29 &amp; "'!J15"),2,FALSE)</f>
        <v>3449</v>
      </c>
      <c r="D30" s="9" cm="1">
        <f t="array" aca="1" ref="D30" ca="1">VLOOKUP(IF(INDIRECT("'Grupo " &amp; B29 &amp; "'!J20")=INDIRECT("'Grupo " &amp; B29 &amp; "'!C20"),INDIRECT("'Grupo " &amp; B29 &amp; "'!C21"),INDIRECT("'Grupo " &amp; B29 &amp; "'!C20")),INDIRECT("'Grupo " &amp; B29 &amp; "'!B12"):INDIRECT("'Grupo " &amp; B29 &amp; "'!G15"),2,FALSE)</f>
        <v>3671</v>
      </c>
      <c r="F30" s="10" cm="1">
        <f t="array" aca="1" ref="F30" ca="1">VLOOKUP(IF(INDIRECT("'Grupo " &amp; B29 &amp; "'!J20")=INDIRECT("'Grupo " &amp; B29 &amp; "'!C20"),INDIRECT("'Grupo " &amp; B29 &amp; "'!C21"),INDIRECT("'Grupo " &amp; B29 &amp; "'!C20")),INDIRECT("'Grupo " &amp; B29 &amp; "'!B12"):INDIRECT("'Grupo " &amp; B29 &amp; "'!G15"),2,FALSE)</f>
        <v>3671</v>
      </c>
      <c r="G30" s="11" cm="1">
        <f t="array" aca="1" ref="G30" ca="1">VLOOKUP(INDIRECT("'Grupo " &amp; B29 &amp; "'!J20"),INDIRECT("'Grupo " &amp; B29 &amp; "'!B12"):INDIRECT("'Grupo " &amp; B29 &amp; "'!J15"),2,FALSE)</f>
        <v>3449</v>
      </c>
    </row>
    <row r="31" spans="2:7" ht="15.75" thickBot="1" x14ac:dyDescent="0.3">
      <c r="C31" s="12" cm="1">
        <f t="array" aca="1" ref="C31" ca="1">VLOOKUP(INDIRECT("'Grupo " &amp; B29 &amp; "'!J22"),INDIRECT("'Grupo " &amp; B29 &amp; "'!B12"):INDIRECT("'Grupo " &amp; B29 &amp; "'!J15"),2,FALSE)</f>
        <v>4236</v>
      </c>
      <c r="D31" s="13" cm="1">
        <f t="array" aca="1" ref="D31" ca="1">VLOOKUP(IF(INDIRECT("'Grupo " &amp; B29 &amp; "'!J22")=INDIRECT("'Grupo " &amp; B29 &amp; "'!C22"),INDIRECT("'Grupo " &amp; B29 &amp; "'!C23"),INDIRECT("'Grupo " &amp; B29 &amp; "'!C22")),INDIRECT("'Grupo " &amp; B29 &amp; "'!B12"):INDIRECT("'Grupo " &amp; B29 &amp; "'!G15"),2,FALSE)</f>
        <v>3449</v>
      </c>
      <c r="F31" s="14" cm="1">
        <f t="array" aca="1" ref="F31" ca="1">VLOOKUP(IF(INDIRECT("'Grupo " &amp; B29 &amp; "'!J22")=INDIRECT("'Grupo " &amp; B29 &amp; "'!C22"),INDIRECT("'Grupo " &amp; B29 &amp; "'!C23"),INDIRECT("'Grupo " &amp; B29 &amp; "'!C22")),INDIRECT("'Grupo " &amp; B29 &amp; "'!B12"):INDIRECT("'Grupo " &amp; B29 &amp; "'!G15"),2,FALSE)</f>
        <v>3449</v>
      </c>
      <c r="G31" s="15" cm="1">
        <f t="array" aca="1" ref="G31" ca="1">VLOOKUP(INDIRECT("'Grupo " &amp; B29 &amp; "'!J22"),INDIRECT("'Grupo " &amp; B29 &amp; "'!B12"):INDIRECT("'Grupo " &amp; B29 &amp; "'!J15"),2,FALSE)</f>
        <v>4236</v>
      </c>
    </row>
    <row r="32" spans="2:7" ht="15.75" thickBot="1" x14ac:dyDescent="0.3">
      <c r="B32" s="7">
        <f>B29+1</f>
        <v>11</v>
      </c>
      <c r="C32" s="3" cm="1">
        <f t="array" aca="1" ref="C32" ca="1">VLOOKUP(INDIRECT("'Grupo " &amp; B32 &amp; "'!J18"),INDIRECT("'Grupo " &amp; B32 &amp; "'!B12"):INDIRECT("'Grupo " &amp; B32 &amp; "'!J15"),2,FALSE)</f>
        <v>3499</v>
      </c>
      <c r="D32" s="4" cm="1">
        <f t="array" aca="1" ref="D32" ca="1">VLOOKUP(IF(INDIRECT("'Grupo " &amp; B32 &amp; "'!J18")=INDIRECT("'Grupo " &amp; B32 &amp; "'!C18"),INDIRECT("'Grupo " &amp; B32 &amp; "'!C19"),INDIRECT("'Grupo " &amp; B32 &amp; "'!C18")),INDIRECT("'Grupo " &amp; B32 &amp; "'!B12"):INDIRECT("'Grupo " &amp; B32 &amp; "'!G15"),2,FALSE)</f>
        <v>4833</v>
      </c>
      <c r="F32" s="5" cm="1">
        <f t="array" aca="1" ref="F32" ca="1">VLOOKUP(IF(INDIRECT("'Grupo " &amp; B32 &amp; "'!J18")=INDIRECT("'Grupo " &amp; B32 &amp; "'!C18"),INDIRECT("'Grupo " &amp; B32 &amp; "'!C19"),INDIRECT("'Grupo " &amp; B32 &amp; "'!C18")),INDIRECT("'Grupo " &amp; B32 &amp; "'!B12"):INDIRECT("'Grupo " &amp; B32 &amp; "'!G15"),2,FALSE)</f>
        <v>4833</v>
      </c>
      <c r="G32" s="6" cm="1">
        <f t="array" aca="1" ref="G32" ca="1">VLOOKUP(INDIRECT("'Grupo " &amp; B32 &amp; "'!J18"),INDIRECT("'Grupo " &amp; B32 &amp; "'!B12"):INDIRECT("'Grupo " &amp; B32 &amp; "'!J15"),2,FALSE)</f>
        <v>3499</v>
      </c>
    </row>
    <row r="33" spans="2:7" x14ac:dyDescent="0.25">
      <c r="C33" s="8" cm="1">
        <f t="array" aca="1" ref="C33" ca="1">VLOOKUP(INDIRECT("'Grupo " &amp; B32 &amp; "'!J20"),INDIRECT("'Grupo " &amp; B32 &amp; "'!B12"):INDIRECT("'Grupo " &amp; B32 &amp; "'!J15"),2,FALSE)</f>
        <v>3499</v>
      </c>
      <c r="D33" s="9" cm="1">
        <f t="array" aca="1" ref="D33" ca="1">VLOOKUP(IF(INDIRECT("'Grupo " &amp; B32 &amp; "'!J20")=INDIRECT("'Grupo " &amp; B32 &amp; "'!C20"),INDIRECT("'Grupo " &amp; B32 &amp; "'!C21"),INDIRECT("'Grupo " &amp; B32 &amp; "'!C20")),INDIRECT("'Grupo " &amp; B32 &amp; "'!B12"):INDIRECT("'Grupo " &amp; B32 &amp; "'!G15"),2,FALSE)</f>
        <v>2801</v>
      </c>
      <c r="F33" s="10" cm="1">
        <f t="array" aca="1" ref="F33" ca="1">VLOOKUP(IF(INDIRECT("'Grupo " &amp; B32 &amp; "'!J20")=INDIRECT("'Grupo " &amp; B32 &amp; "'!C20"),INDIRECT("'Grupo " &amp; B32 &amp; "'!C21"),INDIRECT("'Grupo " &amp; B32 &amp; "'!C20")),INDIRECT("'Grupo " &amp; B32 &amp; "'!B12"):INDIRECT("'Grupo " &amp; B32 &amp; "'!G15"),2,FALSE)</f>
        <v>2801</v>
      </c>
      <c r="G33" s="11" cm="1">
        <f t="array" aca="1" ref="G33" ca="1">VLOOKUP(INDIRECT("'Grupo " &amp; B32 &amp; "'!J20"),INDIRECT("'Grupo " &amp; B32 &amp; "'!B12"):INDIRECT("'Grupo " &amp; B32 &amp; "'!J15"),2,FALSE)</f>
        <v>3499</v>
      </c>
    </row>
    <row r="34" spans="2:7" ht="15.75" thickBot="1" x14ac:dyDescent="0.3">
      <c r="C34" s="12" cm="1">
        <f t="array" aca="1" ref="C34" ca="1">VLOOKUP(INDIRECT("'Grupo " &amp; B32 &amp; "'!J22"),INDIRECT("'Grupo " &amp; B32 &amp; "'!B12"):INDIRECT("'Grupo " &amp; B32 &amp; "'!J15"),2,FALSE)</f>
        <v>2801</v>
      </c>
      <c r="D34" s="13" cm="1">
        <f t="array" aca="1" ref="D34" ca="1">VLOOKUP(IF(INDIRECT("'Grupo " &amp; B32 &amp; "'!J22")=INDIRECT("'Grupo " &amp; B32 &amp; "'!C22"),INDIRECT("'Grupo " &amp; B32 &amp; "'!C23"),INDIRECT("'Grupo " &amp; B32 &amp; "'!C22")),INDIRECT("'Grupo " &amp; B32 &amp; "'!B12"):INDIRECT("'Grupo " &amp; B32 &amp; "'!G15"),2,FALSE)</f>
        <v>4833</v>
      </c>
      <c r="F34" s="14" cm="1">
        <f t="array" aca="1" ref="F34" ca="1">VLOOKUP(IF(INDIRECT("'Grupo " &amp; B32 &amp; "'!J22")=INDIRECT("'Grupo " &amp; B32 &amp; "'!C22"),INDIRECT("'Grupo " &amp; B32 &amp; "'!C23"),INDIRECT("'Grupo " &amp; B32 &amp; "'!C22")),INDIRECT("'Grupo " &amp; B32 &amp; "'!B12"):INDIRECT("'Grupo " &amp; B32 &amp; "'!G15"),2,FALSE)</f>
        <v>4833</v>
      </c>
      <c r="G34" s="15" cm="1">
        <f t="array" aca="1" ref="G34" ca="1">VLOOKUP(INDIRECT("'Grupo " &amp; B32 &amp; "'!J22"),INDIRECT("'Grupo " &amp; B32 &amp; "'!B12"):INDIRECT("'Grupo " &amp; B32 &amp; "'!J15"),2,FALSE)</f>
        <v>2801</v>
      </c>
    </row>
    <row r="35" spans="2:7" ht="15.75" thickBot="1" x14ac:dyDescent="0.3">
      <c r="B35" s="7">
        <f>B32+1</f>
        <v>12</v>
      </c>
      <c r="C35" s="3" cm="1">
        <f t="array" aca="1" ref="C35" ca="1">VLOOKUP(INDIRECT("'Grupo " &amp; B35 &amp; "'!J18"),INDIRECT("'Grupo " &amp; B35 &amp; "'!B12"):INDIRECT("'Grupo " &amp; B35 &amp; "'!J15"),2,FALSE)</f>
        <v>3696</v>
      </c>
      <c r="D35" s="4" cm="1">
        <f t="array" aca="1" ref="D35" ca="1">VLOOKUP(IF(INDIRECT("'Grupo " &amp; B35 &amp; "'!J18")=INDIRECT("'Grupo " &amp; B35 &amp; "'!C18"),INDIRECT("'Grupo " &amp; B35 &amp; "'!C19"),INDIRECT("'Grupo " &amp; B35 &amp; "'!C18")),INDIRECT("'Grupo " &amp; B35 &amp; "'!B12"):INDIRECT("'Grupo " &amp; B35 &amp; "'!G15"),2,FALSE)</f>
        <v>4790</v>
      </c>
      <c r="F35" s="5" cm="1">
        <f t="array" aca="1" ref="F35" ca="1">VLOOKUP(IF(INDIRECT("'Grupo " &amp; B35 &amp; "'!J18")=INDIRECT("'Grupo " &amp; B35 &amp; "'!C18"),INDIRECT("'Grupo " &amp; B35 &amp; "'!C19"),INDIRECT("'Grupo " &amp; B35 &amp; "'!C18")),INDIRECT("'Grupo " &amp; B35 &amp; "'!B12"):INDIRECT("'Grupo " &amp; B35 &amp; "'!G15"),2,FALSE)</f>
        <v>4790</v>
      </c>
      <c r="G35" s="6" cm="1">
        <f t="array" aca="1" ref="G35" ca="1">VLOOKUP(INDIRECT("'Grupo " &amp; B35 &amp; "'!J18"),INDIRECT("'Grupo " &amp; B35 &amp; "'!B12"):INDIRECT("'Grupo " &amp; B35 &amp; "'!J15"),2,FALSE)</f>
        <v>3696</v>
      </c>
    </row>
    <row r="36" spans="2:7" x14ac:dyDescent="0.25">
      <c r="C36" s="8" cm="1">
        <f t="array" aca="1" ref="C36" ca="1">VLOOKUP(INDIRECT("'Grupo " &amp; B35 &amp; "'!J20"),INDIRECT("'Grupo " &amp; B35 &amp; "'!B12"):INDIRECT("'Grupo " &amp; B35 &amp; "'!J15"),2,FALSE)</f>
        <v>3468</v>
      </c>
      <c r="D36" s="9" cm="1">
        <f t="array" aca="1" ref="D36" ca="1">VLOOKUP(IF(INDIRECT("'Grupo " &amp; B35 &amp; "'!J20")=INDIRECT("'Grupo " &amp; B35 &amp; "'!C20"),INDIRECT("'Grupo " &amp; B35 &amp; "'!C21"),INDIRECT("'Grupo " &amp; B35 &amp; "'!C20")),INDIRECT("'Grupo " &amp; B35 &amp; "'!B12"):INDIRECT("'Grupo " &amp; B35 &amp; "'!G15"),2,FALSE)</f>
        <v>3696</v>
      </c>
      <c r="F36" s="10" cm="1">
        <f t="array" aca="1" ref="F36" ca="1">VLOOKUP(IF(INDIRECT("'Grupo " &amp; B35 &amp; "'!J20")=INDIRECT("'Grupo " &amp; B35 &amp; "'!C20"),INDIRECT("'Grupo " &amp; B35 &amp; "'!C21"),INDIRECT("'Grupo " &amp; B35 &amp; "'!C20")),INDIRECT("'Grupo " &amp; B35 &amp; "'!B12"):INDIRECT("'Grupo " &amp; B35 &amp; "'!G15"),2,FALSE)</f>
        <v>3696</v>
      </c>
      <c r="G36" s="11" cm="1">
        <f t="array" aca="1" ref="G36" ca="1">VLOOKUP(INDIRECT("'Grupo " &amp; B35 &amp; "'!J20"),INDIRECT("'Grupo " &amp; B35 &amp; "'!B12"):INDIRECT("'Grupo " &amp; B35 &amp; "'!J15"),2,FALSE)</f>
        <v>3468</v>
      </c>
    </row>
    <row r="37" spans="2:7" ht="15.75" thickBot="1" x14ac:dyDescent="0.3">
      <c r="C37" s="12" cm="1">
        <f t="array" aca="1" ref="C37" ca="1">VLOOKUP(INDIRECT("'Grupo " &amp; B35 &amp; "'!J22"),INDIRECT("'Grupo " &amp; B35 &amp; "'!B12"):INDIRECT("'Grupo " &amp; B35 &amp; "'!J15"),2,FALSE)</f>
        <v>3468</v>
      </c>
      <c r="D37" s="13" cm="1">
        <f t="array" aca="1" ref="D37" ca="1">VLOOKUP(IF(INDIRECT("'Grupo " &amp; B35 &amp; "'!J22")=INDIRECT("'Grupo " &amp; B35 &amp; "'!C22"),INDIRECT("'Grupo " &amp; B35 &amp; "'!C23"),INDIRECT("'Grupo " &amp; B35 &amp; "'!C22")),INDIRECT("'Grupo " &amp; B35 &amp; "'!B12"):INDIRECT("'Grupo " &amp; B35 &amp; "'!G15"),2,FALSE)</f>
        <v>4790</v>
      </c>
      <c r="F37" s="14" cm="1">
        <f t="array" aca="1" ref="F37" ca="1">VLOOKUP(IF(INDIRECT("'Grupo " &amp; B35 &amp; "'!J22")=INDIRECT("'Grupo " &amp; B35 &amp; "'!C22"),INDIRECT("'Grupo " &amp; B35 &amp; "'!C23"),INDIRECT("'Grupo " &amp; B35 &amp; "'!C22")),INDIRECT("'Grupo " &amp; B35 &amp; "'!B12"):INDIRECT("'Grupo " &amp; B35 &amp; "'!G15"),2,FALSE)</f>
        <v>4790</v>
      </c>
      <c r="G37" s="15" cm="1">
        <f t="array" aca="1" ref="G37" ca="1">VLOOKUP(INDIRECT("'Grupo " &amp; B35 &amp; "'!J22"),INDIRECT("'Grupo " &amp; B35 &amp; "'!B12"):INDIRECT("'Grupo " &amp; B35 &amp; "'!J15"),2,FALSE)</f>
        <v>3468</v>
      </c>
    </row>
    <row r="38" spans="2:7" ht="15.75" thickBot="1" x14ac:dyDescent="0.3">
      <c r="B38" s="7">
        <f>B35+1</f>
        <v>13</v>
      </c>
      <c r="C38" s="3" cm="1">
        <f t="array" aca="1" ref="C38" ca="1">VLOOKUP(INDIRECT("'Grupo " &amp; B38 &amp; "'!J18"),INDIRECT("'Grupo " &amp; B38 &amp; "'!B12"):INDIRECT("'Grupo " &amp; B38 &amp; "'!J15"),2,FALSE)</f>
        <v>3309</v>
      </c>
      <c r="D38" s="4" cm="1">
        <f t="array" aca="1" ref="D38" ca="1">VLOOKUP(IF(INDIRECT("'Grupo " &amp; B38 &amp; "'!J18")=INDIRECT("'Grupo " &amp; B38 &amp; "'!C18"),INDIRECT("'Grupo " &amp; B38 &amp; "'!C19"),INDIRECT("'Grupo " &amp; B38 &amp; "'!C18")),INDIRECT("'Grupo " &amp; B38 &amp; "'!B12"):INDIRECT("'Grupo " &amp; B38 &amp; "'!G15"),2,FALSE)</f>
        <v>4327</v>
      </c>
      <c r="F38" s="5" cm="1">
        <f t="array" aca="1" ref="F38" ca="1">VLOOKUP(IF(INDIRECT("'Grupo " &amp; B38 &amp; "'!J18")=INDIRECT("'Grupo " &amp; B38 &amp; "'!C18"),INDIRECT("'Grupo " &amp; B38 &amp; "'!C19"),INDIRECT("'Grupo " &amp; B38 &amp; "'!C18")),INDIRECT("'Grupo " &amp; B38 &amp; "'!B12"):INDIRECT("'Grupo " &amp; B38 &amp; "'!G15"),2,FALSE)</f>
        <v>4327</v>
      </c>
      <c r="G38" s="6" cm="1">
        <f t="array" aca="1" ref="G38" ca="1">VLOOKUP(INDIRECT("'Grupo " &amp; B38 &amp; "'!J18"),INDIRECT("'Grupo " &amp; B38 &amp; "'!B12"):INDIRECT("'Grupo " &amp; B38 &amp; "'!J15"),2,FALSE)</f>
        <v>3309</v>
      </c>
    </row>
    <row r="39" spans="2:7" x14ac:dyDescent="0.25">
      <c r="C39" s="8" cm="1">
        <f t="array" aca="1" ref="C39" ca="1">VLOOKUP(INDIRECT("'Grupo " &amp; B38 &amp; "'!J20"),INDIRECT("'Grupo " &amp; B38 &amp; "'!B12"):INDIRECT("'Grupo " &amp; B38 &amp; "'!J15"),2,FALSE)</f>
        <v>3458</v>
      </c>
      <c r="D39" s="9" cm="1">
        <f t="array" aca="1" ref="D39" ca="1">VLOOKUP(IF(INDIRECT("'Grupo " &amp; B38 &amp; "'!J20")=INDIRECT("'Grupo " &amp; B38 &amp; "'!C20"),INDIRECT("'Grupo " &amp; B38 &amp; "'!C21"),INDIRECT("'Grupo " &amp; B38 &amp; "'!C20")),INDIRECT("'Grupo " &amp; B38 &amp; "'!B12"):INDIRECT("'Grupo " &amp; B38 &amp; "'!G15"),2,FALSE)</f>
        <v>3309</v>
      </c>
      <c r="F39" s="10" cm="1">
        <f t="array" aca="1" ref="F39" ca="1">VLOOKUP(IF(INDIRECT("'Grupo " &amp; B38 &amp; "'!J20")=INDIRECT("'Grupo " &amp; B38 &amp; "'!C20"),INDIRECT("'Grupo " &amp; B38 &amp; "'!C21"),INDIRECT("'Grupo " &amp; B38 &amp; "'!C20")),INDIRECT("'Grupo " &amp; B38 &amp; "'!B12"):INDIRECT("'Grupo " &amp; B38 &amp; "'!G15"),2,FALSE)</f>
        <v>3309</v>
      </c>
      <c r="G39" s="11" cm="1">
        <f t="array" aca="1" ref="G39" ca="1">VLOOKUP(INDIRECT("'Grupo " &amp; B38 &amp; "'!J20"),INDIRECT("'Grupo " &amp; B38 &amp; "'!B12"):INDIRECT("'Grupo " &amp; B38 &amp; "'!J15"),2,FALSE)</f>
        <v>3458</v>
      </c>
    </row>
    <row r="40" spans="2:7" ht="15.75" thickBot="1" x14ac:dyDescent="0.3">
      <c r="C40" s="12" cm="1">
        <f t="array" aca="1" ref="C40" ca="1">VLOOKUP(INDIRECT("'Grupo " &amp; B38 &amp; "'!J22"),INDIRECT("'Grupo " &amp; B38 &amp; "'!B12"):INDIRECT("'Grupo " &amp; B38 &amp; "'!J15"),2,FALSE)</f>
        <v>3458</v>
      </c>
      <c r="D40" s="13" cm="1">
        <f t="array" aca="1" ref="D40" ca="1">VLOOKUP(IF(INDIRECT("'Grupo " &amp; B38 &amp; "'!J22")=INDIRECT("'Grupo " &amp; B38 &amp; "'!C22"),INDIRECT("'Grupo " &amp; B38 &amp; "'!C23"),INDIRECT("'Grupo " &amp; B38 &amp; "'!C22")),INDIRECT("'Grupo " &amp; B38 &amp; "'!B12"):INDIRECT("'Grupo " &amp; B38 &amp; "'!G15"),2,FALSE)</f>
        <v>4327</v>
      </c>
      <c r="F40" s="14" cm="1">
        <f t="array" aca="1" ref="F40" ca="1">VLOOKUP(IF(INDIRECT("'Grupo " &amp; B38 &amp; "'!J22")=INDIRECT("'Grupo " &amp; B38 &amp; "'!C22"),INDIRECT("'Grupo " &amp; B38 &amp; "'!C23"),INDIRECT("'Grupo " &amp; B38 &amp; "'!C22")),INDIRECT("'Grupo " &amp; B38 &amp; "'!B12"):INDIRECT("'Grupo " &amp; B38 &amp; "'!G15"),2,FALSE)</f>
        <v>4327</v>
      </c>
      <c r="G40" s="15" cm="1">
        <f t="array" aca="1" ref="G40" ca="1">VLOOKUP(INDIRECT("'Grupo " &amp; B38 &amp; "'!J22"),INDIRECT("'Grupo " &amp; B38 &amp; "'!B12"):INDIRECT("'Grupo " &amp; B38 &amp; "'!J15"),2,FALSE)</f>
        <v>3458</v>
      </c>
    </row>
    <row r="41" spans="2:7" ht="15.75" thickBot="1" x14ac:dyDescent="0.3">
      <c r="B41" s="7">
        <f>B38+1</f>
        <v>14</v>
      </c>
      <c r="C41" s="3" cm="1">
        <f t="array" aca="1" ref="C41" ca="1">VLOOKUP(INDIRECT("'Grupo " &amp; B41 &amp; "'!J18"),INDIRECT("'Grupo " &amp; B41 &amp; "'!B12"):INDIRECT("'Grupo " &amp; B41 &amp; "'!J15"),2,FALSE)</f>
        <v>4363</v>
      </c>
      <c r="D41" s="4" cm="1">
        <f t="array" aca="1" ref="D41" ca="1">VLOOKUP(IF(INDIRECT("'Grupo " &amp; B41 &amp; "'!J18")=INDIRECT("'Grupo " &amp; B41 &amp; "'!C18"),INDIRECT("'Grupo " &amp; B41 &amp; "'!C19"),INDIRECT("'Grupo " &amp; B41 &amp; "'!C18")),INDIRECT("'Grupo " &amp; B41 &amp; "'!B12"):INDIRECT("'Grupo " &amp; B41 &amp; "'!G15"),2,FALSE)</f>
        <v>4851</v>
      </c>
      <c r="F41" s="5" cm="1">
        <f t="array" aca="1" ref="F41" ca="1">VLOOKUP(IF(INDIRECT("'Grupo " &amp; B41 &amp; "'!J18")=INDIRECT("'Grupo " &amp; B41 &amp; "'!C18"),INDIRECT("'Grupo " &amp; B41 &amp; "'!C19"),INDIRECT("'Grupo " &amp; B41 &amp; "'!C18")),INDIRECT("'Grupo " &amp; B41 &amp; "'!B12"):INDIRECT("'Grupo " &amp; B41 &amp; "'!G15"),2,FALSE)</f>
        <v>4851</v>
      </c>
      <c r="G41" s="6" cm="1">
        <f t="array" aca="1" ref="G41" ca="1">VLOOKUP(INDIRECT("'Grupo " &amp; B41 &amp; "'!J18"),INDIRECT("'Grupo " &amp; B41 &amp; "'!B12"):INDIRECT("'Grupo " &amp; B41 &amp; "'!J15"),2,FALSE)</f>
        <v>4363</v>
      </c>
    </row>
    <row r="42" spans="2:7" x14ac:dyDescent="0.25">
      <c r="C42" s="8" cm="1">
        <f t="array" aca="1" ref="C42" ca="1">VLOOKUP(INDIRECT("'Grupo " &amp; B41 &amp; "'!J20"),INDIRECT("'Grupo " &amp; B41 &amp; "'!B12"):INDIRECT("'Grupo " &amp; B41 &amp; "'!J15"),2,FALSE)</f>
        <v>4363</v>
      </c>
      <c r="D42" s="9" cm="1">
        <f t="array" aca="1" ref="D42" ca="1">VLOOKUP(IF(INDIRECT("'Grupo " &amp; B41 &amp; "'!J20")=INDIRECT("'Grupo " &amp; B41 &amp; "'!C20"),INDIRECT("'Grupo " &amp; B41 &amp; "'!C21"),INDIRECT("'Grupo " &amp; B41 &amp; "'!C20")),INDIRECT("'Grupo " &amp; B41 &amp; "'!B12"):INDIRECT("'Grupo " &amp; B41 &amp; "'!G15"),2,FALSE)</f>
        <v>4056</v>
      </c>
      <c r="F42" s="10" cm="1">
        <f t="array" aca="1" ref="F42" ca="1">VLOOKUP(IF(INDIRECT("'Grupo " &amp; B41 &amp; "'!J20")=INDIRECT("'Grupo " &amp; B41 &amp; "'!C20"),INDIRECT("'Grupo " &amp; B41 &amp; "'!C21"),INDIRECT("'Grupo " &amp; B41 &amp; "'!C20")),INDIRECT("'Grupo " &amp; B41 &amp; "'!B12"):INDIRECT("'Grupo " &amp; B41 &amp; "'!G15"),2,FALSE)</f>
        <v>4056</v>
      </c>
      <c r="G42" s="11" cm="1">
        <f t="array" aca="1" ref="G42" ca="1">VLOOKUP(INDIRECT("'Grupo " &amp; B41 &amp; "'!J20"),INDIRECT("'Grupo " &amp; B41 &amp; "'!B12"):INDIRECT("'Grupo " &amp; B41 &amp; "'!J15"),2,FALSE)</f>
        <v>4363</v>
      </c>
    </row>
    <row r="43" spans="2:7" ht="15.75" thickBot="1" x14ac:dyDescent="0.3">
      <c r="C43" s="12" cm="1">
        <f t="array" aca="1" ref="C43" ca="1">VLOOKUP(INDIRECT("'Grupo " &amp; B41 &amp; "'!J22"),INDIRECT("'Grupo " &amp; B41 &amp; "'!B12"):INDIRECT("'Grupo " &amp; B41 &amp; "'!J15"),2,FALSE)</f>
        <v>4056</v>
      </c>
      <c r="D43" s="13" cm="1">
        <f t="array" aca="1" ref="D43" ca="1">VLOOKUP(IF(INDIRECT("'Grupo " &amp; B41 &amp; "'!J22")=INDIRECT("'Grupo " &amp; B41 &amp; "'!C22"),INDIRECT("'Grupo " &amp; B41 &amp; "'!C23"),INDIRECT("'Grupo " &amp; B41 &amp; "'!C22")),INDIRECT("'Grupo " &amp; B41 &amp; "'!B12"):INDIRECT("'Grupo " &amp; B41 &amp; "'!G15"),2,FALSE)</f>
        <v>4851</v>
      </c>
      <c r="F43" s="14" cm="1">
        <f t="array" aca="1" ref="F43" ca="1">VLOOKUP(IF(INDIRECT("'Grupo " &amp; B41 &amp; "'!J22")=INDIRECT("'Grupo " &amp; B41 &amp; "'!C22"),INDIRECT("'Grupo " &amp; B41 &amp; "'!C23"),INDIRECT("'Grupo " &amp; B41 &amp; "'!C22")),INDIRECT("'Grupo " &amp; B41 &amp; "'!B12"):INDIRECT("'Grupo " &amp; B41 &amp; "'!G15"),2,FALSE)</f>
        <v>4851</v>
      </c>
      <c r="G43" s="15" cm="1">
        <f t="array" aca="1" ref="G43" ca="1">VLOOKUP(INDIRECT("'Grupo " &amp; B41 &amp; "'!J22"),INDIRECT("'Grupo " &amp; B41 &amp; "'!B12"):INDIRECT("'Grupo " &amp; B41 &amp; "'!J15"),2,FALSE)</f>
        <v>4056</v>
      </c>
    </row>
    <row r="44" spans="2:7" ht="15.75" thickBot="1" x14ac:dyDescent="0.3">
      <c r="B44" s="2">
        <v>15</v>
      </c>
      <c r="C44" s="3" cm="1">
        <f t="array" aca="1" ref="C44" ca="1">VLOOKUP(INDIRECT("'Grupo " &amp; B44 &amp; "'!J18"),INDIRECT("'Grupo " &amp; B44 &amp; "'!B12"):INDIRECT("'Grupo " &amp; B44 &amp; "'!J15"),2,FALSE)</f>
        <v>3719</v>
      </c>
      <c r="D44" s="4" cm="1">
        <f t="array" aca="1" ref="D44" ca="1">VLOOKUP(IF(INDIRECT("'Grupo " &amp; B44 &amp; "'!J18")=INDIRECT("'Grupo " &amp; B44 &amp; "'!C18"),INDIRECT("'Grupo " &amp; B44 &amp; "'!C19"),INDIRECT("'Grupo " &amp; B44 &amp; "'!C18")),INDIRECT("'Grupo " &amp; B44 &amp; "'!B12"):INDIRECT("'Grupo " &amp; B44 &amp; "'!G15"),2,FALSE)</f>
        <v>4541</v>
      </c>
      <c r="F44" s="5" cm="1">
        <f t="array" aca="1" ref="F44" ca="1">VLOOKUP(IF(INDIRECT("'Grupo " &amp; B44 &amp; "'!J18")=INDIRECT("'Grupo " &amp; B44 &amp; "'!C18"),INDIRECT("'Grupo " &amp; B44 &amp; "'!C19"),INDIRECT("'Grupo " &amp; B44 &amp; "'!C18")),INDIRECT("'Grupo " &amp; B44 &amp; "'!B12"):INDIRECT("'Grupo " &amp; B44 &amp; "'!G15"),2,FALSE)</f>
        <v>4541</v>
      </c>
      <c r="G44" s="6" cm="1">
        <f t="array" aca="1" ref="G44" ca="1">VLOOKUP(INDIRECT("'Grupo " &amp; B44 &amp; "'!J18"),INDIRECT("'Grupo " &amp; B44 &amp; "'!B12"):INDIRECT("'Grupo " &amp; B44 &amp; "'!J15"),2,FALSE)</f>
        <v>3719</v>
      </c>
    </row>
    <row r="45" spans="2:7" x14ac:dyDescent="0.25">
      <c r="C45" s="8" cm="1">
        <f t="array" aca="1" ref="C45" ca="1">VLOOKUP(INDIRECT("'Grupo " &amp; B44 &amp; "'!J20"),INDIRECT("'Grupo " &amp; B44 &amp; "'!B12"):INDIRECT("'Grupo " &amp; B44 &amp; "'!J15"),2,FALSE)</f>
        <v>2368</v>
      </c>
      <c r="D45" s="9" cm="1">
        <f t="array" aca="1" ref="D45" ca="1">VLOOKUP(IF(INDIRECT("'Grupo " &amp; B44 &amp; "'!J20")=INDIRECT("'Grupo " &amp; B44 &amp; "'!C20"),INDIRECT("'Grupo " &amp; B44 &amp; "'!C21"),INDIRECT("'Grupo " &amp; B44 &amp; "'!C20")),INDIRECT("'Grupo " &amp; B44 &amp; "'!B12"):INDIRECT("'Grupo " &amp; B44 &amp; "'!G15"),2,FALSE)</f>
        <v>3792</v>
      </c>
      <c r="F45" s="10" cm="1">
        <f t="array" aca="1" ref="F45" ca="1">VLOOKUP(IF(INDIRECT("'Grupo " &amp; B44 &amp; "'!J20")=INDIRECT("'Grupo " &amp; B44 &amp; "'!C20"),INDIRECT("'Grupo " &amp; B44 &amp; "'!C21"),INDIRECT("'Grupo " &amp; B44 &amp; "'!C20")),INDIRECT("'Grupo " &amp; B44 &amp; "'!B12"):INDIRECT("'Grupo " &amp; B44 &amp; "'!G15"),2,FALSE)</f>
        <v>3792</v>
      </c>
      <c r="G45" s="11" cm="1">
        <f t="array" aca="1" ref="G45" ca="1">VLOOKUP(INDIRECT("'Grupo " &amp; B44 &amp; "'!J20"),INDIRECT("'Grupo " &amp; B44 &amp; "'!B12"):INDIRECT("'Grupo " &amp; B44 &amp; "'!J15"),2,FALSE)</f>
        <v>2368</v>
      </c>
    </row>
    <row r="46" spans="2:7" x14ac:dyDescent="0.25">
      <c r="C46" s="8" cm="1">
        <f t="array" aca="1" ref="C46" ca="1">VLOOKUP(INDIRECT("'Grupo " &amp; B44 &amp; "'!J22"),INDIRECT("'Grupo " &amp; B44 &amp; "'!B12"):INDIRECT("'Grupo " &amp; B44 &amp; "'!J15"),2,FALSE)</f>
        <v>2368</v>
      </c>
      <c r="D46" s="9" cm="1">
        <f t="array" aca="1" ref="D46" ca="1">VLOOKUP(IF(INDIRECT("'Grupo " &amp; B44 &amp; "'!J22")=INDIRECT("'Grupo " &amp; B44 &amp; "'!C22"),INDIRECT("'Grupo " &amp; B44 &amp; "'!C23"),INDIRECT("'Grupo " &amp; B44 &amp; "'!C22")),INDIRECT("'Grupo " &amp; B44 &amp; "'!B12"):INDIRECT("'Grupo " &amp; B44 &amp; "'!G15"),2,FALSE)</f>
        <v>3719</v>
      </c>
      <c r="F46" s="10" cm="1">
        <f t="array" aca="1" ref="F46" ca="1">VLOOKUP(IF(INDIRECT("'Grupo " &amp; B44 &amp; "'!J22")=INDIRECT("'Grupo " &amp; B44 &amp; "'!C22"),INDIRECT("'Grupo " &amp; B44 &amp; "'!C23"),INDIRECT("'Grupo " &amp; B44 &amp; "'!C22")),INDIRECT("'Grupo " &amp; B44 &amp; "'!B12"):INDIRECT("'Grupo " &amp; B44 &amp; "'!G15"),2,FALSE)</f>
        <v>3719</v>
      </c>
      <c r="G46" s="11" cm="1">
        <f t="array" aca="1" ref="G46" ca="1">VLOOKUP(INDIRECT("'Grupo " &amp; B44 &amp; "'!J22"),INDIRECT("'Grupo " &amp; B44 &amp; "'!B12"):INDIRECT("'Grupo " &amp; B44 &amp; "'!J15"),2,FALSE)</f>
        <v>2368</v>
      </c>
    </row>
    <row r="47" spans="2:7" x14ac:dyDescent="0.25">
      <c r="C47" s="8" cm="1">
        <f t="array" aca="1" ref="C47" ca="1">VLOOKUP(INDIRECT("'Grupo " &amp; B44 &amp; "'!J24"),INDIRECT("'Grupo " &amp; B44 &amp; "'!B12"):INDIRECT("'Grupo " &amp; B44 &amp; "'!J15"),2,FALSE)</f>
        <v>3792</v>
      </c>
      <c r="D47" s="9" cm="1">
        <f t="array" aca="1" ref="D47" ca="1">VLOOKUP(IF(INDIRECT("'Grupo " &amp; B44 &amp; "'!J24")=INDIRECT("'Grupo " &amp; B44 &amp; "'!C24"),INDIRECT("'Grupo " &amp; B44 &amp; "'!C25"),INDIRECT("'Grupo " &amp; B44 &amp; "'!C24")),INDIRECT("'Grupo " &amp; B44 &amp; "'!B12"):INDIRECT("'Grupo " &amp; B44 &amp; "'!G15"),2,FALSE)</f>
        <v>4541</v>
      </c>
      <c r="F47" s="10" cm="1">
        <f t="array" aca="1" ref="F47" ca="1">VLOOKUP(IF(INDIRECT("'Grupo " &amp; B44 &amp; "'!J24")=INDIRECT("'Grupo " &amp; B44 &amp; "'!C24"),INDIRECT("'Grupo " &amp; B44 &amp; "'!C25"),INDIRECT("'Grupo " &amp; B44 &amp; "'!C24")),INDIRECT("'Grupo " &amp; B44 &amp; "'!B12"):INDIRECT("'Grupo " &amp; B44 &amp; "'!G15"),2,FALSE)</f>
        <v>4541</v>
      </c>
      <c r="G47" s="11" cm="1">
        <f t="array" aca="1" ref="G47" ca="1">VLOOKUP(INDIRECT("'Grupo " &amp; B44 &amp; "'!J24"),INDIRECT("'Grupo " &amp; B44 &amp; "'!B12"):INDIRECT("'Grupo " &amp; B44 &amp; "'!J15"),2,FALSE)</f>
        <v>3792</v>
      </c>
    </row>
    <row r="48" spans="2:7" x14ac:dyDescent="0.25">
      <c r="C48" s="8" cm="1">
        <f t="array" aca="1" ref="C48" ca="1">VLOOKUP(INDIRECT("'Grupo " &amp; B44 &amp; "'!J26"),INDIRECT("'Grupo " &amp; B44 &amp; "'!B12"):INDIRECT("'Grupo " &amp; B44 &amp; "'!J15"),2,FALSE)</f>
        <v>3719</v>
      </c>
      <c r="D48" s="9" cm="1">
        <f t="array" aca="1" ref="D48" ca="1">VLOOKUP(IF(INDIRECT("'Grupo " &amp; B44 &amp; "'!J26")=INDIRECT("'Grupo " &amp; B44 &amp; "'!C26"),INDIRECT("'Grupo " &amp; B44 &amp; "'!C27"),INDIRECT("'Grupo " &amp; B44 &amp; "'!C26")),INDIRECT("'Grupo " &amp; B44 &amp; "'!B12"):INDIRECT("'Grupo " &amp; B44 &amp; "'!G15"),2,FALSE)</f>
        <v>3792</v>
      </c>
      <c r="F48" s="10" cm="1">
        <f t="array" aca="1" ref="F48" ca="1">VLOOKUP(IF(INDIRECT("'Grupo " &amp; B44 &amp; "'!J26")=INDIRECT("'Grupo " &amp; B44 &amp; "'!C26"),INDIRECT("'Grupo " &amp; B44 &amp; "'!C27"),INDIRECT("'Grupo " &amp; B44 &amp; "'!C26")),INDIRECT("'Grupo " &amp; B44 &amp; "'!B12"):INDIRECT("'Grupo " &amp; B44 &amp; "'!G15"),2,FALSE)</f>
        <v>3792</v>
      </c>
      <c r="G48" s="11" cm="1">
        <f t="array" aca="1" ref="G48" ca="1">VLOOKUP(INDIRECT("'Grupo " &amp; B44 &amp; "'!J26"),INDIRECT("'Grupo " &amp; B44 &amp; "'!B12"):INDIRECT("'Grupo " &amp; B44 &amp; "'!J15"),2,FALSE)</f>
        <v>3719</v>
      </c>
    </row>
    <row r="49" spans="2:7" ht="15.75" thickBot="1" x14ac:dyDescent="0.3">
      <c r="C49" s="12" cm="1">
        <f t="array" aca="1" ref="C49" ca="1">VLOOKUP(INDIRECT("'Grupo " &amp; B44 &amp; "'!J28"),INDIRECT("'Grupo " &amp; B44 &amp; "'!B12"):INDIRECT("'Grupo " &amp; B44 &amp; "'!J15"),2,FALSE)</f>
        <v>2368</v>
      </c>
      <c r="D49" s="13" cm="1">
        <f t="array" aca="1" ref="D49" ca="1">VLOOKUP(IF(INDIRECT("'Grupo " &amp; B44 &amp; "'!J28")=INDIRECT("'Grupo " &amp; B44 &amp; "'!C28"),INDIRECT("'Grupo " &amp; B44 &amp; "'!C29"),INDIRECT("'Grupo " &amp; B44 &amp; "'!C28")),INDIRECT("'Grupo " &amp; B44 &amp; "'!B12"):INDIRECT("'Grupo " &amp; B44 &amp; "'!G15"),2,FALSE)</f>
        <v>4541</v>
      </c>
      <c r="F49" s="14" cm="1">
        <f t="array" aca="1" ref="F49" ca="1">VLOOKUP(IF(INDIRECT("'Grupo " &amp; B44 &amp; "'!J28")=INDIRECT("'Grupo " &amp; B44 &amp; "'!C28"),INDIRECT("'Grupo " &amp; B44 &amp; "'!C29"),INDIRECT("'Grupo " &amp; B44 &amp; "'!C28")),INDIRECT("'Grupo " &amp; B44 &amp; "'!B12"):INDIRECT("'Grupo " &amp; B44 &amp; "'!G15"),2,FALSE)</f>
        <v>4541</v>
      </c>
      <c r="G49" s="15" cm="1">
        <f t="array" aca="1" ref="G49" ca="1">VLOOKUP(INDIRECT("'Grupo " &amp; B44 &amp; "'!J28"),INDIRECT("'Grupo " &amp; B44 &amp; "'!B12"):INDIRECT("'Grupo " &amp; B44 &amp; "'!J15"),2,FALSE)</f>
        <v>2368</v>
      </c>
    </row>
    <row r="50" spans="2:7" ht="15.75" thickBot="1" x14ac:dyDescent="0.3">
      <c r="B50" s="2">
        <v>16</v>
      </c>
      <c r="C50" s="3" cm="1">
        <f t="array" aca="1" ref="C50" ca="1">VLOOKUP(INDIRECT("'Grupo " &amp; B50 &amp; "'!J18"),INDIRECT("'Grupo " &amp; B50 &amp; "'!B12"):INDIRECT("'Grupo " &amp; B50 &amp; "'!J15"),2,FALSE)</f>
        <v>4300</v>
      </c>
      <c r="D50" s="4" cm="1">
        <f t="array" aca="1" ref="D50" ca="1">VLOOKUP(IF(INDIRECT("'Grupo " &amp; B50 &amp; "'!J18")=INDIRECT("'Grupo " &amp; B50 &amp; "'!C18"),INDIRECT("'Grupo " &amp; B50 &amp; "'!C19"),INDIRECT("'Grupo " &amp; B50 &amp; "'!C18")),INDIRECT("'Grupo " &amp; B50 &amp; "'!B12"):INDIRECT("'Grupo " &amp; B50 &amp; "'!G15"),2,FALSE)</f>
        <v>3160</v>
      </c>
      <c r="F50" s="5" cm="1">
        <f t="array" aca="1" ref="F50" ca="1">VLOOKUP(IF(INDIRECT("'Grupo " &amp; B50 &amp; "'!J18")=INDIRECT("'Grupo " &amp; B50 &amp; "'!C18"),INDIRECT("'Grupo " &amp; B50 &amp; "'!C19"),INDIRECT("'Grupo " &amp; B50 &amp; "'!C18")),INDIRECT("'Grupo " &amp; B50 &amp; "'!B12"):INDIRECT("'Grupo " &amp; B50 &amp; "'!G15"),2,FALSE)</f>
        <v>3160</v>
      </c>
      <c r="G50" s="6" cm="1">
        <f t="array" aca="1" ref="G50" ca="1">VLOOKUP(INDIRECT("'Grupo " &amp; B50 &amp; "'!J18"),INDIRECT("'Grupo " &amp; B50 &amp; "'!B12"):INDIRECT("'Grupo " &amp; B50 &amp; "'!J15"),2,FALSE)</f>
        <v>4300</v>
      </c>
    </row>
    <row r="51" spans="2:7" x14ac:dyDescent="0.25">
      <c r="C51" s="8" cm="1">
        <f t="array" aca="1" ref="C51" ca="1">VLOOKUP(INDIRECT("'Grupo " &amp; B50 &amp; "'!J20"),INDIRECT("'Grupo " &amp; B50 &amp; "'!B12"):INDIRECT("'Grupo " &amp; B50 &amp; "'!J15"),2,FALSE)</f>
        <v>3747</v>
      </c>
      <c r="D51" s="9" cm="1">
        <f t="array" aca="1" ref="D51" ca="1">VLOOKUP(IF(INDIRECT("'Grupo " &amp; B50 &amp; "'!J20")=INDIRECT("'Grupo " &amp; B50 &amp; "'!C20"),INDIRECT("'Grupo " &amp; B50 &amp; "'!C21"),INDIRECT("'Grupo " &amp; B50 &amp; "'!C20")),INDIRECT("'Grupo " &amp; B50 &amp; "'!B12"):INDIRECT("'Grupo " &amp; B50 &amp; "'!G15"),2,FALSE)</f>
        <v>4287</v>
      </c>
      <c r="F51" s="10" cm="1">
        <f t="array" aca="1" ref="F51" ca="1">VLOOKUP(IF(INDIRECT("'Grupo " &amp; B50 &amp; "'!J20")=INDIRECT("'Grupo " &amp; B50 &amp; "'!C20"),INDIRECT("'Grupo " &amp; B50 &amp; "'!C21"),INDIRECT("'Grupo " &amp; B50 &amp; "'!C20")),INDIRECT("'Grupo " &amp; B50 &amp; "'!B12"):INDIRECT("'Grupo " &amp; B50 &amp; "'!G15"),2,FALSE)</f>
        <v>4287</v>
      </c>
      <c r="G51" s="11" cm="1">
        <f t="array" aca="1" ref="G51" ca="1">VLOOKUP(INDIRECT("'Grupo " &amp; B50 &amp; "'!J20"),INDIRECT("'Grupo " &amp; B50 &amp; "'!B12"):INDIRECT("'Grupo " &amp; B50 &amp; "'!J15"),2,FALSE)</f>
        <v>3747</v>
      </c>
    </row>
    <row r="52" spans="2:7" x14ac:dyDescent="0.25">
      <c r="C52" s="8" cm="1">
        <f t="array" aca="1" ref="C52" ca="1">VLOOKUP(INDIRECT("'Grupo " &amp; B50 &amp; "'!J22"),INDIRECT("'Grupo " &amp; B50 &amp; "'!B12"):INDIRECT("'Grupo " &amp; B50 &amp; "'!J15"),2,FALSE)</f>
        <v>3747</v>
      </c>
      <c r="D52" s="9" cm="1">
        <f t="array" aca="1" ref="D52" ca="1">VLOOKUP(IF(INDIRECT("'Grupo " &amp; B50 &amp; "'!J22")=INDIRECT("'Grupo " &amp; B50 &amp; "'!C22"),INDIRECT("'Grupo " &amp; B50 &amp; "'!C23"),INDIRECT("'Grupo " &amp; B50 &amp; "'!C22")),INDIRECT("'Grupo " &amp; B50 &amp; "'!B12"):INDIRECT("'Grupo " &amp; B50 &amp; "'!G15"),2,FALSE)</f>
        <v>3160</v>
      </c>
      <c r="F52" s="10" cm="1">
        <f t="array" aca="1" ref="F52" ca="1">VLOOKUP(IF(INDIRECT("'Grupo " &amp; B50 &amp; "'!J22")=INDIRECT("'Grupo " &amp; B50 &amp; "'!C22"),INDIRECT("'Grupo " &amp; B50 &amp; "'!C23"),INDIRECT("'Grupo " &amp; B50 &amp; "'!C22")),INDIRECT("'Grupo " &amp; B50 &amp; "'!B12"):INDIRECT("'Grupo " &amp; B50 &amp; "'!G15"),2,FALSE)</f>
        <v>3160</v>
      </c>
      <c r="G52" s="11" cm="1">
        <f t="array" aca="1" ref="G52" ca="1">VLOOKUP(INDIRECT("'Grupo " &amp; B50 &amp; "'!J22"),INDIRECT("'Grupo " &amp; B50 &amp; "'!B12"):INDIRECT("'Grupo " &amp; B50 &amp; "'!J15"),2,FALSE)</f>
        <v>3747</v>
      </c>
    </row>
    <row r="53" spans="2:7" x14ac:dyDescent="0.25">
      <c r="C53" s="8" cm="1">
        <f t="array" aca="1" ref="C53" ca="1">VLOOKUP(INDIRECT("'Grupo " &amp; B50 &amp; "'!J24"),INDIRECT("'Grupo " &amp; B50 &amp; "'!B12"):INDIRECT("'Grupo " &amp; B50 &amp; "'!J15"),2,FALSE)</f>
        <v>4287</v>
      </c>
      <c r="D53" s="9" cm="1">
        <f t="array" aca="1" ref="D53" ca="1">VLOOKUP(IF(INDIRECT("'Grupo " &amp; B50 &amp; "'!J24")=INDIRECT("'Grupo " &amp; B50 &amp; "'!C24"),INDIRECT("'Grupo " &amp; B50 &amp; "'!C25"),INDIRECT("'Grupo " &amp; B50 &amp; "'!C24")),INDIRECT("'Grupo " &amp; B50 &amp; "'!B12"):INDIRECT("'Grupo " &amp; B50 &amp; "'!G15"),2,FALSE)</f>
        <v>4300</v>
      </c>
      <c r="F53" s="10" cm="1">
        <f t="array" aca="1" ref="F53" ca="1">VLOOKUP(IF(INDIRECT("'Grupo " &amp; B50 &amp; "'!J24")=INDIRECT("'Grupo " &amp; B50 &amp; "'!C24"),INDIRECT("'Grupo " &amp; B50 &amp; "'!C25"),INDIRECT("'Grupo " &amp; B50 &amp; "'!C24")),INDIRECT("'Grupo " &amp; B50 &amp; "'!B12"):INDIRECT("'Grupo " &amp; B50 &amp; "'!G15"),2,FALSE)</f>
        <v>4300</v>
      </c>
      <c r="G53" s="11" cm="1">
        <f t="array" aca="1" ref="G53" ca="1">VLOOKUP(INDIRECT("'Grupo " &amp; B50 &amp; "'!J24"),INDIRECT("'Grupo " &amp; B50 &amp; "'!B12"):INDIRECT("'Grupo " &amp; B50 &amp; "'!J15"),2,FALSE)</f>
        <v>4287</v>
      </c>
    </row>
    <row r="54" spans="2:7" x14ac:dyDescent="0.25">
      <c r="C54" s="8" cm="1">
        <f t="array" aca="1" ref="C54" ca="1">VLOOKUP(INDIRECT("'Grupo " &amp; B50 &amp; "'!J26"),INDIRECT("'Grupo " &amp; B50 &amp; "'!B12"):INDIRECT("'Grupo " &amp; B50 &amp; "'!J15"),2,FALSE)</f>
        <v>4287</v>
      </c>
      <c r="D54" s="9" cm="1">
        <f t="array" aca="1" ref="D54" ca="1">VLOOKUP(IF(INDIRECT("'Grupo " &amp; B50 &amp; "'!J26")=INDIRECT("'Grupo " &amp; B50 &amp; "'!C26"),INDIRECT("'Grupo " &amp; B50 &amp; "'!C27"),INDIRECT("'Grupo " &amp; B50 &amp; "'!C26")),INDIRECT("'Grupo " &amp; B50 &amp; "'!B12"):INDIRECT("'Grupo " &amp; B50 &amp; "'!G15"),2,FALSE)</f>
        <v>3160</v>
      </c>
      <c r="F54" s="10" cm="1">
        <f t="array" aca="1" ref="F54" ca="1">VLOOKUP(IF(INDIRECT("'Grupo " &amp; B50 &amp; "'!J26")=INDIRECT("'Grupo " &amp; B50 &amp; "'!C26"),INDIRECT("'Grupo " &amp; B50 &amp; "'!C27"),INDIRECT("'Grupo " &amp; B50 &amp; "'!C26")),INDIRECT("'Grupo " &amp; B50 &amp; "'!B12"):INDIRECT("'Grupo " &amp; B50 &amp; "'!G15"),2,FALSE)</f>
        <v>3160</v>
      </c>
      <c r="G54" s="11" cm="1">
        <f t="array" aca="1" ref="G54" ca="1">VLOOKUP(INDIRECT("'Grupo " &amp; B50 &amp; "'!J26"),INDIRECT("'Grupo " &amp; B50 &amp; "'!B12"):INDIRECT("'Grupo " &amp; B50 &amp; "'!J15"),2,FALSE)</f>
        <v>4287</v>
      </c>
    </row>
    <row r="55" spans="2:7" ht="15.75" thickBot="1" x14ac:dyDescent="0.3">
      <c r="C55" s="12" cm="1">
        <f t="array" aca="1" ref="C55" ca="1">VLOOKUP(INDIRECT("'Grupo " &amp; B50 &amp; "'!J28"),INDIRECT("'Grupo " &amp; B50 &amp; "'!B12"):INDIRECT("'Grupo " &amp; B50 &amp; "'!J15"),2,FALSE)</f>
        <v>3747</v>
      </c>
      <c r="D55" s="13" cm="1">
        <f t="array" aca="1" ref="D55" ca="1">VLOOKUP(IF(INDIRECT("'Grupo " &amp; B50 &amp; "'!J28")=INDIRECT("'Grupo " &amp; B50 &amp; "'!C28"),INDIRECT("'Grupo " &amp; B50 &amp; "'!C29"),INDIRECT("'Grupo " &amp; B50 &amp; "'!C28")),INDIRECT("'Grupo " &amp; B50 &amp; "'!B12"):INDIRECT("'Grupo " &amp; B50 &amp; "'!G15"),2,FALSE)</f>
        <v>4300</v>
      </c>
      <c r="F55" s="14" cm="1">
        <f t="array" aca="1" ref="F55" ca="1">VLOOKUP(IF(INDIRECT("'Grupo " &amp; B50 &amp; "'!J28")=INDIRECT("'Grupo " &amp; B50 &amp; "'!C28"),INDIRECT("'Grupo " &amp; B50 &amp; "'!C29"),INDIRECT("'Grupo " &amp; B50 &amp; "'!C28")),INDIRECT("'Grupo " &amp; B50 &amp; "'!B12"):INDIRECT("'Grupo " &amp; B50 &amp; "'!G15"),2,FALSE)</f>
        <v>4300</v>
      </c>
      <c r="G55" s="15" cm="1">
        <f t="array" aca="1" ref="G55" ca="1">VLOOKUP(INDIRECT("'Grupo " &amp; B50 &amp; "'!J28"),INDIRECT("'Grupo " &amp; B50 &amp; "'!B12"):INDIRECT("'Grupo " &amp; B50 &amp; "'!J15"),2,FALSE)</f>
        <v>3747</v>
      </c>
    </row>
  </sheetData>
  <mergeCells count="2">
    <mergeCell ref="C1:D1"/>
    <mergeCell ref="F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F13D5-5EAF-4EC3-B820-31799E25912E}">
  <dimension ref="A1:E748"/>
  <sheetViews>
    <sheetView tabSelected="1" workbookViewId="0">
      <selection activeCell="G15" sqref="G15"/>
    </sheetView>
  </sheetViews>
  <sheetFormatPr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20</v>
      </c>
      <c r="B1" t="s">
        <v>272</v>
      </c>
      <c r="C1" t="s">
        <v>4</v>
      </c>
      <c r="D1" t="s">
        <v>5</v>
      </c>
      <c r="E1" t="s">
        <v>7</v>
      </c>
    </row>
    <row r="2" spans="1:5" x14ac:dyDescent="0.25">
      <c r="A2">
        <v>1</v>
      </c>
      <c r="B2">
        <v>2515</v>
      </c>
      <c r="C2" t="s">
        <v>199</v>
      </c>
      <c r="D2" t="s">
        <v>200</v>
      </c>
      <c r="E2">
        <v>729</v>
      </c>
    </row>
    <row r="3" spans="1:5" x14ac:dyDescent="0.25">
      <c r="A3">
        <v>2</v>
      </c>
      <c r="B3">
        <v>2582</v>
      </c>
      <c r="C3" t="s">
        <v>205</v>
      </c>
      <c r="D3" t="s">
        <v>206</v>
      </c>
      <c r="E3">
        <v>682</v>
      </c>
    </row>
    <row r="4" spans="1:5" x14ac:dyDescent="0.25">
      <c r="A4">
        <v>3</v>
      </c>
      <c r="B4">
        <v>2623</v>
      </c>
      <c r="C4" t="s">
        <v>225</v>
      </c>
      <c r="D4" t="s">
        <v>200</v>
      </c>
      <c r="E4">
        <v>679</v>
      </c>
    </row>
    <row r="5" spans="1:5" x14ac:dyDescent="0.25">
      <c r="A5">
        <v>4</v>
      </c>
      <c r="B5">
        <v>2895</v>
      </c>
      <c r="C5" t="s">
        <v>221</v>
      </c>
      <c r="D5" t="s">
        <v>222</v>
      </c>
      <c r="E5">
        <v>664</v>
      </c>
    </row>
    <row r="6" spans="1:5" x14ac:dyDescent="0.25">
      <c r="A6">
        <v>5</v>
      </c>
      <c r="B6">
        <v>3472</v>
      </c>
      <c r="C6" t="s">
        <v>216</v>
      </c>
      <c r="D6" t="s">
        <v>217</v>
      </c>
      <c r="E6">
        <v>655</v>
      </c>
    </row>
    <row r="7" spans="1:5" x14ac:dyDescent="0.25">
      <c r="A7">
        <v>6</v>
      </c>
      <c r="B7">
        <v>4034</v>
      </c>
      <c r="C7" t="s">
        <v>210</v>
      </c>
      <c r="D7" t="s">
        <v>211</v>
      </c>
      <c r="E7">
        <v>652</v>
      </c>
    </row>
    <row r="8" spans="1:5" x14ac:dyDescent="0.25">
      <c r="A8">
        <v>7</v>
      </c>
      <c r="B8">
        <v>3153</v>
      </c>
      <c r="C8" t="s">
        <v>229</v>
      </c>
      <c r="D8" t="s">
        <v>230</v>
      </c>
      <c r="E8">
        <v>608</v>
      </c>
    </row>
    <row r="9" spans="1:5" x14ac:dyDescent="0.25">
      <c r="A9">
        <v>8</v>
      </c>
      <c r="B9">
        <v>3671</v>
      </c>
      <c r="C9" t="s">
        <v>242</v>
      </c>
      <c r="D9" t="s">
        <v>200</v>
      </c>
      <c r="E9">
        <v>601</v>
      </c>
    </row>
    <row r="10" spans="1:5" x14ac:dyDescent="0.25">
      <c r="A10">
        <v>9</v>
      </c>
      <c r="B10">
        <v>3499</v>
      </c>
      <c r="C10" t="s">
        <v>246</v>
      </c>
      <c r="D10" t="s">
        <v>247</v>
      </c>
      <c r="E10">
        <v>591</v>
      </c>
    </row>
    <row r="11" spans="1:5" x14ac:dyDescent="0.25">
      <c r="A11">
        <v>10</v>
      </c>
      <c r="B11">
        <v>3836</v>
      </c>
      <c r="C11" t="s">
        <v>238</v>
      </c>
      <c r="D11" t="s">
        <v>228</v>
      </c>
      <c r="E11">
        <v>587</v>
      </c>
    </row>
    <row r="12" spans="1:5" x14ac:dyDescent="0.25">
      <c r="A12">
        <v>11</v>
      </c>
      <c r="B12">
        <v>3839</v>
      </c>
      <c r="C12" t="s">
        <v>234</v>
      </c>
      <c r="D12" t="s">
        <v>235</v>
      </c>
      <c r="E12">
        <v>584</v>
      </c>
    </row>
    <row r="13" spans="1:5" x14ac:dyDescent="0.25">
      <c r="A13">
        <v>12</v>
      </c>
      <c r="B13">
        <v>3747</v>
      </c>
      <c r="C13" t="s">
        <v>266</v>
      </c>
      <c r="D13" t="s">
        <v>213</v>
      </c>
      <c r="E13">
        <v>567</v>
      </c>
    </row>
    <row r="14" spans="1:5" x14ac:dyDescent="0.25">
      <c r="A14">
        <v>12</v>
      </c>
      <c r="B14">
        <v>2368</v>
      </c>
      <c r="C14" t="s">
        <v>262</v>
      </c>
      <c r="D14" t="s">
        <v>204</v>
      </c>
      <c r="E14">
        <v>567</v>
      </c>
    </row>
    <row r="15" spans="1:5" x14ac:dyDescent="0.25">
      <c r="A15">
        <v>14</v>
      </c>
      <c r="B15">
        <v>4363</v>
      </c>
      <c r="C15" t="s">
        <v>256</v>
      </c>
      <c r="D15" t="s">
        <v>257</v>
      </c>
      <c r="E15">
        <v>565</v>
      </c>
    </row>
    <row r="16" spans="1:5" x14ac:dyDescent="0.25">
      <c r="A16">
        <v>14</v>
      </c>
      <c r="B16">
        <v>3458</v>
      </c>
      <c r="C16" t="s">
        <v>254</v>
      </c>
      <c r="D16" t="s">
        <v>209</v>
      </c>
      <c r="E16">
        <v>565</v>
      </c>
    </row>
    <row r="17" spans="1:5" x14ac:dyDescent="0.25">
      <c r="A17">
        <v>16</v>
      </c>
      <c r="B17">
        <v>3696</v>
      </c>
      <c r="C17" t="s">
        <v>250</v>
      </c>
      <c r="D17" t="s">
        <v>235</v>
      </c>
      <c r="E17">
        <v>560</v>
      </c>
    </row>
    <row r="18" spans="1:5" x14ac:dyDescent="0.25">
      <c r="A18">
        <v>17</v>
      </c>
      <c r="B18">
        <v>3309</v>
      </c>
      <c r="C18" t="s">
        <v>253</v>
      </c>
      <c r="D18" t="s">
        <v>219</v>
      </c>
      <c r="E18">
        <v>554</v>
      </c>
    </row>
    <row r="19" spans="1:5" x14ac:dyDescent="0.25">
      <c r="A19">
        <v>18</v>
      </c>
      <c r="B19">
        <v>3719</v>
      </c>
      <c r="C19" t="s">
        <v>261</v>
      </c>
      <c r="D19" t="s">
        <v>200</v>
      </c>
      <c r="E19">
        <v>543</v>
      </c>
    </row>
    <row r="20" spans="1:5" x14ac:dyDescent="0.25">
      <c r="A20">
        <v>19</v>
      </c>
      <c r="B20">
        <v>4056</v>
      </c>
      <c r="C20" t="s">
        <v>258</v>
      </c>
      <c r="D20" t="s">
        <v>213</v>
      </c>
      <c r="E20">
        <v>541</v>
      </c>
    </row>
    <row r="21" spans="1:5" x14ac:dyDescent="0.25">
      <c r="A21">
        <v>20</v>
      </c>
      <c r="B21">
        <v>4002</v>
      </c>
      <c r="C21" t="s">
        <v>236</v>
      </c>
      <c r="D21" t="s">
        <v>211</v>
      </c>
      <c r="E21">
        <v>540</v>
      </c>
    </row>
    <row r="22" spans="1:5" x14ac:dyDescent="0.25">
      <c r="A22">
        <v>21</v>
      </c>
      <c r="B22">
        <v>3160</v>
      </c>
      <c r="C22" t="s">
        <v>265</v>
      </c>
      <c r="D22" t="s">
        <v>200</v>
      </c>
      <c r="E22">
        <v>525</v>
      </c>
    </row>
    <row r="23" spans="1:5" x14ac:dyDescent="0.25">
      <c r="A23">
        <v>22</v>
      </c>
      <c r="B23">
        <v>3468</v>
      </c>
      <c r="C23" t="s">
        <v>251</v>
      </c>
      <c r="D23" t="s">
        <v>204</v>
      </c>
      <c r="E23">
        <v>521</v>
      </c>
    </row>
    <row r="24" spans="1:5" x14ac:dyDescent="0.25">
      <c r="A24">
        <v>23</v>
      </c>
      <c r="B24">
        <v>3449</v>
      </c>
      <c r="C24" t="s">
        <v>243</v>
      </c>
      <c r="D24" t="s">
        <v>215</v>
      </c>
      <c r="E24">
        <v>514</v>
      </c>
    </row>
    <row r="25" spans="1:5" x14ac:dyDescent="0.25">
      <c r="A25">
        <v>24</v>
      </c>
      <c r="B25">
        <v>2801</v>
      </c>
      <c r="C25" t="s">
        <v>248</v>
      </c>
      <c r="D25" t="s">
        <v>211</v>
      </c>
      <c r="E25">
        <v>508</v>
      </c>
    </row>
    <row r="26" spans="1:5" x14ac:dyDescent="0.25">
      <c r="A26">
        <v>25</v>
      </c>
      <c r="B26">
        <v>3443</v>
      </c>
      <c r="C26" t="s">
        <v>273</v>
      </c>
      <c r="D26" t="s">
        <v>213</v>
      </c>
      <c r="E26">
        <v>506</v>
      </c>
    </row>
    <row r="27" spans="1:5" x14ac:dyDescent="0.25">
      <c r="A27">
        <v>26</v>
      </c>
      <c r="B27">
        <v>4144</v>
      </c>
      <c r="C27" t="s">
        <v>208</v>
      </c>
      <c r="D27" t="s">
        <v>209</v>
      </c>
      <c r="E27">
        <v>505</v>
      </c>
    </row>
    <row r="28" spans="1:5" x14ac:dyDescent="0.25">
      <c r="A28">
        <v>27</v>
      </c>
      <c r="B28">
        <v>3459</v>
      </c>
      <c r="C28" t="s">
        <v>274</v>
      </c>
      <c r="D28" t="s">
        <v>213</v>
      </c>
      <c r="E28">
        <v>504</v>
      </c>
    </row>
    <row r="29" spans="1:5" x14ac:dyDescent="0.25">
      <c r="A29">
        <v>28</v>
      </c>
      <c r="B29">
        <v>3508</v>
      </c>
      <c r="C29" t="s">
        <v>275</v>
      </c>
      <c r="D29" t="s">
        <v>228</v>
      </c>
      <c r="E29">
        <v>503</v>
      </c>
    </row>
    <row r="30" spans="1:5" x14ac:dyDescent="0.25">
      <c r="A30">
        <v>29</v>
      </c>
      <c r="B30">
        <v>4463</v>
      </c>
      <c r="C30" t="s">
        <v>226</v>
      </c>
      <c r="D30" t="s">
        <v>213</v>
      </c>
      <c r="E30">
        <v>500</v>
      </c>
    </row>
    <row r="31" spans="1:5" x14ac:dyDescent="0.25">
      <c r="A31">
        <v>30</v>
      </c>
      <c r="B31">
        <v>2513</v>
      </c>
      <c r="C31" t="s">
        <v>207</v>
      </c>
      <c r="D31" t="s">
        <v>200</v>
      </c>
      <c r="E31">
        <v>498</v>
      </c>
    </row>
    <row r="32" spans="1:5" x14ac:dyDescent="0.25">
      <c r="A32">
        <v>31</v>
      </c>
      <c r="B32">
        <v>2847</v>
      </c>
      <c r="C32" t="s">
        <v>212</v>
      </c>
      <c r="D32" t="s">
        <v>213</v>
      </c>
      <c r="E32">
        <v>494</v>
      </c>
    </row>
    <row r="33" spans="1:5" x14ac:dyDescent="0.25">
      <c r="A33">
        <v>31</v>
      </c>
      <c r="B33">
        <v>4513</v>
      </c>
      <c r="C33" t="s">
        <v>201</v>
      </c>
      <c r="D33" t="s">
        <v>202</v>
      </c>
      <c r="E33">
        <v>494</v>
      </c>
    </row>
    <row r="34" spans="1:5" x14ac:dyDescent="0.25">
      <c r="A34">
        <v>33</v>
      </c>
      <c r="B34">
        <v>4677</v>
      </c>
      <c r="C34" t="s">
        <v>231</v>
      </c>
      <c r="D34" t="s">
        <v>232</v>
      </c>
      <c r="E34">
        <v>492</v>
      </c>
    </row>
    <row r="35" spans="1:5" x14ac:dyDescent="0.25">
      <c r="A35">
        <v>33</v>
      </c>
      <c r="B35">
        <v>3234</v>
      </c>
      <c r="C35" t="s">
        <v>239</v>
      </c>
      <c r="D35" t="s">
        <v>235</v>
      </c>
      <c r="E35">
        <v>492</v>
      </c>
    </row>
    <row r="36" spans="1:5" x14ac:dyDescent="0.25">
      <c r="A36">
        <v>35</v>
      </c>
      <c r="B36">
        <v>3898</v>
      </c>
      <c r="C36" t="s">
        <v>223</v>
      </c>
      <c r="D36" t="s">
        <v>211</v>
      </c>
      <c r="E36">
        <v>485</v>
      </c>
    </row>
    <row r="37" spans="1:5" x14ac:dyDescent="0.25">
      <c r="A37">
        <v>35</v>
      </c>
      <c r="B37">
        <v>4248</v>
      </c>
      <c r="C37" t="s">
        <v>218</v>
      </c>
      <c r="D37" t="s">
        <v>219</v>
      </c>
      <c r="E37">
        <v>485</v>
      </c>
    </row>
    <row r="38" spans="1:5" x14ac:dyDescent="0.25">
      <c r="A38">
        <v>35</v>
      </c>
      <c r="B38">
        <v>4464</v>
      </c>
      <c r="C38" t="s">
        <v>220</v>
      </c>
      <c r="D38" t="s">
        <v>213</v>
      </c>
      <c r="E38">
        <v>485</v>
      </c>
    </row>
    <row r="39" spans="1:5" x14ac:dyDescent="0.25">
      <c r="A39">
        <v>38</v>
      </c>
      <c r="B39">
        <v>3670</v>
      </c>
      <c r="C39" t="s">
        <v>203</v>
      </c>
      <c r="D39" t="s">
        <v>204</v>
      </c>
      <c r="E39">
        <v>484</v>
      </c>
    </row>
    <row r="40" spans="1:5" x14ac:dyDescent="0.25">
      <c r="A40">
        <v>39</v>
      </c>
      <c r="B40">
        <v>4220</v>
      </c>
      <c r="C40" t="s">
        <v>276</v>
      </c>
      <c r="D40" t="s">
        <v>213</v>
      </c>
      <c r="E40">
        <v>479</v>
      </c>
    </row>
    <row r="41" spans="1:5" x14ac:dyDescent="0.25">
      <c r="A41">
        <v>40</v>
      </c>
      <c r="B41">
        <v>3450</v>
      </c>
      <c r="C41" t="s">
        <v>224</v>
      </c>
      <c r="D41" t="s">
        <v>200</v>
      </c>
      <c r="E41">
        <v>477</v>
      </c>
    </row>
    <row r="42" spans="1:5" x14ac:dyDescent="0.25">
      <c r="A42">
        <v>41</v>
      </c>
      <c r="B42">
        <v>4284</v>
      </c>
      <c r="C42" t="s">
        <v>233</v>
      </c>
      <c r="D42" t="s">
        <v>209</v>
      </c>
      <c r="E42">
        <v>475</v>
      </c>
    </row>
    <row r="43" spans="1:5" x14ac:dyDescent="0.25">
      <c r="A43">
        <v>41</v>
      </c>
      <c r="B43">
        <v>4115</v>
      </c>
      <c r="C43" t="s">
        <v>240</v>
      </c>
      <c r="D43" t="s">
        <v>241</v>
      </c>
      <c r="E43">
        <v>475</v>
      </c>
    </row>
    <row r="44" spans="1:5" x14ac:dyDescent="0.25">
      <c r="A44">
        <v>43</v>
      </c>
      <c r="B44">
        <v>4415</v>
      </c>
      <c r="C44" t="s">
        <v>214</v>
      </c>
      <c r="D44" t="s">
        <v>215</v>
      </c>
      <c r="E44">
        <v>474</v>
      </c>
    </row>
    <row r="45" spans="1:5" x14ac:dyDescent="0.25">
      <c r="A45">
        <v>44</v>
      </c>
      <c r="B45">
        <v>4703</v>
      </c>
      <c r="C45" t="s">
        <v>277</v>
      </c>
      <c r="D45" t="s">
        <v>245</v>
      </c>
      <c r="E45">
        <v>473</v>
      </c>
    </row>
    <row r="46" spans="1:5" x14ac:dyDescent="0.25">
      <c r="A46">
        <v>45</v>
      </c>
      <c r="B46">
        <v>2865</v>
      </c>
      <c r="C46" t="s">
        <v>278</v>
      </c>
      <c r="D46" t="s">
        <v>279</v>
      </c>
      <c r="E46">
        <v>469</v>
      </c>
    </row>
    <row r="47" spans="1:5" x14ac:dyDescent="0.25">
      <c r="A47">
        <v>45</v>
      </c>
      <c r="B47">
        <v>4236</v>
      </c>
      <c r="C47" t="s">
        <v>244</v>
      </c>
      <c r="D47" t="s">
        <v>245</v>
      </c>
      <c r="E47">
        <v>469</v>
      </c>
    </row>
    <row r="48" spans="1:5" x14ac:dyDescent="0.25">
      <c r="A48">
        <v>47</v>
      </c>
      <c r="B48">
        <v>4528</v>
      </c>
      <c r="C48" t="s">
        <v>227</v>
      </c>
      <c r="D48" t="s">
        <v>228</v>
      </c>
      <c r="E48">
        <v>466</v>
      </c>
    </row>
    <row r="49" spans="1:5" x14ac:dyDescent="0.25">
      <c r="A49">
        <v>48</v>
      </c>
      <c r="B49">
        <v>2883</v>
      </c>
      <c r="C49" t="s">
        <v>280</v>
      </c>
      <c r="D49" t="s">
        <v>215</v>
      </c>
      <c r="E49">
        <v>465</v>
      </c>
    </row>
    <row r="50" spans="1:5" x14ac:dyDescent="0.25">
      <c r="A50">
        <v>49</v>
      </c>
      <c r="B50">
        <v>4641</v>
      </c>
      <c r="C50" t="s">
        <v>237</v>
      </c>
      <c r="D50" t="s">
        <v>219</v>
      </c>
      <c r="E50">
        <v>464</v>
      </c>
    </row>
    <row r="51" spans="1:5" x14ac:dyDescent="0.25">
      <c r="A51">
        <v>50</v>
      </c>
      <c r="B51">
        <v>4128</v>
      </c>
      <c r="C51" t="s">
        <v>281</v>
      </c>
      <c r="D51" t="s">
        <v>245</v>
      </c>
      <c r="E51">
        <v>463</v>
      </c>
    </row>
    <row r="52" spans="1:5" x14ac:dyDescent="0.25">
      <c r="A52">
        <v>50</v>
      </c>
      <c r="B52">
        <v>4138</v>
      </c>
      <c r="C52" t="s">
        <v>282</v>
      </c>
      <c r="D52" t="s">
        <v>200</v>
      </c>
      <c r="E52">
        <v>463</v>
      </c>
    </row>
    <row r="53" spans="1:5" x14ac:dyDescent="0.25">
      <c r="A53">
        <v>52</v>
      </c>
      <c r="B53">
        <v>4033</v>
      </c>
      <c r="C53" t="s">
        <v>283</v>
      </c>
      <c r="D53" t="s">
        <v>232</v>
      </c>
      <c r="E53">
        <v>460</v>
      </c>
    </row>
    <row r="54" spans="1:5" x14ac:dyDescent="0.25">
      <c r="A54">
        <v>52</v>
      </c>
      <c r="B54">
        <v>4545</v>
      </c>
      <c r="C54" t="s">
        <v>284</v>
      </c>
      <c r="D54" t="s">
        <v>279</v>
      </c>
      <c r="E54">
        <v>460</v>
      </c>
    </row>
    <row r="55" spans="1:5" x14ac:dyDescent="0.25">
      <c r="A55">
        <v>54</v>
      </c>
      <c r="B55">
        <v>4287</v>
      </c>
      <c r="C55" t="s">
        <v>268</v>
      </c>
      <c r="D55" t="s">
        <v>228</v>
      </c>
      <c r="E55">
        <v>459</v>
      </c>
    </row>
    <row r="56" spans="1:5" x14ac:dyDescent="0.25">
      <c r="A56">
        <v>55</v>
      </c>
      <c r="B56">
        <v>4833</v>
      </c>
      <c r="C56" t="s">
        <v>249</v>
      </c>
      <c r="D56" t="s">
        <v>204</v>
      </c>
      <c r="E56">
        <v>454</v>
      </c>
    </row>
    <row r="57" spans="1:5" x14ac:dyDescent="0.25">
      <c r="A57">
        <v>56</v>
      </c>
      <c r="B57">
        <v>4327</v>
      </c>
      <c r="C57" t="s">
        <v>255</v>
      </c>
      <c r="D57" t="s">
        <v>204</v>
      </c>
      <c r="E57">
        <v>453</v>
      </c>
    </row>
    <row r="58" spans="1:5" x14ac:dyDescent="0.25">
      <c r="A58">
        <v>56</v>
      </c>
      <c r="B58">
        <v>4790</v>
      </c>
      <c r="C58" t="s">
        <v>252</v>
      </c>
      <c r="D58" t="s">
        <v>211</v>
      </c>
      <c r="E58">
        <v>453</v>
      </c>
    </row>
    <row r="59" spans="1:5" x14ac:dyDescent="0.25">
      <c r="A59">
        <v>58</v>
      </c>
      <c r="B59">
        <v>4052</v>
      </c>
      <c r="C59" t="s">
        <v>285</v>
      </c>
      <c r="D59" t="s">
        <v>213</v>
      </c>
      <c r="E59">
        <v>452</v>
      </c>
    </row>
    <row r="60" spans="1:5" x14ac:dyDescent="0.25">
      <c r="A60">
        <v>58</v>
      </c>
      <c r="B60">
        <v>4851</v>
      </c>
      <c r="C60" t="s">
        <v>259</v>
      </c>
      <c r="D60" t="s">
        <v>260</v>
      </c>
      <c r="E60">
        <v>452</v>
      </c>
    </row>
    <row r="61" spans="1:5" x14ac:dyDescent="0.25">
      <c r="A61">
        <v>60</v>
      </c>
      <c r="B61">
        <v>3380</v>
      </c>
      <c r="C61" t="s">
        <v>286</v>
      </c>
      <c r="D61" t="s">
        <v>213</v>
      </c>
      <c r="E61">
        <v>450</v>
      </c>
    </row>
    <row r="62" spans="1:5" x14ac:dyDescent="0.25">
      <c r="A62">
        <v>60</v>
      </c>
      <c r="B62">
        <v>3840</v>
      </c>
      <c r="C62" t="s">
        <v>287</v>
      </c>
      <c r="D62" t="s">
        <v>235</v>
      </c>
      <c r="E62">
        <v>450</v>
      </c>
    </row>
    <row r="63" spans="1:5" x14ac:dyDescent="0.25">
      <c r="A63">
        <v>60</v>
      </c>
      <c r="B63">
        <v>4055</v>
      </c>
      <c r="C63" t="s">
        <v>288</v>
      </c>
      <c r="D63" t="s">
        <v>211</v>
      </c>
      <c r="E63">
        <v>450</v>
      </c>
    </row>
    <row r="64" spans="1:5" x14ac:dyDescent="0.25">
      <c r="A64">
        <v>63</v>
      </c>
      <c r="B64">
        <v>4300</v>
      </c>
      <c r="C64" t="s">
        <v>267</v>
      </c>
      <c r="D64" t="s">
        <v>202</v>
      </c>
      <c r="E64">
        <v>448</v>
      </c>
    </row>
    <row r="65" spans="1:5" x14ac:dyDescent="0.25">
      <c r="A65">
        <v>64</v>
      </c>
      <c r="B65">
        <v>3792</v>
      </c>
      <c r="C65" t="s">
        <v>264</v>
      </c>
      <c r="D65" t="s">
        <v>232</v>
      </c>
      <c r="E65">
        <v>443</v>
      </c>
    </row>
    <row r="66" spans="1:5" x14ac:dyDescent="0.25">
      <c r="A66">
        <v>65</v>
      </c>
      <c r="B66">
        <v>4826</v>
      </c>
      <c r="C66" t="s">
        <v>289</v>
      </c>
      <c r="D66" t="s">
        <v>211</v>
      </c>
      <c r="E66">
        <v>442</v>
      </c>
    </row>
    <row r="67" spans="1:5" x14ac:dyDescent="0.25">
      <c r="A67">
        <v>66</v>
      </c>
      <c r="B67">
        <v>4788</v>
      </c>
      <c r="C67" t="s">
        <v>290</v>
      </c>
      <c r="D67" t="s">
        <v>291</v>
      </c>
      <c r="E67">
        <v>441</v>
      </c>
    </row>
    <row r="68" spans="1:5" x14ac:dyDescent="0.25">
      <c r="A68">
        <v>67</v>
      </c>
      <c r="B68">
        <v>4843</v>
      </c>
      <c r="C68" t="s">
        <v>292</v>
      </c>
      <c r="D68" t="s">
        <v>293</v>
      </c>
      <c r="E68">
        <v>440</v>
      </c>
    </row>
    <row r="69" spans="1:5" x14ac:dyDescent="0.25">
      <c r="A69">
        <v>68</v>
      </c>
      <c r="B69">
        <v>4797</v>
      </c>
      <c r="C69" t="s">
        <v>294</v>
      </c>
      <c r="D69" t="s">
        <v>204</v>
      </c>
      <c r="E69">
        <v>430</v>
      </c>
    </row>
    <row r="70" spans="1:5" x14ac:dyDescent="0.25">
      <c r="A70">
        <v>68</v>
      </c>
      <c r="B70">
        <v>4832</v>
      </c>
      <c r="C70" t="s">
        <v>295</v>
      </c>
      <c r="D70" t="s">
        <v>211</v>
      </c>
      <c r="E70">
        <v>430</v>
      </c>
    </row>
    <row r="71" spans="1:5" x14ac:dyDescent="0.25">
      <c r="A71">
        <v>68</v>
      </c>
      <c r="B71">
        <v>4060</v>
      </c>
      <c r="C71" t="s">
        <v>296</v>
      </c>
      <c r="D71" t="s">
        <v>279</v>
      </c>
      <c r="E71">
        <v>430</v>
      </c>
    </row>
    <row r="72" spans="1:5" x14ac:dyDescent="0.25">
      <c r="A72">
        <v>68</v>
      </c>
      <c r="B72">
        <v>4290</v>
      </c>
      <c r="C72" t="s">
        <v>297</v>
      </c>
      <c r="D72" t="s">
        <v>228</v>
      </c>
      <c r="E72">
        <v>430</v>
      </c>
    </row>
    <row r="73" spans="1:5" x14ac:dyDescent="0.25">
      <c r="A73">
        <v>68</v>
      </c>
      <c r="B73">
        <v>3707</v>
      </c>
      <c r="C73" t="s">
        <v>298</v>
      </c>
      <c r="D73" t="s">
        <v>204</v>
      </c>
      <c r="E73">
        <v>430</v>
      </c>
    </row>
    <row r="74" spans="1:5" x14ac:dyDescent="0.25">
      <c r="A74">
        <v>68</v>
      </c>
      <c r="B74">
        <v>4687</v>
      </c>
      <c r="C74" t="s">
        <v>299</v>
      </c>
      <c r="D74" t="s">
        <v>235</v>
      </c>
      <c r="E74">
        <v>430</v>
      </c>
    </row>
    <row r="75" spans="1:5" x14ac:dyDescent="0.25">
      <c r="A75">
        <v>74</v>
      </c>
      <c r="B75">
        <v>4541</v>
      </c>
      <c r="C75" t="s">
        <v>263</v>
      </c>
      <c r="D75" t="s">
        <v>213</v>
      </c>
      <c r="E75">
        <v>428</v>
      </c>
    </row>
    <row r="76" spans="1:5" x14ac:dyDescent="0.25">
      <c r="A76">
        <v>75</v>
      </c>
      <c r="B76">
        <v>4522</v>
      </c>
      <c r="C76" t="s">
        <v>300</v>
      </c>
      <c r="D76" t="s">
        <v>213</v>
      </c>
      <c r="E76">
        <v>427</v>
      </c>
    </row>
    <row r="77" spans="1:5" x14ac:dyDescent="0.25">
      <c r="A77">
        <v>76</v>
      </c>
      <c r="B77">
        <v>4748</v>
      </c>
      <c r="C77" t="s">
        <v>301</v>
      </c>
      <c r="D77" t="s">
        <v>219</v>
      </c>
      <c r="E77">
        <v>420</v>
      </c>
    </row>
    <row r="78" spans="1:5" x14ac:dyDescent="0.25">
      <c r="A78">
        <v>76</v>
      </c>
      <c r="B78">
        <v>4713</v>
      </c>
      <c r="C78" t="s">
        <v>302</v>
      </c>
      <c r="D78" t="s">
        <v>235</v>
      </c>
      <c r="E78">
        <v>420</v>
      </c>
    </row>
    <row r="79" spans="1:5" x14ac:dyDescent="0.25">
      <c r="A79">
        <v>76</v>
      </c>
      <c r="B79">
        <v>4746</v>
      </c>
      <c r="C79" t="s">
        <v>303</v>
      </c>
      <c r="D79" t="s">
        <v>235</v>
      </c>
      <c r="E79">
        <v>420</v>
      </c>
    </row>
    <row r="80" spans="1:5" x14ac:dyDescent="0.25">
      <c r="A80">
        <v>76</v>
      </c>
      <c r="B80">
        <v>1474</v>
      </c>
      <c r="C80" t="s">
        <v>304</v>
      </c>
      <c r="D80" t="s">
        <v>215</v>
      </c>
      <c r="E80">
        <v>420</v>
      </c>
    </row>
    <row r="81" spans="1:5" x14ac:dyDescent="0.25">
      <c r="A81">
        <v>76</v>
      </c>
      <c r="B81">
        <v>1547</v>
      </c>
      <c r="C81" t="s">
        <v>305</v>
      </c>
      <c r="D81" t="s">
        <v>204</v>
      </c>
      <c r="E81">
        <v>420</v>
      </c>
    </row>
    <row r="82" spans="1:5" x14ac:dyDescent="0.25">
      <c r="A82">
        <v>76</v>
      </c>
      <c r="B82">
        <v>2041</v>
      </c>
      <c r="C82" t="s">
        <v>306</v>
      </c>
      <c r="D82" t="s">
        <v>307</v>
      </c>
      <c r="E82">
        <v>420</v>
      </c>
    </row>
    <row r="83" spans="1:5" x14ac:dyDescent="0.25">
      <c r="A83">
        <v>76</v>
      </c>
      <c r="B83">
        <v>2407</v>
      </c>
      <c r="C83" t="s">
        <v>308</v>
      </c>
      <c r="D83" t="s">
        <v>215</v>
      </c>
      <c r="E83">
        <v>420</v>
      </c>
    </row>
    <row r="84" spans="1:5" x14ac:dyDescent="0.25">
      <c r="A84">
        <v>76</v>
      </c>
      <c r="B84">
        <v>2793</v>
      </c>
      <c r="C84" t="s">
        <v>309</v>
      </c>
      <c r="D84" t="s">
        <v>211</v>
      </c>
      <c r="E84">
        <v>420</v>
      </c>
    </row>
    <row r="85" spans="1:5" x14ac:dyDescent="0.25">
      <c r="A85">
        <v>76</v>
      </c>
      <c r="B85">
        <v>4789</v>
      </c>
      <c r="C85" t="s">
        <v>290</v>
      </c>
      <c r="D85" t="s">
        <v>310</v>
      </c>
      <c r="E85">
        <v>420</v>
      </c>
    </row>
    <row r="86" spans="1:5" x14ac:dyDescent="0.25">
      <c r="A86">
        <v>76</v>
      </c>
      <c r="B86">
        <v>4807</v>
      </c>
      <c r="C86" t="s">
        <v>253</v>
      </c>
      <c r="D86" t="s">
        <v>311</v>
      </c>
      <c r="E86">
        <v>420</v>
      </c>
    </row>
    <row r="87" spans="1:5" x14ac:dyDescent="0.25">
      <c r="A87">
        <v>76</v>
      </c>
      <c r="B87">
        <v>4188</v>
      </c>
      <c r="C87" t="s">
        <v>312</v>
      </c>
      <c r="D87" t="s">
        <v>204</v>
      </c>
      <c r="E87">
        <v>420</v>
      </c>
    </row>
    <row r="88" spans="1:5" x14ac:dyDescent="0.25">
      <c r="A88">
        <v>76</v>
      </c>
      <c r="B88">
        <v>4192</v>
      </c>
      <c r="C88" t="s">
        <v>313</v>
      </c>
      <c r="D88" t="s">
        <v>209</v>
      </c>
      <c r="E88">
        <v>420</v>
      </c>
    </row>
    <row r="89" spans="1:5" x14ac:dyDescent="0.25">
      <c r="A89">
        <v>76</v>
      </c>
      <c r="B89">
        <v>4217</v>
      </c>
      <c r="C89" t="s">
        <v>314</v>
      </c>
      <c r="D89" t="s">
        <v>213</v>
      </c>
      <c r="E89">
        <v>420</v>
      </c>
    </row>
    <row r="90" spans="1:5" x14ac:dyDescent="0.25">
      <c r="A90">
        <v>76</v>
      </c>
      <c r="B90">
        <v>4228</v>
      </c>
      <c r="C90" t="s">
        <v>315</v>
      </c>
      <c r="D90" t="s">
        <v>202</v>
      </c>
      <c r="E90">
        <v>420</v>
      </c>
    </row>
    <row r="91" spans="1:5" x14ac:dyDescent="0.25">
      <c r="A91">
        <v>76</v>
      </c>
      <c r="B91">
        <v>3381</v>
      </c>
      <c r="C91" t="s">
        <v>316</v>
      </c>
      <c r="D91" t="s">
        <v>215</v>
      </c>
      <c r="E91">
        <v>420</v>
      </c>
    </row>
    <row r="92" spans="1:5" x14ac:dyDescent="0.25">
      <c r="A92">
        <v>76</v>
      </c>
      <c r="B92">
        <v>3387</v>
      </c>
      <c r="C92" t="s">
        <v>317</v>
      </c>
      <c r="D92" t="s">
        <v>228</v>
      </c>
      <c r="E92">
        <v>420</v>
      </c>
    </row>
    <row r="93" spans="1:5" x14ac:dyDescent="0.25">
      <c r="A93">
        <v>76</v>
      </c>
      <c r="B93">
        <v>3389</v>
      </c>
      <c r="C93" t="s">
        <v>318</v>
      </c>
      <c r="D93" t="s">
        <v>213</v>
      </c>
      <c r="E93">
        <v>420</v>
      </c>
    </row>
    <row r="94" spans="1:5" x14ac:dyDescent="0.25">
      <c r="A94">
        <v>76</v>
      </c>
      <c r="B94">
        <v>3451</v>
      </c>
      <c r="C94" t="s">
        <v>319</v>
      </c>
      <c r="D94" t="s">
        <v>279</v>
      </c>
      <c r="E94">
        <v>420</v>
      </c>
    </row>
    <row r="95" spans="1:5" x14ac:dyDescent="0.25">
      <c r="A95">
        <v>76</v>
      </c>
      <c r="B95">
        <v>3453</v>
      </c>
      <c r="C95" t="s">
        <v>320</v>
      </c>
      <c r="D95" t="s">
        <v>279</v>
      </c>
      <c r="E95">
        <v>420</v>
      </c>
    </row>
    <row r="96" spans="1:5" x14ac:dyDescent="0.25">
      <c r="A96">
        <v>76</v>
      </c>
      <c r="B96">
        <v>3454</v>
      </c>
      <c r="C96" t="s">
        <v>321</v>
      </c>
      <c r="D96" t="s">
        <v>200</v>
      </c>
      <c r="E96">
        <v>420</v>
      </c>
    </row>
    <row r="97" spans="1:5" x14ac:dyDescent="0.25">
      <c r="A97">
        <v>76</v>
      </c>
      <c r="B97">
        <v>3460</v>
      </c>
      <c r="C97" t="s">
        <v>322</v>
      </c>
      <c r="D97" t="s">
        <v>323</v>
      </c>
      <c r="E97">
        <v>420</v>
      </c>
    </row>
    <row r="98" spans="1:5" x14ac:dyDescent="0.25">
      <c r="A98">
        <v>76</v>
      </c>
      <c r="B98">
        <v>3558</v>
      </c>
      <c r="C98" t="s">
        <v>324</v>
      </c>
      <c r="D98" t="s">
        <v>211</v>
      </c>
      <c r="E98">
        <v>420</v>
      </c>
    </row>
    <row r="99" spans="1:5" x14ac:dyDescent="0.25">
      <c r="A99">
        <v>76</v>
      </c>
      <c r="B99">
        <v>3559</v>
      </c>
      <c r="C99" t="s">
        <v>325</v>
      </c>
      <c r="D99" t="s">
        <v>211</v>
      </c>
      <c r="E99">
        <v>420</v>
      </c>
    </row>
    <row r="100" spans="1:5" x14ac:dyDescent="0.25">
      <c r="A100">
        <v>76</v>
      </c>
      <c r="B100">
        <v>3610</v>
      </c>
      <c r="C100" t="s">
        <v>326</v>
      </c>
      <c r="D100" t="s">
        <v>232</v>
      </c>
      <c r="E100">
        <v>420</v>
      </c>
    </row>
    <row r="101" spans="1:5" x14ac:dyDescent="0.25">
      <c r="A101">
        <v>76</v>
      </c>
      <c r="B101">
        <v>3611</v>
      </c>
      <c r="C101" t="s">
        <v>327</v>
      </c>
      <c r="D101" t="s">
        <v>232</v>
      </c>
      <c r="E101">
        <v>420</v>
      </c>
    </row>
    <row r="102" spans="1:5" x14ac:dyDescent="0.25">
      <c r="A102">
        <v>76</v>
      </c>
      <c r="B102">
        <v>3615</v>
      </c>
      <c r="C102" t="s">
        <v>328</v>
      </c>
      <c r="D102" t="s">
        <v>232</v>
      </c>
      <c r="E102">
        <v>420</v>
      </c>
    </row>
    <row r="103" spans="1:5" x14ac:dyDescent="0.25">
      <c r="A103">
        <v>76</v>
      </c>
      <c r="B103">
        <v>3633</v>
      </c>
      <c r="C103" t="s">
        <v>329</v>
      </c>
      <c r="D103" t="s">
        <v>215</v>
      </c>
      <c r="E103">
        <v>420</v>
      </c>
    </row>
    <row r="104" spans="1:5" x14ac:dyDescent="0.25">
      <c r="A104">
        <v>76</v>
      </c>
      <c r="B104">
        <v>3648</v>
      </c>
      <c r="C104" t="s">
        <v>330</v>
      </c>
      <c r="D104" t="s">
        <v>260</v>
      </c>
      <c r="E104">
        <v>420</v>
      </c>
    </row>
    <row r="105" spans="1:5" x14ac:dyDescent="0.25">
      <c r="A105">
        <v>76</v>
      </c>
      <c r="B105">
        <v>3652</v>
      </c>
      <c r="C105" t="s">
        <v>331</v>
      </c>
      <c r="D105" t="s">
        <v>211</v>
      </c>
      <c r="E105">
        <v>420</v>
      </c>
    </row>
    <row r="106" spans="1:5" x14ac:dyDescent="0.25">
      <c r="A106">
        <v>76</v>
      </c>
      <c r="B106">
        <v>3653</v>
      </c>
      <c r="C106" t="s">
        <v>332</v>
      </c>
      <c r="D106" t="s">
        <v>211</v>
      </c>
      <c r="E106">
        <v>420</v>
      </c>
    </row>
    <row r="107" spans="1:5" x14ac:dyDescent="0.25">
      <c r="A107">
        <v>76</v>
      </c>
      <c r="B107">
        <v>3658</v>
      </c>
      <c r="C107" t="s">
        <v>333</v>
      </c>
      <c r="D107" t="s">
        <v>323</v>
      </c>
      <c r="E107">
        <v>420</v>
      </c>
    </row>
    <row r="108" spans="1:5" x14ac:dyDescent="0.25">
      <c r="A108">
        <v>76</v>
      </c>
      <c r="B108">
        <v>3660</v>
      </c>
      <c r="C108" t="s">
        <v>334</v>
      </c>
      <c r="D108" t="s">
        <v>211</v>
      </c>
      <c r="E108">
        <v>420</v>
      </c>
    </row>
    <row r="109" spans="1:5" x14ac:dyDescent="0.25">
      <c r="A109">
        <v>76</v>
      </c>
      <c r="B109">
        <v>3667</v>
      </c>
      <c r="C109" t="s">
        <v>335</v>
      </c>
      <c r="D109" t="s">
        <v>279</v>
      </c>
      <c r="E109">
        <v>420</v>
      </c>
    </row>
    <row r="110" spans="1:5" x14ac:dyDescent="0.25">
      <c r="A110">
        <v>76</v>
      </c>
      <c r="B110">
        <v>3676</v>
      </c>
      <c r="C110" t="s">
        <v>336</v>
      </c>
      <c r="D110" t="s">
        <v>200</v>
      </c>
      <c r="E110">
        <v>420</v>
      </c>
    </row>
    <row r="111" spans="1:5" x14ac:dyDescent="0.25">
      <c r="A111">
        <v>76</v>
      </c>
      <c r="B111">
        <v>3677</v>
      </c>
      <c r="C111" t="s">
        <v>337</v>
      </c>
      <c r="D111" t="s">
        <v>338</v>
      </c>
      <c r="E111">
        <v>420</v>
      </c>
    </row>
    <row r="112" spans="1:5" x14ac:dyDescent="0.25">
      <c r="A112">
        <v>76</v>
      </c>
      <c r="B112">
        <v>3680</v>
      </c>
      <c r="C112" t="s">
        <v>339</v>
      </c>
      <c r="D112" t="s">
        <v>338</v>
      </c>
      <c r="E112">
        <v>420</v>
      </c>
    </row>
    <row r="113" spans="1:5" x14ac:dyDescent="0.25">
      <c r="A113">
        <v>76</v>
      </c>
      <c r="B113">
        <v>3683</v>
      </c>
      <c r="C113" t="s">
        <v>340</v>
      </c>
      <c r="D113" t="s">
        <v>341</v>
      </c>
      <c r="E113">
        <v>420</v>
      </c>
    </row>
    <row r="114" spans="1:5" x14ac:dyDescent="0.25">
      <c r="A114">
        <v>76</v>
      </c>
      <c r="B114">
        <v>4359</v>
      </c>
      <c r="C114" t="s">
        <v>342</v>
      </c>
      <c r="D114" t="s">
        <v>202</v>
      </c>
      <c r="E114">
        <v>420</v>
      </c>
    </row>
    <row r="115" spans="1:5" x14ac:dyDescent="0.25">
      <c r="A115">
        <v>76</v>
      </c>
      <c r="B115">
        <v>4360</v>
      </c>
      <c r="C115" t="s">
        <v>343</v>
      </c>
      <c r="D115" t="s">
        <v>344</v>
      </c>
      <c r="E115">
        <v>420</v>
      </c>
    </row>
    <row r="116" spans="1:5" x14ac:dyDescent="0.25">
      <c r="A116">
        <v>76</v>
      </c>
      <c r="B116">
        <v>4399</v>
      </c>
      <c r="C116" t="s">
        <v>345</v>
      </c>
      <c r="D116" t="s">
        <v>260</v>
      </c>
      <c r="E116">
        <v>420</v>
      </c>
    </row>
    <row r="117" spans="1:5" x14ac:dyDescent="0.25">
      <c r="A117">
        <v>76</v>
      </c>
      <c r="B117">
        <v>4424</v>
      </c>
      <c r="C117" t="s">
        <v>346</v>
      </c>
      <c r="D117" t="s">
        <v>347</v>
      </c>
      <c r="E117">
        <v>420</v>
      </c>
    </row>
    <row r="118" spans="1:5" x14ac:dyDescent="0.25">
      <c r="A118">
        <v>76</v>
      </c>
      <c r="B118">
        <v>4430</v>
      </c>
      <c r="C118" t="s">
        <v>348</v>
      </c>
      <c r="D118" t="s">
        <v>204</v>
      </c>
      <c r="E118">
        <v>420</v>
      </c>
    </row>
    <row r="119" spans="1:5" x14ac:dyDescent="0.25">
      <c r="A119">
        <v>76</v>
      </c>
      <c r="B119">
        <v>4431</v>
      </c>
      <c r="C119" t="s">
        <v>349</v>
      </c>
      <c r="D119" t="s">
        <v>204</v>
      </c>
      <c r="E119">
        <v>420</v>
      </c>
    </row>
    <row r="120" spans="1:5" x14ac:dyDescent="0.25">
      <c r="A120">
        <v>76</v>
      </c>
      <c r="B120">
        <v>4432</v>
      </c>
      <c r="C120" t="s">
        <v>350</v>
      </c>
      <c r="D120" t="s">
        <v>204</v>
      </c>
      <c r="E120">
        <v>420</v>
      </c>
    </row>
    <row r="121" spans="1:5" x14ac:dyDescent="0.25">
      <c r="A121">
        <v>76</v>
      </c>
      <c r="B121">
        <v>4449</v>
      </c>
      <c r="C121" t="s">
        <v>351</v>
      </c>
      <c r="D121" t="s">
        <v>352</v>
      </c>
      <c r="E121">
        <v>420</v>
      </c>
    </row>
    <row r="122" spans="1:5" x14ac:dyDescent="0.25">
      <c r="A122">
        <v>76</v>
      </c>
      <c r="B122">
        <v>4450</v>
      </c>
      <c r="C122" t="s">
        <v>353</v>
      </c>
      <c r="D122" t="s">
        <v>352</v>
      </c>
      <c r="E122">
        <v>420</v>
      </c>
    </row>
    <row r="123" spans="1:5" x14ac:dyDescent="0.25">
      <c r="A123">
        <v>76</v>
      </c>
      <c r="B123">
        <v>4451</v>
      </c>
      <c r="C123" t="s">
        <v>354</v>
      </c>
      <c r="D123" t="s">
        <v>352</v>
      </c>
      <c r="E123">
        <v>420</v>
      </c>
    </row>
    <row r="124" spans="1:5" x14ac:dyDescent="0.25">
      <c r="A124">
        <v>76</v>
      </c>
      <c r="B124">
        <v>4527</v>
      </c>
      <c r="C124" t="s">
        <v>355</v>
      </c>
      <c r="D124" t="s">
        <v>228</v>
      </c>
      <c r="E124">
        <v>420</v>
      </c>
    </row>
    <row r="125" spans="1:5" x14ac:dyDescent="0.25">
      <c r="A125">
        <v>76</v>
      </c>
      <c r="B125">
        <v>4529</v>
      </c>
      <c r="C125" t="s">
        <v>356</v>
      </c>
      <c r="D125" t="s">
        <v>228</v>
      </c>
      <c r="E125">
        <v>420</v>
      </c>
    </row>
    <row r="126" spans="1:5" x14ac:dyDescent="0.25">
      <c r="A126">
        <v>76</v>
      </c>
      <c r="B126">
        <v>4530</v>
      </c>
      <c r="C126" t="s">
        <v>357</v>
      </c>
      <c r="D126" t="s">
        <v>235</v>
      </c>
      <c r="E126">
        <v>420</v>
      </c>
    </row>
    <row r="127" spans="1:5" x14ac:dyDescent="0.25">
      <c r="A127">
        <v>76</v>
      </c>
      <c r="B127">
        <v>4538</v>
      </c>
      <c r="C127" t="s">
        <v>358</v>
      </c>
      <c r="D127" t="s">
        <v>235</v>
      </c>
      <c r="E127">
        <v>420</v>
      </c>
    </row>
    <row r="128" spans="1:5" x14ac:dyDescent="0.25">
      <c r="A128">
        <v>76</v>
      </c>
      <c r="B128">
        <v>4555</v>
      </c>
      <c r="C128" t="s">
        <v>359</v>
      </c>
      <c r="D128" t="s">
        <v>360</v>
      </c>
      <c r="E128">
        <v>420</v>
      </c>
    </row>
    <row r="129" spans="1:5" x14ac:dyDescent="0.25">
      <c r="A129">
        <v>76</v>
      </c>
      <c r="B129">
        <v>4556</v>
      </c>
      <c r="C129" t="s">
        <v>361</v>
      </c>
      <c r="D129" t="s">
        <v>360</v>
      </c>
      <c r="E129">
        <v>420</v>
      </c>
    </row>
    <row r="130" spans="1:5" x14ac:dyDescent="0.25">
      <c r="A130">
        <v>76</v>
      </c>
      <c r="B130">
        <v>4593</v>
      </c>
      <c r="C130" t="s">
        <v>362</v>
      </c>
      <c r="D130" t="s">
        <v>293</v>
      </c>
      <c r="E130">
        <v>420</v>
      </c>
    </row>
    <row r="131" spans="1:5" x14ac:dyDescent="0.25">
      <c r="A131">
        <v>76</v>
      </c>
      <c r="B131">
        <v>4595</v>
      </c>
      <c r="C131" t="s">
        <v>362</v>
      </c>
      <c r="D131" t="s">
        <v>352</v>
      </c>
      <c r="E131">
        <v>420</v>
      </c>
    </row>
    <row r="132" spans="1:5" x14ac:dyDescent="0.25">
      <c r="A132">
        <v>76</v>
      </c>
      <c r="B132">
        <v>4599</v>
      </c>
      <c r="C132" t="s">
        <v>363</v>
      </c>
      <c r="D132" t="s">
        <v>228</v>
      </c>
      <c r="E132">
        <v>420</v>
      </c>
    </row>
    <row r="133" spans="1:5" x14ac:dyDescent="0.25">
      <c r="A133">
        <v>76</v>
      </c>
      <c r="B133">
        <v>4608</v>
      </c>
      <c r="C133" t="s">
        <v>364</v>
      </c>
      <c r="D133" t="s">
        <v>215</v>
      </c>
      <c r="E133">
        <v>420</v>
      </c>
    </row>
    <row r="134" spans="1:5" x14ac:dyDescent="0.25">
      <c r="A134">
        <v>76</v>
      </c>
      <c r="B134">
        <v>4671</v>
      </c>
      <c r="C134" t="s">
        <v>365</v>
      </c>
      <c r="D134" t="s">
        <v>260</v>
      </c>
      <c r="E134">
        <v>420</v>
      </c>
    </row>
    <row r="135" spans="1:5" x14ac:dyDescent="0.25">
      <c r="A135">
        <v>76</v>
      </c>
      <c r="B135">
        <v>4674</v>
      </c>
      <c r="C135" t="s">
        <v>366</v>
      </c>
      <c r="D135" t="s">
        <v>232</v>
      </c>
      <c r="E135">
        <v>420</v>
      </c>
    </row>
    <row r="136" spans="1:5" x14ac:dyDescent="0.25">
      <c r="A136">
        <v>76</v>
      </c>
      <c r="B136">
        <v>2857</v>
      </c>
      <c r="C136" t="s">
        <v>367</v>
      </c>
      <c r="D136" t="s">
        <v>235</v>
      </c>
      <c r="E136">
        <v>420</v>
      </c>
    </row>
    <row r="137" spans="1:5" x14ac:dyDescent="0.25">
      <c r="A137">
        <v>76</v>
      </c>
      <c r="B137">
        <v>2885</v>
      </c>
      <c r="C137" t="s">
        <v>368</v>
      </c>
      <c r="D137" t="s">
        <v>369</v>
      </c>
      <c r="E137">
        <v>420</v>
      </c>
    </row>
    <row r="138" spans="1:5" x14ac:dyDescent="0.25">
      <c r="A138">
        <v>76</v>
      </c>
      <c r="B138">
        <v>2890</v>
      </c>
      <c r="C138" t="s">
        <v>370</v>
      </c>
      <c r="D138" t="s">
        <v>371</v>
      </c>
      <c r="E138">
        <v>420</v>
      </c>
    </row>
    <row r="139" spans="1:5" x14ac:dyDescent="0.25">
      <c r="A139">
        <v>76</v>
      </c>
      <c r="B139">
        <v>3114</v>
      </c>
      <c r="C139" t="s">
        <v>372</v>
      </c>
      <c r="D139" t="s">
        <v>211</v>
      </c>
      <c r="E139">
        <v>420</v>
      </c>
    </row>
    <row r="140" spans="1:5" x14ac:dyDescent="0.25">
      <c r="A140">
        <v>76</v>
      </c>
      <c r="B140">
        <v>3334</v>
      </c>
      <c r="C140" t="s">
        <v>373</v>
      </c>
      <c r="D140" t="s">
        <v>338</v>
      </c>
      <c r="E140">
        <v>420</v>
      </c>
    </row>
    <row r="141" spans="1:5" x14ac:dyDescent="0.25">
      <c r="A141">
        <v>76</v>
      </c>
      <c r="B141">
        <v>3337</v>
      </c>
      <c r="C141" t="s">
        <v>374</v>
      </c>
      <c r="D141" t="s">
        <v>323</v>
      </c>
      <c r="E141">
        <v>420</v>
      </c>
    </row>
    <row r="142" spans="1:5" x14ac:dyDescent="0.25">
      <c r="A142">
        <v>76</v>
      </c>
      <c r="B142">
        <v>3464</v>
      </c>
      <c r="C142" t="s">
        <v>375</v>
      </c>
      <c r="D142" t="s">
        <v>228</v>
      </c>
      <c r="E142">
        <v>420</v>
      </c>
    </row>
    <row r="143" spans="1:5" x14ac:dyDescent="0.25">
      <c r="A143">
        <v>76</v>
      </c>
      <c r="B143">
        <v>3465</v>
      </c>
      <c r="C143" t="s">
        <v>376</v>
      </c>
      <c r="D143" t="s">
        <v>232</v>
      </c>
      <c r="E143">
        <v>420</v>
      </c>
    </row>
    <row r="144" spans="1:5" x14ac:dyDescent="0.25">
      <c r="A144">
        <v>76</v>
      </c>
      <c r="B144">
        <v>3467</v>
      </c>
      <c r="C144" t="s">
        <v>377</v>
      </c>
      <c r="D144" t="s">
        <v>228</v>
      </c>
      <c r="E144">
        <v>420</v>
      </c>
    </row>
    <row r="145" spans="1:5" x14ac:dyDescent="0.25">
      <c r="A145">
        <v>76</v>
      </c>
      <c r="B145">
        <v>3469</v>
      </c>
      <c r="C145" t="s">
        <v>378</v>
      </c>
      <c r="D145" t="s">
        <v>369</v>
      </c>
      <c r="E145">
        <v>420</v>
      </c>
    </row>
    <row r="146" spans="1:5" x14ac:dyDescent="0.25">
      <c r="A146">
        <v>76</v>
      </c>
      <c r="B146">
        <v>3470</v>
      </c>
      <c r="C146" t="s">
        <v>379</v>
      </c>
      <c r="D146" t="s">
        <v>369</v>
      </c>
      <c r="E146">
        <v>420</v>
      </c>
    </row>
    <row r="147" spans="1:5" x14ac:dyDescent="0.25">
      <c r="A147">
        <v>76</v>
      </c>
      <c r="B147">
        <v>3471</v>
      </c>
      <c r="C147" t="s">
        <v>380</v>
      </c>
      <c r="D147" t="s">
        <v>338</v>
      </c>
      <c r="E147">
        <v>420</v>
      </c>
    </row>
    <row r="148" spans="1:5" x14ac:dyDescent="0.25">
      <c r="A148">
        <v>76</v>
      </c>
      <c r="B148">
        <v>3500</v>
      </c>
      <c r="C148" t="s">
        <v>381</v>
      </c>
      <c r="D148" t="s">
        <v>382</v>
      </c>
      <c r="E148">
        <v>420</v>
      </c>
    </row>
    <row r="149" spans="1:5" x14ac:dyDescent="0.25">
      <c r="A149">
        <v>76</v>
      </c>
      <c r="B149">
        <v>3504</v>
      </c>
      <c r="C149" t="s">
        <v>383</v>
      </c>
      <c r="D149" t="s">
        <v>213</v>
      </c>
      <c r="E149">
        <v>420</v>
      </c>
    </row>
    <row r="150" spans="1:5" x14ac:dyDescent="0.25">
      <c r="A150">
        <v>76</v>
      </c>
      <c r="B150">
        <v>3527</v>
      </c>
      <c r="C150" t="s">
        <v>384</v>
      </c>
      <c r="D150" t="s">
        <v>385</v>
      </c>
      <c r="E150">
        <v>420</v>
      </c>
    </row>
    <row r="151" spans="1:5" x14ac:dyDescent="0.25">
      <c r="A151">
        <v>76</v>
      </c>
      <c r="B151">
        <v>3528</v>
      </c>
      <c r="C151" t="s">
        <v>386</v>
      </c>
      <c r="D151" t="s">
        <v>385</v>
      </c>
      <c r="E151">
        <v>420</v>
      </c>
    </row>
    <row r="152" spans="1:5" x14ac:dyDescent="0.25">
      <c r="A152">
        <v>76</v>
      </c>
      <c r="B152">
        <v>3529</v>
      </c>
      <c r="C152" t="s">
        <v>387</v>
      </c>
      <c r="D152" t="s">
        <v>385</v>
      </c>
      <c r="E152">
        <v>420</v>
      </c>
    </row>
    <row r="153" spans="1:5" x14ac:dyDescent="0.25">
      <c r="A153">
        <v>76</v>
      </c>
      <c r="B153">
        <v>3530</v>
      </c>
      <c r="C153" t="s">
        <v>388</v>
      </c>
      <c r="D153" t="s">
        <v>385</v>
      </c>
      <c r="E153">
        <v>420</v>
      </c>
    </row>
    <row r="154" spans="1:5" x14ac:dyDescent="0.25">
      <c r="A154">
        <v>76</v>
      </c>
      <c r="B154">
        <v>3545</v>
      </c>
      <c r="C154" t="s">
        <v>389</v>
      </c>
      <c r="D154" t="s">
        <v>390</v>
      </c>
      <c r="E154">
        <v>420</v>
      </c>
    </row>
    <row r="155" spans="1:5" x14ac:dyDescent="0.25">
      <c r="A155">
        <v>76</v>
      </c>
      <c r="B155">
        <v>3712</v>
      </c>
      <c r="C155" t="s">
        <v>391</v>
      </c>
      <c r="D155" t="s">
        <v>215</v>
      </c>
      <c r="E155">
        <v>420</v>
      </c>
    </row>
    <row r="156" spans="1:5" x14ac:dyDescent="0.25">
      <c r="A156">
        <v>76</v>
      </c>
      <c r="B156">
        <v>3724</v>
      </c>
      <c r="C156" t="s">
        <v>392</v>
      </c>
      <c r="D156" t="s">
        <v>323</v>
      </c>
      <c r="E156">
        <v>420</v>
      </c>
    </row>
    <row r="157" spans="1:5" x14ac:dyDescent="0.25">
      <c r="A157">
        <v>76</v>
      </c>
      <c r="B157">
        <v>3730</v>
      </c>
      <c r="C157" t="s">
        <v>393</v>
      </c>
      <c r="D157" t="s">
        <v>382</v>
      </c>
      <c r="E157">
        <v>420</v>
      </c>
    </row>
    <row r="158" spans="1:5" x14ac:dyDescent="0.25">
      <c r="A158">
        <v>76</v>
      </c>
      <c r="B158">
        <v>3731</v>
      </c>
      <c r="C158" t="s">
        <v>394</v>
      </c>
      <c r="D158" t="s">
        <v>338</v>
      </c>
      <c r="E158">
        <v>420</v>
      </c>
    </row>
    <row r="159" spans="1:5" x14ac:dyDescent="0.25">
      <c r="A159">
        <v>76</v>
      </c>
      <c r="B159">
        <v>3745</v>
      </c>
      <c r="C159" t="s">
        <v>395</v>
      </c>
      <c r="D159" t="s">
        <v>396</v>
      </c>
      <c r="E159">
        <v>420</v>
      </c>
    </row>
    <row r="160" spans="1:5" x14ac:dyDescent="0.25">
      <c r="A160">
        <v>76</v>
      </c>
      <c r="B160">
        <v>3748</v>
      </c>
      <c r="C160" t="s">
        <v>397</v>
      </c>
      <c r="D160" t="s">
        <v>215</v>
      </c>
      <c r="E160">
        <v>420</v>
      </c>
    </row>
    <row r="161" spans="1:5" x14ac:dyDescent="0.25">
      <c r="A161">
        <v>76</v>
      </c>
      <c r="B161">
        <v>3893</v>
      </c>
      <c r="C161" t="s">
        <v>398</v>
      </c>
      <c r="D161" t="s">
        <v>371</v>
      </c>
      <c r="E161">
        <v>420</v>
      </c>
    </row>
    <row r="162" spans="1:5" x14ac:dyDescent="0.25">
      <c r="A162">
        <v>76</v>
      </c>
      <c r="B162">
        <v>3896</v>
      </c>
      <c r="C162" t="s">
        <v>399</v>
      </c>
      <c r="D162" t="s">
        <v>228</v>
      </c>
      <c r="E162">
        <v>420</v>
      </c>
    </row>
    <row r="163" spans="1:5" x14ac:dyDescent="0.25">
      <c r="A163">
        <v>76</v>
      </c>
      <c r="B163">
        <v>3928</v>
      </c>
      <c r="C163" t="s">
        <v>400</v>
      </c>
      <c r="D163" t="s">
        <v>385</v>
      </c>
      <c r="E163">
        <v>420</v>
      </c>
    </row>
    <row r="164" spans="1:5" x14ac:dyDescent="0.25">
      <c r="A164">
        <v>76</v>
      </c>
      <c r="B164">
        <v>3930</v>
      </c>
      <c r="C164" t="s">
        <v>401</v>
      </c>
      <c r="D164" t="s">
        <v>279</v>
      </c>
      <c r="E164">
        <v>420</v>
      </c>
    </row>
    <row r="165" spans="1:5" x14ac:dyDescent="0.25">
      <c r="A165">
        <v>76</v>
      </c>
      <c r="B165">
        <v>3931</v>
      </c>
      <c r="C165" t="s">
        <v>402</v>
      </c>
      <c r="D165" t="s">
        <v>279</v>
      </c>
      <c r="E165">
        <v>420</v>
      </c>
    </row>
    <row r="166" spans="1:5" x14ac:dyDescent="0.25">
      <c r="A166">
        <v>76</v>
      </c>
      <c r="B166">
        <v>3932</v>
      </c>
      <c r="C166" t="s">
        <v>403</v>
      </c>
      <c r="D166" t="s">
        <v>235</v>
      </c>
      <c r="E166">
        <v>420</v>
      </c>
    </row>
    <row r="167" spans="1:5" x14ac:dyDescent="0.25">
      <c r="A167">
        <v>76</v>
      </c>
      <c r="B167">
        <v>3933</v>
      </c>
      <c r="C167" t="s">
        <v>404</v>
      </c>
      <c r="D167" t="s">
        <v>235</v>
      </c>
      <c r="E167">
        <v>420</v>
      </c>
    </row>
    <row r="168" spans="1:5" x14ac:dyDescent="0.25">
      <c r="A168">
        <v>76</v>
      </c>
      <c r="B168">
        <v>3934</v>
      </c>
      <c r="C168" t="s">
        <v>405</v>
      </c>
      <c r="D168" t="s">
        <v>213</v>
      </c>
      <c r="E168">
        <v>420</v>
      </c>
    </row>
    <row r="169" spans="1:5" x14ac:dyDescent="0.25">
      <c r="A169">
        <v>76</v>
      </c>
      <c r="B169">
        <v>3935</v>
      </c>
      <c r="C169" t="s">
        <v>406</v>
      </c>
      <c r="D169" t="s">
        <v>382</v>
      </c>
      <c r="E169">
        <v>420</v>
      </c>
    </row>
    <row r="170" spans="1:5" x14ac:dyDescent="0.25">
      <c r="A170">
        <v>76</v>
      </c>
      <c r="B170">
        <v>3936</v>
      </c>
      <c r="C170" t="s">
        <v>407</v>
      </c>
      <c r="D170" t="s">
        <v>341</v>
      </c>
      <c r="E170">
        <v>420</v>
      </c>
    </row>
    <row r="171" spans="1:5" x14ac:dyDescent="0.25">
      <c r="A171">
        <v>76</v>
      </c>
      <c r="B171">
        <v>3937</v>
      </c>
      <c r="C171" t="s">
        <v>408</v>
      </c>
      <c r="D171" t="s">
        <v>409</v>
      </c>
      <c r="E171">
        <v>420</v>
      </c>
    </row>
    <row r="172" spans="1:5" x14ac:dyDescent="0.25">
      <c r="A172">
        <v>76</v>
      </c>
      <c r="B172">
        <v>3938</v>
      </c>
      <c r="C172" t="s">
        <v>410</v>
      </c>
      <c r="D172" t="s">
        <v>382</v>
      </c>
      <c r="E172">
        <v>420</v>
      </c>
    </row>
    <row r="173" spans="1:5" x14ac:dyDescent="0.25">
      <c r="A173">
        <v>76</v>
      </c>
      <c r="B173">
        <v>3939</v>
      </c>
      <c r="C173" t="s">
        <v>411</v>
      </c>
      <c r="D173" t="s">
        <v>382</v>
      </c>
      <c r="E173">
        <v>420</v>
      </c>
    </row>
    <row r="174" spans="1:5" x14ac:dyDescent="0.25">
      <c r="A174">
        <v>76</v>
      </c>
      <c r="B174">
        <v>3941</v>
      </c>
      <c r="C174" t="s">
        <v>412</v>
      </c>
      <c r="D174" t="s">
        <v>202</v>
      </c>
      <c r="E174">
        <v>420</v>
      </c>
    </row>
    <row r="175" spans="1:5" x14ac:dyDescent="0.25">
      <c r="A175">
        <v>76</v>
      </c>
      <c r="B175">
        <v>3942</v>
      </c>
      <c r="C175" t="s">
        <v>413</v>
      </c>
      <c r="D175" t="s">
        <v>209</v>
      </c>
      <c r="E175">
        <v>420</v>
      </c>
    </row>
    <row r="176" spans="1:5" x14ac:dyDescent="0.25">
      <c r="A176">
        <v>76</v>
      </c>
      <c r="B176">
        <v>3945</v>
      </c>
      <c r="C176" t="s">
        <v>414</v>
      </c>
      <c r="D176" t="s">
        <v>341</v>
      </c>
      <c r="E176">
        <v>420</v>
      </c>
    </row>
    <row r="177" spans="1:5" x14ac:dyDescent="0.25">
      <c r="A177">
        <v>76</v>
      </c>
      <c r="B177">
        <v>4079</v>
      </c>
      <c r="C177" t="s">
        <v>415</v>
      </c>
      <c r="D177" t="s">
        <v>323</v>
      </c>
      <c r="E177">
        <v>420</v>
      </c>
    </row>
    <row r="178" spans="1:5" x14ac:dyDescent="0.25">
      <c r="A178">
        <v>76</v>
      </c>
      <c r="B178">
        <v>4081</v>
      </c>
      <c r="C178" t="s">
        <v>416</v>
      </c>
      <c r="D178" t="s">
        <v>347</v>
      </c>
      <c r="E178">
        <v>420</v>
      </c>
    </row>
    <row r="179" spans="1:5" x14ac:dyDescent="0.25">
      <c r="A179">
        <v>76</v>
      </c>
      <c r="B179">
        <v>4082</v>
      </c>
      <c r="C179" t="s">
        <v>417</v>
      </c>
      <c r="D179" t="s">
        <v>347</v>
      </c>
      <c r="E179">
        <v>420</v>
      </c>
    </row>
    <row r="180" spans="1:5" x14ac:dyDescent="0.25">
      <c r="A180">
        <v>76</v>
      </c>
      <c r="B180">
        <v>4124</v>
      </c>
      <c r="C180" t="s">
        <v>418</v>
      </c>
      <c r="D180" t="s">
        <v>213</v>
      </c>
      <c r="E180">
        <v>420</v>
      </c>
    </row>
    <row r="181" spans="1:5" x14ac:dyDescent="0.25">
      <c r="A181">
        <v>76</v>
      </c>
      <c r="B181">
        <v>4129</v>
      </c>
      <c r="C181" t="s">
        <v>419</v>
      </c>
      <c r="D181" t="s">
        <v>228</v>
      </c>
      <c r="E181">
        <v>420</v>
      </c>
    </row>
    <row r="182" spans="1:5" x14ac:dyDescent="0.25">
      <c r="A182">
        <v>76</v>
      </c>
      <c r="B182">
        <v>4132</v>
      </c>
      <c r="C182" t="s">
        <v>420</v>
      </c>
      <c r="D182" t="s">
        <v>232</v>
      </c>
      <c r="E182">
        <v>420</v>
      </c>
    </row>
    <row r="183" spans="1:5" x14ac:dyDescent="0.25">
      <c r="A183">
        <v>76</v>
      </c>
      <c r="B183">
        <v>4134</v>
      </c>
      <c r="C183" t="s">
        <v>421</v>
      </c>
      <c r="D183" t="s">
        <v>232</v>
      </c>
      <c r="E183">
        <v>420</v>
      </c>
    </row>
    <row r="184" spans="1:5" x14ac:dyDescent="0.25">
      <c r="A184">
        <v>76</v>
      </c>
      <c r="B184">
        <v>4139</v>
      </c>
      <c r="C184" t="s">
        <v>422</v>
      </c>
      <c r="D184" t="s">
        <v>202</v>
      </c>
      <c r="E184">
        <v>420</v>
      </c>
    </row>
    <row r="185" spans="1:5" x14ac:dyDescent="0.25">
      <c r="A185">
        <v>76</v>
      </c>
      <c r="B185">
        <v>4142</v>
      </c>
      <c r="C185" t="s">
        <v>423</v>
      </c>
      <c r="D185" t="s">
        <v>202</v>
      </c>
      <c r="E185">
        <v>420</v>
      </c>
    </row>
    <row r="186" spans="1:5" x14ac:dyDescent="0.25">
      <c r="A186">
        <v>76</v>
      </c>
      <c r="B186">
        <v>4145</v>
      </c>
      <c r="C186" t="s">
        <v>424</v>
      </c>
      <c r="D186" t="s">
        <v>260</v>
      </c>
      <c r="E186">
        <v>420</v>
      </c>
    </row>
    <row r="187" spans="1:5" x14ac:dyDescent="0.25">
      <c r="A187">
        <v>76</v>
      </c>
      <c r="B187">
        <v>4252</v>
      </c>
      <c r="C187" t="s">
        <v>425</v>
      </c>
      <c r="D187" t="s">
        <v>291</v>
      </c>
      <c r="E187">
        <v>420</v>
      </c>
    </row>
    <row r="188" spans="1:5" x14ac:dyDescent="0.25">
      <c r="A188">
        <v>76</v>
      </c>
      <c r="B188">
        <v>4260</v>
      </c>
      <c r="C188" t="s">
        <v>426</v>
      </c>
      <c r="D188" t="s">
        <v>211</v>
      </c>
      <c r="E188">
        <v>420</v>
      </c>
    </row>
    <row r="189" spans="1:5" x14ac:dyDescent="0.25">
      <c r="A189">
        <v>76</v>
      </c>
      <c r="B189">
        <v>4263</v>
      </c>
      <c r="C189" t="s">
        <v>427</v>
      </c>
      <c r="D189" t="s">
        <v>200</v>
      </c>
      <c r="E189">
        <v>420</v>
      </c>
    </row>
    <row r="190" spans="1:5" x14ac:dyDescent="0.25">
      <c r="A190">
        <v>76</v>
      </c>
      <c r="B190">
        <v>4265</v>
      </c>
      <c r="C190" t="s">
        <v>428</v>
      </c>
      <c r="D190" t="s">
        <v>200</v>
      </c>
      <c r="E190">
        <v>420</v>
      </c>
    </row>
    <row r="191" spans="1:5" x14ac:dyDescent="0.25">
      <c r="A191">
        <v>76</v>
      </c>
      <c r="B191">
        <v>4268</v>
      </c>
      <c r="C191" t="s">
        <v>429</v>
      </c>
      <c r="D191" t="s">
        <v>409</v>
      </c>
      <c r="E191">
        <v>420</v>
      </c>
    </row>
    <row r="192" spans="1:5" x14ac:dyDescent="0.25">
      <c r="A192">
        <v>76</v>
      </c>
      <c r="B192">
        <v>4288</v>
      </c>
      <c r="C192" t="s">
        <v>430</v>
      </c>
      <c r="D192" t="s">
        <v>228</v>
      </c>
      <c r="E192">
        <v>420</v>
      </c>
    </row>
    <row r="193" spans="1:5" x14ac:dyDescent="0.25">
      <c r="A193">
        <v>76</v>
      </c>
      <c r="B193">
        <v>4298</v>
      </c>
      <c r="C193" t="s">
        <v>431</v>
      </c>
      <c r="D193" t="s">
        <v>215</v>
      </c>
      <c r="E193">
        <v>420</v>
      </c>
    </row>
    <row r="194" spans="1:5" x14ac:dyDescent="0.25">
      <c r="A194">
        <v>76</v>
      </c>
      <c r="B194">
        <v>4305</v>
      </c>
      <c r="C194" t="s">
        <v>432</v>
      </c>
      <c r="D194" t="s">
        <v>279</v>
      </c>
      <c r="E194">
        <v>420</v>
      </c>
    </row>
    <row r="195" spans="1:5" x14ac:dyDescent="0.25">
      <c r="A195">
        <v>76</v>
      </c>
      <c r="B195">
        <v>4307</v>
      </c>
      <c r="C195" t="s">
        <v>433</v>
      </c>
      <c r="D195" t="s">
        <v>279</v>
      </c>
      <c r="E195">
        <v>420</v>
      </c>
    </row>
    <row r="196" spans="1:5" x14ac:dyDescent="0.25">
      <c r="A196">
        <v>76</v>
      </c>
      <c r="B196">
        <v>4328</v>
      </c>
      <c r="C196" t="s">
        <v>434</v>
      </c>
      <c r="D196" t="s">
        <v>360</v>
      </c>
      <c r="E196">
        <v>420</v>
      </c>
    </row>
    <row r="197" spans="1:5" x14ac:dyDescent="0.25">
      <c r="A197">
        <v>76</v>
      </c>
      <c r="B197">
        <v>4511</v>
      </c>
      <c r="C197" t="s">
        <v>435</v>
      </c>
      <c r="D197" t="s">
        <v>211</v>
      </c>
      <c r="E197">
        <v>420</v>
      </c>
    </row>
    <row r="198" spans="1:5" x14ac:dyDescent="0.25">
      <c r="A198">
        <v>76</v>
      </c>
      <c r="B198">
        <v>4512</v>
      </c>
      <c r="C198" t="s">
        <v>436</v>
      </c>
      <c r="D198" t="s">
        <v>202</v>
      </c>
      <c r="E198">
        <v>420</v>
      </c>
    </row>
    <row r="199" spans="1:5" x14ac:dyDescent="0.25">
      <c r="A199">
        <v>76</v>
      </c>
      <c r="B199">
        <v>4514</v>
      </c>
      <c r="C199" t="s">
        <v>437</v>
      </c>
      <c r="D199" t="s">
        <v>245</v>
      </c>
      <c r="E199">
        <v>420</v>
      </c>
    </row>
    <row r="200" spans="1:5" x14ac:dyDescent="0.25">
      <c r="A200">
        <v>76</v>
      </c>
      <c r="B200">
        <v>2546</v>
      </c>
      <c r="C200" t="s">
        <v>438</v>
      </c>
      <c r="D200" t="s">
        <v>369</v>
      </c>
      <c r="E200">
        <v>420</v>
      </c>
    </row>
    <row r="201" spans="1:5" x14ac:dyDescent="0.25">
      <c r="A201">
        <v>76</v>
      </c>
      <c r="B201">
        <v>2935</v>
      </c>
      <c r="C201" t="s">
        <v>439</v>
      </c>
      <c r="D201" t="s">
        <v>215</v>
      </c>
      <c r="E201">
        <v>420</v>
      </c>
    </row>
    <row r="202" spans="1:5" x14ac:dyDescent="0.25">
      <c r="A202">
        <v>76</v>
      </c>
      <c r="B202">
        <v>175</v>
      </c>
      <c r="C202" t="s">
        <v>440</v>
      </c>
      <c r="D202" t="s">
        <v>235</v>
      </c>
      <c r="E202">
        <v>420</v>
      </c>
    </row>
    <row r="203" spans="1:5" x14ac:dyDescent="0.25">
      <c r="A203">
        <v>76</v>
      </c>
      <c r="B203">
        <v>3793</v>
      </c>
      <c r="C203" t="s">
        <v>441</v>
      </c>
      <c r="D203" t="s">
        <v>232</v>
      </c>
      <c r="E203">
        <v>420</v>
      </c>
    </row>
    <row r="204" spans="1:5" x14ac:dyDescent="0.25">
      <c r="A204">
        <v>76</v>
      </c>
      <c r="B204">
        <v>3794</v>
      </c>
      <c r="C204" t="s">
        <v>442</v>
      </c>
      <c r="D204" t="s">
        <v>209</v>
      </c>
      <c r="E204">
        <v>420</v>
      </c>
    </row>
    <row r="205" spans="1:5" x14ac:dyDescent="0.25">
      <c r="A205">
        <v>76</v>
      </c>
      <c r="B205">
        <v>3833</v>
      </c>
      <c r="C205" t="s">
        <v>443</v>
      </c>
      <c r="D205" t="s">
        <v>209</v>
      </c>
      <c r="E205">
        <v>420</v>
      </c>
    </row>
    <row r="206" spans="1:5" x14ac:dyDescent="0.25">
      <c r="A206">
        <v>76</v>
      </c>
      <c r="B206">
        <v>3834</v>
      </c>
      <c r="C206" t="s">
        <v>444</v>
      </c>
      <c r="D206" t="s">
        <v>213</v>
      </c>
      <c r="E206">
        <v>420</v>
      </c>
    </row>
    <row r="207" spans="1:5" x14ac:dyDescent="0.25">
      <c r="A207">
        <v>76</v>
      </c>
      <c r="B207">
        <v>3838</v>
      </c>
      <c r="C207" t="s">
        <v>445</v>
      </c>
      <c r="D207" t="s">
        <v>235</v>
      </c>
      <c r="E207">
        <v>420</v>
      </c>
    </row>
    <row r="208" spans="1:5" x14ac:dyDescent="0.25">
      <c r="A208">
        <v>76</v>
      </c>
      <c r="B208">
        <v>3841</v>
      </c>
      <c r="C208" t="s">
        <v>446</v>
      </c>
      <c r="D208" t="s">
        <v>235</v>
      </c>
      <c r="E208">
        <v>420</v>
      </c>
    </row>
    <row r="209" spans="1:5" x14ac:dyDescent="0.25">
      <c r="A209">
        <v>76</v>
      </c>
      <c r="B209">
        <v>3842</v>
      </c>
      <c r="C209" t="s">
        <v>447</v>
      </c>
      <c r="D209" t="s">
        <v>448</v>
      </c>
      <c r="E209">
        <v>420</v>
      </c>
    </row>
    <row r="210" spans="1:5" x14ac:dyDescent="0.25">
      <c r="A210">
        <v>76</v>
      </c>
      <c r="B210">
        <v>3844</v>
      </c>
      <c r="C210" t="s">
        <v>449</v>
      </c>
      <c r="D210" t="s">
        <v>279</v>
      </c>
      <c r="E210">
        <v>420</v>
      </c>
    </row>
    <row r="211" spans="1:5" x14ac:dyDescent="0.25">
      <c r="A211">
        <v>76</v>
      </c>
      <c r="B211">
        <v>3846</v>
      </c>
      <c r="C211" t="s">
        <v>450</v>
      </c>
      <c r="D211" t="s">
        <v>228</v>
      </c>
      <c r="E211">
        <v>420</v>
      </c>
    </row>
    <row r="212" spans="1:5" x14ac:dyDescent="0.25">
      <c r="A212">
        <v>76</v>
      </c>
      <c r="B212">
        <v>3847</v>
      </c>
      <c r="C212" t="s">
        <v>451</v>
      </c>
      <c r="D212" t="s">
        <v>228</v>
      </c>
      <c r="E212">
        <v>420</v>
      </c>
    </row>
    <row r="213" spans="1:5" x14ac:dyDescent="0.25">
      <c r="A213">
        <v>76</v>
      </c>
      <c r="B213">
        <v>3876</v>
      </c>
      <c r="C213" t="s">
        <v>452</v>
      </c>
      <c r="D213" t="s">
        <v>228</v>
      </c>
      <c r="E213">
        <v>420</v>
      </c>
    </row>
    <row r="214" spans="1:5" x14ac:dyDescent="0.25">
      <c r="A214">
        <v>76</v>
      </c>
      <c r="B214">
        <v>3881</v>
      </c>
      <c r="C214" t="s">
        <v>453</v>
      </c>
      <c r="D214" t="s">
        <v>385</v>
      </c>
      <c r="E214">
        <v>420</v>
      </c>
    </row>
    <row r="215" spans="1:5" x14ac:dyDescent="0.25">
      <c r="A215">
        <v>76</v>
      </c>
      <c r="B215">
        <v>3143</v>
      </c>
      <c r="C215" t="s">
        <v>454</v>
      </c>
      <c r="D215" t="s">
        <v>385</v>
      </c>
      <c r="E215">
        <v>420</v>
      </c>
    </row>
    <row r="216" spans="1:5" x14ac:dyDescent="0.25">
      <c r="A216">
        <v>76</v>
      </c>
      <c r="B216">
        <v>3146</v>
      </c>
      <c r="C216" t="s">
        <v>455</v>
      </c>
      <c r="D216" t="s">
        <v>235</v>
      </c>
      <c r="E216">
        <v>420</v>
      </c>
    </row>
    <row r="217" spans="1:5" x14ac:dyDescent="0.25">
      <c r="A217">
        <v>76</v>
      </c>
      <c r="B217">
        <v>3149</v>
      </c>
      <c r="C217" t="s">
        <v>456</v>
      </c>
      <c r="D217" t="s">
        <v>215</v>
      </c>
      <c r="E217">
        <v>420</v>
      </c>
    </row>
    <row r="218" spans="1:5" x14ac:dyDescent="0.25">
      <c r="A218">
        <v>76</v>
      </c>
      <c r="B218">
        <v>3151</v>
      </c>
      <c r="C218" t="s">
        <v>457</v>
      </c>
      <c r="D218" t="s">
        <v>215</v>
      </c>
      <c r="E218">
        <v>420</v>
      </c>
    </row>
    <row r="219" spans="1:5" x14ac:dyDescent="0.25">
      <c r="A219">
        <v>76</v>
      </c>
      <c r="B219">
        <v>3157</v>
      </c>
      <c r="C219" t="s">
        <v>458</v>
      </c>
      <c r="D219" t="s">
        <v>323</v>
      </c>
      <c r="E219">
        <v>420</v>
      </c>
    </row>
    <row r="220" spans="1:5" x14ac:dyDescent="0.25">
      <c r="A220">
        <v>76</v>
      </c>
      <c r="B220">
        <v>3167</v>
      </c>
      <c r="C220" t="s">
        <v>459</v>
      </c>
      <c r="D220" t="s">
        <v>409</v>
      </c>
      <c r="E220">
        <v>420</v>
      </c>
    </row>
    <row r="221" spans="1:5" x14ac:dyDescent="0.25">
      <c r="A221">
        <v>76</v>
      </c>
      <c r="B221">
        <v>3226</v>
      </c>
      <c r="C221" t="s">
        <v>460</v>
      </c>
      <c r="D221" t="s">
        <v>385</v>
      </c>
      <c r="E221">
        <v>420</v>
      </c>
    </row>
    <row r="222" spans="1:5" x14ac:dyDescent="0.25">
      <c r="A222">
        <v>76</v>
      </c>
      <c r="B222">
        <v>3246</v>
      </c>
      <c r="C222" t="s">
        <v>461</v>
      </c>
      <c r="D222" t="s">
        <v>279</v>
      </c>
      <c r="E222">
        <v>420</v>
      </c>
    </row>
    <row r="223" spans="1:5" x14ac:dyDescent="0.25">
      <c r="A223">
        <v>76</v>
      </c>
      <c r="B223">
        <v>3979</v>
      </c>
      <c r="C223" t="s">
        <v>462</v>
      </c>
      <c r="D223" t="s">
        <v>260</v>
      </c>
      <c r="E223">
        <v>420</v>
      </c>
    </row>
    <row r="224" spans="1:5" x14ac:dyDescent="0.25">
      <c r="A224">
        <v>76</v>
      </c>
      <c r="B224">
        <v>3984</v>
      </c>
      <c r="C224" t="s">
        <v>463</v>
      </c>
      <c r="D224" t="s">
        <v>213</v>
      </c>
      <c r="E224">
        <v>420</v>
      </c>
    </row>
    <row r="225" spans="1:5" x14ac:dyDescent="0.25">
      <c r="A225">
        <v>76</v>
      </c>
      <c r="B225">
        <v>3997</v>
      </c>
      <c r="C225" t="s">
        <v>464</v>
      </c>
      <c r="D225" t="s">
        <v>215</v>
      </c>
      <c r="E225">
        <v>420</v>
      </c>
    </row>
    <row r="226" spans="1:5" x14ac:dyDescent="0.25">
      <c r="A226">
        <v>76</v>
      </c>
      <c r="B226">
        <v>4032</v>
      </c>
      <c r="C226" t="s">
        <v>465</v>
      </c>
      <c r="D226" t="s">
        <v>213</v>
      </c>
      <c r="E226">
        <v>420</v>
      </c>
    </row>
    <row r="227" spans="1:5" x14ac:dyDescent="0.25">
      <c r="A227">
        <v>76</v>
      </c>
      <c r="B227">
        <v>4057</v>
      </c>
      <c r="C227" t="s">
        <v>466</v>
      </c>
      <c r="D227" t="s">
        <v>232</v>
      </c>
      <c r="E227">
        <v>420</v>
      </c>
    </row>
    <row r="228" spans="1:5" x14ac:dyDescent="0.25">
      <c r="A228">
        <v>76</v>
      </c>
      <c r="B228">
        <v>4058</v>
      </c>
      <c r="C228" t="s">
        <v>467</v>
      </c>
      <c r="D228" t="s">
        <v>232</v>
      </c>
      <c r="E228">
        <v>420</v>
      </c>
    </row>
    <row r="229" spans="1:5" x14ac:dyDescent="0.25">
      <c r="A229">
        <v>76</v>
      </c>
      <c r="B229">
        <v>4066</v>
      </c>
      <c r="C229" t="s">
        <v>468</v>
      </c>
      <c r="D229" t="s">
        <v>245</v>
      </c>
      <c r="E229">
        <v>420</v>
      </c>
    </row>
    <row r="230" spans="1:5" x14ac:dyDescent="0.25">
      <c r="A230">
        <v>76</v>
      </c>
      <c r="B230">
        <v>4067</v>
      </c>
      <c r="C230" t="s">
        <v>469</v>
      </c>
      <c r="D230" t="s">
        <v>228</v>
      </c>
      <c r="E230">
        <v>420</v>
      </c>
    </row>
    <row r="231" spans="1:5" x14ac:dyDescent="0.25">
      <c r="A231">
        <v>76</v>
      </c>
      <c r="B231">
        <v>4071</v>
      </c>
      <c r="C231" t="s">
        <v>470</v>
      </c>
      <c r="D231" t="s">
        <v>385</v>
      </c>
      <c r="E231">
        <v>420</v>
      </c>
    </row>
    <row r="232" spans="1:5" x14ac:dyDescent="0.25">
      <c r="A232">
        <v>76</v>
      </c>
      <c r="B232">
        <v>4072</v>
      </c>
      <c r="C232" t="s">
        <v>471</v>
      </c>
      <c r="D232" t="s">
        <v>472</v>
      </c>
      <c r="E232">
        <v>420</v>
      </c>
    </row>
    <row r="233" spans="1:5" x14ac:dyDescent="0.25">
      <c r="A233">
        <v>76</v>
      </c>
      <c r="B233">
        <v>4157</v>
      </c>
      <c r="C233" t="s">
        <v>473</v>
      </c>
      <c r="D233" t="s">
        <v>344</v>
      </c>
      <c r="E233">
        <v>420</v>
      </c>
    </row>
    <row r="234" spans="1:5" x14ac:dyDescent="0.25">
      <c r="A234">
        <v>76</v>
      </c>
      <c r="B234">
        <v>4158</v>
      </c>
      <c r="C234" t="s">
        <v>474</v>
      </c>
      <c r="D234" t="s">
        <v>344</v>
      </c>
      <c r="E234">
        <v>420</v>
      </c>
    </row>
    <row r="235" spans="1:5" x14ac:dyDescent="0.25">
      <c r="A235">
        <v>76</v>
      </c>
      <c r="B235">
        <v>4172</v>
      </c>
      <c r="C235" t="s">
        <v>475</v>
      </c>
      <c r="D235" t="s">
        <v>371</v>
      </c>
      <c r="E235">
        <v>420</v>
      </c>
    </row>
    <row r="236" spans="1:5" x14ac:dyDescent="0.25">
      <c r="A236">
        <v>76</v>
      </c>
      <c r="B236">
        <v>4182</v>
      </c>
      <c r="C236" t="s">
        <v>476</v>
      </c>
      <c r="D236" t="s">
        <v>232</v>
      </c>
      <c r="E236">
        <v>420</v>
      </c>
    </row>
    <row r="237" spans="1:5" x14ac:dyDescent="0.25">
      <c r="A237">
        <v>76</v>
      </c>
      <c r="B237">
        <v>4557</v>
      </c>
      <c r="C237" t="s">
        <v>477</v>
      </c>
      <c r="D237" t="s">
        <v>360</v>
      </c>
      <c r="E237">
        <v>420</v>
      </c>
    </row>
    <row r="238" spans="1:5" x14ac:dyDescent="0.25">
      <c r="A238">
        <v>76</v>
      </c>
      <c r="B238">
        <v>4542</v>
      </c>
      <c r="C238" t="s">
        <v>231</v>
      </c>
      <c r="D238" t="s">
        <v>213</v>
      </c>
      <c r="E238">
        <v>420</v>
      </c>
    </row>
    <row r="239" spans="1:5" x14ac:dyDescent="0.25">
      <c r="A239">
        <v>76</v>
      </c>
      <c r="B239">
        <v>4495</v>
      </c>
      <c r="C239" t="s">
        <v>478</v>
      </c>
      <c r="D239" t="s">
        <v>323</v>
      </c>
      <c r="E239">
        <v>420</v>
      </c>
    </row>
    <row r="240" spans="1:5" x14ac:dyDescent="0.25">
      <c r="A240">
        <v>76</v>
      </c>
      <c r="B240">
        <v>4684</v>
      </c>
      <c r="C240" t="s">
        <v>479</v>
      </c>
      <c r="D240" t="s">
        <v>235</v>
      </c>
      <c r="E240">
        <v>420</v>
      </c>
    </row>
    <row r="241" spans="1:5" x14ac:dyDescent="0.25">
      <c r="A241">
        <v>76</v>
      </c>
      <c r="B241">
        <v>4714</v>
      </c>
      <c r="C241" t="s">
        <v>480</v>
      </c>
      <c r="D241" t="s">
        <v>235</v>
      </c>
      <c r="E241">
        <v>420</v>
      </c>
    </row>
    <row r="242" spans="1:5" x14ac:dyDescent="0.25">
      <c r="A242">
        <v>76</v>
      </c>
      <c r="B242">
        <v>4681</v>
      </c>
      <c r="C242" t="s">
        <v>481</v>
      </c>
      <c r="D242" t="s">
        <v>245</v>
      </c>
      <c r="E242">
        <v>420</v>
      </c>
    </row>
    <row r="243" spans="1:5" x14ac:dyDescent="0.25">
      <c r="A243">
        <v>76</v>
      </c>
      <c r="B243">
        <v>4682</v>
      </c>
      <c r="C243" t="s">
        <v>482</v>
      </c>
      <c r="D243" t="s">
        <v>245</v>
      </c>
      <c r="E243">
        <v>420</v>
      </c>
    </row>
    <row r="244" spans="1:5" x14ac:dyDescent="0.25">
      <c r="A244">
        <v>76</v>
      </c>
      <c r="B244">
        <v>4704</v>
      </c>
      <c r="C244" t="s">
        <v>483</v>
      </c>
      <c r="D244" t="s">
        <v>211</v>
      </c>
      <c r="E244">
        <v>420</v>
      </c>
    </row>
    <row r="245" spans="1:5" x14ac:dyDescent="0.25">
      <c r="A245">
        <v>76</v>
      </c>
      <c r="B245">
        <v>4727</v>
      </c>
      <c r="C245" t="s">
        <v>484</v>
      </c>
      <c r="D245" t="s">
        <v>228</v>
      </c>
      <c r="E245">
        <v>420</v>
      </c>
    </row>
    <row r="246" spans="1:5" x14ac:dyDescent="0.25">
      <c r="A246">
        <v>76</v>
      </c>
      <c r="B246">
        <v>4743</v>
      </c>
      <c r="C246" t="s">
        <v>485</v>
      </c>
      <c r="D246" t="s">
        <v>219</v>
      </c>
      <c r="E246">
        <v>420</v>
      </c>
    </row>
    <row r="247" spans="1:5" x14ac:dyDescent="0.25">
      <c r="A247">
        <v>76</v>
      </c>
      <c r="B247">
        <v>4749</v>
      </c>
      <c r="C247" t="s">
        <v>486</v>
      </c>
      <c r="D247" t="s">
        <v>211</v>
      </c>
      <c r="E247">
        <v>420</v>
      </c>
    </row>
    <row r="248" spans="1:5" x14ac:dyDescent="0.25">
      <c r="A248">
        <v>76</v>
      </c>
      <c r="B248">
        <v>4761</v>
      </c>
      <c r="C248" t="s">
        <v>487</v>
      </c>
      <c r="D248" t="s">
        <v>245</v>
      </c>
      <c r="E248">
        <v>420</v>
      </c>
    </row>
    <row r="249" spans="1:5" x14ac:dyDescent="0.25">
      <c r="A249">
        <v>76</v>
      </c>
      <c r="B249">
        <v>4762</v>
      </c>
      <c r="C249" t="s">
        <v>488</v>
      </c>
      <c r="D249" t="s">
        <v>347</v>
      </c>
      <c r="E249">
        <v>420</v>
      </c>
    </row>
    <row r="250" spans="1:5" x14ac:dyDescent="0.25">
      <c r="A250">
        <v>76</v>
      </c>
      <c r="B250">
        <v>4771</v>
      </c>
      <c r="C250" t="s">
        <v>489</v>
      </c>
      <c r="D250" t="s">
        <v>219</v>
      </c>
      <c r="E250">
        <v>420</v>
      </c>
    </row>
    <row r="251" spans="1:5" x14ac:dyDescent="0.25">
      <c r="A251">
        <v>76</v>
      </c>
      <c r="B251">
        <v>2364</v>
      </c>
      <c r="C251" t="s">
        <v>490</v>
      </c>
      <c r="D251" t="s">
        <v>369</v>
      </c>
      <c r="E251">
        <v>420</v>
      </c>
    </row>
    <row r="252" spans="1:5" x14ac:dyDescent="0.25">
      <c r="A252">
        <v>76</v>
      </c>
      <c r="B252">
        <v>2366</v>
      </c>
      <c r="C252" t="s">
        <v>491</v>
      </c>
      <c r="D252" t="s">
        <v>369</v>
      </c>
      <c r="E252">
        <v>420</v>
      </c>
    </row>
    <row r="253" spans="1:5" x14ac:dyDescent="0.25">
      <c r="A253">
        <v>76</v>
      </c>
      <c r="B253">
        <v>2373</v>
      </c>
      <c r="C253" t="s">
        <v>492</v>
      </c>
      <c r="D253" t="s">
        <v>382</v>
      </c>
      <c r="E253">
        <v>420</v>
      </c>
    </row>
    <row r="254" spans="1:5" x14ac:dyDescent="0.25">
      <c r="A254">
        <v>76</v>
      </c>
      <c r="B254">
        <v>2374</v>
      </c>
      <c r="C254" t="s">
        <v>493</v>
      </c>
      <c r="D254" t="s">
        <v>213</v>
      </c>
      <c r="E254">
        <v>420</v>
      </c>
    </row>
    <row r="255" spans="1:5" x14ac:dyDescent="0.25">
      <c r="A255">
        <v>76</v>
      </c>
      <c r="B255">
        <v>2379</v>
      </c>
      <c r="C255" t="s">
        <v>494</v>
      </c>
      <c r="D255" t="s">
        <v>232</v>
      </c>
      <c r="E255">
        <v>420</v>
      </c>
    </row>
    <row r="256" spans="1:5" x14ac:dyDescent="0.25">
      <c r="A256">
        <v>76</v>
      </c>
      <c r="B256">
        <v>2393</v>
      </c>
      <c r="C256" t="s">
        <v>495</v>
      </c>
      <c r="D256" t="s">
        <v>211</v>
      </c>
      <c r="E256">
        <v>420</v>
      </c>
    </row>
    <row r="257" spans="1:5" x14ac:dyDescent="0.25">
      <c r="A257">
        <v>76</v>
      </c>
      <c r="B257">
        <v>2394</v>
      </c>
      <c r="C257" t="s">
        <v>496</v>
      </c>
      <c r="D257" t="s">
        <v>211</v>
      </c>
      <c r="E257">
        <v>420</v>
      </c>
    </row>
    <row r="258" spans="1:5" x14ac:dyDescent="0.25">
      <c r="A258">
        <v>76</v>
      </c>
      <c r="B258">
        <v>2448</v>
      </c>
      <c r="C258" t="s">
        <v>497</v>
      </c>
      <c r="D258" t="s">
        <v>200</v>
      </c>
      <c r="E258">
        <v>420</v>
      </c>
    </row>
    <row r="259" spans="1:5" x14ac:dyDescent="0.25">
      <c r="A259">
        <v>76</v>
      </c>
      <c r="B259">
        <v>2449</v>
      </c>
      <c r="C259" t="s">
        <v>498</v>
      </c>
      <c r="D259" t="s">
        <v>347</v>
      </c>
      <c r="E259">
        <v>420</v>
      </c>
    </row>
    <row r="260" spans="1:5" x14ac:dyDescent="0.25">
      <c r="A260">
        <v>76</v>
      </c>
      <c r="B260">
        <v>2450</v>
      </c>
      <c r="C260" t="s">
        <v>499</v>
      </c>
      <c r="D260" t="s">
        <v>232</v>
      </c>
      <c r="E260">
        <v>420</v>
      </c>
    </row>
    <row r="261" spans="1:5" x14ac:dyDescent="0.25">
      <c r="A261">
        <v>76</v>
      </c>
      <c r="B261">
        <v>2474</v>
      </c>
      <c r="C261" t="s">
        <v>500</v>
      </c>
      <c r="D261" t="s">
        <v>338</v>
      </c>
      <c r="E261">
        <v>420</v>
      </c>
    </row>
    <row r="262" spans="1:5" x14ac:dyDescent="0.25">
      <c r="A262">
        <v>76</v>
      </c>
      <c r="B262">
        <v>2829</v>
      </c>
      <c r="C262" t="s">
        <v>501</v>
      </c>
      <c r="D262" t="s">
        <v>200</v>
      </c>
      <c r="E262">
        <v>420</v>
      </c>
    </row>
    <row r="263" spans="1:5" x14ac:dyDescent="0.25">
      <c r="A263">
        <v>76</v>
      </c>
      <c r="B263">
        <v>2830</v>
      </c>
      <c r="C263" t="s">
        <v>502</v>
      </c>
      <c r="D263" t="s">
        <v>235</v>
      </c>
      <c r="E263">
        <v>420</v>
      </c>
    </row>
    <row r="264" spans="1:5" x14ac:dyDescent="0.25">
      <c r="A264">
        <v>76</v>
      </c>
      <c r="B264">
        <v>2832</v>
      </c>
      <c r="C264" t="s">
        <v>503</v>
      </c>
      <c r="D264" t="s">
        <v>504</v>
      </c>
      <c r="E264">
        <v>420</v>
      </c>
    </row>
    <row r="265" spans="1:5" x14ac:dyDescent="0.25">
      <c r="A265">
        <v>76</v>
      </c>
      <c r="B265">
        <v>2846</v>
      </c>
      <c r="C265" t="s">
        <v>505</v>
      </c>
      <c r="D265" t="s">
        <v>211</v>
      </c>
      <c r="E265">
        <v>420</v>
      </c>
    </row>
    <row r="266" spans="1:5" x14ac:dyDescent="0.25">
      <c r="A266">
        <v>76</v>
      </c>
      <c r="B266">
        <v>2851</v>
      </c>
      <c r="C266" t="s">
        <v>506</v>
      </c>
      <c r="D266" t="s">
        <v>209</v>
      </c>
      <c r="E266">
        <v>420</v>
      </c>
    </row>
    <row r="267" spans="1:5" x14ac:dyDescent="0.25">
      <c r="A267">
        <v>76</v>
      </c>
      <c r="B267">
        <v>2852</v>
      </c>
      <c r="C267" t="s">
        <v>507</v>
      </c>
      <c r="D267" t="s">
        <v>338</v>
      </c>
      <c r="E267">
        <v>420</v>
      </c>
    </row>
    <row r="268" spans="1:5" x14ac:dyDescent="0.25">
      <c r="A268">
        <v>76</v>
      </c>
      <c r="B268">
        <v>2853</v>
      </c>
      <c r="C268" t="s">
        <v>508</v>
      </c>
      <c r="D268" t="s">
        <v>338</v>
      </c>
      <c r="E268">
        <v>420</v>
      </c>
    </row>
    <row r="269" spans="1:5" x14ac:dyDescent="0.25">
      <c r="A269">
        <v>76</v>
      </c>
      <c r="B269">
        <v>2854</v>
      </c>
      <c r="C269" t="s">
        <v>509</v>
      </c>
      <c r="D269" t="s">
        <v>213</v>
      </c>
      <c r="E269">
        <v>420</v>
      </c>
    </row>
    <row r="270" spans="1:5" x14ac:dyDescent="0.25">
      <c r="A270">
        <v>76</v>
      </c>
      <c r="B270">
        <v>2862</v>
      </c>
      <c r="C270" t="s">
        <v>510</v>
      </c>
      <c r="D270" t="s">
        <v>279</v>
      </c>
      <c r="E270">
        <v>420</v>
      </c>
    </row>
    <row r="271" spans="1:5" x14ac:dyDescent="0.25">
      <c r="A271">
        <v>76</v>
      </c>
      <c r="B271">
        <v>2867</v>
      </c>
      <c r="C271" t="s">
        <v>511</v>
      </c>
      <c r="D271" t="s">
        <v>279</v>
      </c>
      <c r="E271">
        <v>420</v>
      </c>
    </row>
    <row r="272" spans="1:5" x14ac:dyDescent="0.25">
      <c r="A272">
        <v>76</v>
      </c>
      <c r="B272">
        <v>2871</v>
      </c>
      <c r="C272" t="s">
        <v>512</v>
      </c>
      <c r="D272" t="s">
        <v>279</v>
      </c>
      <c r="E272">
        <v>420</v>
      </c>
    </row>
    <row r="273" spans="1:5" x14ac:dyDescent="0.25">
      <c r="A273">
        <v>76</v>
      </c>
      <c r="B273">
        <v>2872</v>
      </c>
      <c r="C273" t="s">
        <v>513</v>
      </c>
      <c r="D273" t="s">
        <v>279</v>
      </c>
      <c r="E273">
        <v>420</v>
      </c>
    </row>
    <row r="274" spans="1:5" x14ac:dyDescent="0.25">
      <c r="A274">
        <v>76</v>
      </c>
      <c r="B274">
        <v>2877</v>
      </c>
      <c r="C274" t="s">
        <v>514</v>
      </c>
      <c r="D274" t="s">
        <v>515</v>
      </c>
      <c r="E274">
        <v>420</v>
      </c>
    </row>
    <row r="275" spans="1:5" x14ac:dyDescent="0.25">
      <c r="A275">
        <v>76</v>
      </c>
      <c r="B275">
        <v>2878</v>
      </c>
      <c r="C275" t="s">
        <v>516</v>
      </c>
      <c r="D275" t="s">
        <v>517</v>
      </c>
      <c r="E275">
        <v>420</v>
      </c>
    </row>
    <row r="276" spans="1:5" x14ac:dyDescent="0.25">
      <c r="A276">
        <v>76</v>
      </c>
      <c r="B276">
        <v>2879</v>
      </c>
      <c r="C276" t="s">
        <v>518</v>
      </c>
      <c r="D276" t="s">
        <v>515</v>
      </c>
      <c r="E276">
        <v>420</v>
      </c>
    </row>
    <row r="277" spans="1:5" x14ac:dyDescent="0.25">
      <c r="A277">
        <v>76</v>
      </c>
      <c r="B277">
        <v>2880</v>
      </c>
      <c r="C277" t="s">
        <v>519</v>
      </c>
      <c r="D277" t="s">
        <v>515</v>
      </c>
      <c r="E277">
        <v>420</v>
      </c>
    </row>
    <row r="278" spans="1:5" x14ac:dyDescent="0.25">
      <c r="A278">
        <v>76</v>
      </c>
      <c r="B278">
        <v>2888</v>
      </c>
      <c r="C278" t="s">
        <v>520</v>
      </c>
      <c r="D278" t="s">
        <v>211</v>
      </c>
      <c r="E278">
        <v>420</v>
      </c>
    </row>
    <row r="279" spans="1:5" x14ac:dyDescent="0.25">
      <c r="A279">
        <v>76</v>
      </c>
      <c r="B279">
        <v>2889</v>
      </c>
      <c r="C279" t="s">
        <v>521</v>
      </c>
      <c r="D279" t="s">
        <v>371</v>
      </c>
      <c r="E279">
        <v>420</v>
      </c>
    </row>
    <row r="280" spans="1:5" x14ac:dyDescent="0.25">
      <c r="A280">
        <v>76</v>
      </c>
      <c r="B280">
        <v>2891</v>
      </c>
      <c r="C280" t="s">
        <v>522</v>
      </c>
      <c r="D280" t="s">
        <v>211</v>
      </c>
      <c r="E280">
        <v>420</v>
      </c>
    </row>
    <row r="281" spans="1:5" x14ac:dyDescent="0.25">
      <c r="A281">
        <v>76</v>
      </c>
      <c r="B281">
        <v>2892</v>
      </c>
      <c r="C281" t="s">
        <v>523</v>
      </c>
      <c r="D281" t="s">
        <v>211</v>
      </c>
      <c r="E281">
        <v>420</v>
      </c>
    </row>
    <row r="282" spans="1:5" x14ac:dyDescent="0.25">
      <c r="A282">
        <v>76</v>
      </c>
      <c r="B282">
        <v>2893</v>
      </c>
      <c r="C282" t="s">
        <v>524</v>
      </c>
      <c r="D282" t="s">
        <v>209</v>
      </c>
      <c r="E282">
        <v>420</v>
      </c>
    </row>
    <row r="283" spans="1:5" x14ac:dyDescent="0.25">
      <c r="A283">
        <v>76</v>
      </c>
      <c r="B283">
        <v>2894</v>
      </c>
      <c r="C283" t="s">
        <v>525</v>
      </c>
      <c r="D283" t="s">
        <v>202</v>
      </c>
      <c r="E283">
        <v>420</v>
      </c>
    </row>
    <row r="284" spans="1:5" x14ac:dyDescent="0.25">
      <c r="A284">
        <v>76</v>
      </c>
      <c r="B284">
        <v>2899</v>
      </c>
      <c r="C284" t="s">
        <v>526</v>
      </c>
      <c r="D284" t="s">
        <v>202</v>
      </c>
      <c r="E284">
        <v>420</v>
      </c>
    </row>
    <row r="285" spans="1:5" x14ac:dyDescent="0.25">
      <c r="A285">
        <v>76</v>
      </c>
      <c r="B285">
        <v>2901</v>
      </c>
      <c r="C285" t="s">
        <v>527</v>
      </c>
      <c r="D285" t="s">
        <v>202</v>
      </c>
      <c r="E285">
        <v>420</v>
      </c>
    </row>
    <row r="286" spans="1:5" x14ac:dyDescent="0.25">
      <c r="A286">
        <v>76</v>
      </c>
      <c r="B286">
        <v>2903</v>
      </c>
      <c r="C286" t="s">
        <v>528</v>
      </c>
      <c r="D286" t="s">
        <v>202</v>
      </c>
      <c r="E286">
        <v>420</v>
      </c>
    </row>
    <row r="287" spans="1:5" x14ac:dyDescent="0.25">
      <c r="A287">
        <v>76</v>
      </c>
      <c r="B287">
        <v>2904</v>
      </c>
      <c r="C287" t="s">
        <v>529</v>
      </c>
      <c r="D287" t="s">
        <v>202</v>
      </c>
      <c r="E287">
        <v>420</v>
      </c>
    </row>
    <row r="288" spans="1:5" x14ac:dyDescent="0.25">
      <c r="A288">
        <v>76</v>
      </c>
      <c r="B288">
        <v>2933</v>
      </c>
      <c r="C288" t="s">
        <v>530</v>
      </c>
      <c r="D288" t="s">
        <v>232</v>
      </c>
      <c r="E288">
        <v>420</v>
      </c>
    </row>
    <row r="289" spans="1:5" x14ac:dyDescent="0.25">
      <c r="A289">
        <v>76</v>
      </c>
      <c r="B289">
        <v>2937</v>
      </c>
      <c r="C289" t="s">
        <v>531</v>
      </c>
      <c r="D289" t="s">
        <v>338</v>
      </c>
      <c r="E289">
        <v>420</v>
      </c>
    </row>
    <row r="290" spans="1:5" x14ac:dyDescent="0.25">
      <c r="A290">
        <v>76</v>
      </c>
      <c r="B290">
        <v>2940</v>
      </c>
      <c r="C290" t="s">
        <v>532</v>
      </c>
      <c r="D290" t="s">
        <v>211</v>
      </c>
      <c r="E290">
        <v>420</v>
      </c>
    </row>
    <row r="291" spans="1:5" x14ac:dyDescent="0.25">
      <c r="A291">
        <v>76</v>
      </c>
      <c r="B291">
        <v>2945</v>
      </c>
      <c r="C291" t="s">
        <v>533</v>
      </c>
      <c r="D291" t="s">
        <v>232</v>
      </c>
      <c r="E291">
        <v>420</v>
      </c>
    </row>
    <row r="292" spans="1:5" x14ac:dyDescent="0.25">
      <c r="A292">
        <v>76</v>
      </c>
      <c r="B292">
        <v>2946</v>
      </c>
      <c r="C292" t="s">
        <v>534</v>
      </c>
      <c r="D292" t="s">
        <v>200</v>
      </c>
      <c r="E292">
        <v>420</v>
      </c>
    </row>
    <row r="293" spans="1:5" x14ac:dyDescent="0.25">
      <c r="A293">
        <v>76</v>
      </c>
      <c r="B293">
        <v>2947</v>
      </c>
      <c r="C293" t="s">
        <v>535</v>
      </c>
      <c r="D293" t="s">
        <v>213</v>
      </c>
      <c r="E293">
        <v>420</v>
      </c>
    </row>
    <row r="294" spans="1:5" x14ac:dyDescent="0.25">
      <c r="A294">
        <v>76</v>
      </c>
      <c r="B294">
        <v>2949</v>
      </c>
      <c r="C294" t="s">
        <v>536</v>
      </c>
      <c r="D294" t="s">
        <v>235</v>
      </c>
      <c r="E294">
        <v>420</v>
      </c>
    </row>
    <row r="295" spans="1:5" x14ac:dyDescent="0.25">
      <c r="A295">
        <v>76</v>
      </c>
      <c r="B295">
        <v>2951</v>
      </c>
      <c r="C295" t="s">
        <v>537</v>
      </c>
      <c r="D295" t="s">
        <v>235</v>
      </c>
      <c r="E295">
        <v>420</v>
      </c>
    </row>
    <row r="296" spans="1:5" x14ac:dyDescent="0.25">
      <c r="A296">
        <v>76</v>
      </c>
      <c r="B296">
        <v>2960</v>
      </c>
      <c r="C296" t="s">
        <v>538</v>
      </c>
      <c r="D296" t="s">
        <v>204</v>
      </c>
      <c r="E296">
        <v>420</v>
      </c>
    </row>
    <row r="297" spans="1:5" x14ac:dyDescent="0.25">
      <c r="A297">
        <v>76</v>
      </c>
      <c r="B297">
        <v>2961</v>
      </c>
      <c r="C297" t="s">
        <v>539</v>
      </c>
      <c r="D297" t="s">
        <v>540</v>
      </c>
      <c r="E297">
        <v>420</v>
      </c>
    </row>
    <row r="298" spans="1:5" x14ac:dyDescent="0.25">
      <c r="A298">
        <v>76</v>
      </c>
      <c r="B298">
        <v>2965</v>
      </c>
      <c r="C298" t="s">
        <v>541</v>
      </c>
      <c r="D298" t="s">
        <v>323</v>
      </c>
      <c r="E298">
        <v>420</v>
      </c>
    </row>
    <row r="299" spans="1:5" x14ac:dyDescent="0.25">
      <c r="A299">
        <v>76</v>
      </c>
      <c r="B299">
        <v>2966</v>
      </c>
      <c r="C299" t="s">
        <v>542</v>
      </c>
      <c r="D299" t="s">
        <v>323</v>
      </c>
      <c r="E299">
        <v>420</v>
      </c>
    </row>
    <row r="300" spans="1:5" x14ac:dyDescent="0.25">
      <c r="A300">
        <v>76</v>
      </c>
      <c r="B300">
        <v>2971</v>
      </c>
      <c r="C300" t="s">
        <v>543</v>
      </c>
      <c r="D300" t="s">
        <v>390</v>
      </c>
      <c r="E300">
        <v>420</v>
      </c>
    </row>
    <row r="301" spans="1:5" x14ac:dyDescent="0.25">
      <c r="A301">
        <v>76</v>
      </c>
      <c r="B301">
        <v>2972</v>
      </c>
      <c r="C301" t="s">
        <v>544</v>
      </c>
      <c r="D301" t="s">
        <v>390</v>
      </c>
      <c r="E301">
        <v>420</v>
      </c>
    </row>
    <row r="302" spans="1:5" x14ac:dyDescent="0.25">
      <c r="A302">
        <v>76</v>
      </c>
      <c r="B302">
        <v>235</v>
      </c>
      <c r="C302" t="s">
        <v>545</v>
      </c>
      <c r="D302" t="s">
        <v>232</v>
      </c>
      <c r="E302">
        <v>420</v>
      </c>
    </row>
    <row r="303" spans="1:5" x14ac:dyDescent="0.25">
      <c r="A303">
        <v>76</v>
      </c>
      <c r="B303">
        <v>250</v>
      </c>
      <c r="C303" t="s">
        <v>546</v>
      </c>
      <c r="D303" t="s">
        <v>547</v>
      </c>
      <c r="E303">
        <v>420</v>
      </c>
    </row>
    <row r="304" spans="1:5" x14ac:dyDescent="0.25">
      <c r="A304">
        <v>76</v>
      </c>
      <c r="B304">
        <v>258</v>
      </c>
      <c r="C304" t="s">
        <v>548</v>
      </c>
      <c r="D304" t="s">
        <v>211</v>
      </c>
      <c r="E304">
        <v>420</v>
      </c>
    </row>
    <row r="305" spans="1:5" x14ac:dyDescent="0.25">
      <c r="A305">
        <v>76</v>
      </c>
      <c r="B305">
        <v>283</v>
      </c>
      <c r="C305" t="s">
        <v>549</v>
      </c>
      <c r="D305" t="s">
        <v>550</v>
      </c>
      <c r="E305">
        <v>420</v>
      </c>
    </row>
    <row r="306" spans="1:5" x14ac:dyDescent="0.25">
      <c r="A306">
        <v>76</v>
      </c>
      <c r="B306">
        <v>287</v>
      </c>
      <c r="C306" t="s">
        <v>551</v>
      </c>
      <c r="D306" t="s">
        <v>232</v>
      </c>
      <c r="E306">
        <v>420</v>
      </c>
    </row>
    <row r="307" spans="1:5" x14ac:dyDescent="0.25">
      <c r="A307">
        <v>76</v>
      </c>
      <c r="B307">
        <v>294</v>
      </c>
      <c r="C307" t="s">
        <v>552</v>
      </c>
      <c r="D307" t="s">
        <v>553</v>
      </c>
      <c r="E307">
        <v>420</v>
      </c>
    </row>
    <row r="308" spans="1:5" x14ac:dyDescent="0.25">
      <c r="A308">
        <v>76</v>
      </c>
      <c r="B308">
        <v>471</v>
      </c>
      <c r="C308" t="s">
        <v>554</v>
      </c>
      <c r="D308" t="s">
        <v>347</v>
      </c>
      <c r="E308">
        <v>420</v>
      </c>
    </row>
    <row r="309" spans="1:5" x14ac:dyDescent="0.25">
      <c r="A309">
        <v>76</v>
      </c>
      <c r="B309">
        <v>487</v>
      </c>
      <c r="C309" t="s">
        <v>555</v>
      </c>
      <c r="D309" t="s">
        <v>235</v>
      </c>
      <c r="E309">
        <v>420</v>
      </c>
    </row>
    <row r="310" spans="1:5" x14ac:dyDescent="0.25">
      <c r="A310">
        <v>76</v>
      </c>
      <c r="B310">
        <v>592</v>
      </c>
      <c r="C310" t="s">
        <v>556</v>
      </c>
      <c r="D310" t="s">
        <v>279</v>
      </c>
      <c r="E310">
        <v>420</v>
      </c>
    </row>
    <row r="311" spans="1:5" x14ac:dyDescent="0.25">
      <c r="A311">
        <v>76</v>
      </c>
      <c r="B311">
        <v>763</v>
      </c>
      <c r="C311" t="s">
        <v>557</v>
      </c>
      <c r="D311" t="s">
        <v>344</v>
      </c>
      <c r="E311">
        <v>420</v>
      </c>
    </row>
    <row r="312" spans="1:5" x14ac:dyDescent="0.25">
      <c r="A312">
        <v>76</v>
      </c>
      <c r="B312">
        <v>776</v>
      </c>
      <c r="C312" t="s">
        <v>558</v>
      </c>
      <c r="D312" t="s">
        <v>338</v>
      </c>
      <c r="E312">
        <v>420</v>
      </c>
    </row>
    <row r="313" spans="1:5" x14ac:dyDescent="0.25">
      <c r="A313">
        <v>76</v>
      </c>
      <c r="B313">
        <v>1831</v>
      </c>
      <c r="C313" t="s">
        <v>559</v>
      </c>
      <c r="D313" t="s">
        <v>209</v>
      </c>
      <c r="E313">
        <v>420</v>
      </c>
    </row>
    <row r="314" spans="1:5" x14ac:dyDescent="0.25">
      <c r="A314">
        <v>76</v>
      </c>
      <c r="B314">
        <v>1832</v>
      </c>
      <c r="C314" t="s">
        <v>560</v>
      </c>
      <c r="D314" t="s">
        <v>209</v>
      </c>
      <c r="E314">
        <v>420</v>
      </c>
    </row>
    <row r="315" spans="1:5" x14ac:dyDescent="0.25">
      <c r="A315">
        <v>76</v>
      </c>
      <c r="B315">
        <v>1959</v>
      </c>
      <c r="C315" t="s">
        <v>561</v>
      </c>
      <c r="D315" t="s">
        <v>211</v>
      </c>
      <c r="E315">
        <v>420</v>
      </c>
    </row>
    <row r="316" spans="1:5" x14ac:dyDescent="0.25">
      <c r="A316">
        <v>76</v>
      </c>
      <c r="B316">
        <v>2017</v>
      </c>
      <c r="C316" t="s">
        <v>562</v>
      </c>
      <c r="D316" t="s">
        <v>211</v>
      </c>
      <c r="E316">
        <v>420</v>
      </c>
    </row>
    <row r="317" spans="1:5" x14ac:dyDescent="0.25">
      <c r="A317">
        <v>76</v>
      </c>
      <c r="B317">
        <v>2034</v>
      </c>
      <c r="C317" t="s">
        <v>563</v>
      </c>
      <c r="D317" t="s">
        <v>564</v>
      </c>
      <c r="E317">
        <v>420</v>
      </c>
    </row>
    <row r="318" spans="1:5" x14ac:dyDescent="0.25">
      <c r="A318">
        <v>76</v>
      </c>
      <c r="B318">
        <v>2044</v>
      </c>
      <c r="C318" t="s">
        <v>565</v>
      </c>
      <c r="D318" t="s">
        <v>279</v>
      </c>
      <c r="E318">
        <v>420</v>
      </c>
    </row>
    <row r="319" spans="1:5" x14ac:dyDescent="0.25">
      <c r="A319">
        <v>76</v>
      </c>
      <c r="B319">
        <v>2056</v>
      </c>
      <c r="C319" t="s">
        <v>566</v>
      </c>
      <c r="D319" t="s">
        <v>382</v>
      </c>
      <c r="E319">
        <v>420</v>
      </c>
    </row>
    <row r="320" spans="1:5" x14ac:dyDescent="0.25">
      <c r="A320">
        <v>76</v>
      </c>
      <c r="B320">
        <v>2083</v>
      </c>
      <c r="C320" t="s">
        <v>567</v>
      </c>
      <c r="D320" t="s">
        <v>204</v>
      </c>
      <c r="E320">
        <v>420</v>
      </c>
    </row>
    <row r="321" spans="1:5" x14ac:dyDescent="0.25">
      <c r="A321">
        <v>76</v>
      </c>
      <c r="B321">
        <v>2138</v>
      </c>
      <c r="C321" t="s">
        <v>568</v>
      </c>
      <c r="D321" t="s">
        <v>232</v>
      </c>
      <c r="E321">
        <v>420</v>
      </c>
    </row>
    <row r="322" spans="1:5" x14ac:dyDescent="0.25">
      <c r="A322">
        <v>76</v>
      </c>
      <c r="B322">
        <v>2153</v>
      </c>
      <c r="C322" t="s">
        <v>569</v>
      </c>
      <c r="D322" t="s">
        <v>385</v>
      </c>
      <c r="E322">
        <v>420</v>
      </c>
    </row>
    <row r="323" spans="1:5" x14ac:dyDescent="0.25">
      <c r="A323">
        <v>76</v>
      </c>
      <c r="B323">
        <v>2154</v>
      </c>
      <c r="C323" t="s">
        <v>570</v>
      </c>
      <c r="D323" t="s">
        <v>385</v>
      </c>
      <c r="E323">
        <v>420</v>
      </c>
    </row>
    <row r="324" spans="1:5" x14ac:dyDescent="0.25">
      <c r="A324">
        <v>76</v>
      </c>
      <c r="B324">
        <v>2161</v>
      </c>
      <c r="C324" t="s">
        <v>571</v>
      </c>
      <c r="D324" t="s">
        <v>385</v>
      </c>
      <c r="E324">
        <v>420</v>
      </c>
    </row>
    <row r="325" spans="1:5" x14ac:dyDescent="0.25">
      <c r="A325">
        <v>76</v>
      </c>
      <c r="B325">
        <v>2208</v>
      </c>
      <c r="C325" t="s">
        <v>572</v>
      </c>
      <c r="D325" t="s">
        <v>232</v>
      </c>
      <c r="E325">
        <v>420</v>
      </c>
    </row>
    <row r="326" spans="1:5" x14ac:dyDescent="0.25">
      <c r="A326">
        <v>76</v>
      </c>
      <c r="B326">
        <v>2250</v>
      </c>
      <c r="C326" t="s">
        <v>573</v>
      </c>
      <c r="D326" t="s">
        <v>232</v>
      </c>
      <c r="E326">
        <v>420</v>
      </c>
    </row>
    <row r="327" spans="1:5" x14ac:dyDescent="0.25">
      <c r="A327">
        <v>76</v>
      </c>
      <c r="B327">
        <v>2277</v>
      </c>
      <c r="C327" t="s">
        <v>574</v>
      </c>
      <c r="D327" t="s">
        <v>235</v>
      </c>
      <c r="E327">
        <v>420</v>
      </c>
    </row>
    <row r="328" spans="1:5" x14ac:dyDescent="0.25">
      <c r="A328">
        <v>76</v>
      </c>
      <c r="B328">
        <v>2279</v>
      </c>
      <c r="C328" t="s">
        <v>575</v>
      </c>
      <c r="D328" t="s">
        <v>235</v>
      </c>
      <c r="E328">
        <v>420</v>
      </c>
    </row>
    <row r="329" spans="1:5" x14ac:dyDescent="0.25">
      <c r="A329">
        <v>76</v>
      </c>
      <c r="B329">
        <v>2802</v>
      </c>
      <c r="C329" t="s">
        <v>576</v>
      </c>
      <c r="D329" t="s">
        <v>577</v>
      </c>
      <c r="E329">
        <v>420</v>
      </c>
    </row>
    <row r="330" spans="1:5" x14ac:dyDescent="0.25">
      <c r="A330">
        <v>76</v>
      </c>
      <c r="B330">
        <v>2825</v>
      </c>
      <c r="C330" t="s">
        <v>578</v>
      </c>
      <c r="D330" t="s">
        <v>213</v>
      </c>
      <c r="E330">
        <v>420</v>
      </c>
    </row>
    <row r="331" spans="1:5" x14ac:dyDescent="0.25">
      <c r="A331">
        <v>76</v>
      </c>
      <c r="B331">
        <v>3455</v>
      </c>
      <c r="C331" t="s">
        <v>579</v>
      </c>
      <c r="D331" t="s">
        <v>385</v>
      </c>
      <c r="E331">
        <v>420</v>
      </c>
    </row>
    <row r="332" spans="1:5" x14ac:dyDescent="0.25">
      <c r="A332">
        <v>76</v>
      </c>
      <c r="B332">
        <v>3476</v>
      </c>
      <c r="C332" t="s">
        <v>580</v>
      </c>
      <c r="D332" t="s">
        <v>382</v>
      </c>
      <c r="E332">
        <v>420</v>
      </c>
    </row>
    <row r="333" spans="1:5" x14ac:dyDescent="0.25">
      <c r="A333">
        <v>76</v>
      </c>
      <c r="B333">
        <v>3483</v>
      </c>
      <c r="C333" t="s">
        <v>581</v>
      </c>
      <c r="D333" t="s">
        <v>385</v>
      </c>
      <c r="E333">
        <v>420</v>
      </c>
    </row>
    <row r="334" spans="1:5" x14ac:dyDescent="0.25">
      <c r="A334">
        <v>76</v>
      </c>
      <c r="B334">
        <v>3505</v>
      </c>
      <c r="C334" t="s">
        <v>582</v>
      </c>
      <c r="D334" t="s">
        <v>209</v>
      </c>
      <c r="E334">
        <v>420</v>
      </c>
    </row>
    <row r="335" spans="1:5" x14ac:dyDescent="0.25">
      <c r="A335">
        <v>76</v>
      </c>
      <c r="B335">
        <v>3517</v>
      </c>
      <c r="C335" t="s">
        <v>583</v>
      </c>
      <c r="D335" t="s">
        <v>385</v>
      </c>
      <c r="E335">
        <v>420</v>
      </c>
    </row>
    <row r="336" spans="1:5" x14ac:dyDescent="0.25">
      <c r="A336">
        <v>76</v>
      </c>
      <c r="B336">
        <v>3522</v>
      </c>
      <c r="C336" t="s">
        <v>584</v>
      </c>
      <c r="D336" t="s">
        <v>215</v>
      </c>
      <c r="E336">
        <v>420</v>
      </c>
    </row>
    <row r="337" spans="1:5" x14ac:dyDescent="0.25">
      <c r="A337">
        <v>76</v>
      </c>
      <c r="B337">
        <v>3536</v>
      </c>
      <c r="C337" t="s">
        <v>585</v>
      </c>
      <c r="D337" t="s">
        <v>338</v>
      </c>
      <c r="E337">
        <v>420</v>
      </c>
    </row>
    <row r="338" spans="1:5" x14ac:dyDescent="0.25">
      <c r="A338">
        <v>76</v>
      </c>
      <c r="B338">
        <v>3541</v>
      </c>
      <c r="C338" t="s">
        <v>586</v>
      </c>
      <c r="D338" t="s">
        <v>260</v>
      </c>
      <c r="E338">
        <v>420</v>
      </c>
    </row>
    <row r="339" spans="1:5" x14ac:dyDescent="0.25">
      <c r="A339">
        <v>76</v>
      </c>
      <c r="B339">
        <v>3555</v>
      </c>
      <c r="C339" t="s">
        <v>587</v>
      </c>
      <c r="D339" t="s">
        <v>382</v>
      </c>
      <c r="E339">
        <v>420</v>
      </c>
    </row>
    <row r="340" spans="1:5" x14ac:dyDescent="0.25">
      <c r="A340">
        <v>76</v>
      </c>
      <c r="B340">
        <v>3565</v>
      </c>
      <c r="C340" t="s">
        <v>588</v>
      </c>
      <c r="D340" t="s">
        <v>589</v>
      </c>
      <c r="E340">
        <v>420</v>
      </c>
    </row>
    <row r="341" spans="1:5" x14ac:dyDescent="0.25">
      <c r="A341">
        <v>76</v>
      </c>
      <c r="B341">
        <v>3612</v>
      </c>
      <c r="C341" t="s">
        <v>590</v>
      </c>
      <c r="D341" t="s">
        <v>385</v>
      </c>
      <c r="E341">
        <v>420</v>
      </c>
    </row>
    <row r="342" spans="1:5" x14ac:dyDescent="0.25">
      <c r="A342">
        <v>76</v>
      </c>
      <c r="B342">
        <v>3645</v>
      </c>
      <c r="C342" t="s">
        <v>591</v>
      </c>
      <c r="D342" t="s">
        <v>385</v>
      </c>
      <c r="E342">
        <v>420</v>
      </c>
    </row>
    <row r="343" spans="1:5" x14ac:dyDescent="0.25">
      <c r="A343">
        <v>76</v>
      </c>
      <c r="B343">
        <v>3657</v>
      </c>
      <c r="C343" t="s">
        <v>592</v>
      </c>
      <c r="D343" t="s">
        <v>323</v>
      </c>
      <c r="E343">
        <v>420</v>
      </c>
    </row>
    <row r="344" spans="1:5" x14ac:dyDescent="0.25">
      <c r="A344">
        <v>76</v>
      </c>
      <c r="B344">
        <v>3666</v>
      </c>
      <c r="C344" t="s">
        <v>593</v>
      </c>
      <c r="D344" t="s">
        <v>228</v>
      </c>
      <c r="E344">
        <v>420</v>
      </c>
    </row>
    <row r="345" spans="1:5" x14ac:dyDescent="0.25">
      <c r="A345">
        <v>76</v>
      </c>
      <c r="B345">
        <v>3675</v>
      </c>
      <c r="C345" t="s">
        <v>594</v>
      </c>
      <c r="D345" t="s">
        <v>200</v>
      </c>
      <c r="E345">
        <v>420</v>
      </c>
    </row>
    <row r="346" spans="1:5" x14ac:dyDescent="0.25">
      <c r="A346">
        <v>76</v>
      </c>
      <c r="B346">
        <v>4065</v>
      </c>
      <c r="C346" t="s">
        <v>595</v>
      </c>
      <c r="D346" t="s">
        <v>213</v>
      </c>
      <c r="E346">
        <v>420</v>
      </c>
    </row>
    <row r="347" spans="1:5" x14ac:dyDescent="0.25">
      <c r="A347">
        <v>76</v>
      </c>
      <c r="B347">
        <v>4143</v>
      </c>
      <c r="C347" t="s">
        <v>596</v>
      </c>
      <c r="D347" t="s">
        <v>202</v>
      </c>
      <c r="E347">
        <v>420</v>
      </c>
    </row>
    <row r="348" spans="1:5" x14ac:dyDescent="0.25">
      <c r="A348">
        <v>76</v>
      </c>
      <c r="B348">
        <v>4156</v>
      </c>
      <c r="C348" t="s">
        <v>597</v>
      </c>
      <c r="D348" t="s">
        <v>344</v>
      </c>
      <c r="E348">
        <v>420</v>
      </c>
    </row>
    <row r="349" spans="1:5" x14ac:dyDescent="0.25">
      <c r="A349">
        <v>76</v>
      </c>
      <c r="B349">
        <v>4267</v>
      </c>
      <c r="C349" t="s">
        <v>598</v>
      </c>
      <c r="D349" t="s">
        <v>409</v>
      </c>
      <c r="E349">
        <v>420</v>
      </c>
    </row>
    <row r="350" spans="1:5" x14ac:dyDescent="0.25">
      <c r="A350">
        <v>76</v>
      </c>
      <c r="B350">
        <v>3954</v>
      </c>
      <c r="C350" t="s">
        <v>599</v>
      </c>
      <c r="D350" t="s">
        <v>235</v>
      </c>
      <c r="E350">
        <v>420</v>
      </c>
    </row>
    <row r="351" spans="1:5" x14ac:dyDescent="0.25">
      <c r="A351">
        <v>76</v>
      </c>
      <c r="B351">
        <v>3956</v>
      </c>
      <c r="C351" t="s">
        <v>600</v>
      </c>
      <c r="D351" t="s">
        <v>202</v>
      </c>
      <c r="E351">
        <v>420</v>
      </c>
    </row>
    <row r="352" spans="1:5" x14ac:dyDescent="0.25">
      <c r="A352">
        <v>76</v>
      </c>
      <c r="B352">
        <v>3957</v>
      </c>
      <c r="C352" t="s">
        <v>601</v>
      </c>
      <c r="D352" t="s">
        <v>341</v>
      </c>
      <c r="E352">
        <v>420</v>
      </c>
    </row>
    <row r="353" spans="1:5" x14ac:dyDescent="0.25">
      <c r="A353">
        <v>76</v>
      </c>
      <c r="B353">
        <v>3962</v>
      </c>
      <c r="C353" t="s">
        <v>602</v>
      </c>
      <c r="D353" t="s">
        <v>603</v>
      </c>
      <c r="E353">
        <v>420</v>
      </c>
    </row>
    <row r="354" spans="1:5" x14ac:dyDescent="0.25">
      <c r="A354">
        <v>76</v>
      </c>
      <c r="B354">
        <v>3964</v>
      </c>
      <c r="C354" t="s">
        <v>604</v>
      </c>
      <c r="D354" t="s">
        <v>603</v>
      </c>
      <c r="E354">
        <v>420</v>
      </c>
    </row>
    <row r="355" spans="1:5" x14ac:dyDescent="0.25">
      <c r="A355">
        <v>76</v>
      </c>
      <c r="B355">
        <v>3977</v>
      </c>
      <c r="C355" t="s">
        <v>605</v>
      </c>
      <c r="D355" t="s">
        <v>260</v>
      </c>
      <c r="E355">
        <v>420</v>
      </c>
    </row>
    <row r="356" spans="1:5" x14ac:dyDescent="0.25">
      <c r="A356">
        <v>76</v>
      </c>
      <c r="B356">
        <v>3976</v>
      </c>
      <c r="C356" t="s">
        <v>606</v>
      </c>
      <c r="D356" t="s">
        <v>211</v>
      </c>
      <c r="E356">
        <v>420</v>
      </c>
    </row>
    <row r="357" spans="1:5" x14ac:dyDescent="0.25">
      <c r="A357">
        <v>76</v>
      </c>
      <c r="B357">
        <v>3900</v>
      </c>
      <c r="C357" t="s">
        <v>607</v>
      </c>
      <c r="D357" t="s">
        <v>396</v>
      </c>
      <c r="E357">
        <v>420</v>
      </c>
    </row>
    <row r="358" spans="1:5" x14ac:dyDescent="0.25">
      <c r="A358">
        <v>76</v>
      </c>
      <c r="B358">
        <v>4133</v>
      </c>
      <c r="C358" t="s">
        <v>608</v>
      </c>
      <c r="D358" t="s">
        <v>232</v>
      </c>
      <c r="E358">
        <v>420</v>
      </c>
    </row>
    <row r="359" spans="1:5" x14ac:dyDescent="0.25">
      <c r="A359">
        <v>76</v>
      </c>
      <c r="B359">
        <v>2400</v>
      </c>
      <c r="C359" t="s">
        <v>609</v>
      </c>
      <c r="D359" t="s">
        <v>228</v>
      </c>
      <c r="E359">
        <v>420</v>
      </c>
    </row>
    <row r="360" spans="1:5" x14ac:dyDescent="0.25">
      <c r="A360">
        <v>76</v>
      </c>
      <c r="B360">
        <v>2897</v>
      </c>
      <c r="C360" t="s">
        <v>610</v>
      </c>
      <c r="D360" t="s">
        <v>228</v>
      </c>
      <c r="E360">
        <v>420</v>
      </c>
    </row>
    <row r="361" spans="1:5" x14ac:dyDescent="0.25">
      <c r="A361">
        <v>76</v>
      </c>
      <c r="B361">
        <v>2624</v>
      </c>
      <c r="C361" t="s">
        <v>611</v>
      </c>
      <c r="D361" t="s">
        <v>200</v>
      </c>
      <c r="E361">
        <v>420</v>
      </c>
    </row>
    <row r="362" spans="1:5" x14ac:dyDescent="0.25">
      <c r="A362">
        <v>76</v>
      </c>
      <c r="B362">
        <v>2666</v>
      </c>
      <c r="C362" t="s">
        <v>612</v>
      </c>
      <c r="D362" t="s">
        <v>215</v>
      </c>
      <c r="E362">
        <v>420</v>
      </c>
    </row>
    <row r="363" spans="1:5" x14ac:dyDescent="0.25">
      <c r="A363">
        <v>76</v>
      </c>
      <c r="B363">
        <v>3877</v>
      </c>
      <c r="C363" t="s">
        <v>613</v>
      </c>
      <c r="D363" t="s">
        <v>228</v>
      </c>
      <c r="E363">
        <v>420</v>
      </c>
    </row>
    <row r="364" spans="1:5" x14ac:dyDescent="0.25">
      <c r="A364">
        <v>76</v>
      </c>
      <c r="B364">
        <v>2754</v>
      </c>
      <c r="C364" t="s">
        <v>614</v>
      </c>
      <c r="D364" t="s">
        <v>215</v>
      </c>
      <c r="E364">
        <v>420</v>
      </c>
    </row>
    <row r="365" spans="1:5" x14ac:dyDescent="0.25">
      <c r="A365">
        <v>76</v>
      </c>
      <c r="B365">
        <v>3985</v>
      </c>
      <c r="C365" t="s">
        <v>615</v>
      </c>
      <c r="D365" t="s">
        <v>235</v>
      </c>
      <c r="E365">
        <v>420</v>
      </c>
    </row>
    <row r="366" spans="1:5" x14ac:dyDescent="0.25">
      <c r="A366">
        <v>76</v>
      </c>
      <c r="B366">
        <v>4140</v>
      </c>
      <c r="C366" t="s">
        <v>616</v>
      </c>
      <c r="D366" t="s">
        <v>202</v>
      </c>
      <c r="E366">
        <v>420</v>
      </c>
    </row>
    <row r="367" spans="1:5" x14ac:dyDescent="0.25">
      <c r="A367">
        <v>76</v>
      </c>
      <c r="B367">
        <v>3715</v>
      </c>
      <c r="C367" t="s">
        <v>617</v>
      </c>
      <c r="D367" t="s">
        <v>211</v>
      </c>
      <c r="E367">
        <v>420</v>
      </c>
    </row>
    <row r="368" spans="1:5" x14ac:dyDescent="0.25">
      <c r="A368">
        <v>76</v>
      </c>
      <c r="B368">
        <v>4523</v>
      </c>
      <c r="C368" t="s">
        <v>618</v>
      </c>
      <c r="D368" t="s">
        <v>323</v>
      </c>
      <c r="E368">
        <v>420</v>
      </c>
    </row>
    <row r="369" spans="1:5" x14ac:dyDescent="0.25">
      <c r="A369">
        <v>76</v>
      </c>
      <c r="B369">
        <v>4035</v>
      </c>
      <c r="C369" t="s">
        <v>619</v>
      </c>
      <c r="D369" t="s">
        <v>213</v>
      </c>
      <c r="E369">
        <v>420</v>
      </c>
    </row>
    <row r="370" spans="1:5" x14ac:dyDescent="0.25">
      <c r="A370">
        <v>76</v>
      </c>
      <c r="B370">
        <v>2884</v>
      </c>
      <c r="C370" t="s">
        <v>620</v>
      </c>
      <c r="D370" t="s">
        <v>215</v>
      </c>
      <c r="E370">
        <v>420</v>
      </c>
    </row>
    <row r="371" spans="1:5" x14ac:dyDescent="0.25">
      <c r="A371">
        <v>76</v>
      </c>
      <c r="B371">
        <v>3093</v>
      </c>
      <c r="C371" t="s">
        <v>621</v>
      </c>
      <c r="D371" t="s">
        <v>213</v>
      </c>
      <c r="E371">
        <v>420</v>
      </c>
    </row>
    <row r="372" spans="1:5" x14ac:dyDescent="0.25">
      <c r="A372">
        <v>76</v>
      </c>
      <c r="B372">
        <v>4524</v>
      </c>
      <c r="C372" t="s">
        <v>622</v>
      </c>
      <c r="D372" t="s">
        <v>323</v>
      </c>
      <c r="E372">
        <v>420</v>
      </c>
    </row>
    <row r="373" spans="1:5" x14ac:dyDescent="0.25">
      <c r="A373">
        <v>76</v>
      </c>
      <c r="B373">
        <v>3306</v>
      </c>
      <c r="C373" t="s">
        <v>623</v>
      </c>
      <c r="D373" t="s">
        <v>211</v>
      </c>
      <c r="E373">
        <v>420</v>
      </c>
    </row>
    <row r="374" spans="1:5" x14ac:dyDescent="0.25">
      <c r="A374">
        <v>76</v>
      </c>
      <c r="B374">
        <v>4416</v>
      </c>
      <c r="C374" t="s">
        <v>624</v>
      </c>
      <c r="D374" t="s">
        <v>215</v>
      </c>
      <c r="E374">
        <v>420</v>
      </c>
    </row>
    <row r="375" spans="1:5" x14ac:dyDescent="0.25">
      <c r="A375">
        <v>76</v>
      </c>
      <c r="B375">
        <v>4141</v>
      </c>
      <c r="C375" t="s">
        <v>625</v>
      </c>
      <c r="D375" t="s">
        <v>202</v>
      </c>
      <c r="E375">
        <v>420</v>
      </c>
    </row>
    <row r="376" spans="1:5" x14ac:dyDescent="0.25">
      <c r="A376">
        <v>76</v>
      </c>
      <c r="B376">
        <v>4361</v>
      </c>
      <c r="C376" t="s">
        <v>626</v>
      </c>
      <c r="D376" t="s">
        <v>369</v>
      </c>
      <c r="E376">
        <v>420</v>
      </c>
    </row>
    <row r="377" spans="1:5" x14ac:dyDescent="0.25">
      <c r="A377">
        <v>76</v>
      </c>
      <c r="B377">
        <v>4518</v>
      </c>
      <c r="C377" t="s">
        <v>627</v>
      </c>
      <c r="D377" t="s">
        <v>371</v>
      </c>
      <c r="E377">
        <v>420</v>
      </c>
    </row>
    <row r="378" spans="1:5" x14ac:dyDescent="0.25">
      <c r="A378">
        <v>76</v>
      </c>
      <c r="B378">
        <v>4285</v>
      </c>
      <c r="C378" t="s">
        <v>628</v>
      </c>
      <c r="D378" t="s">
        <v>209</v>
      </c>
      <c r="E378">
        <v>420</v>
      </c>
    </row>
    <row r="379" spans="1:5" x14ac:dyDescent="0.25">
      <c r="A379">
        <v>76</v>
      </c>
      <c r="B379">
        <v>4333</v>
      </c>
      <c r="C379" t="s">
        <v>629</v>
      </c>
      <c r="D379" t="s">
        <v>630</v>
      </c>
      <c r="E379">
        <v>420</v>
      </c>
    </row>
    <row r="380" spans="1:5" x14ac:dyDescent="0.25">
      <c r="A380">
        <v>76</v>
      </c>
      <c r="B380">
        <v>4301</v>
      </c>
      <c r="C380" t="s">
        <v>631</v>
      </c>
      <c r="D380" t="s">
        <v>202</v>
      </c>
      <c r="E380">
        <v>420</v>
      </c>
    </row>
    <row r="381" spans="1:5" x14ac:dyDescent="0.25">
      <c r="A381">
        <v>76</v>
      </c>
      <c r="B381">
        <v>2600</v>
      </c>
      <c r="C381" t="s">
        <v>632</v>
      </c>
      <c r="D381" t="s">
        <v>633</v>
      </c>
      <c r="E381">
        <v>420</v>
      </c>
    </row>
    <row r="382" spans="1:5" x14ac:dyDescent="0.25">
      <c r="A382">
        <v>76</v>
      </c>
      <c r="B382">
        <v>2579</v>
      </c>
      <c r="C382" t="s">
        <v>634</v>
      </c>
      <c r="D382" t="s">
        <v>635</v>
      </c>
      <c r="E382">
        <v>420</v>
      </c>
    </row>
    <row r="383" spans="1:5" x14ac:dyDescent="0.25">
      <c r="A383">
        <v>76</v>
      </c>
      <c r="B383">
        <v>2828</v>
      </c>
      <c r="C383" t="s">
        <v>636</v>
      </c>
      <c r="D383" t="s">
        <v>307</v>
      </c>
      <c r="E383">
        <v>420</v>
      </c>
    </row>
    <row r="384" spans="1:5" x14ac:dyDescent="0.25">
      <c r="A384">
        <v>76</v>
      </c>
      <c r="B384">
        <v>4419</v>
      </c>
      <c r="C384" t="s">
        <v>637</v>
      </c>
      <c r="D384" t="s">
        <v>360</v>
      </c>
      <c r="E384">
        <v>420</v>
      </c>
    </row>
    <row r="385" spans="1:5" x14ac:dyDescent="0.25">
      <c r="A385">
        <v>76</v>
      </c>
      <c r="B385">
        <v>4420</v>
      </c>
      <c r="C385" t="s">
        <v>638</v>
      </c>
      <c r="D385" t="s">
        <v>235</v>
      </c>
      <c r="E385">
        <v>420</v>
      </c>
    </row>
    <row r="386" spans="1:5" x14ac:dyDescent="0.25">
      <c r="A386">
        <v>76</v>
      </c>
      <c r="B386">
        <v>4421</v>
      </c>
      <c r="C386" t="s">
        <v>639</v>
      </c>
      <c r="D386" t="s">
        <v>235</v>
      </c>
      <c r="E386">
        <v>420</v>
      </c>
    </row>
    <row r="387" spans="1:5" x14ac:dyDescent="0.25">
      <c r="A387">
        <v>76</v>
      </c>
      <c r="B387">
        <v>4422</v>
      </c>
      <c r="C387" t="s">
        <v>640</v>
      </c>
      <c r="D387" t="s">
        <v>211</v>
      </c>
      <c r="E387">
        <v>420</v>
      </c>
    </row>
    <row r="388" spans="1:5" x14ac:dyDescent="0.25">
      <c r="A388">
        <v>76</v>
      </c>
      <c r="B388">
        <v>4455</v>
      </c>
      <c r="C388" t="s">
        <v>641</v>
      </c>
      <c r="D388" t="s">
        <v>352</v>
      </c>
      <c r="E388">
        <v>420</v>
      </c>
    </row>
    <row r="389" spans="1:5" x14ac:dyDescent="0.25">
      <c r="A389">
        <v>76</v>
      </c>
      <c r="B389">
        <v>4454</v>
      </c>
      <c r="C389" t="s">
        <v>642</v>
      </c>
      <c r="D389" t="s">
        <v>352</v>
      </c>
      <c r="E389">
        <v>420</v>
      </c>
    </row>
    <row r="390" spans="1:5" x14ac:dyDescent="0.25">
      <c r="A390">
        <v>76</v>
      </c>
      <c r="B390">
        <v>4453</v>
      </c>
      <c r="C390" t="s">
        <v>643</v>
      </c>
      <c r="D390" t="s">
        <v>293</v>
      </c>
      <c r="E390">
        <v>420</v>
      </c>
    </row>
    <row r="391" spans="1:5" x14ac:dyDescent="0.25">
      <c r="A391">
        <v>76</v>
      </c>
      <c r="B391">
        <v>3477</v>
      </c>
      <c r="C391" t="s">
        <v>644</v>
      </c>
      <c r="D391" t="s">
        <v>232</v>
      </c>
      <c r="E391">
        <v>420</v>
      </c>
    </row>
    <row r="392" spans="1:5" x14ac:dyDescent="0.25">
      <c r="A392">
        <v>76</v>
      </c>
      <c r="B392">
        <v>3385</v>
      </c>
      <c r="C392" t="s">
        <v>645</v>
      </c>
      <c r="D392" t="s">
        <v>228</v>
      </c>
      <c r="E392">
        <v>420</v>
      </c>
    </row>
    <row r="393" spans="1:5" x14ac:dyDescent="0.25">
      <c r="A393">
        <v>76</v>
      </c>
      <c r="B393">
        <v>3339</v>
      </c>
      <c r="C393" t="s">
        <v>646</v>
      </c>
      <c r="D393" t="s">
        <v>204</v>
      </c>
      <c r="E393">
        <v>420</v>
      </c>
    </row>
    <row r="394" spans="1:5" x14ac:dyDescent="0.25">
      <c r="A394">
        <v>76</v>
      </c>
      <c r="B394">
        <v>3161</v>
      </c>
      <c r="C394" t="s">
        <v>647</v>
      </c>
      <c r="D394" t="s">
        <v>200</v>
      </c>
      <c r="E394">
        <v>420</v>
      </c>
    </row>
    <row r="395" spans="1:5" x14ac:dyDescent="0.25">
      <c r="A395">
        <v>76</v>
      </c>
      <c r="B395">
        <v>2902</v>
      </c>
      <c r="C395" t="s">
        <v>648</v>
      </c>
      <c r="D395" t="s">
        <v>202</v>
      </c>
      <c r="E395">
        <v>420</v>
      </c>
    </row>
    <row r="396" spans="1:5" x14ac:dyDescent="0.25">
      <c r="A396">
        <v>76</v>
      </c>
      <c r="B396">
        <v>4362</v>
      </c>
      <c r="C396" t="s">
        <v>649</v>
      </c>
      <c r="D396" t="s">
        <v>344</v>
      </c>
      <c r="E396">
        <v>420</v>
      </c>
    </row>
    <row r="397" spans="1:5" x14ac:dyDescent="0.25">
      <c r="A397">
        <v>76</v>
      </c>
      <c r="B397">
        <v>3162</v>
      </c>
      <c r="C397" t="s">
        <v>650</v>
      </c>
      <c r="D397" t="s">
        <v>260</v>
      </c>
      <c r="E397">
        <v>420</v>
      </c>
    </row>
    <row r="398" spans="1:5" x14ac:dyDescent="0.25">
      <c r="A398">
        <v>76</v>
      </c>
      <c r="B398">
        <v>4074</v>
      </c>
      <c r="C398" t="s">
        <v>651</v>
      </c>
      <c r="D398" t="s">
        <v>360</v>
      </c>
      <c r="E398">
        <v>420</v>
      </c>
    </row>
    <row r="399" spans="1:5" x14ac:dyDescent="0.25">
      <c r="A399">
        <v>76</v>
      </c>
      <c r="B399">
        <v>4334</v>
      </c>
      <c r="C399" t="s">
        <v>652</v>
      </c>
      <c r="D399" t="s">
        <v>200</v>
      </c>
      <c r="E399">
        <v>420</v>
      </c>
    </row>
    <row r="400" spans="1:5" x14ac:dyDescent="0.25">
      <c r="A400">
        <v>76</v>
      </c>
      <c r="B400">
        <v>2618</v>
      </c>
      <c r="C400" t="s">
        <v>653</v>
      </c>
      <c r="D400" t="s">
        <v>215</v>
      </c>
      <c r="E400">
        <v>420</v>
      </c>
    </row>
    <row r="401" spans="1:5" x14ac:dyDescent="0.25">
      <c r="A401">
        <v>76</v>
      </c>
      <c r="B401">
        <v>4256</v>
      </c>
      <c r="C401" t="s">
        <v>654</v>
      </c>
      <c r="D401" t="s">
        <v>655</v>
      </c>
      <c r="E401">
        <v>420</v>
      </c>
    </row>
    <row r="402" spans="1:5" x14ac:dyDescent="0.25">
      <c r="A402">
        <v>76</v>
      </c>
      <c r="B402">
        <v>4332</v>
      </c>
      <c r="C402" t="s">
        <v>656</v>
      </c>
      <c r="D402" t="s">
        <v>323</v>
      </c>
      <c r="E402">
        <v>420</v>
      </c>
    </row>
    <row r="403" spans="1:5" x14ac:dyDescent="0.25">
      <c r="A403">
        <v>76</v>
      </c>
      <c r="B403">
        <v>4068</v>
      </c>
      <c r="C403" t="s">
        <v>657</v>
      </c>
      <c r="D403" t="s">
        <v>213</v>
      </c>
      <c r="E403">
        <v>420</v>
      </c>
    </row>
    <row r="404" spans="1:5" x14ac:dyDescent="0.25">
      <c r="A404">
        <v>76</v>
      </c>
      <c r="B404">
        <v>3722</v>
      </c>
      <c r="C404" t="s">
        <v>658</v>
      </c>
      <c r="D404" t="s">
        <v>228</v>
      </c>
      <c r="E404">
        <v>420</v>
      </c>
    </row>
    <row r="405" spans="1:5" x14ac:dyDescent="0.25">
      <c r="A405">
        <v>76</v>
      </c>
      <c r="B405">
        <v>2791</v>
      </c>
      <c r="C405" t="s">
        <v>659</v>
      </c>
      <c r="D405" t="s">
        <v>204</v>
      </c>
      <c r="E405">
        <v>420</v>
      </c>
    </row>
    <row r="406" spans="1:5" x14ac:dyDescent="0.25">
      <c r="A406">
        <v>76</v>
      </c>
      <c r="B406">
        <v>3061</v>
      </c>
      <c r="C406" t="s">
        <v>660</v>
      </c>
      <c r="D406" t="s">
        <v>291</v>
      </c>
      <c r="E406">
        <v>420</v>
      </c>
    </row>
    <row r="407" spans="1:5" x14ac:dyDescent="0.25">
      <c r="A407">
        <v>76</v>
      </c>
      <c r="B407">
        <v>2371</v>
      </c>
      <c r="C407" t="s">
        <v>661</v>
      </c>
      <c r="D407" t="s">
        <v>662</v>
      </c>
      <c r="E407">
        <v>420</v>
      </c>
    </row>
    <row r="408" spans="1:5" x14ac:dyDescent="0.25">
      <c r="A408">
        <v>76</v>
      </c>
      <c r="B408">
        <v>3462</v>
      </c>
      <c r="C408" t="s">
        <v>663</v>
      </c>
      <c r="D408" t="s">
        <v>323</v>
      </c>
      <c r="E408">
        <v>420</v>
      </c>
    </row>
    <row r="409" spans="1:5" x14ac:dyDescent="0.25">
      <c r="A409">
        <v>76</v>
      </c>
      <c r="B409">
        <v>4054</v>
      </c>
      <c r="C409" t="s">
        <v>664</v>
      </c>
      <c r="D409" t="s">
        <v>211</v>
      </c>
      <c r="E409">
        <v>420</v>
      </c>
    </row>
    <row r="410" spans="1:5" x14ac:dyDescent="0.25">
      <c r="A410">
        <v>76</v>
      </c>
      <c r="B410">
        <v>4231</v>
      </c>
      <c r="C410" t="s">
        <v>665</v>
      </c>
      <c r="D410" t="s">
        <v>202</v>
      </c>
      <c r="E410">
        <v>420</v>
      </c>
    </row>
    <row r="411" spans="1:5" x14ac:dyDescent="0.25">
      <c r="A411">
        <v>76</v>
      </c>
      <c r="B411">
        <v>4232</v>
      </c>
      <c r="C411" t="s">
        <v>666</v>
      </c>
      <c r="D411" t="s">
        <v>202</v>
      </c>
      <c r="E411">
        <v>420</v>
      </c>
    </row>
    <row r="412" spans="1:5" x14ac:dyDescent="0.25">
      <c r="A412">
        <v>76</v>
      </c>
      <c r="B412">
        <v>3880</v>
      </c>
      <c r="C412" t="s">
        <v>667</v>
      </c>
      <c r="D412" t="s">
        <v>204</v>
      </c>
      <c r="E412">
        <v>420</v>
      </c>
    </row>
    <row r="413" spans="1:5" x14ac:dyDescent="0.25">
      <c r="A413">
        <v>76</v>
      </c>
      <c r="B413">
        <v>4254</v>
      </c>
      <c r="C413" t="s">
        <v>668</v>
      </c>
      <c r="D413" t="s">
        <v>291</v>
      </c>
      <c r="E413">
        <v>420</v>
      </c>
    </row>
    <row r="414" spans="1:5" x14ac:dyDescent="0.25">
      <c r="A414">
        <v>76</v>
      </c>
      <c r="B414">
        <v>4155</v>
      </c>
      <c r="C414" t="s">
        <v>669</v>
      </c>
      <c r="D414" t="s">
        <v>344</v>
      </c>
      <c r="E414">
        <v>420</v>
      </c>
    </row>
    <row r="415" spans="1:5" x14ac:dyDescent="0.25">
      <c r="A415">
        <v>76</v>
      </c>
      <c r="B415">
        <v>3438</v>
      </c>
      <c r="C415" t="s">
        <v>670</v>
      </c>
      <c r="D415" t="s">
        <v>211</v>
      </c>
      <c r="E415">
        <v>420</v>
      </c>
    </row>
    <row r="416" spans="1:5" x14ac:dyDescent="0.25">
      <c r="A416">
        <v>76</v>
      </c>
      <c r="B416">
        <v>4241</v>
      </c>
      <c r="C416" t="s">
        <v>671</v>
      </c>
      <c r="D416" t="s">
        <v>291</v>
      </c>
      <c r="E416">
        <v>420</v>
      </c>
    </row>
    <row r="417" spans="1:5" x14ac:dyDescent="0.25">
      <c r="A417">
        <v>76</v>
      </c>
      <c r="B417">
        <v>4272</v>
      </c>
      <c r="C417" t="s">
        <v>672</v>
      </c>
      <c r="D417" t="s">
        <v>344</v>
      </c>
      <c r="E417">
        <v>420</v>
      </c>
    </row>
    <row r="418" spans="1:5" x14ac:dyDescent="0.25">
      <c r="A418">
        <v>76</v>
      </c>
      <c r="B418">
        <v>2797</v>
      </c>
      <c r="C418" t="s">
        <v>673</v>
      </c>
      <c r="D418" t="s">
        <v>385</v>
      </c>
      <c r="E418">
        <v>420</v>
      </c>
    </row>
    <row r="419" spans="1:5" x14ac:dyDescent="0.25">
      <c r="A419">
        <v>76</v>
      </c>
      <c r="B419">
        <v>2798</v>
      </c>
      <c r="C419" t="s">
        <v>674</v>
      </c>
      <c r="D419" t="s">
        <v>232</v>
      </c>
      <c r="E419">
        <v>420</v>
      </c>
    </row>
    <row r="420" spans="1:5" x14ac:dyDescent="0.25">
      <c r="A420">
        <v>76</v>
      </c>
      <c r="B420">
        <v>2800</v>
      </c>
      <c r="C420" t="s">
        <v>675</v>
      </c>
      <c r="D420" t="s">
        <v>369</v>
      </c>
      <c r="E420">
        <v>420</v>
      </c>
    </row>
    <row r="421" spans="1:5" x14ac:dyDescent="0.25">
      <c r="A421">
        <v>76</v>
      </c>
      <c r="B421">
        <v>2803</v>
      </c>
      <c r="C421" t="s">
        <v>676</v>
      </c>
      <c r="D421" t="s">
        <v>209</v>
      </c>
      <c r="E421">
        <v>420</v>
      </c>
    </row>
    <row r="422" spans="1:5" x14ac:dyDescent="0.25">
      <c r="A422">
        <v>76</v>
      </c>
      <c r="B422">
        <v>2805</v>
      </c>
      <c r="C422" t="s">
        <v>677</v>
      </c>
      <c r="D422" t="s">
        <v>390</v>
      </c>
      <c r="E422">
        <v>420</v>
      </c>
    </row>
    <row r="423" spans="1:5" x14ac:dyDescent="0.25">
      <c r="A423">
        <v>76</v>
      </c>
      <c r="B423">
        <v>2806</v>
      </c>
      <c r="C423" t="s">
        <v>678</v>
      </c>
      <c r="D423" t="s">
        <v>215</v>
      </c>
      <c r="E423">
        <v>420</v>
      </c>
    </row>
    <row r="424" spans="1:5" x14ac:dyDescent="0.25">
      <c r="A424">
        <v>76</v>
      </c>
      <c r="B424">
        <v>2818</v>
      </c>
      <c r="C424" t="s">
        <v>679</v>
      </c>
      <c r="D424" t="s">
        <v>228</v>
      </c>
      <c r="E424">
        <v>420</v>
      </c>
    </row>
    <row r="425" spans="1:5" x14ac:dyDescent="0.25">
      <c r="A425">
        <v>76</v>
      </c>
      <c r="B425">
        <v>2827</v>
      </c>
      <c r="C425" t="s">
        <v>680</v>
      </c>
      <c r="D425" t="s">
        <v>390</v>
      </c>
      <c r="E425">
        <v>420</v>
      </c>
    </row>
    <row r="426" spans="1:5" x14ac:dyDescent="0.25">
      <c r="A426">
        <v>76</v>
      </c>
      <c r="B426">
        <v>3142</v>
      </c>
      <c r="C426" t="s">
        <v>681</v>
      </c>
      <c r="D426" t="s">
        <v>347</v>
      </c>
      <c r="E426">
        <v>420</v>
      </c>
    </row>
    <row r="427" spans="1:5" x14ac:dyDescent="0.25">
      <c r="A427">
        <v>76</v>
      </c>
      <c r="B427">
        <v>3148</v>
      </c>
      <c r="C427" t="s">
        <v>682</v>
      </c>
      <c r="D427" t="s">
        <v>215</v>
      </c>
      <c r="E427">
        <v>420</v>
      </c>
    </row>
    <row r="428" spans="1:5" x14ac:dyDescent="0.25">
      <c r="A428">
        <v>76</v>
      </c>
      <c r="B428">
        <v>3155</v>
      </c>
      <c r="C428" t="s">
        <v>683</v>
      </c>
      <c r="D428" t="s">
        <v>235</v>
      </c>
      <c r="E428">
        <v>420</v>
      </c>
    </row>
    <row r="429" spans="1:5" x14ac:dyDescent="0.25">
      <c r="A429">
        <v>76</v>
      </c>
      <c r="B429">
        <v>3156</v>
      </c>
      <c r="C429" t="s">
        <v>684</v>
      </c>
      <c r="D429" t="s">
        <v>323</v>
      </c>
      <c r="E429">
        <v>420</v>
      </c>
    </row>
    <row r="430" spans="1:5" x14ac:dyDescent="0.25">
      <c r="A430">
        <v>76</v>
      </c>
      <c r="B430">
        <v>3164</v>
      </c>
      <c r="C430" t="s">
        <v>685</v>
      </c>
      <c r="D430" t="s">
        <v>260</v>
      </c>
      <c r="E430">
        <v>420</v>
      </c>
    </row>
    <row r="431" spans="1:5" x14ac:dyDescent="0.25">
      <c r="A431">
        <v>76</v>
      </c>
      <c r="B431">
        <v>3166</v>
      </c>
      <c r="C431" t="s">
        <v>686</v>
      </c>
      <c r="D431" t="s">
        <v>260</v>
      </c>
      <c r="E431">
        <v>420</v>
      </c>
    </row>
    <row r="432" spans="1:5" x14ac:dyDescent="0.25">
      <c r="A432">
        <v>76</v>
      </c>
      <c r="B432">
        <v>3168</v>
      </c>
      <c r="C432" t="s">
        <v>687</v>
      </c>
      <c r="D432" t="s">
        <v>323</v>
      </c>
      <c r="E432">
        <v>420</v>
      </c>
    </row>
    <row r="433" spans="1:5" x14ac:dyDescent="0.25">
      <c r="A433">
        <v>76</v>
      </c>
      <c r="B433">
        <v>3169</v>
      </c>
      <c r="C433" t="s">
        <v>688</v>
      </c>
      <c r="D433" t="s">
        <v>409</v>
      </c>
      <c r="E433">
        <v>420</v>
      </c>
    </row>
    <row r="434" spans="1:5" x14ac:dyDescent="0.25">
      <c r="A434">
        <v>76</v>
      </c>
      <c r="B434">
        <v>3170</v>
      </c>
      <c r="C434" t="s">
        <v>689</v>
      </c>
      <c r="D434" t="s">
        <v>409</v>
      </c>
      <c r="E434">
        <v>420</v>
      </c>
    </row>
    <row r="435" spans="1:5" x14ac:dyDescent="0.25">
      <c r="A435">
        <v>76</v>
      </c>
      <c r="B435">
        <v>3171</v>
      </c>
      <c r="C435" t="s">
        <v>690</v>
      </c>
      <c r="D435" t="s">
        <v>409</v>
      </c>
      <c r="E435">
        <v>420</v>
      </c>
    </row>
    <row r="436" spans="1:5" x14ac:dyDescent="0.25">
      <c r="A436">
        <v>76</v>
      </c>
      <c r="B436">
        <v>3174</v>
      </c>
      <c r="C436" t="s">
        <v>691</v>
      </c>
      <c r="D436" t="s">
        <v>347</v>
      </c>
      <c r="E436">
        <v>420</v>
      </c>
    </row>
    <row r="437" spans="1:5" x14ac:dyDescent="0.25">
      <c r="A437">
        <v>76</v>
      </c>
      <c r="B437">
        <v>3175</v>
      </c>
      <c r="C437" t="s">
        <v>692</v>
      </c>
      <c r="D437" t="s">
        <v>347</v>
      </c>
      <c r="E437">
        <v>420</v>
      </c>
    </row>
    <row r="438" spans="1:5" x14ac:dyDescent="0.25">
      <c r="A438">
        <v>76</v>
      </c>
      <c r="B438">
        <v>3227</v>
      </c>
      <c r="C438" t="s">
        <v>693</v>
      </c>
      <c r="D438" t="s">
        <v>385</v>
      </c>
      <c r="E438">
        <v>420</v>
      </c>
    </row>
    <row r="439" spans="1:5" x14ac:dyDescent="0.25">
      <c r="A439">
        <v>76</v>
      </c>
      <c r="B439">
        <v>3235</v>
      </c>
      <c r="C439" t="s">
        <v>694</v>
      </c>
      <c r="D439" t="s">
        <v>385</v>
      </c>
      <c r="E439">
        <v>420</v>
      </c>
    </row>
    <row r="440" spans="1:5" x14ac:dyDescent="0.25">
      <c r="A440">
        <v>76</v>
      </c>
      <c r="B440">
        <v>3236</v>
      </c>
      <c r="C440" t="s">
        <v>695</v>
      </c>
      <c r="D440" t="s">
        <v>323</v>
      </c>
      <c r="E440">
        <v>420</v>
      </c>
    </row>
    <row r="441" spans="1:5" x14ac:dyDescent="0.25">
      <c r="A441">
        <v>76</v>
      </c>
      <c r="B441">
        <v>3247</v>
      </c>
      <c r="C441" t="s">
        <v>696</v>
      </c>
      <c r="D441" t="s">
        <v>279</v>
      </c>
      <c r="E441">
        <v>420</v>
      </c>
    </row>
    <row r="442" spans="1:5" x14ac:dyDescent="0.25">
      <c r="A442">
        <v>76</v>
      </c>
      <c r="B442">
        <v>3248</v>
      </c>
      <c r="C442" t="s">
        <v>697</v>
      </c>
      <c r="D442" t="s">
        <v>390</v>
      </c>
      <c r="E442">
        <v>420</v>
      </c>
    </row>
    <row r="443" spans="1:5" x14ac:dyDescent="0.25">
      <c r="A443">
        <v>76</v>
      </c>
      <c r="B443">
        <v>3249</v>
      </c>
      <c r="C443" t="s">
        <v>698</v>
      </c>
      <c r="D443" t="s">
        <v>390</v>
      </c>
      <c r="E443">
        <v>420</v>
      </c>
    </row>
    <row r="444" spans="1:5" x14ac:dyDescent="0.25">
      <c r="A444">
        <v>76</v>
      </c>
      <c r="B444">
        <v>3250</v>
      </c>
      <c r="C444" t="s">
        <v>699</v>
      </c>
      <c r="D444" t="s">
        <v>390</v>
      </c>
      <c r="E444">
        <v>420</v>
      </c>
    </row>
    <row r="445" spans="1:5" x14ac:dyDescent="0.25">
      <c r="A445">
        <v>76</v>
      </c>
      <c r="B445">
        <v>3251</v>
      </c>
      <c r="C445" t="s">
        <v>700</v>
      </c>
      <c r="D445" t="s">
        <v>382</v>
      </c>
      <c r="E445">
        <v>420</v>
      </c>
    </row>
    <row r="446" spans="1:5" x14ac:dyDescent="0.25">
      <c r="A446">
        <v>76</v>
      </c>
      <c r="B446">
        <v>3252</v>
      </c>
      <c r="C446" t="s">
        <v>701</v>
      </c>
      <c r="D446" t="s">
        <v>409</v>
      </c>
      <c r="E446">
        <v>420</v>
      </c>
    </row>
    <row r="447" spans="1:5" x14ac:dyDescent="0.25">
      <c r="A447">
        <v>76</v>
      </c>
      <c r="B447">
        <v>3253</v>
      </c>
      <c r="C447" t="s">
        <v>702</v>
      </c>
      <c r="D447" t="s">
        <v>279</v>
      </c>
      <c r="E447">
        <v>420</v>
      </c>
    </row>
    <row r="448" spans="1:5" x14ac:dyDescent="0.25">
      <c r="A448">
        <v>76</v>
      </c>
      <c r="B448">
        <v>3254</v>
      </c>
      <c r="C448" t="s">
        <v>703</v>
      </c>
      <c r="D448" t="s">
        <v>279</v>
      </c>
      <c r="E448">
        <v>420</v>
      </c>
    </row>
    <row r="449" spans="1:5" x14ac:dyDescent="0.25">
      <c r="A449">
        <v>76</v>
      </c>
      <c r="B449">
        <v>3255</v>
      </c>
      <c r="C449" t="s">
        <v>704</v>
      </c>
      <c r="D449" t="s">
        <v>279</v>
      </c>
      <c r="E449">
        <v>420</v>
      </c>
    </row>
    <row r="450" spans="1:5" x14ac:dyDescent="0.25">
      <c r="A450">
        <v>76</v>
      </c>
      <c r="B450">
        <v>3256</v>
      </c>
      <c r="C450" t="s">
        <v>705</v>
      </c>
      <c r="D450" t="s">
        <v>390</v>
      </c>
      <c r="E450">
        <v>420</v>
      </c>
    </row>
    <row r="451" spans="1:5" x14ac:dyDescent="0.25">
      <c r="A451">
        <v>76</v>
      </c>
      <c r="B451">
        <v>3257</v>
      </c>
      <c r="C451" t="s">
        <v>706</v>
      </c>
      <c r="D451" t="s">
        <v>202</v>
      </c>
      <c r="E451">
        <v>420</v>
      </c>
    </row>
    <row r="452" spans="1:5" x14ac:dyDescent="0.25">
      <c r="A452">
        <v>76</v>
      </c>
      <c r="B452">
        <v>3267</v>
      </c>
      <c r="C452" t="s">
        <v>707</v>
      </c>
      <c r="D452" t="s">
        <v>232</v>
      </c>
      <c r="E452">
        <v>420</v>
      </c>
    </row>
    <row r="453" spans="1:5" x14ac:dyDescent="0.25">
      <c r="A453">
        <v>76</v>
      </c>
      <c r="B453">
        <v>3268</v>
      </c>
      <c r="C453" t="s">
        <v>708</v>
      </c>
      <c r="D453" t="s">
        <v>232</v>
      </c>
      <c r="E453">
        <v>420</v>
      </c>
    </row>
    <row r="454" spans="1:5" x14ac:dyDescent="0.25">
      <c r="A454">
        <v>76</v>
      </c>
      <c r="B454">
        <v>3282</v>
      </c>
      <c r="C454" t="s">
        <v>709</v>
      </c>
      <c r="D454" t="s">
        <v>710</v>
      </c>
      <c r="E454">
        <v>420</v>
      </c>
    </row>
    <row r="455" spans="1:5" x14ac:dyDescent="0.25">
      <c r="A455">
        <v>76</v>
      </c>
      <c r="B455">
        <v>3290</v>
      </c>
      <c r="C455" t="s">
        <v>711</v>
      </c>
      <c r="D455" t="s">
        <v>338</v>
      </c>
      <c r="E455">
        <v>420</v>
      </c>
    </row>
    <row r="456" spans="1:5" x14ac:dyDescent="0.25">
      <c r="A456">
        <v>76</v>
      </c>
      <c r="B456">
        <v>3291</v>
      </c>
      <c r="C456" t="s">
        <v>712</v>
      </c>
      <c r="D456" t="s">
        <v>200</v>
      </c>
      <c r="E456">
        <v>420</v>
      </c>
    </row>
    <row r="457" spans="1:5" x14ac:dyDescent="0.25">
      <c r="A457">
        <v>76</v>
      </c>
      <c r="B457">
        <v>3292</v>
      </c>
      <c r="C457" t="s">
        <v>713</v>
      </c>
      <c r="D457" t="s">
        <v>338</v>
      </c>
      <c r="E457">
        <v>420</v>
      </c>
    </row>
    <row r="458" spans="1:5" x14ac:dyDescent="0.25">
      <c r="A458">
        <v>76</v>
      </c>
      <c r="B458">
        <v>3293</v>
      </c>
      <c r="C458" t="s">
        <v>714</v>
      </c>
      <c r="D458" t="s">
        <v>338</v>
      </c>
      <c r="E458">
        <v>420</v>
      </c>
    </row>
    <row r="459" spans="1:5" x14ac:dyDescent="0.25">
      <c r="A459">
        <v>76</v>
      </c>
      <c r="B459">
        <v>3294</v>
      </c>
      <c r="C459" t="s">
        <v>715</v>
      </c>
      <c r="D459" t="s">
        <v>338</v>
      </c>
      <c r="E459">
        <v>420</v>
      </c>
    </row>
    <row r="460" spans="1:5" x14ac:dyDescent="0.25">
      <c r="A460">
        <v>76</v>
      </c>
      <c r="B460">
        <v>3295</v>
      </c>
      <c r="C460" t="s">
        <v>716</v>
      </c>
      <c r="D460" t="s">
        <v>338</v>
      </c>
      <c r="E460">
        <v>420</v>
      </c>
    </row>
    <row r="461" spans="1:5" x14ac:dyDescent="0.25">
      <c r="A461">
        <v>76</v>
      </c>
      <c r="B461">
        <v>3297</v>
      </c>
      <c r="C461" t="s">
        <v>717</v>
      </c>
      <c r="D461" t="s">
        <v>718</v>
      </c>
      <c r="E461">
        <v>420</v>
      </c>
    </row>
    <row r="462" spans="1:5" x14ac:dyDescent="0.25">
      <c r="A462">
        <v>76</v>
      </c>
      <c r="B462">
        <v>3298</v>
      </c>
      <c r="C462" t="s">
        <v>719</v>
      </c>
      <c r="D462" t="s">
        <v>718</v>
      </c>
      <c r="E462">
        <v>420</v>
      </c>
    </row>
    <row r="463" spans="1:5" x14ac:dyDescent="0.25">
      <c r="A463">
        <v>76</v>
      </c>
      <c r="B463">
        <v>3308</v>
      </c>
      <c r="C463" t="s">
        <v>720</v>
      </c>
      <c r="D463" t="s">
        <v>382</v>
      </c>
      <c r="E463">
        <v>420</v>
      </c>
    </row>
    <row r="464" spans="1:5" x14ac:dyDescent="0.25">
      <c r="A464">
        <v>76</v>
      </c>
      <c r="B464">
        <v>3313</v>
      </c>
      <c r="C464" t="s">
        <v>721</v>
      </c>
      <c r="D464" t="s">
        <v>371</v>
      </c>
      <c r="E464">
        <v>420</v>
      </c>
    </row>
    <row r="465" spans="1:5" x14ac:dyDescent="0.25">
      <c r="A465">
        <v>76</v>
      </c>
      <c r="B465">
        <v>3321</v>
      </c>
      <c r="C465" t="s">
        <v>722</v>
      </c>
      <c r="D465" t="s">
        <v>710</v>
      </c>
      <c r="E465">
        <v>420</v>
      </c>
    </row>
    <row r="466" spans="1:5" x14ac:dyDescent="0.25">
      <c r="A466">
        <v>76</v>
      </c>
      <c r="B466">
        <v>3333</v>
      </c>
      <c r="C466" t="s">
        <v>723</v>
      </c>
      <c r="D466" t="s">
        <v>232</v>
      </c>
      <c r="E466">
        <v>420</v>
      </c>
    </row>
    <row r="467" spans="1:5" x14ac:dyDescent="0.25">
      <c r="A467">
        <v>76</v>
      </c>
      <c r="B467">
        <v>3335</v>
      </c>
      <c r="C467" t="s">
        <v>724</v>
      </c>
      <c r="D467" t="s">
        <v>338</v>
      </c>
      <c r="E467">
        <v>420</v>
      </c>
    </row>
    <row r="468" spans="1:5" x14ac:dyDescent="0.25">
      <c r="A468">
        <v>76</v>
      </c>
      <c r="B468">
        <v>3336</v>
      </c>
      <c r="C468" t="s">
        <v>725</v>
      </c>
      <c r="D468" t="s">
        <v>382</v>
      </c>
      <c r="E468">
        <v>420</v>
      </c>
    </row>
    <row r="469" spans="1:5" x14ac:dyDescent="0.25">
      <c r="A469">
        <v>76</v>
      </c>
      <c r="B469">
        <v>3340</v>
      </c>
      <c r="C469" t="s">
        <v>726</v>
      </c>
      <c r="D469" t="s">
        <v>204</v>
      </c>
      <c r="E469">
        <v>420</v>
      </c>
    </row>
    <row r="470" spans="1:5" x14ac:dyDescent="0.25">
      <c r="A470">
        <v>76</v>
      </c>
      <c r="B470">
        <v>3353</v>
      </c>
      <c r="C470" t="s">
        <v>727</v>
      </c>
      <c r="D470" t="s">
        <v>211</v>
      </c>
      <c r="E470">
        <v>420</v>
      </c>
    </row>
    <row r="471" spans="1:5" x14ac:dyDescent="0.25">
      <c r="A471">
        <v>76</v>
      </c>
      <c r="B471">
        <v>3356</v>
      </c>
      <c r="C471" t="s">
        <v>728</v>
      </c>
      <c r="D471" t="s">
        <v>211</v>
      </c>
      <c r="E471">
        <v>420</v>
      </c>
    </row>
    <row r="472" spans="1:5" x14ac:dyDescent="0.25">
      <c r="A472">
        <v>76</v>
      </c>
      <c r="B472">
        <v>3371</v>
      </c>
      <c r="C472" t="s">
        <v>729</v>
      </c>
      <c r="D472" t="s">
        <v>211</v>
      </c>
      <c r="E472">
        <v>420</v>
      </c>
    </row>
    <row r="473" spans="1:5" x14ac:dyDescent="0.25">
      <c r="A473">
        <v>76</v>
      </c>
      <c r="B473">
        <v>3376</v>
      </c>
      <c r="C473" t="s">
        <v>730</v>
      </c>
      <c r="D473" t="s">
        <v>209</v>
      </c>
      <c r="E473">
        <v>420</v>
      </c>
    </row>
    <row r="474" spans="1:5" x14ac:dyDescent="0.25">
      <c r="A474">
        <v>76</v>
      </c>
      <c r="B474">
        <v>2976</v>
      </c>
      <c r="C474" t="s">
        <v>731</v>
      </c>
      <c r="D474" t="s">
        <v>382</v>
      </c>
      <c r="E474">
        <v>420</v>
      </c>
    </row>
    <row r="475" spans="1:5" x14ac:dyDescent="0.25">
      <c r="A475">
        <v>76</v>
      </c>
      <c r="B475">
        <v>2980</v>
      </c>
      <c r="C475" t="s">
        <v>732</v>
      </c>
      <c r="D475" t="s">
        <v>310</v>
      </c>
      <c r="E475">
        <v>420</v>
      </c>
    </row>
    <row r="476" spans="1:5" x14ac:dyDescent="0.25">
      <c r="A476">
        <v>76</v>
      </c>
      <c r="B476">
        <v>2981</v>
      </c>
      <c r="C476" t="s">
        <v>733</v>
      </c>
      <c r="D476" t="s">
        <v>310</v>
      </c>
      <c r="E476">
        <v>420</v>
      </c>
    </row>
    <row r="477" spans="1:5" x14ac:dyDescent="0.25">
      <c r="A477">
        <v>76</v>
      </c>
      <c r="B477">
        <v>2982</v>
      </c>
      <c r="C477" t="s">
        <v>734</v>
      </c>
      <c r="D477" t="s">
        <v>310</v>
      </c>
      <c r="E477">
        <v>420</v>
      </c>
    </row>
    <row r="478" spans="1:5" x14ac:dyDescent="0.25">
      <c r="A478">
        <v>76</v>
      </c>
      <c r="B478">
        <v>2983</v>
      </c>
      <c r="C478" t="s">
        <v>735</v>
      </c>
      <c r="D478" t="s">
        <v>310</v>
      </c>
      <c r="E478">
        <v>420</v>
      </c>
    </row>
    <row r="479" spans="1:5" x14ac:dyDescent="0.25">
      <c r="A479">
        <v>76</v>
      </c>
      <c r="B479">
        <v>2984</v>
      </c>
      <c r="C479" t="s">
        <v>736</v>
      </c>
      <c r="D479" t="s">
        <v>540</v>
      </c>
      <c r="E479">
        <v>420</v>
      </c>
    </row>
    <row r="480" spans="1:5" x14ac:dyDescent="0.25">
      <c r="A480">
        <v>76</v>
      </c>
      <c r="B480">
        <v>2990</v>
      </c>
      <c r="C480" t="s">
        <v>737</v>
      </c>
      <c r="D480" t="s">
        <v>310</v>
      </c>
      <c r="E480">
        <v>420</v>
      </c>
    </row>
    <row r="481" spans="1:5" x14ac:dyDescent="0.25">
      <c r="A481">
        <v>76</v>
      </c>
      <c r="B481">
        <v>2991</v>
      </c>
      <c r="C481" t="s">
        <v>738</v>
      </c>
      <c r="D481" t="s">
        <v>310</v>
      </c>
      <c r="E481">
        <v>420</v>
      </c>
    </row>
    <row r="482" spans="1:5" x14ac:dyDescent="0.25">
      <c r="A482">
        <v>76</v>
      </c>
      <c r="B482">
        <v>2992</v>
      </c>
      <c r="C482" t="s">
        <v>739</v>
      </c>
      <c r="D482" t="s">
        <v>382</v>
      </c>
      <c r="E482">
        <v>420</v>
      </c>
    </row>
    <row r="483" spans="1:5" x14ac:dyDescent="0.25">
      <c r="A483">
        <v>76</v>
      </c>
      <c r="B483">
        <v>3000</v>
      </c>
      <c r="C483" t="s">
        <v>740</v>
      </c>
      <c r="D483" t="s">
        <v>204</v>
      </c>
      <c r="E483">
        <v>420</v>
      </c>
    </row>
    <row r="484" spans="1:5" x14ac:dyDescent="0.25">
      <c r="A484">
        <v>76</v>
      </c>
      <c r="B484">
        <v>3003</v>
      </c>
      <c r="C484" t="s">
        <v>741</v>
      </c>
      <c r="D484" t="s">
        <v>515</v>
      </c>
      <c r="E484">
        <v>420</v>
      </c>
    </row>
    <row r="485" spans="1:5" x14ac:dyDescent="0.25">
      <c r="A485">
        <v>76</v>
      </c>
      <c r="B485">
        <v>3020</v>
      </c>
      <c r="C485" t="s">
        <v>742</v>
      </c>
      <c r="D485" t="s">
        <v>390</v>
      </c>
      <c r="E485">
        <v>420</v>
      </c>
    </row>
    <row r="486" spans="1:5" x14ac:dyDescent="0.25">
      <c r="A486">
        <v>76</v>
      </c>
      <c r="B486">
        <v>3022</v>
      </c>
      <c r="C486" t="s">
        <v>743</v>
      </c>
      <c r="D486" t="s">
        <v>202</v>
      </c>
      <c r="E486">
        <v>420</v>
      </c>
    </row>
    <row r="487" spans="1:5" x14ac:dyDescent="0.25">
      <c r="A487">
        <v>76</v>
      </c>
      <c r="B487">
        <v>3027</v>
      </c>
      <c r="C487" t="s">
        <v>744</v>
      </c>
      <c r="D487" t="s">
        <v>385</v>
      </c>
      <c r="E487">
        <v>420</v>
      </c>
    </row>
    <row r="488" spans="1:5" x14ac:dyDescent="0.25">
      <c r="A488">
        <v>76</v>
      </c>
      <c r="B488">
        <v>3029</v>
      </c>
      <c r="C488" t="s">
        <v>745</v>
      </c>
      <c r="D488" t="s">
        <v>323</v>
      </c>
      <c r="E488">
        <v>420</v>
      </c>
    </row>
    <row r="489" spans="1:5" x14ac:dyDescent="0.25">
      <c r="A489">
        <v>76</v>
      </c>
      <c r="B489">
        <v>3050</v>
      </c>
      <c r="C489" t="s">
        <v>746</v>
      </c>
      <c r="D489" t="s">
        <v>215</v>
      </c>
      <c r="E489">
        <v>420</v>
      </c>
    </row>
    <row r="490" spans="1:5" x14ac:dyDescent="0.25">
      <c r="A490">
        <v>76</v>
      </c>
      <c r="B490">
        <v>3052</v>
      </c>
      <c r="C490" t="s">
        <v>747</v>
      </c>
      <c r="D490" t="s">
        <v>382</v>
      </c>
      <c r="E490">
        <v>420</v>
      </c>
    </row>
    <row r="491" spans="1:5" x14ac:dyDescent="0.25">
      <c r="A491">
        <v>76</v>
      </c>
      <c r="B491">
        <v>3062</v>
      </c>
      <c r="C491" t="s">
        <v>748</v>
      </c>
      <c r="D491" t="s">
        <v>260</v>
      </c>
      <c r="E491">
        <v>420</v>
      </c>
    </row>
    <row r="492" spans="1:5" x14ac:dyDescent="0.25">
      <c r="A492">
        <v>76</v>
      </c>
      <c r="B492">
        <v>3063</v>
      </c>
      <c r="C492" t="s">
        <v>749</v>
      </c>
      <c r="D492" t="s">
        <v>750</v>
      </c>
      <c r="E492">
        <v>420</v>
      </c>
    </row>
    <row r="493" spans="1:5" x14ac:dyDescent="0.25">
      <c r="A493">
        <v>76</v>
      </c>
      <c r="B493">
        <v>3066</v>
      </c>
      <c r="C493" t="s">
        <v>751</v>
      </c>
      <c r="D493" t="s">
        <v>750</v>
      </c>
      <c r="E493">
        <v>420</v>
      </c>
    </row>
    <row r="494" spans="1:5" x14ac:dyDescent="0.25">
      <c r="A494">
        <v>76</v>
      </c>
      <c r="B494">
        <v>3069</v>
      </c>
      <c r="C494" t="s">
        <v>752</v>
      </c>
      <c r="D494" t="s">
        <v>750</v>
      </c>
      <c r="E494">
        <v>420</v>
      </c>
    </row>
    <row r="495" spans="1:5" x14ac:dyDescent="0.25">
      <c r="A495">
        <v>76</v>
      </c>
      <c r="B495">
        <v>3085</v>
      </c>
      <c r="C495" t="s">
        <v>753</v>
      </c>
      <c r="D495" t="s">
        <v>371</v>
      </c>
      <c r="E495">
        <v>420</v>
      </c>
    </row>
    <row r="496" spans="1:5" x14ac:dyDescent="0.25">
      <c r="A496">
        <v>76</v>
      </c>
      <c r="B496">
        <v>3091</v>
      </c>
      <c r="C496" t="s">
        <v>754</v>
      </c>
      <c r="D496" t="s">
        <v>209</v>
      </c>
      <c r="E496">
        <v>420</v>
      </c>
    </row>
    <row r="497" spans="1:5" x14ac:dyDescent="0.25">
      <c r="A497">
        <v>76</v>
      </c>
      <c r="B497">
        <v>3095</v>
      </c>
      <c r="C497" t="s">
        <v>755</v>
      </c>
      <c r="D497" t="s">
        <v>382</v>
      </c>
      <c r="E497">
        <v>420</v>
      </c>
    </row>
    <row r="498" spans="1:5" x14ac:dyDescent="0.25">
      <c r="A498">
        <v>76</v>
      </c>
      <c r="B498">
        <v>2477</v>
      </c>
      <c r="C498" t="s">
        <v>756</v>
      </c>
      <c r="D498" t="s">
        <v>279</v>
      </c>
      <c r="E498">
        <v>420</v>
      </c>
    </row>
    <row r="499" spans="1:5" x14ac:dyDescent="0.25">
      <c r="A499">
        <v>76</v>
      </c>
      <c r="B499">
        <v>2498</v>
      </c>
      <c r="C499" t="s">
        <v>757</v>
      </c>
      <c r="D499" t="s">
        <v>209</v>
      </c>
      <c r="E499">
        <v>420</v>
      </c>
    </row>
    <row r="500" spans="1:5" x14ac:dyDescent="0.25">
      <c r="A500">
        <v>76</v>
      </c>
      <c r="B500">
        <v>2516</v>
      </c>
      <c r="C500" t="s">
        <v>758</v>
      </c>
      <c r="D500" t="s">
        <v>211</v>
      </c>
      <c r="E500">
        <v>420</v>
      </c>
    </row>
    <row r="501" spans="1:5" x14ac:dyDescent="0.25">
      <c r="A501">
        <v>76</v>
      </c>
      <c r="B501">
        <v>2524</v>
      </c>
      <c r="C501" t="s">
        <v>759</v>
      </c>
      <c r="D501" t="s">
        <v>211</v>
      </c>
      <c r="E501">
        <v>420</v>
      </c>
    </row>
    <row r="502" spans="1:5" x14ac:dyDescent="0.25">
      <c r="A502">
        <v>76</v>
      </c>
      <c r="B502">
        <v>2545</v>
      </c>
      <c r="C502" t="s">
        <v>760</v>
      </c>
      <c r="D502" t="s">
        <v>204</v>
      </c>
      <c r="E502">
        <v>420</v>
      </c>
    </row>
    <row r="503" spans="1:5" x14ac:dyDescent="0.25">
      <c r="A503">
        <v>76</v>
      </c>
      <c r="B503">
        <v>2548</v>
      </c>
      <c r="C503" t="s">
        <v>761</v>
      </c>
      <c r="D503" t="s">
        <v>385</v>
      </c>
      <c r="E503">
        <v>420</v>
      </c>
    </row>
    <row r="504" spans="1:5" x14ac:dyDescent="0.25">
      <c r="A504">
        <v>76</v>
      </c>
      <c r="B504">
        <v>2570</v>
      </c>
      <c r="C504" t="s">
        <v>762</v>
      </c>
      <c r="D504" t="s">
        <v>232</v>
      </c>
      <c r="E504">
        <v>420</v>
      </c>
    </row>
    <row r="505" spans="1:5" x14ac:dyDescent="0.25">
      <c r="A505">
        <v>76</v>
      </c>
      <c r="B505">
        <v>2586</v>
      </c>
      <c r="C505" t="s">
        <v>763</v>
      </c>
      <c r="D505" t="s">
        <v>369</v>
      </c>
      <c r="E505">
        <v>420</v>
      </c>
    </row>
    <row r="506" spans="1:5" x14ac:dyDescent="0.25">
      <c r="A506">
        <v>76</v>
      </c>
      <c r="B506">
        <v>2598</v>
      </c>
      <c r="C506" t="s">
        <v>764</v>
      </c>
      <c r="D506" t="s">
        <v>382</v>
      </c>
      <c r="E506">
        <v>420</v>
      </c>
    </row>
    <row r="507" spans="1:5" x14ac:dyDescent="0.25">
      <c r="A507">
        <v>76</v>
      </c>
      <c r="B507">
        <v>2619</v>
      </c>
      <c r="C507" t="s">
        <v>765</v>
      </c>
      <c r="D507" t="s">
        <v>215</v>
      </c>
      <c r="E507">
        <v>420</v>
      </c>
    </row>
    <row r="508" spans="1:5" x14ac:dyDescent="0.25">
      <c r="A508">
        <v>76</v>
      </c>
      <c r="B508">
        <v>2620</v>
      </c>
      <c r="C508" t="s">
        <v>766</v>
      </c>
      <c r="D508" t="s">
        <v>215</v>
      </c>
      <c r="E508">
        <v>420</v>
      </c>
    </row>
    <row r="509" spans="1:5" x14ac:dyDescent="0.25">
      <c r="A509">
        <v>76</v>
      </c>
      <c r="B509">
        <v>2627</v>
      </c>
      <c r="C509" t="s">
        <v>767</v>
      </c>
      <c r="D509" t="s">
        <v>213</v>
      </c>
      <c r="E509">
        <v>420</v>
      </c>
    </row>
    <row r="510" spans="1:5" x14ac:dyDescent="0.25">
      <c r="A510">
        <v>76</v>
      </c>
      <c r="B510">
        <v>2628</v>
      </c>
      <c r="C510" t="s">
        <v>768</v>
      </c>
      <c r="D510" t="s">
        <v>200</v>
      </c>
      <c r="E510">
        <v>420</v>
      </c>
    </row>
    <row r="511" spans="1:5" x14ac:dyDescent="0.25">
      <c r="A511">
        <v>76</v>
      </c>
      <c r="B511">
        <v>2632</v>
      </c>
      <c r="C511" t="s">
        <v>769</v>
      </c>
      <c r="D511" t="s">
        <v>235</v>
      </c>
      <c r="E511">
        <v>420</v>
      </c>
    </row>
    <row r="512" spans="1:5" x14ac:dyDescent="0.25">
      <c r="A512">
        <v>76</v>
      </c>
      <c r="B512">
        <v>2633</v>
      </c>
      <c r="C512" t="s">
        <v>770</v>
      </c>
      <c r="D512" t="s">
        <v>235</v>
      </c>
      <c r="E512">
        <v>420</v>
      </c>
    </row>
    <row r="513" spans="1:5" x14ac:dyDescent="0.25">
      <c r="A513">
        <v>76</v>
      </c>
      <c r="B513">
        <v>2634</v>
      </c>
      <c r="C513" t="s">
        <v>771</v>
      </c>
      <c r="D513" t="s">
        <v>382</v>
      </c>
      <c r="E513">
        <v>420</v>
      </c>
    </row>
    <row r="514" spans="1:5" x14ac:dyDescent="0.25">
      <c r="A514">
        <v>76</v>
      </c>
      <c r="B514">
        <v>2636</v>
      </c>
      <c r="C514" t="s">
        <v>772</v>
      </c>
      <c r="D514" t="s">
        <v>235</v>
      </c>
      <c r="E514">
        <v>420</v>
      </c>
    </row>
    <row r="515" spans="1:5" x14ac:dyDescent="0.25">
      <c r="A515">
        <v>76</v>
      </c>
      <c r="B515">
        <v>2637</v>
      </c>
      <c r="C515" t="s">
        <v>773</v>
      </c>
      <c r="D515" t="s">
        <v>235</v>
      </c>
      <c r="E515">
        <v>420</v>
      </c>
    </row>
    <row r="516" spans="1:5" x14ac:dyDescent="0.25">
      <c r="A516">
        <v>76</v>
      </c>
      <c r="B516">
        <v>2639</v>
      </c>
      <c r="C516" t="s">
        <v>774</v>
      </c>
      <c r="D516" t="s">
        <v>213</v>
      </c>
      <c r="E516">
        <v>420</v>
      </c>
    </row>
    <row r="517" spans="1:5" x14ac:dyDescent="0.25">
      <c r="A517">
        <v>76</v>
      </c>
      <c r="B517">
        <v>2667</v>
      </c>
      <c r="C517" t="s">
        <v>775</v>
      </c>
      <c r="D517" t="s">
        <v>215</v>
      </c>
      <c r="E517">
        <v>420</v>
      </c>
    </row>
    <row r="518" spans="1:5" x14ac:dyDescent="0.25">
      <c r="A518">
        <v>76</v>
      </c>
      <c r="B518">
        <v>2669</v>
      </c>
      <c r="C518" t="s">
        <v>776</v>
      </c>
      <c r="D518" t="s">
        <v>232</v>
      </c>
      <c r="E518">
        <v>420</v>
      </c>
    </row>
    <row r="519" spans="1:5" x14ac:dyDescent="0.25">
      <c r="A519">
        <v>76</v>
      </c>
      <c r="B519">
        <v>2670</v>
      </c>
      <c r="C519" t="s">
        <v>777</v>
      </c>
      <c r="D519" t="s">
        <v>338</v>
      </c>
      <c r="E519">
        <v>420</v>
      </c>
    </row>
    <row r="520" spans="1:5" x14ac:dyDescent="0.25">
      <c r="A520">
        <v>76</v>
      </c>
      <c r="B520">
        <v>2673</v>
      </c>
      <c r="C520" t="s">
        <v>778</v>
      </c>
      <c r="D520" t="s">
        <v>385</v>
      </c>
      <c r="E520">
        <v>420</v>
      </c>
    </row>
    <row r="521" spans="1:5" x14ac:dyDescent="0.25">
      <c r="A521">
        <v>76</v>
      </c>
      <c r="B521">
        <v>2677</v>
      </c>
      <c r="C521" t="s">
        <v>779</v>
      </c>
      <c r="D521" t="s">
        <v>200</v>
      </c>
      <c r="E521">
        <v>420</v>
      </c>
    </row>
    <row r="522" spans="1:5" x14ac:dyDescent="0.25">
      <c r="A522">
        <v>76</v>
      </c>
      <c r="B522">
        <v>2701</v>
      </c>
      <c r="C522" t="s">
        <v>780</v>
      </c>
      <c r="D522" t="s">
        <v>219</v>
      </c>
      <c r="E522">
        <v>420</v>
      </c>
    </row>
    <row r="523" spans="1:5" x14ac:dyDescent="0.25">
      <c r="A523">
        <v>76</v>
      </c>
      <c r="B523">
        <v>2703</v>
      </c>
      <c r="C523" t="s">
        <v>781</v>
      </c>
      <c r="D523" t="s">
        <v>219</v>
      </c>
      <c r="E523">
        <v>420</v>
      </c>
    </row>
    <row r="524" spans="1:5" x14ac:dyDescent="0.25">
      <c r="A524">
        <v>76</v>
      </c>
      <c r="B524">
        <v>2710</v>
      </c>
      <c r="C524" t="s">
        <v>782</v>
      </c>
      <c r="D524" t="s">
        <v>213</v>
      </c>
      <c r="E524">
        <v>420</v>
      </c>
    </row>
    <row r="525" spans="1:5" x14ac:dyDescent="0.25">
      <c r="A525">
        <v>76</v>
      </c>
      <c r="B525">
        <v>2718</v>
      </c>
      <c r="C525" t="s">
        <v>783</v>
      </c>
      <c r="D525" t="s">
        <v>279</v>
      </c>
      <c r="E525">
        <v>420</v>
      </c>
    </row>
    <row r="526" spans="1:5" x14ac:dyDescent="0.25">
      <c r="A526">
        <v>76</v>
      </c>
      <c r="B526">
        <v>2722</v>
      </c>
      <c r="C526" t="s">
        <v>784</v>
      </c>
      <c r="D526" t="s">
        <v>369</v>
      </c>
      <c r="E526">
        <v>420</v>
      </c>
    </row>
    <row r="527" spans="1:5" x14ac:dyDescent="0.25">
      <c r="A527">
        <v>76</v>
      </c>
      <c r="B527">
        <v>2723</v>
      </c>
      <c r="C527" t="s">
        <v>785</v>
      </c>
      <c r="D527" t="s">
        <v>382</v>
      </c>
      <c r="E527">
        <v>420</v>
      </c>
    </row>
    <row r="528" spans="1:5" x14ac:dyDescent="0.25">
      <c r="A528">
        <v>76</v>
      </c>
      <c r="B528">
        <v>2725</v>
      </c>
      <c r="C528" t="s">
        <v>786</v>
      </c>
      <c r="D528" t="s">
        <v>382</v>
      </c>
      <c r="E528">
        <v>420</v>
      </c>
    </row>
    <row r="529" spans="1:5" x14ac:dyDescent="0.25">
      <c r="A529">
        <v>76</v>
      </c>
      <c r="B529">
        <v>2727</v>
      </c>
      <c r="C529" t="s">
        <v>787</v>
      </c>
      <c r="D529" t="s">
        <v>204</v>
      </c>
      <c r="E529">
        <v>420</v>
      </c>
    </row>
    <row r="530" spans="1:5" x14ac:dyDescent="0.25">
      <c r="A530">
        <v>76</v>
      </c>
      <c r="B530">
        <v>2730</v>
      </c>
      <c r="C530" t="s">
        <v>788</v>
      </c>
      <c r="D530" t="s">
        <v>232</v>
      </c>
      <c r="E530">
        <v>420</v>
      </c>
    </row>
    <row r="531" spans="1:5" x14ac:dyDescent="0.25">
      <c r="A531">
        <v>76</v>
      </c>
      <c r="B531">
        <v>2732</v>
      </c>
      <c r="C531" t="s">
        <v>789</v>
      </c>
      <c r="D531" t="s">
        <v>232</v>
      </c>
      <c r="E531">
        <v>420</v>
      </c>
    </row>
    <row r="532" spans="1:5" x14ac:dyDescent="0.25">
      <c r="A532">
        <v>76</v>
      </c>
      <c r="B532">
        <v>2743</v>
      </c>
      <c r="C532" t="s">
        <v>790</v>
      </c>
      <c r="D532" t="s">
        <v>202</v>
      </c>
      <c r="E532">
        <v>420</v>
      </c>
    </row>
    <row r="533" spans="1:5" x14ac:dyDescent="0.25">
      <c r="A533">
        <v>76</v>
      </c>
      <c r="B533">
        <v>2790</v>
      </c>
      <c r="C533" t="s">
        <v>791</v>
      </c>
      <c r="D533" t="s">
        <v>792</v>
      </c>
      <c r="E533">
        <v>420</v>
      </c>
    </row>
    <row r="534" spans="1:5" x14ac:dyDescent="0.25">
      <c r="A534">
        <v>76</v>
      </c>
      <c r="B534">
        <v>2794</v>
      </c>
      <c r="C534" t="s">
        <v>793</v>
      </c>
      <c r="D534" t="s">
        <v>232</v>
      </c>
      <c r="E534">
        <v>420</v>
      </c>
    </row>
    <row r="535" spans="1:5" x14ac:dyDescent="0.25">
      <c r="A535">
        <v>76</v>
      </c>
      <c r="B535">
        <v>2289</v>
      </c>
      <c r="C535" t="s">
        <v>794</v>
      </c>
      <c r="D535" t="s">
        <v>232</v>
      </c>
      <c r="E535">
        <v>420</v>
      </c>
    </row>
    <row r="536" spans="1:5" x14ac:dyDescent="0.25">
      <c r="A536">
        <v>76</v>
      </c>
      <c r="B536">
        <v>2325</v>
      </c>
      <c r="C536" t="s">
        <v>795</v>
      </c>
      <c r="D536" t="s">
        <v>228</v>
      </c>
      <c r="E536">
        <v>420</v>
      </c>
    </row>
    <row r="537" spans="1:5" x14ac:dyDescent="0.25">
      <c r="A537">
        <v>76</v>
      </c>
      <c r="B537">
        <v>2348</v>
      </c>
      <c r="C537" t="s">
        <v>796</v>
      </c>
      <c r="D537" t="s">
        <v>200</v>
      </c>
      <c r="E537">
        <v>420</v>
      </c>
    </row>
    <row r="538" spans="1:5" x14ac:dyDescent="0.25">
      <c r="A538">
        <v>76</v>
      </c>
      <c r="B538">
        <v>2357</v>
      </c>
      <c r="C538" t="s">
        <v>797</v>
      </c>
      <c r="D538" t="s">
        <v>369</v>
      </c>
      <c r="E538">
        <v>420</v>
      </c>
    </row>
    <row r="539" spans="1:5" x14ac:dyDescent="0.25">
      <c r="A539">
        <v>76</v>
      </c>
      <c r="B539">
        <v>2359</v>
      </c>
      <c r="C539" t="s">
        <v>798</v>
      </c>
      <c r="D539" t="s">
        <v>369</v>
      </c>
      <c r="E539">
        <v>420</v>
      </c>
    </row>
    <row r="540" spans="1:5" x14ac:dyDescent="0.25">
      <c r="A540">
        <v>76</v>
      </c>
      <c r="B540">
        <v>2360</v>
      </c>
      <c r="C540" t="s">
        <v>799</v>
      </c>
      <c r="D540" t="s">
        <v>369</v>
      </c>
      <c r="E540">
        <v>420</v>
      </c>
    </row>
    <row r="541" spans="1:5" x14ac:dyDescent="0.25">
      <c r="A541">
        <v>76</v>
      </c>
      <c r="B541">
        <v>2362</v>
      </c>
      <c r="C541" t="s">
        <v>800</v>
      </c>
      <c r="D541" t="s">
        <v>369</v>
      </c>
      <c r="E541">
        <v>420</v>
      </c>
    </row>
    <row r="542" spans="1:5" x14ac:dyDescent="0.25">
      <c r="A542">
        <v>76</v>
      </c>
      <c r="B542">
        <v>3980</v>
      </c>
      <c r="C542" t="s">
        <v>801</v>
      </c>
      <c r="D542" t="s">
        <v>409</v>
      </c>
      <c r="E542">
        <v>420</v>
      </c>
    </row>
    <row r="543" spans="1:5" x14ac:dyDescent="0.25">
      <c r="A543">
        <v>76</v>
      </c>
      <c r="B543">
        <v>3981</v>
      </c>
      <c r="C543" t="s">
        <v>802</v>
      </c>
      <c r="D543" t="s">
        <v>371</v>
      </c>
      <c r="E543">
        <v>420</v>
      </c>
    </row>
    <row r="544" spans="1:5" x14ac:dyDescent="0.25">
      <c r="A544">
        <v>76</v>
      </c>
      <c r="B544">
        <v>3994</v>
      </c>
      <c r="C544" t="s">
        <v>803</v>
      </c>
      <c r="D544" t="s">
        <v>204</v>
      </c>
      <c r="E544">
        <v>420</v>
      </c>
    </row>
    <row r="545" spans="1:5" x14ac:dyDescent="0.25">
      <c r="A545">
        <v>76</v>
      </c>
      <c r="B545">
        <v>4036</v>
      </c>
      <c r="C545" t="s">
        <v>804</v>
      </c>
      <c r="D545" t="s">
        <v>213</v>
      </c>
      <c r="E545">
        <v>420</v>
      </c>
    </row>
    <row r="546" spans="1:5" x14ac:dyDescent="0.25">
      <c r="A546">
        <v>76</v>
      </c>
      <c r="B546">
        <v>4038</v>
      </c>
      <c r="C546" t="s">
        <v>805</v>
      </c>
      <c r="D546" t="s">
        <v>245</v>
      </c>
      <c r="E546">
        <v>420</v>
      </c>
    </row>
    <row r="547" spans="1:5" x14ac:dyDescent="0.25">
      <c r="A547">
        <v>76</v>
      </c>
      <c r="B547">
        <v>4040</v>
      </c>
      <c r="C547" t="s">
        <v>806</v>
      </c>
      <c r="D547" t="s">
        <v>215</v>
      </c>
      <c r="E547">
        <v>420</v>
      </c>
    </row>
    <row r="548" spans="1:5" x14ac:dyDescent="0.25">
      <c r="A548">
        <v>76</v>
      </c>
      <c r="B548">
        <v>4059</v>
      </c>
      <c r="C548" t="s">
        <v>807</v>
      </c>
      <c r="D548" t="s">
        <v>235</v>
      </c>
      <c r="E548">
        <v>420</v>
      </c>
    </row>
    <row r="549" spans="1:5" x14ac:dyDescent="0.25">
      <c r="A549">
        <v>76</v>
      </c>
      <c r="B549">
        <v>4062</v>
      </c>
      <c r="C549" t="s">
        <v>808</v>
      </c>
      <c r="D549" t="s">
        <v>809</v>
      </c>
      <c r="E549">
        <v>420</v>
      </c>
    </row>
    <row r="550" spans="1:5" x14ac:dyDescent="0.25">
      <c r="A550">
        <v>76</v>
      </c>
      <c r="B550">
        <v>4069</v>
      </c>
      <c r="C550" t="s">
        <v>810</v>
      </c>
      <c r="D550" t="s">
        <v>215</v>
      </c>
      <c r="E550">
        <v>420</v>
      </c>
    </row>
    <row r="551" spans="1:5" x14ac:dyDescent="0.25">
      <c r="A551">
        <v>76</v>
      </c>
      <c r="B551">
        <v>4070</v>
      </c>
      <c r="C551" t="s">
        <v>811</v>
      </c>
      <c r="D551" t="s">
        <v>260</v>
      </c>
      <c r="E551">
        <v>420</v>
      </c>
    </row>
    <row r="552" spans="1:5" x14ac:dyDescent="0.25">
      <c r="A552">
        <v>76</v>
      </c>
      <c r="B552">
        <v>4075</v>
      </c>
      <c r="C552" t="s">
        <v>812</v>
      </c>
      <c r="D552" t="s">
        <v>813</v>
      </c>
      <c r="E552">
        <v>420</v>
      </c>
    </row>
    <row r="553" spans="1:5" x14ac:dyDescent="0.25">
      <c r="A553">
        <v>76</v>
      </c>
      <c r="B553">
        <v>4108</v>
      </c>
      <c r="C553" t="s">
        <v>814</v>
      </c>
      <c r="D553" t="s">
        <v>815</v>
      </c>
      <c r="E553">
        <v>420</v>
      </c>
    </row>
    <row r="554" spans="1:5" x14ac:dyDescent="0.25">
      <c r="A554">
        <v>76</v>
      </c>
      <c r="B554">
        <v>4146</v>
      </c>
      <c r="C554" t="s">
        <v>816</v>
      </c>
      <c r="D554" t="s">
        <v>213</v>
      </c>
      <c r="E554">
        <v>420</v>
      </c>
    </row>
    <row r="555" spans="1:5" x14ac:dyDescent="0.25">
      <c r="A555">
        <v>76</v>
      </c>
      <c r="B555">
        <v>4147</v>
      </c>
      <c r="C555" t="s">
        <v>817</v>
      </c>
      <c r="D555" t="s">
        <v>235</v>
      </c>
      <c r="E555">
        <v>420</v>
      </c>
    </row>
    <row r="556" spans="1:5" x14ac:dyDescent="0.25">
      <c r="A556">
        <v>76</v>
      </c>
      <c r="B556">
        <v>4148</v>
      </c>
      <c r="C556" t="s">
        <v>818</v>
      </c>
      <c r="D556" t="s">
        <v>819</v>
      </c>
      <c r="E556">
        <v>420</v>
      </c>
    </row>
    <row r="557" spans="1:5" x14ac:dyDescent="0.25">
      <c r="A557">
        <v>76</v>
      </c>
      <c r="B557">
        <v>4193</v>
      </c>
      <c r="C557" t="s">
        <v>820</v>
      </c>
      <c r="D557" t="s">
        <v>209</v>
      </c>
      <c r="E557">
        <v>420</v>
      </c>
    </row>
    <row r="558" spans="1:5" x14ac:dyDescent="0.25">
      <c r="A558">
        <v>76</v>
      </c>
      <c r="B558">
        <v>4207</v>
      </c>
      <c r="C558" t="s">
        <v>821</v>
      </c>
      <c r="D558" t="s">
        <v>235</v>
      </c>
      <c r="E558">
        <v>420</v>
      </c>
    </row>
    <row r="559" spans="1:5" x14ac:dyDescent="0.25">
      <c r="A559">
        <v>76</v>
      </c>
      <c r="B559">
        <v>4216</v>
      </c>
      <c r="C559" t="s">
        <v>822</v>
      </c>
      <c r="D559" t="s">
        <v>213</v>
      </c>
      <c r="E559">
        <v>420</v>
      </c>
    </row>
    <row r="560" spans="1:5" x14ac:dyDescent="0.25">
      <c r="A560">
        <v>76</v>
      </c>
      <c r="B560">
        <v>4238</v>
      </c>
      <c r="C560" t="s">
        <v>823</v>
      </c>
      <c r="D560" t="s">
        <v>245</v>
      </c>
      <c r="E560">
        <v>420</v>
      </c>
    </row>
    <row r="561" spans="1:5" x14ac:dyDescent="0.25">
      <c r="A561">
        <v>76</v>
      </c>
      <c r="B561">
        <v>4253</v>
      </c>
      <c r="C561" t="s">
        <v>824</v>
      </c>
      <c r="D561" t="s">
        <v>291</v>
      </c>
      <c r="E561">
        <v>420</v>
      </c>
    </row>
    <row r="562" spans="1:5" x14ac:dyDescent="0.25">
      <c r="A562">
        <v>76</v>
      </c>
      <c r="B562">
        <v>4255</v>
      </c>
      <c r="C562" t="s">
        <v>825</v>
      </c>
      <c r="D562" t="s">
        <v>291</v>
      </c>
      <c r="E562">
        <v>420</v>
      </c>
    </row>
    <row r="563" spans="1:5" x14ac:dyDescent="0.25">
      <c r="A563">
        <v>76</v>
      </c>
      <c r="B563">
        <v>4266</v>
      </c>
      <c r="C563" t="s">
        <v>826</v>
      </c>
      <c r="D563" t="s">
        <v>200</v>
      </c>
      <c r="E563">
        <v>420</v>
      </c>
    </row>
    <row r="564" spans="1:5" x14ac:dyDescent="0.25">
      <c r="A564">
        <v>76</v>
      </c>
      <c r="B564">
        <v>4269</v>
      </c>
      <c r="C564" t="s">
        <v>827</v>
      </c>
      <c r="D564" t="s">
        <v>809</v>
      </c>
      <c r="E564">
        <v>420</v>
      </c>
    </row>
    <row r="565" spans="1:5" x14ac:dyDescent="0.25">
      <c r="A565">
        <v>76</v>
      </c>
      <c r="B565">
        <v>4291</v>
      </c>
      <c r="C565" t="s">
        <v>828</v>
      </c>
      <c r="D565" t="s">
        <v>228</v>
      </c>
      <c r="E565">
        <v>420</v>
      </c>
    </row>
    <row r="566" spans="1:5" x14ac:dyDescent="0.25">
      <c r="A566">
        <v>76</v>
      </c>
      <c r="B566">
        <v>4341</v>
      </c>
      <c r="C566" t="s">
        <v>829</v>
      </c>
      <c r="D566" t="s">
        <v>385</v>
      </c>
      <c r="E566">
        <v>420</v>
      </c>
    </row>
    <row r="567" spans="1:5" x14ac:dyDescent="0.25">
      <c r="A567">
        <v>76</v>
      </c>
      <c r="B567">
        <v>286</v>
      </c>
      <c r="C567" t="s">
        <v>830</v>
      </c>
      <c r="D567" t="s">
        <v>211</v>
      </c>
      <c r="E567">
        <v>420</v>
      </c>
    </row>
    <row r="568" spans="1:5" x14ac:dyDescent="0.25">
      <c r="A568">
        <v>76</v>
      </c>
      <c r="B568">
        <v>295</v>
      </c>
      <c r="C568" t="s">
        <v>831</v>
      </c>
      <c r="D568" t="s">
        <v>200</v>
      </c>
      <c r="E568">
        <v>420</v>
      </c>
    </row>
    <row r="569" spans="1:5" x14ac:dyDescent="0.25">
      <c r="A569">
        <v>76</v>
      </c>
      <c r="B569">
        <v>622</v>
      </c>
      <c r="C569" t="s">
        <v>832</v>
      </c>
      <c r="D569" t="s">
        <v>338</v>
      </c>
      <c r="E569">
        <v>420</v>
      </c>
    </row>
    <row r="570" spans="1:5" x14ac:dyDescent="0.25">
      <c r="A570">
        <v>76</v>
      </c>
      <c r="B570">
        <v>788</v>
      </c>
      <c r="C570" t="s">
        <v>833</v>
      </c>
      <c r="D570" t="s">
        <v>211</v>
      </c>
      <c r="E570">
        <v>420</v>
      </c>
    </row>
    <row r="571" spans="1:5" x14ac:dyDescent="0.25">
      <c r="A571">
        <v>76</v>
      </c>
      <c r="B571">
        <v>1958</v>
      </c>
      <c r="C571" t="s">
        <v>834</v>
      </c>
      <c r="D571" t="s">
        <v>382</v>
      </c>
      <c r="E571">
        <v>420</v>
      </c>
    </row>
    <row r="572" spans="1:5" x14ac:dyDescent="0.25">
      <c r="A572">
        <v>76</v>
      </c>
      <c r="B572">
        <v>2045</v>
      </c>
      <c r="C572" t="s">
        <v>835</v>
      </c>
      <c r="D572" t="s">
        <v>279</v>
      </c>
      <c r="E572">
        <v>420</v>
      </c>
    </row>
    <row r="573" spans="1:5" x14ac:dyDescent="0.25">
      <c r="A573">
        <v>76</v>
      </c>
      <c r="B573">
        <v>2152</v>
      </c>
      <c r="C573" t="s">
        <v>836</v>
      </c>
      <c r="D573" t="s">
        <v>630</v>
      </c>
      <c r="E573">
        <v>420</v>
      </c>
    </row>
    <row r="574" spans="1:5" x14ac:dyDescent="0.25">
      <c r="A574">
        <v>76</v>
      </c>
      <c r="B574">
        <v>2159</v>
      </c>
      <c r="C574" t="s">
        <v>837</v>
      </c>
      <c r="D574" t="s">
        <v>385</v>
      </c>
      <c r="E574">
        <v>420</v>
      </c>
    </row>
    <row r="575" spans="1:5" x14ac:dyDescent="0.25">
      <c r="A575">
        <v>76</v>
      </c>
      <c r="B575">
        <v>2256</v>
      </c>
      <c r="C575" t="s">
        <v>838</v>
      </c>
      <c r="D575" t="s">
        <v>235</v>
      </c>
      <c r="E575">
        <v>420</v>
      </c>
    </row>
    <row r="576" spans="1:5" x14ac:dyDescent="0.25">
      <c r="A576">
        <v>76</v>
      </c>
      <c r="B576">
        <v>2317</v>
      </c>
      <c r="C576" t="s">
        <v>839</v>
      </c>
      <c r="D576" t="s">
        <v>213</v>
      </c>
      <c r="E576">
        <v>420</v>
      </c>
    </row>
    <row r="577" spans="1:5" x14ac:dyDescent="0.25">
      <c r="A577">
        <v>76</v>
      </c>
      <c r="B577">
        <v>2358</v>
      </c>
      <c r="C577" t="s">
        <v>840</v>
      </c>
      <c r="D577" t="s">
        <v>369</v>
      </c>
      <c r="E577">
        <v>420</v>
      </c>
    </row>
    <row r="578" spans="1:5" x14ac:dyDescent="0.25">
      <c r="A578">
        <v>76</v>
      </c>
      <c r="B578">
        <v>2365</v>
      </c>
      <c r="C578" t="s">
        <v>841</v>
      </c>
      <c r="D578" t="s">
        <v>369</v>
      </c>
      <c r="E578">
        <v>420</v>
      </c>
    </row>
    <row r="579" spans="1:5" x14ac:dyDescent="0.25">
      <c r="A579">
        <v>76</v>
      </c>
      <c r="B579">
        <v>2377</v>
      </c>
      <c r="C579" t="s">
        <v>842</v>
      </c>
      <c r="D579" t="s">
        <v>369</v>
      </c>
      <c r="E579">
        <v>420</v>
      </c>
    </row>
    <row r="580" spans="1:5" x14ac:dyDescent="0.25">
      <c r="A580">
        <v>76</v>
      </c>
      <c r="B580">
        <v>2417</v>
      </c>
      <c r="C580" t="s">
        <v>843</v>
      </c>
      <c r="D580" t="s">
        <v>385</v>
      </c>
      <c r="E580">
        <v>420</v>
      </c>
    </row>
    <row r="581" spans="1:5" x14ac:dyDescent="0.25">
      <c r="A581">
        <v>76</v>
      </c>
      <c r="B581">
        <v>2451</v>
      </c>
      <c r="C581" t="s">
        <v>844</v>
      </c>
      <c r="D581" t="s">
        <v>213</v>
      </c>
      <c r="E581">
        <v>420</v>
      </c>
    </row>
    <row r="582" spans="1:5" x14ac:dyDescent="0.25">
      <c r="A582">
        <v>76</v>
      </c>
      <c r="B582">
        <v>3112</v>
      </c>
      <c r="C582" t="s">
        <v>845</v>
      </c>
      <c r="D582" t="s">
        <v>211</v>
      </c>
      <c r="E582">
        <v>420</v>
      </c>
    </row>
    <row r="583" spans="1:5" x14ac:dyDescent="0.25">
      <c r="A583">
        <v>76</v>
      </c>
      <c r="B583">
        <v>2517</v>
      </c>
      <c r="C583" t="s">
        <v>846</v>
      </c>
      <c r="D583" t="s">
        <v>211</v>
      </c>
      <c r="E583">
        <v>420</v>
      </c>
    </row>
    <row r="584" spans="1:5" x14ac:dyDescent="0.25">
      <c r="A584">
        <v>76</v>
      </c>
      <c r="B584">
        <v>2572</v>
      </c>
      <c r="C584" t="s">
        <v>847</v>
      </c>
      <c r="D584" t="s">
        <v>209</v>
      </c>
      <c r="E584">
        <v>420</v>
      </c>
    </row>
    <row r="585" spans="1:5" x14ac:dyDescent="0.25">
      <c r="A585">
        <v>76</v>
      </c>
      <c r="B585">
        <v>2614</v>
      </c>
      <c r="C585" t="s">
        <v>848</v>
      </c>
      <c r="D585" t="s">
        <v>228</v>
      </c>
      <c r="E585">
        <v>420</v>
      </c>
    </row>
    <row r="586" spans="1:5" x14ac:dyDescent="0.25">
      <c r="A586">
        <v>76</v>
      </c>
      <c r="B586">
        <v>2629</v>
      </c>
      <c r="C586" t="s">
        <v>849</v>
      </c>
      <c r="D586" t="s">
        <v>211</v>
      </c>
      <c r="E586">
        <v>420</v>
      </c>
    </row>
    <row r="587" spans="1:5" x14ac:dyDescent="0.25">
      <c r="A587">
        <v>76</v>
      </c>
      <c r="B587">
        <v>2668</v>
      </c>
      <c r="C587" t="s">
        <v>850</v>
      </c>
      <c r="D587" t="s">
        <v>338</v>
      </c>
      <c r="E587">
        <v>420</v>
      </c>
    </row>
    <row r="588" spans="1:5" x14ac:dyDescent="0.25">
      <c r="A588">
        <v>76</v>
      </c>
      <c r="B588">
        <v>2676</v>
      </c>
      <c r="C588" t="s">
        <v>851</v>
      </c>
      <c r="D588" t="s">
        <v>323</v>
      </c>
      <c r="E588">
        <v>420</v>
      </c>
    </row>
    <row r="589" spans="1:5" x14ac:dyDescent="0.25">
      <c r="A589">
        <v>76</v>
      </c>
      <c r="B589">
        <v>2709</v>
      </c>
      <c r="C589" t="s">
        <v>852</v>
      </c>
      <c r="D589" t="s">
        <v>213</v>
      </c>
      <c r="E589">
        <v>420</v>
      </c>
    </row>
    <row r="590" spans="1:5" x14ac:dyDescent="0.25">
      <c r="A590">
        <v>76</v>
      </c>
      <c r="B590">
        <v>2724</v>
      </c>
      <c r="C590" t="s">
        <v>853</v>
      </c>
      <c r="D590" t="s">
        <v>204</v>
      </c>
      <c r="E590">
        <v>420</v>
      </c>
    </row>
    <row r="591" spans="1:5" x14ac:dyDescent="0.25">
      <c r="A591">
        <v>76</v>
      </c>
      <c r="B591">
        <v>2734</v>
      </c>
      <c r="C591" t="s">
        <v>854</v>
      </c>
      <c r="D591" t="s">
        <v>211</v>
      </c>
      <c r="E591">
        <v>420</v>
      </c>
    </row>
    <row r="592" spans="1:5" x14ac:dyDescent="0.25">
      <c r="A592">
        <v>76</v>
      </c>
      <c r="B592">
        <v>2795</v>
      </c>
      <c r="C592" t="s">
        <v>855</v>
      </c>
      <c r="D592" t="s">
        <v>232</v>
      </c>
      <c r="E592">
        <v>420</v>
      </c>
    </row>
    <row r="593" spans="1:5" x14ac:dyDescent="0.25">
      <c r="A593">
        <v>76</v>
      </c>
      <c r="B593">
        <v>3661</v>
      </c>
      <c r="C593" t="s">
        <v>856</v>
      </c>
      <c r="D593" t="s">
        <v>232</v>
      </c>
      <c r="E593">
        <v>420</v>
      </c>
    </row>
    <row r="594" spans="1:5" x14ac:dyDescent="0.25">
      <c r="A594">
        <v>76</v>
      </c>
      <c r="B594">
        <v>3662</v>
      </c>
      <c r="C594" t="s">
        <v>857</v>
      </c>
      <c r="D594" t="s">
        <v>213</v>
      </c>
      <c r="E594">
        <v>420</v>
      </c>
    </row>
    <row r="595" spans="1:5" x14ac:dyDescent="0.25">
      <c r="A595">
        <v>76</v>
      </c>
      <c r="B595">
        <v>3663</v>
      </c>
      <c r="C595" t="s">
        <v>858</v>
      </c>
      <c r="D595" t="s">
        <v>232</v>
      </c>
      <c r="E595">
        <v>420</v>
      </c>
    </row>
    <row r="596" spans="1:5" x14ac:dyDescent="0.25">
      <c r="A596">
        <v>76</v>
      </c>
      <c r="B596">
        <v>3664</v>
      </c>
      <c r="C596" t="s">
        <v>859</v>
      </c>
      <c r="D596" t="s">
        <v>228</v>
      </c>
      <c r="E596">
        <v>420</v>
      </c>
    </row>
    <row r="597" spans="1:5" x14ac:dyDescent="0.25">
      <c r="A597">
        <v>76</v>
      </c>
      <c r="B597">
        <v>3668</v>
      </c>
      <c r="C597" t="s">
        <v>860</v>
      </c>
      <c r="D597" t="s">
        <v>228</v>
      </c>
      <c r="E597">
        <v>420</v>
      </c>
    </row>
    <row r="598" spans="1:5" x14ac:dyDescent="0.25">
      <c r="A598">
        <v>76</v>
      </c>
      <c r="B598">
        <v>3669</v>
      </c>
      <c r="C598" t="s">
        <v>861</v>
      </c>
      <c r="D598" t="s">
        <v>862</v>
      </c>
      <c r="E598">
        <v>420</v>
      </c>
    </row>
    <row r="599" spans="1:5" x14ac:dyDescent="0.25">
      <c r="A599">
        <v>76</v>
      </c>
      <c r="B599">
        <v>3674</v>
      </c>
      <c r="C599" t="s">
        <v>863</v>
      </c>
      <c r="D599" t="s">
        <v>200</v>
      </c>
      <c r="E599">
        <v>420</v>
      </c>
    </row>
    <row r="600" spans="1:5" x14ac:dyDescent="0.25">
      <c r="A600">
        <v>76</v>
      </c>
      <c r="B600">
        <v>3678</v>
      </c>
      <c r="C600" t="s">
        <v>864</v>
      </c>
      <c r="D600" t="s">
        <v>338</v>
      </c>
      <c r="E600">
        <v>420</v>
      </c>
    </row>
    <row r="601" spans="1:5" x14ac:dyDescent="0.25">
      <c r="A601">
        <v>76</v>
      </c>
      <c r="B601">
        <v>3679</v>
      </c>
      <c r="C601" t="s">
        <v>865</v>
      </c>
      <c r="D601" t="s">
        <v>338</v>
      </c>
      <c r="E601">
        <v>420</v>
      </c>
    </row>
    <row r="602" spans="1:5" x14ac:dyDescent="0.25">
      <c r="A602">
        <v>76</v>
      </c>
      <c r="B602">
        <v>3682</v>
      </c>
      <c r="C602" t="s">
        <v>866</v>
      </c>
      <c r="D602" t="s">
        <v>338</v>
      </c>
      <c r="E602">
        <v>420</v>
      </c>
    </row>
    <row r="603" spans="1:5" x14ac:dyDescent="0.25">
      <c r="A603">
        <v>76</v>
      </c>
      <c r="B603">
        <v>3684</v>
      </c>
      <c r="C603" t="s">
        <v>867</v>
      </c>
      <c r="D603" t="s">
        <v>338</v>
      </c>
      <c r="E603">
        <v>420</v>
      </c>
    </row>
    <row r="604" spans="1:5" x14ac:dyDescent="0.25">
      <c r="A604">
        <v>76</v>
      </c>
      <c r="B604">
        <v>3685</v>
      </c>
      <c r="C604" t="s">
        <v>868</v>
      </c>
      <c r="D604" t="s">
        <v>371</v>
      </c>
      <c r="E604">
        <v>420</v>
      </c>
    </row>
    <row r="605" spans="1:5" x14ac:dyDescent="0.25">
      <c r="A605">
        <v>76</v>
      </c>
      <c r="B605">
        <v>3686</v>
      </c>
      <c r="C605" t="s">
        <v>869</v>
      </c>
      <c r="D605" t="s">
        <v>323</v>
      </c>
      <c r="E605">
        <v>420</v>
      </c>
    </row>
    <row r="606" spans="1:5" x14ac:dyDescent="0.25">
      <c r="A606">
        <v>76</v>
      </c>
      <c r="B606">
        <v>3699</v>
      </c>
      <c r="C606" t="s">
        <v>870</v>
      </c>
      <c r="D606" t="s">
        <v>260</v>
      </c>
      <c r="E606">
        <v>420</v>
      </c>
    </row>
    <row r="607" spans="1:5" x14ac:dyDescent="0.25">
      <c r="A607">
        <v>76</v>
      </c>
      <c r="B607">
        <v>3700</v>
      </c>
      <c r="C607" t="s">
        <v>871</v>
      </c>
      <c r="D607" t="s">
        <v>260</v>
      </c>
      <c r="E607">
        <v>420</v>
      </c>
    </row>
    <row r="608" spans="1:5" x14ac:dyDescent="0.25">
      <c r="A608">
        <v>76</v>
      </c>
      <c r="B608">
        <v>3701</v>
      </c>
      <c r="C608" t="s">
        <v>872</v>
      </c>
      <c r="D608" t="s">
        <v>385</v>
      </c>
      <c r="E608">
        <v>420</v>
      </c>
    </row>
    <row r="609" spans="1:5" x14ac:dyDescent="0.25">
      <c r="A609">
        <v>76</v>
      </c>
      <c r="B609">
        <v>3703</v>
      </c>
      <c r="C609" t="s">
        <v>873</v>
      </c>
      <c r="D609" t="s">
        <v>260</v>
      </c>
      <c r="E609">
        <v>420</v>
      </c>
    </row>
    <row r="610" spans="1:5" x14ac:dyDescent="0.25">
      <c r="A610">
        <v>76</v>
      </c>
      <c r="B610">
        <v>3708</v>
      </c>
      <c r="C610" t="s">
        <v>874</v>
      </c>
      <c r="D610" t="s">
        <v>245</v>
      </c>
      <c r="E610">
        <v>420</v>
      </c>
    </row>
    <row r="611" spans="1:5" x14ac:dyDescent="0.25">
      <c r="A611">
        <v>76</v>
      </c>
      <c r="B611">
        <v>3710</v>
      </c>
      <c r="C611" t="s">
        <v>875</v>
      </c>
      <c r="D611" t="s">
        <v>245</v>
      </c>
      <c r="E611">
        <v>420</v>
      </c>
    </row>
    <row r="612" spans="1:5" x14ac:dyDescent="0.25">
      <c r="A612">
        <v>76</v>
      </c>
      <c r="B612">
        <v>3714</v>
      </c>
      <c r="C612" t="s">
        <v>876</v>
      </c>
      <c r="D612" t="s">
        <v>232</v>
      </c>
      <c r="E612">
        <v>420</v>
      </c>
    </row>
    <row r="613" spans="1:5" x14ac:dyDescent="0.25">
      <c r="A613">
        <v>76</v>
      </c>
      <c r="B613">
        <v>3718</v>
      </c>
      <c r="C613" t="s">
        <v>877</v>
      </c>
      <c r="D613" t="s">
        <v>211</v>
      </c>
      <c r="E613">
        <v>420</v>
      </c>
    </row>
    <row r="614" spans="1:5" x14ac:dyDescent="0.25">
      <c r="A614">
        <v>76</v>
      </c>
      <c r="B614">
        <v>3723</v>
      </c>
      <c r="C614" t="s">
        <v>878</v>
      </c>
      <c r="D614" t="s">
        <v>323</v>
      </c>
      <c r="E614">
        <v>420</v>
      </c>
    </row>
    <row r="615" spans="1:5" x14ac:dyDescent="0.25">
      <c r="A615">
        <v>76</v>
      </c>
      <c r="B615">
        <v>3728</v>
      </c>
      <c r="C615" t="s">
        <v>879</v>
      </c>
      <c r="D615" t="s">
        <v>260</v>
      </c>
      <c r="E615">
        <v>420</v>
      </c>
    </row>
    <row r="616" spans="1:5" x14ac:dyDescent="0.25">
      <c r="A616">
        <v>76</v>
      </c>
      <c r="B616">
        <v>3733</v>
      </c>
      <c r="C616" t="s">
        <v>880</v>
      </c>
      <c r="D616" t="s">
        <v>382</v>
      </c>
      <c r="E616">
        <v>420</v>
      </c>
    </row>
    <row r="617" spans="1:5" x14ac:dyDescent="0.25">
      <c r="A617">
        <v>76</v>
      </c>
      <c r="B617">
        <v>3735</v>
      </c>
      <c r="C617" t="s">
        <v>881</v>
      </c>
      <c r="D617" t="s">
        <v>382</v>
      </c>
      <c r="E617">
        <v>420</v>
      </c>
    </row>
    <row r="618" spans="1:5" x14ac:dyDescent="0.25">
      <c r="A618">
        <v>76</v>
      </c>
      <c r="B618">
        <v>3736</v>
      </c>
      <c r="C618" t="s">
        <v>882</v>
      </c>
      <c r="D618" t="s">
        <v>385</v>
      </c>
      <c r="E618">
        <v>420</v>
      </c>
    </row>
    <row r="619" spans="1:5" x14ac:dyDescent="0.25">
      <c r="A619">
        <v>76</v>
      </c>
      <c r="B619">
        <v>3737</v>
      </c>
      <c r="C619" t="s">
        <v>883</v>
      </c>
      <c r="D619" t="s">
        <v>385</v>
      </c>
      <c r="E619">
        <v>420</v>
      </c>
    </row>
    <row r="620" spans="1:5" x14ac:dyDescent="0.25">
      <c r="A620">
        <v>76</v>
      </c>
      <c r="B620">
        <v>3738</v>
      </c>
      <c r="C620" t="s">
        <v>884</v>
      </c>
      <c r="D620" t="s">
        <v>385</v>
      </c>
      <c r="E620">
        <v>420</v>
      </c>
    </row>
    <row r="621" spans="1:5" x14ac:dyDescent="0.25">
      <c r="A621">
        <v>76</v>
      </c>
      <c r="B621">
        <v>3739</v>
      </c>
      <c r="C621" t="s">
        <v>885</v>
      </c>
      <c r="D621" t="s">
        <v>385</v>
      </c>
      <c r="E621">
        <v>420</v>
      </c>
    </row>
    <row r="622" spans="1:5" x14ac:dyDescent="0.25">
      <c r="A622">
        <v>76</v>
      </c>
      <c r="B622">
        <v>3741</v>
      </c>
      <c r="C622" t="s">
        <v>886</v>
      </c>
      <c r="D622" t="s">
        <v>385</v>
      </c>
      <c r="E622">
        <v>420</v>
      </c>
    </row>
    <row r="623" spans="1:5" x14ac:dyDescent="0.25">
      <c r="A623">
        <v>76</v>
      </c>
      <c r="B623">
        <v>3742</v>
      </c>
      <c r="C623" t="s">
        <v>887</v>
      </c>
      <c r="D623" t="s">
        <v>396</v>
      </c>
      <c r="E623">
        <v>420</v>
      </c>
    </row>
    <row r="624" spans="1:5" x14ac:dyDescent="0.25">
      <c r="A624">
        <v>76</v>
      </c>
      <c r="B624">
        <v>3744</v>
      </c>
      <c r="C624" t="s">
        <v>888</v>
      </c>
      <c r="D624" t="s">
        <v>396</v>
      </c>
      <c r="E624">
        <v>420</v>
      </c>
    </row>
    <row r="625" spans="1:5" x14ac:dyDescent="0.25">
      <c r="A625">
        <v>76</v>
      </c>
      <c r="B625">
        <v>3746</v>
      </c>
      <c r="C625" t="s">
        <v>889</v>
      </c>
      <c r="D625" t="s">
        <v>200</v>
      </c>
      <c r="E625">
        <v>420</v>
      </c>
    </row>
    <row r="626" spans="1:5" x14ac:dyDescent="0.25">
      <c r="A626">
        <v>76</v>
      </c>
      <c r="B626">
        <v>3749</v>
      </c>
      <c r="C626" t="s">
        <v>890</v>
      </c>
      <c r="D626" t="s">
        <v>245</v>
      </c>
      <c r="E626">
        <v>420</v>
      </c>
    </row>
    <row r="627" spans="1:5" x14ac:dyDescent="0.25">
      <c r="A627">
        <v>76</v>
      </c>
      <c r="B627">
        <v>3796</v>
      </c>
      <c r="C627" t="s">
        <v>891</v>
      </c>
      <c r="D627" t="s">
        <v>382</v>
      </c>
      <c r="E627">
        <v>420</v>
      </c>
    </row>
    <row r="628" spans="1:5" x14ac:dyDescent="0.25">
      <c r="A628">
        <v>76</v>
      </c>
      <c r="B628">
        <v>3797</v>
      </c>
      <c r="C628" t="s">
        <v>892</v>
      </c>
      <c r="D628" t="s">
        <v>228</v>
      </c>
      <c r="E628">
        <v>420</v>
      </c>
    </row>
    <row r="629" spans="1:5" x14ac:dyDescent="0.25">
      <c r="A629">
        <v>76</v>
      </c>
      <c r="B629">
        <v>3798</v>
      </c>
      <c r="C629" t="s">
        <v>893</v>
      </c>
      <c r="D629" t="s">
        <v>228</v>
      </c>
      <c r="E629">
        <v>420</v>
      </c>
    </row>
    <row r="630" spans="1:5" x14ac:dyDescent="0.25">
      <c r="A630">
        <v>76</v>
      </c>
      <c r="B630">
        <v>3811</v>
      </c>
      <c r="C630" t="s">
        <v>894</v>
      </c>
      <c r="D630" t="s">
        <v>371</v>
      </c>
      <c r="E630">
        <v>420</v>
      </c>
    </row>
    <row r="631" spans="1:5" x14ac:dyDescent="0.25">
      <c r="A631">
        <v>76</v>
      </c>
      <c r="B631">
        <v>3845</v>
      </c>
      <c r="C631" t="s">
        <v>895</v>
      </c>
      <c r="D631" t="s">
        <v>279</v>
      </c>
      <c r="E631">
        <v>420</v>
      </c>
    </row>
    <row r="632" spans="1:5" x14ac:dyDescent="0.25">
      <c r="A632">
        <v>76</v>
      </c>
      <c r="B632">
        <v>3873</v>
      </c>
      <c r="C632" t="s">
        <v>896</v>
      </c>
      <c r="D632" t="s">
        <v>235</v>
      </c>
      <c r="E632">
        <v>420</v>
      </c>
    </row>
    <row r="633" spans="1:5" x14ac:dyDescent="0.25">
      <c r="A633">
        <v>76</v>
      </c>
      <c r="B633">
        <v>3874</v>
      </c>
      <c r="C633" t="s">
        <v>897</v>
      </c>
      <c r="D633" t="s">
        <v>235</v>
      </c>
      <c r="E633">
        <v>420</v>
      </c>
    </row>
    <row r="634" spans="1:5" x14ac:dyDescent="0.25">
      <c r="A634">
        <v>76</v>
      </c>
      <c r="B634">
        <v>3878</v>
      </c>
      <c r="C634" t="s">
        <v>898</v>
      </c>
      <c r="D634" t="s">
        <v>204</v>
      </c>
      <c r="E634">
        <v>420</v>
      </c>
    </row>
    <row r="635" spans="1:5" x14ac:dyDescent="0.25">
      <c r="A635">
        <v>76</v>
      </c>
      <c r="B635">
        <v>3879</v>
      </c>
      <c r="C635" t="s">
        <v>899</v>
      </c>
      <c r="D635" t="s">
        <v>204</v>
      </c>
      <c r="E635">
        <v>420</v>
      </c>
    </row>
    <row r="636" spans="1:5" x14ac:dyDescent="0.25">
      <c r="A636">
        <v>76</v>
      </c>
      <c r="B636">
        <v>3882</v>
      </c>
      <c r="C636" t="s">
        <v>900</v>
      </c>
      <c r="D636" t="s">
        <v>385</v>
      </c>
      <c r="E636">
        <v>420</v>
      </c>
    </row>
    <row r="637" spans="1:5" x14ac:dyDescent="0.25">
      <c r="A637">
        <v>76</v>
      </c>
      <c r="B637">
        <v>3883</v>
      </c>
      <c r="C637" t="s">
        <v>901</v>
      </c>
      <c r="D637" t="s">
        <v>323</v>
      </c>
      <c r="E637">
        <v>420</v>
      </c>
    </row>
    <row r="638" spans="1:5" x14ac:dyDescent="0.25">
      <c r="A638">
        <v>76</v>
      </c>
      <c r="B638">
        <v>3892</v>
      </c>
      <c r="C638" t="s">
        <v>902</v>
      </c>
      <c r="D638" t="s">
        <v>235</v>
      </c>
      <c r="E638">
        <v>420</v>
      </c>
    </row>
    <row r="639" spans="1:5" x14ac:dyDescent="0.25">
      <c r="A639">
        <v>76</v>
      </c>
      <c r="B639">
        <v>3894</v>
      </c>
      <c r="C639" t="s">
        <v>903</v>
      </c>
      <c r="D639" t="s">
        <v>371</v>
      </c>
      <c r="E639">
        <v>420</v>
      </c>
    </row>
    <row r="640" spans="1:5" x14ac:dyDescent="0.25">
      <c r="A640">
        <v>76</v>
      </c>
      <c r="B640">
        <v>3897</v>
      </c>
      <c r="C640" t="s">
        <v>904</v>
      </c>
      <c r="D640" t="s">
        <v>215</v>
      </c>
      <c r="E640">
        <v>420</v>
      </c>
    </row>
    <row r="641" spans="1:5" x14ac:dyDescent="0.25">
      <c r="A641">
        <v>76</v>
      </c>
      <c r="B641">
        <v>3899</v>
      </c>
      <c r="C641" t="s">
        <v>905</v>
      </c>
      <c r="D641" t="s">
        <v>323</v>
      </c>
      <c r="E641">
        <v>420</v>
      </c>
    </row>
    <row r="642" spans="1:5" x14ac:dyDescent="0.25">
      <c r="A642">
        <v>76</v>
      </c>
      <c r="B642">
        <v>3904</v>
      </c>
      <c r="C642" t="s">
        <v>906</v>
      </c>
      <c r="D642" t="s">
        <v>347</v>
      </c>
      <c r="E642">
        <v>420</v>
      </c>
    </row>
    <row r="643" spans="1:5" x14ac:dyDescent="0.25">
      <c r="A643">
        <v>76</v>
      </c>
      <c r="B643">
        <v>3943</v>
      </c>
      <c r="C643" t="s">
        <v>907</v>
      </c>
      <c r="D643" t="s">
        <v>279</v>
      </c>
      <c r="E643">
        <v>420</v>
      </c>
    </row>
    <row r="644" spans="1:5" x14ac:dyDescent="0.25">
      <c r="A644">
        <v>76</v>
      </c>
      <c r="B644">
        <v>3946</v>
      </c>
      <c r="C644" t="s">
        <v>908</v>
      </c>
      <c r="D644" t="s">
        <v>323</v>
      </c>
      <c r="E644">
        <v>420</v>
      </c>
    </row>
    <row r="645" spans="1:5" x14ac:dyDescent="0.25">
      <c r="A645">
        <v>76</v>
      </c>
      <c r="B645">
        <v>3947</v>
      </c>
      <c r="C645" t="s">
        <v>909</v>
      </c>
      <c r="D645" t="s">
        <v>385</v>
      </c>
      <c r="E645">
        <v>420</v>
      </c>
    </row>
    <row r="646" spans="1:5" x14ac:dyDescent="0.25">
      <c r="A646">
        <v>76</v>
      </c>
      <c r="B646">
        <v>3948</v>
      </c>
      <c r="C646" t="s">
        <v>910</v>
      </c>
      <c r="D646" t="s">
        <v>279</v>
      </c>
      <c r="E646">
        <v>420</v>
      </c>
    </row>
    <row r="647" spans="1:5" x14ac:dyDescent="0.25">
      <c r="A647">
        <v>76</v>
      </c>
      <c r="B647">
        <v>3949</v>
      </c>
      <c r="C647" t="s">
        <v>911</v>
      </c>
      <c r="D647" t="s">
        <v>279</v>
      </c>
      <c r="E647">
        <v>420</v>
      </c>
    </row>
    <row r="648" spans="1:5" x14ac:dyDescent="0.25">
      <c r="A648">
        <v>76</v>
      </c>
      <c r="B648">
        <v>3950</v>
      </c>
      <c r="C648" t="s">
        <v>912</v>
      </c>
      <c r="D648" t="s">
        <v>341</v>
      </c>
      <c r="E648">
        <v>420</v>
      </c>
    </row>
    <row r="649" spans="1:5" x14ac:dyDescent="0.25">
      <c r="A649">
        <v>76</v>
      </c>
      <c r="B649">
        <v>3951</v>
      </c>
      <c r="C649" t="s">
        <v>913</v>
      </c>
      <c r="D649" t="s">
        <v>341</v>
      </c>
      <c r="E649">
        <v>420</v>
      </c>
    </row>
    <row r="650" spans="1:5" x14ac:dyDescent="0.25">
      <c r="A650">
        <v>76</v>
      </c>
      <c r="B650">
        <v>3952</v>
      </c>
      <c r="C650" t="s">
        <v>914</v>
      </c>
      <c r="D650" t="s">
        <v>235</v>
      </c>
      <c r="E650">
        <v>420</v>
      </c>
    </row>
    <row r="651" spans="1:5" x14ac:dyDescent="0.25">
      <c r="A651">
        <v>76</v>
      </c>
      <c r="B651">
        <v>3953</v>
      </c>
      <c r="C651" t="s">
        <v>915</v>
      </c>
      <c r="D651" t="s">
        <v>235</v>
      </c>
      <c r="E651">
        <v>420</v>
      </c>
    </row>
    <row r="652" spans="1:5" x14ac:dyDescent="0.25">
      <c r="A652">
        <v>76</v>
      </c>
      <c r="B652">
        <v>3377</v>
      </c>
      <c r="C652" t="s">
        <v>916</v>
      </c>
      <c r="D652" t="s">
        <v>209</v>
      </c>
      <c r="E652">
        <v>420</v>
      </c>
    </row>
    <row r="653" spans="1:5" x14ac:dyDescent="0.25">
      <c r="A653">
        <v>76</v>
      </c>
      <c r="B653">
        <v>4417</v>
      </c>
      <c r="C653" t="s">
        <v>917</v>
      </c>
      <c r="D653" t="s">
        <v>918</v>
      </c>
      <c r="E653">
        <v>420</v>
      </c>
    </row>
    <row r="654" spans="1:5" x14ac:dyDescent="0.25">
      <c r="A654">
        <v>76</v>
      </c>
      <c r="B654">
        <v>3378</v>
      </c>
      <c r="C654" t="s">
        <v>919</v>
      </c>
      <c r="D654" t="s">
        <v>232</v>
      </c>
      <c r="E654">
        <v>420</v>
      </c>
    </row>
    <row r="655" spans="1:5" x14ac:dyDescent="0.25">
      <c r="A655">
        <v>76</v>
      </c>
      <c r="B655">
        <v>3379</v>
      </c>
      <c r="C655" t="s">
        <v>920</v>
      </c>
      <c r="D655" t="s">
        <v>232</v>
      </c>
      <c r="E655">
        <v>420</v>
      </c>
    </row>
    <row r="656" spans="1:5" x14ac:dyDescent="0.25">
      <c r="A656">
        <v>76</v>
      </c>
      <c r="B656">
        <v>3382</v>
      </c>
      <c r="C656" t="s">
        <v>921</v>
      </c>
      <c r="D656" t="s">
        <v>215</v>
      </c>
      <c r="E656">
        <v>420</v>
      </c>
    </row>
    <row r="657" spans="1:5" x14ac:dyDescent="0.25">
      <c r="A657">
        <v>76</v>
      </c>
      <c r="B657">
        <v>3383</v>
      </c>
      <c r="C657" t="s">
        <v>922</v>
      </c>
      <c r="D657" t="s">
        <v>215</v>
      </c>
      <c r="E657">
        <v>420</v>
      </c>
    </row>
    <row r="658" spans="1:5" x14ac:dyDescent="0.25">
      <c r="A658">
        <v>76</v>
      </c>
      <c r="B658">
        <v>3386</v>
      </c>
      <c r="C658" t="s">
        <v>923</v>
      </c>
      <c r="D658" t="s">
        <v>228</v>
      </c>
      <c r="E658">
        <v>420</v>
      </c>
    </row>
    <row r="659" spans="1:5" x14ac:dyDescent="0.25">
      <c r="A659">
        <v>76</v>
      </c>
      <c r="B659">
        <v>3392</v>
      </c>
      <c r="C659" t="s">
        <v>924</v>
      </c>
      <c r="D659" t="s">
        <v>323</v>
      </c>
      <c r="E659">
        <v>420</v>
      </c>
    </row>
    <row r="660" spans="1:5" x14ac:dyDescent="0.25">
      <c r="A660">
        <v>76</v>
      </c>
      <c r="B660">
        <v>3393</v>
      </c>
      <c r="C660" t="s">
        <v>925</v>
      </c>
      <c r="D660" t="s">
        <v>547</v>
      </c>
      <c r="E660">
        <v>420</v>
      </c>
    </row>
    <row r="661" spans="1:5" x14ac:dyDescent="0.25">
      <c r="A661">
        <v>76</v>
      </c>
      <c r="B661">
        <v>3396</v>
      </c>
      <c r="C661" t="s">
        <v>926</v>
      </c>
      <c r="D661" t="s">
        <v>347</v>
      </c>
      <c r="E661">
        <v>420</v>
      </c>
    </row>
    <row r="662" spans="1:5" x14ac:dyDescent="0.25">
      <c r="A662">
        <v>76</v>
      </c>
      <c r="B662">
        <v>3420</v>
      </c>
      <c r="C662" t="s">
        <v>927</v>
      </c>
      <c r="D662" t="s">
        <v>211</v>
      </c>
      <c r="E662">
        <v>420</v>
      </c>
    </row>
    <row r="663" spans="1:5" x14ac:dyDescent="0.25">
      <c r="A663">
        <v>76</v>
      </c>
      <c r="B663">
        <v>3439</v>
      </c>
      <c r="C663" t="s">
        <v>928</v>
      </c>
      <c r="D663" t="s">
        <v>211</v>
      </c>
      <c r="E663">
        <v>420</v>
      </c>
    </row>
    <row r="664" spans="1:5" x14ac:dyDescent="0.25">
      <c r="A664">
        <v>76</v>
      </c>
      <c r="B664">
        <v>3442</v>
      </c>
      <c r="C664" t="s">
        <v>929</v>
      </c>
      <c r="D664" t="s">
        <v>371</v>
      </c>
      <c r="E664">
        <v>420</v>
      </c>
    </row>
    <row r="665" spans="1:5" x14ac:dyDescent="0.25">
      <c r="A665">
        <v>76</v>
      </c>
      <c r="B665">
        <v>3444</v>
      </c>
      <c r="C665" t="s">
        <v>930</v>
      </c>
      <c r="D665" t="s">
        <v>931</v>
      </c>
      <c r="E665">
        <v>420</v>
      </c>
    </row>
    <row r="666" spans="1:5" x14ac:dyDescent="0.25">
      <c r="A666">
        <v>76</v>
      </c>
      <c r="B666">
        <v>3448</v>
      </c>
      <c r="C666" t="s">
        <v>932</v>
      </c>
      <c r="D666" t="s">
        <v>215</v>
      </c>
      <c r="E666">
        <v>420</v>
      </c>
    </row>
    <row r="667" spans="1:5" x14ac:dyDescent="0.25">
      <c r="A667">
        <v>76</v>
      </c>
      <c r="B667">
        <v>3452</v>
      </c>
      <c r="C667" t="s">
        <v>933</v>
      </c>
      <c r="D667" t="s">
        <v>200</v>
      </c>
      <c r="E667">
        <v>420</v>
      </c>
    </row>
    <row r="668" spans="1:5" x14ac:dyDescent="0.25">
      <c r="A668">
        <v>76</v>
      </c>
      <c r="B668">
        <v>3456</v>
      </c>
      <c r="C668" t="s">
        <v>934</v>
      </c>
      <c r="D668" t="s">
        <v>385</v>
      </c>
      <c r="E668">
        <v>420</v>
      </c>
    </row>
    <row r="669" spans="1:5" x14ac:dyDescent="0.25">
      <c r="A669">
        <v>76</v>
      </c>
      <c r="B669">
        <v>3457</v>
      </c>
      <c r="C669" t="s">
        <v>935</v>
      </c>
      <c r="D669" t="s">
        <v>235</v>
      </c>
      <c r="E669">
        <v>420</v>
      </c>
    </row>
    <row r="670" spans="1:5" x14ac:dyDescent="0.25">
      <c r="A670">
        <v>76</v>
      </c>
      <c r="B670">
        <v>3466</v>
      </c>
      <c r="C670" t="s">
        <v>936</v>
      </c>
      <c r="D670" t="s">
        <v>204</v>
      </c>
      <c r="E670">
        <v>420</v>
      </c>
    </row>
    <row r="671" spans="1:5" x14ac:dyDescent="0.25">
      <c r="A671">
        <v>76</v>
      </c>
      <c r="B671">
        <v>3478</v>
      </c>
      <c r="C671" t="s">
        <v>937</v>
      </c>
      <c r="D671" t="s">
        <v>382</v>
      </c>
      <c r="E671">
        <v>420</v>
      </c>
    </row>
    <row r="672" spans="1:5" x14ac:dyDescent="0.25">
      <c r="A672">
        <v>76</v>
      </c>
      <c r="B672">
        <v>3479</v>
      </c>
      <c r="C672" t="s">
        <v>938</v>
      </c>
      <c r="D672" t="s">
        <v>382</v>
      </c>
      <c r="E672">
        <v>420</v>
      </c>
    </row>
    <row r="673" spans="1:5" x14ac:dyDescent="0.25">
      <c r="A673">
        <v>76</v>
      </c>
      <c r="B673">
        <v>3480</v>
      </c>
      <c r="C673" t="s">
        <v>939</v>
      </c>
      <c r="D673" t="s">
        <v>215</v>
      </c>
      <c r="E673">
        <v>420</v>
      </c>
    </row>
    <row r="674" spans="1:5" x14ac:dyDescent="0.25">
      <c r="A674">
        <v>76</v>
      </c>
      <c r="B674">
        <v>3481</v>
      </c>
      <c r="C674" t="s">
        <v>940</v>
      </c>
      <c r="D674" t="s">
        <v>390</v>
      </c>
      <c r="E674">
        <v>420</v>
      </c>
    </row>
    <row r="675" spans="1:5" x14ac:dyDescent="0.25">
      <c r="A675">
        <v>76</v>
      </c>
      <c r="B675">
        <v>3501</v>
      </c>
      <c r="C675" t="s">
        <v>941</v>
      </c>
      <c r="D675" t="s">
        <v>382</v>
      </c>
      <c r="E675">
        <v>420</v>
      </c>
    </row>
    <row r="676" spans="1:5" x14ac:dyDescent="0.25">
      <c r="A676">
        <v>76</v>
      </c>
      <c r="B676">
        <v>3502</v>
      </c>
      <c r="C676" t="s">
        <v>942</v>
      </c>
      <c r="D676" t="s">
        <v>382</v>
      </c>
      <c r="E676">
        <v>420</v>
      </c>
    </row>
    <row r="677" spans="1:5" x14ac:dyDescent="0.25">
      <c r="A677">
        <v>76</v>
      </c>
      <c r="B677">
        <v>3503</v>
      </c>
      <c r="C677" t="s">
        <v>943</v>
      </c>
      <c r="D677" t="s">
        <v>232</v>
      </c>
      <c r="E677">
        <v>420</v>
      </c>
    </row>
    <row r="678" spans="1:5" x14ac:dyDescent="0.25">
      <c r="A678">
        <v>76</v>
      </c>
      <c r="B678">
        <v>3513</v>
      </c>
      <c r="C678" t="s">
        <v>944</v>
      </c>
      <c r="D678" t="s">
        <v>211</v>
      </c>
      <c r="E678">
        <v>420</v>
      </c>
    </row>
    <row r="679" spans="1:5" x14ac:dyDescent="0.25">
      <c r="A679">
        <v>76</v>
      </c>
      <c r="B679">
        <v>3514</v>
      </c>
      <c r="C679" t="s">
        <v>945</v>
      </c>
      <c r="D679" t="s">
        <v>211</v>
      </c>
      <c r="E679">
        <v>420</v>
      </c>
    </row>
    <row r="680" spans="1:5" x14ac:dyDescent="0.25">
      <c r="A680">
        <v>76</v>
      </c>
      <c r="B680">
        <v>3516</v>
      </c>
      <c r="C680" t="s">
        <v>946</v>
      </c>
      <c r="D680" t="s">
        <v>409</v>
      </c>
      <c r="E680">
        <v>420</v>
      </c>
    </row>
    <row r="681" spans="1:5" x14ac:dyDescent="0.25">
      <c r="A681">
        <v>76</v>
      </c>
      <c r="B681">
        <v>3518</v>
      </c>
      <c r="C681" t="s">
        <v>947</v>
      </c>
      <c r="D681" t="s">
        <v>260</v>
      </c>
      <c r="E681">
        <v>420</v>
      </c>
    </row>
    <row r="682" spans="1:5" x14ac:dyDescent="0.25">
      <c r="A682">
        <v>76</v>
      </c>
      <c r="B682">
        <v>3520</v>
      </c>
      <c r="C682" t="s">
        <v>948</v>
      </c>
      <c r="D682" t="s">
        <v>200</v>
      </c>
      <c r="E682">
        <v>420</v>
      </c>
    </row>
    <row r="683" spans="1:5" x14ac:dyDescent="0.25">
      <c r="A683">
        <v>76</v>
      </c>
      <c r="B683">
        <v>3521</v>
      </c>
      <c r="C683" t="s">
        <v>949</v>
      </c>
      <c r="D683" t="s">
        <v>200</v>
      </c>
      <c r="E683">
        <v>420</v>
      </c>
    </row>
    <row r="684" spans="1:5" x14ac:dyDescent="0.25">
      <c r="A684">
        <v>76</v>
      </c>
      <c r="B684">
        <v>3523</v>
      </c>
      <c r="C684" t="s">
        <v>950</v>
      </c>
      <c r="D684" t="s">
        <v>204</v>
      </c>
      <c r="E684">
        <v>420</v>
      </c>
    </row>
    <row r="685" spans="1:5" x14ac:dyDescent="0.25">
      <c r="A685">
        <v>76</v>
      </c>
      <c r="B685">
        <v>3531</v>
      </c>
      <c r="C685" t="s">
        <v>951</v>
      </c>
      <c r="D685" t="s">
        <v>385</v>
      </c>
      <c r="E685">
        <v>420</v>
      </c>
    </row>
    <row r="686" spans="1:5" x14ac:dyDescent="0.25">
      <c r="A686">
        <v>76</v>
      </c>
      <c r="B686">
        <v>3532</v>
      </c>
      <c r="C686" t="s">
        <v>952</v>
      </c>
      <c r="D686" t="s">
        <v>228</v>
      </c>
      <c r="E686">
        <v>420</v>
      </c>
    </row>
    <row r="687" spans="1:5" x14ac:dyDescent="0.25">
      <c r="A687">
        <v>76</v>
      </c>
      <c r="B687">
        <v>3535</v>
      </c>
      <c r="C687" t="s">
        <v>953</v>
      </c>
      <c r="D687" t="s">
        <v>409</v>
      </c>
      <c r="E687">
        <v>420</v>
      </c>
    </row>
    <row r="688" spans="1:5" x14ac:dyDescent="0.25">
      <c r="A688">
        <v>76</v>
      </c>
      <c r="B688">
        <v>3537</v>
      </c>
      <c r="C688" t="s">
        <v>954</v>
      </c>
      <c r="D688" t="s">
        <v>338</v>
      </c>
      <c r="E688">
        <v>420</v>
      </c>
    </row>
    <row r="689" spans="1:5" x14ac:dyDescent="0.25">
      <c r="A689">
        <v>76</v>
      </c>
      <c r="B689">
        <v>3538</v>
      </c>
      <c r="C689" t="s">
        <v>955</v>
      </c>
      <c r="D689" t="s">
        <v>338</v>
      </c>
      <c r="E689">
        <v>420</v>
      </c>
    </row>
    <row r="690" spans="1:5" x14ac:dyDescent="0.25">
      <c r="A690">
        <v>76</v>
      </c>
      <c r="B690">
        <v>3539</v>
      </c>
      <c r="C690" t="s">
        <v>956</v>
      </c>
      <c r="D690" t="s">
        <v>338</v>
      </c>
      <c r="E690">
        <v>420</v>
      </c>
    </row>
    <row r="691" spans="1:5" x14ac:dyDescent="0.25">
      <c r="A691">
        <v>76</v>
      </c>
      <c r="B691">
        <v>3542</v>
      </c>
      <c r="C691" t="s">
        <v>957</v>
      </c>
      <c r="D691" t="s">
        <v>347</v>
      </c>
      <c r="E691">
        <v>420</v>
      </c>
    </row>
    <row r="692" spans="1:5" x14ac:dyDescent="0.25">
      <c r="A692">
        <v>76</v>
      </c>
      <c r="B692">
        <v>3543</v>
      </c>
      <c r="C692" t="s">
        <v>958</v>
      </c>
      <c r="D692" t="s">
        <v>347</v>
      </c>
      <c r="E692">
        <v>420</v>
      </c>
    </row>
    <row r="693" spans="1:5" x14ac:dyDescent="0.25">
      <c r="A693">
        <v>76</v>
      </c>
      <c r="B693">
        <v>3546</v>
      </c>
      <c r="C693" t="s">
        <v>959</v>
      </c>
      <c r="D693" t="s">
        <v>390</v>
      </c>
      <c r="E693">
        <v>420</v>
      </c>
    </row>
    <row r="694" spans="1:5" x14ac:dyDescent="0.25">
      <c r="A694">
        <v>76</v>
      </c>
      <c r="B694">
        <v>3556</v>
      </c>
      <c r="C694" t="s">
        <v>960</v>
      </c>
      <c r="D694" t="s">
        <v>382</v>
      </c>
      <c r="E694">
        <v>420</v>
      </c>
    </row>
    <row r="695" spans="1:5" x14ac:dyDescent="0.25">
      <c r="A695">
        <v>76</v>
      </c>
      <c r="B695">
        <v>3560</v>
      </c>
      <c r="C695" t="s">
        <v>961</v>
      </c>
      <c r="D695" t="s">
        <v>211</v>
      </c>
      <c r="E695">
        <v>420</v>
      </c>
    </row>
    <row r="696" spans="1:5" x14ac:dyDescent="0.25">
      <c r="A696">
        <v>76</v>
      </c>
      <c r="B696">
        <v>3562</v>
      </c>
      <c r="C696" t="s">
        <v>962</v>
      </c>
      <c r="D696" t="s">
        <v>200</v>
      </c>
      <c r="E696">
        <v>420</v>
      </c>
    </row>
    <row r="697" spans="1:5" x14ac:dyDescent="0.25">
      <c r="A697">
        <v>76</v>
      </c>
      <c r="B697">
        <v>3563</v>
      </c>
      <c r="C697" t="s">
        <v>963</v>
      </c>
      <c r="D697" t="s">
        <v>200</v>
      </c>
      <c r="E697">
        <v>420</v>
      </c>
    </row>
    <row r="698" spans="1:5" x14ac:dyDescent="0.25">
      <c r="A698">
        <v>76</v>
      </c>
      <c r="B698">
        <v>3580</v>
      </c>
      <c r="C698" t="s">
        <v>964</v>
      </c>
      <c r="D698" t="s">
        <v>200</v>
      </c>
      <c r="E698">
        <v>420</v>
      </c>
    </row>
    <row r="699" spans="1:5" x14ac:dyDescent="0.25">
      <c r="A699">
        <v>76</v>
      </c>
      <c r="B699">
        <v>3581</v>
      </c>
      <c r="C699" t="s">
        <v>965</v>
      </c>
      <c r="D699" t="s">
        <v>200</v>
      </c>
      <c r="E699">
        <v>420</v>
      </c>
    </row>
    <row r="700" spans="1:5" x14ac:dyDescent="0.25">
      <c r="A700">
        <v>76</v>
      </c>
      <c r="B700">
        <v>3582</v>
      </c>
      <c r="C700" t="s">
        <v>966</v>
      </c>
      <c r="D700" t="s">
        <v>279</v>
      </c>
      <c r="E700">
        <v>420</v>
      </c>
    </row>
    <row r="701" spans="1:5" x14ac:dyDescent="0.25">
      <c r="A701">
        <v>76</v>
      </c>
      <c r="B701">
        <v>3585</v>
      </c>
      <c r="C701" t="s">
        <v>967</v>
      </c>
      <c r="D701" t="s">
        <v>409</v>
      </c>
      <c r="E701">
        <v>420</v>
      </c>
    </row>
    <row r="702" spans="1:5" x14ac:dyDescent="0.25">
      <c r="A702">
        <v>76</v>
      </c>
      <c r="B702">
        <v>3586</v>
      </c>
      <c r="C702" t="s">
        <v>968</v>
      </c>
      <c r="D702" t="s">
        <v>409</v>
      </c>
      <c r="E702">
        <v>420</v>
      </c>
    </row>
    <row r="703" spans="1:5" x14ac:dyDescent="0.25">
      <c r="A703">
        <v>76</v>
      </c>
      <c r="B703">
        <v>3587</v>
      </c>
      <c r="C703" t="s">
        <v>969</v>
      </c>
      <c r="D703" t="s">
        <v>409</v>
      </c>
      <c r="E703">
        <v>420</v>
      </c>
    </row>
    <row r="704" spans="1:5" x14ac:dyDescent="0.25">
      <c r="A704">
        <v>76</v>
      </c>
      <c r="B704">
        <v>3606</v>
      </c>
      <c r="C704" t="s">
        <v>970</v>
      </c>
      <c r="D704" t="s">
        <v>341</v>
      </c>
      <c r="E704">
        <v>420</v>
      </c>
    </row>
    <row r="705" spans="1:5" x14ac:dyDescent="0.25">
      <c r="A705">
        <v>76</v>
      </c>
      <c r="B705">
        <v>3622</v>
      </c>
      <c r="C705" t="s">
        <v>971</v>
      </c>
      <c r="D705" t="s">
        <v>347</v>
      </c>
      <c r="E705">
        <v>420</v>
      </c>
    </row>
    <row r="706" spans="1:5" x14ac:dyDescent="0.25">
      <c r="A706">
        <v>76</v>
      </c>
      <c r="B706">
        <v>3643</v>
      </c>
      <c r="C706" t="s">
        <v>972</v>
      </c>
      <c r="D706" t="s">
        <v>260</v>
      </c>
      <c r="E706">
        <v>420</v>
      </c>
    </row>
    <row r="707" spans="1:5" x14ac:dyDescent="0.25">
      <c r="A707">
        <v>76</v>
      </c>
      <c r="B707">
        <v>3644</v>
      </c>
      <c r="C707" t="s">
        <v>973</v>
      </c>
      <c r="D707" t="s">
        <v>260</v>
      </c>
      <c r="E707">
        <v>420</v>
      </c>
    </row>
    <row r="708" spans="1:5" x14ac:dyDescent="0.25">
      <c r="A708">
        <v>76</v>
      </c>
      <c r="B708">
        <v>3646</v>
      </c>
      <c r="C708" t="s">
        <v>974</v>
      </c>
      <c r="D708" t="s">
        <v>260</v>
      </c>
      <c r="E708">
        <v>420</v>
      </c>
    </row>
    <row r="709" spans="1:5" x14ac:dyDescent="0.25">
      <c r="A709">
        <v>76</v>
      </c>
      <c r="B709">
        <v>3655</v>
      </c>
      <c r="C709" t="s">
        <v>975</v>
      </c>
      <c r="D709" t="s">
        <v>215</v>
      </c>
      <c r="E709">
        <v>420</v>
      </c>
    </row>
    <row r="710" spans="1:5" x14ac:dyDescent="0.25">
      <c r="A710">
        <v>76</v>
      </c>
      <c r="B710">
        <v>3656</v>
      </c>
      <c r="C710" t="s">
        <v>976</v>
      </c>
      <c r="D710" t="s">
        <v>215</v>
      </c>
      <c r="E710">
        <v>420</v>
      </c>
    </row>
    <row r="711" spans="1:5" x14ac:dyDescent="0.25">
      <c r="A711">
        <v>76</v>
      </c>
      <c r="B711">
        <v>4037</v>
      </c>
      <c r="C711" t="s">
        <v>977</v>
      </c>
      <c r="D711" t="s">
        <v>232</v>
      </c>
      <c r="E711">
        <v>420</v>
      </c>
    </row>
    <row r="712" spans="1:5" x14ac:dyDescent="0.25">
      <c r="A712">
        <v>76</v>
      </c>
      <c r="B712">
        <v>3958</v>
      </c>
      <c r="C712" t="s">
        <v>978</v>
      </c>
      <c r="D712" t="s">
        <v>235</v>
      </c>
      <c r="E712">
        <v>420</v>
      </c>
    </row>
    <row r="713" spans="1:5" x14ac:dyDescent="0.25">
      <c r="A713">
        <v>76</v>
      </c>
      <c r="B713">
        <v>3978</v>
      </c>
      <c r="C713" t="s">
        <v>979</v>
      </c>
      <c r="D713" t="s">
        <v>260</v>
      </c>
      <c r="E713">
        <v>420</v>
      </c>
    </row>
    <row r="714" spans="1:5" x14ac:dyDescent="0.25">
      <c r="A714">
        <v>76</v>
      </c>
      <c r="B714">
        <v>3165</v>
      </c>
      <c r="C714" t="s">
        <v>980</v>
      </c>
      <c r="D714" t="s">
        <v>260</v>
      </c>
      <c r="E714">
        <v>420</v>
      </c>
    </row>
    <row r="715" spans="1:5" x14ac:dyDescent="0.25">
      <c r="A715">
        <v>76</v>
      </c>
      <c r="B715">
        <v>4742</v>
      </c>
      <c r="C715" t="s">
        <v>981</v>
      </c>
      <c r="D715" t="s">
        <v>293</v>
      </c>
      <c r="E715">
        <v>420</v>
      </c>
    </row>
    <row r="716" spans="1:5" x14ac:dyDescent="0.25">
      <c r="A716">
        <v>76</v>
      </c>
      <c r="B716">
        <v>3726</v>
      </c>
      <c r="C716" t="s">
        <v>982</v>
      </c>
      <c r="D716" t="s">
        <v>204</v>
      </c>
      <c r="E716">
        <v>420</v>
      </c>
    </row>
    <row r="717" spans="1:5" x14ac:dyDescent="0.25">
      <c r="A717">
        <v>76</v>
      </c>
      <c r="B717">
        <v>2866</v>
      </c>
      <c r="C717" t="s">
        <v>983</v>
      </c>
      <c r="D717" t="s">
        <v>279</v>
      </c>
      <c r="E717">
        <v>420</v>
      </c>
    </row>
    <row r="718" spans="1:5" x14ac:dyDescent="0.25">
      <c r="A718">
        <v>76</v>
      </c>
      <c r="B718">
        <v>2155</v>
      </c>
      <c r="C718" t="s">
        <v>984</v>
      </c>
      <c r="D718" t="s">
        <v>385</v>
      </c>
      <c r="E718">
        <v>420</v>
      </c>
    </row>
    <row r="719" spans="1:5" x14ac:dyDescent="0.25">
      <c r="A719">
        <v>76</v>
      </c>
      <c r="B719">
        <v>3621</v>
      </c>
      <c r="C719" t="s">
        <v>985</v>
      </c>
      <c r="D719" t="s">
        <v>347</v>
      </c>
      <c r="E719">
        <v>420</v>
      </c>
    </row>
    <row r="720" spans="1:5" x14ac:dyDescent="0.25">
      <c r="A720">
        <v>76</v>
      </c>
      <c r="B720">
        <v>4286</v>
      </c>
      <c r="C720" t="s">
        <v>986</v>
      </c>
      <c r="D720" t="s">
        <v>209</v>
      </c>
      <c r="E720">
        <v>420</v>
      </c>
    </row>
    <row r="721" spans="1:5" x14ac:dyDescent="0.25">
      <c r="A721">
        <v>76</v>
      </c>
      <c r="B721">
        <v>4597</v>
      </c>
      <c r="C721" t="s">
        <v>987</v>
      </c>
      <c r="D721" t="s">
        <v>293</v>
      </c>
      <c r="E721">
        <v>420</v>
      </c>
    </row>
    <row r="722" spans="1:5" x14ac:dyDescent="0.25">
      <c r="A722">
        <v>76</v>
      </c>
      <c r="B722">
        <v>4493</v>
      </c>
      <c r="C722" t="s">
        <v>988</v>
      </c>
      <c r="D722" t="s">
        <v>260</v>
      </c>
      <c r="E722">
        <v>420</v>
      </c>
    </row>
    <row r="723" spans="1:5" x14ac:dyDescent="0.25">
      <c r="A723">
        <v>76</v>
      </c>
      <c r="B723">
        <v>2380</v>
      </c>
      <c r="C723" t="s">
        <v>989</v>
      </c>
      <c r="D723" t="s">
        <v>211</v>
      </c>
      <c r="E723">
        <v>420</v>
      </c>
    </row>
    <row r="724" spans="1:5" x14ac:dyDescent="0.25">
      <c r="A724">
        <v>76</v>
      </c>
      <c r="B724">
        <v>2856</v>
      </c>
      <c r="C724" t="s">
        <v>990</v>
      </c>
      <c r="D724" t="s">
        <v>213</v>
      </c>
      <c r="E724">
        <v>420</v>
      </c>
    </row>
    <row r="725" spans="1:5" x14ac:dyDescent="0.25">
      <c r="A725">
        <v>76</v>
      </c>
      <c r="B725">
        <v>2896</v>
      </c>
      <c r="C725" t="s">
        <v>991</v>
      </c>
      <c r="D725" t="s">
        <v>202</v>
      </c>
      <c r="E725">
        <v>420</v>
      </c>
    </row>
    <row r="726" spans="1:5" x14ac:dyDescent="0.25">
      <c r="A726">
        <v>76</v>
      </c>
      <c r="B726">
        <v>2963</v>
      </c>
      <c r="C726" t="s">
        <v>992</v>
      </c>
      <c r="D726" t="s">
        <v>540</v>
      </c>
      <c r="E726">
        <v>420</v>
      </c>
    </row>
    <row r="727" spans="1:5" x14ac:dyDescent="0.25">
      <c r="A727">
        <v>76</v>
      </c>
      <c r="B727">
        <v>804</v>
      </c>
      <c r="C727" t="s">
        <v>993</v>
      </c>
      <c r="D727" t="s">
        <v>211</v>
      </c>
      <c r="E727">
        <v>420</v>
      </c>
    </row>
    <row r="728" spans="1:5" x14ac:dyDescent="0.25">
      <c r="A728">
        <v>76</v>
      </c>
      <c r="B728">
        <v>2273</v>
      </c>
      <c r="C728" t="s">
        <v>994</v>
      </c>
      <c r="D728" t="s">
        <v>382</v>
      </c>
      <c r="E728">
        <v>420</v>
      </c>
    </row>
    <row r="729" spans="1:5" x14ac:dyDescent="0.25">
      <c r="A729">
        <v>76</v>
      </c>
      <c r="B729">
        <v>3583</v>
      </c>
      <c r="C729" t="s">
        <v>995</v>
      </c>
      <c r="D729" t="s">
        <v>232</v>
      </c>
      <c r="E729">
        <v>420</v>
      </c>
    </row>
    <row r="730" spans="1:5" x14ac:dyDescent="0.25">
      <c r="A730">
        <v>76</v>
      </c>
      <c r="B730">
        <v>3965</v>
      </c>
      <c r="C730" t="s">
        <v>996</v>
      </c>
      <c r="D730" t="s">
        <v>603</v>
      </c>
      <c r="E730">
        <v>420</v>
      </c>
    </row>
    <row r="731" spans="1:5" x14ac:dyDescent="0.25">
      <c r="A731">
        <v>76</v>
      </c>
      <c r="B731">
        <v>4471</v>
      </c>
      <c r="C731" t="s">
        <v>997</v>
      </c>
      <c r="D731" t="s">
        <v>998</v>
      </c>
      <c r="E731">
        <v>420</v>
      </c>
    </row>
    <row r="732" spans="1:5" x14ac:dyDescent="0.25">
      <c r="A732">
        <v>76</v>
      </c>
      <c r="B732">
        <v>4073</v>
      </c>
      <c r="C732" t="s">
        <v>999</v>
      </c>
      <c r="D732" t="s">
        <v>204</v>
      </c>
      <c r="E732">
        <v>420</v>
      </c>
    </row>
    <row r="733" spans="1:5" x14ac:dyDescent="0.25">
      <c r="A733">
        <v>76</v>
      </c>
      <c r="B733">
        <v>4237</v>
      </c>
      <c r="C733" t="s">
        <v>1000</v>
      </c>
      <c r="D733" t="s">
        <v>344</v>
      </c>
      <c r="E733">
        <v>420</v>
      </c>
    </row>
    <row r="734" spans="1:5" x14ac:dyDescent="0.25">
      <c r="A734">
        <v>76</v>
      </c>
      <c r="B734">
        <v>3113</v>
      </c>
      <c r="C734" t="s">
        <v>1001</v>
      </c>
      <c r="D734" t="s">
        <v>211</v>
      </c>
      <c r="E734">
        <v>420</v>
      </c>
    </row>
    <row r="735" spans="1:5" x14ac:dyDescent="0.25">
      <c r="A735">
        <v>76</v>
      </c>
      <c r="B735">
        <v>3064</v>
      </c>
      <c r="C735" t="s">
        <v>1002</v>
      </c>
      <c r="D735" t="s">
        <v>750</v>
      </c>
      <c r="E735">
        <v>420</v>
      </c>
    </row>
    <row r="736" spans="1:5" x14ac:dyDescent="0.25">
      <c r="A736">
        <v>76</v>
      </c>
      <c r="B736">
        <v>2613</v>
      </c>
      <c r="C736" t="s">
        <v>1003</v>
      </c>
      <c r="D736" t="s">
        <v>209</v>
      </c>
      <c r="E736">
        <v>420</v>
      </c>
    </row>
    <row r="737" spans="1:5" x14ac:dyDescent="0.25">
      <c r="A737">
        <v>76</v>
      </c>
      <c r="B737">
        <v>2699</v>
      </c>
      <c r="C737" t="s">
        <v>1004</v>
      </c>
      <c r="D737" t="s">
        <v>396</v>
      </c>
      <c r="E737">
        <v>420</v>
      </c>
    </row>
    <row r="738" spans="1:5" x14ac:dyDescent="0.25">
      <c r="A738">
        <v>76</v>
      </c>
      <c r="B738">
        <v>2290</v>
      </c>
      <c r="C738" t="s">
        <v>1005</v>
      </c>
      <c r="D738" t="s">
        <v>232</v>
      </c>
      <c r="E738">
        <v>420</v>
      </c>
    </row>
    <row r="739" spans="1:5" x14ac:dyDescent="0.25">
      <c r="A739">
        <v>76</v>
      </c>
      <c r="B739">
        <v>2635</v>
      </c>
      <c r="C739" t="s">
        <v>1006</v>
      </c>
      <c r="D739" t="s">
        <v>235</v>
      </c>
      <c r="E739">
        <v>420</v>
      </c>
    </row>
    <row r="740" spans="1:5" x14ac:dyDescent="0.25">
      <c r="A740">
        <v>76</v>
      </c>
      <c r="B740">
        <v>3681</v>
      </c>
      <c r="C740" t="s">
        <v>1007</v>
      </c>
      <c r="D740" t="s">
        <v>338</v>
      </c>
      <c r="E740">
        <v>420</v>
      </c>
    </row>
    <row r="741" spans="1:5" x14ac:dyDescent="0.25">
      <c r="A741">
        <v>76</v>
      </c>
      <c r="B741">
        <v>3732</v>
      </c>
      <c r="C741" t="s">
        <v>1008</v>
      </c>
      <c r="D741" t="s">
        <v>338</v>
      </c>
      <c r="E741">
        <v>420</v>
      </c>
    </row>
    <row r="742" spans="1:5" x14ac:dyDescent="0.25">
      <c r="A742">
        <v>76</v>
      </c>
      <c r="B742">
        <v>3804</v>
      </c>
      <c r="C742" t="s">
        <v>1009</v>
      </c>
      <c r="D742" t="s">
        <v>341</v>
      </c>
      <c r="E742">
        <v>420</v>
      </c>
    </row>
    <row r="743" spans="1:5" x14ac:dyDescent="0.25">
      <c r="A743">
        <v>76</v>
      </c>
      <c r="B743">
        <v>3944</v>
      </c>
      <c r="C743" t="s">
        <v>1010</v>
      </c>
      <c r="D743" t="s">
        <v>211</v>
      </c>
      <c r="E743">
        <v>420</v>
      </c>
    </row>
    <row r="744" spans="1:5" x14ac:dyDescent="0.25">
      <c r="A744">
        <v>76</v>
      </c>
      <c r="B744">
        <v>3447</v>
      </c>
      <c r="C744" t="s">
        <v>1011</v>
      </c>
      <c r="D744" t="s">
        <v>215</v>
      </c>
      <c r="E744">
        <v>420</v>
      </c>
    </row>
    <row r="745" spans="1:5" x14ac:dyDescent="0.25">
      <c r="A745">
        <v>76</v>
      </c>
      <c r="B745">
        <v>3515</v>
      </c>
      <c r="C745" t="s">
        <v>1012</v>
      </c>
      <c r="D745" t="s">
        <v>409</v>
      </c>
      <c r="E745">
        <v>420</v>
      </c>
    </row>
    <row r="746" spans="1:5" x14ac:dyDescent="0.25">
      <c r="A746">
        <v>76</v>
      </c>
      <c r="B746">
        <v>3547</v>
      </c>
      <c r="C746" t="s">
        <v>1013</v>
      </c>
      <c r="D746" t="s">
        <v>390</v>
      </c>
      <c r="E746">
        <v>420</v>
      </c>
    </row>
    <row r="747" spans="1:5" x14ac:dyDescent="0.25">
      <c r="A747">
        <v>76</v>
      </c>
      <c r="B747">
        <v>3649</v>
      </c>
      <c r="C747" t="s">
        <v>1014</v>
      </c>
      <c r="D747" t="s">
        <v>211</v>
      </c>
      <c r="E747">
        <v>420</v>
      </c>
    </row>
    <row r="748" spans="1:5" x14ac:dyDescent="0.25">
      <c r="A748">
        <v>76</v>
      </c>
      <c r="B748">
        <v>4683</v>
      </c>
      <c r="C748" t="s">
        <v>299</v>
      </c>
      <c r="D748" t="s">
        <v>1015</v>
      </c>
      <c r="E748">
        <v>420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15D0-9151-4B43-9DE0-9648890BFD06}">
  <sheetPr codeName="Sheet2">
    <pageSetUpPr fitToPage="1"/>
  </sheetPr>
  <dimension ref="A1:Z119"/>
  <sheetViews>
    <sheetView view="pageBreakPreview" zoomScale="60" zoomScaleNormal="85" workbookViewId="0">
      <selection activeCell="B4" sqref="B4"/>
    </sheetView>
  </sheetViews>
  <sheetFormatPr defaultColWidth="9.140625" defaultRowHeight="15" x14ac:dyDescent="0.25"/>
  <cols>
    <col min="1" max="1" width="8.28515625" style="17" bestFit="1" customWidth="1"/>
    <col min="2" max="2" width="15.140625" style="17" bestFit="1" customWidth="1"/>
    <col min="3" max="3" width="69.7109375" style="17" bestFit="1" customWidth="1"/>
    <col min="4" max="4" width="44.5703125" style="17" bestFit="1" customWidth="1"/>
    <col min="5" max="5" width="20.42578125" style="17" bestFit="1" customWidth="1"/>
    <col min="6" max="6" width="17.7109375" style="17" bestFit="1" customWidth="1"/>
    <col min="7" max="7" width="13.7109375" style="82" bestFit="1" customWidth="1"/>
    <col min="8" max="10" width="9.140625" style="17"/>
    <col min="11" max="11" width="14.42578125" style="17" bestFit="1" customWidth="1"/>
    <col min="12" max="12" width="36.42578125" style="17" bestFit="1" customWidth="1"/>
    <col min="13" max="16384" width="9.140625" style="17"/>
  </cols>
  <sheetData>
    <row r="1" spans="1:26" ht="32.25" thickBot="1" x14ac:dyDescent="0.55000000000000004">
      <c r="B1" s="403" t="s">
        <v>269</v>
      </c>
      <c r="C1" s="404"/>
      <c r="D1" s="404"/>
      <c r="E1" s="404"/>
      <c r="F1" s="404"/>
      <c r="G1" s="405"/>
    </row>
    <row r="2" spans="1:26" ht="15" customHeight="1" x14ac:dyDescent="0.25">
      <c r="B2" s="406" t="s">
        <v>270</v>
      </c>
      <c r="C2" s="407"/>
      <c r="D2" s="407"/>
      <c r="E2" s="407"/>
      <c r="F2" s="407"/>
      <c r="G2" s="408"/>
    </row>
    <row r="3" spans="1:26" ht="15.75" customHeight="1" thickBot="1" x14ac:dyDescent="0.3">
      <c r="B3" s="409"/>
      <c r="C3" s="410"/>
      <c r="D3" s="410"/>
      <c r="E3" s="410"/>
      <c r="F3" s="410"/>
      <c r="G3" s="411"/>
    </row>
    <row r="4" spans="1:26" ht="32.25" thickBot="1" x14ac:dyDescent="0.55000000000000004">
      <c r="B4" s="18" t="s">
        <v>3</v>
      </c>
      <c r="C4" s="19" t="s">
        <v>4</v>
      </c>
      <c r="D4" s="19" t="s">
        <v>5</v>
      </c>
      <c r="E4" s="19" t="s">
        <v>6</v>
      </c>
      <c r="F4" s="19" t="s">
        <v>7</v>
      </c>
      <c r="G4" s="20" t="s">
        <v>8</v>
      </c>
    </row>
    <row r="5" spans="1:26" s="21" customFormat="1" ht="37.5" customHeight="1" thickBot="1" x14ac:dyDescent="0.45">
      <c r="A5" s="344">
        <f>G5+0.1</f>
        <v>1.1000000000000001</v>
      </c>
      <c r="B5" s="345">
        <v>2515</v>
      </c>
      <c r="C5" s="346" t="s">
        <v>199</v>
      </c>
      <c r="D5" s="346" t="s">
        <v>200</v>
      </c>
      <c r="E5" s="347">
        <v>1</v>
      </c>
      <c r="F5" s="348">
        <v>716</v>
      </c>
      <c r="G5" s="349">
        <v>1</v>
      </c>
      <c r="H5" s="24"/>
    </row>
    <row r="6" spans="1:26" s="21" customFormat="1" ht="37.5" customHeight="1" thickBot="1" x14ac:dyDescent="0.45">
      <c r="A6" s="344">
        <f>G6+0.2</f>
        <v>1.2</v>
      </c>
      <c r="B6" s="350">
        <v>4513</v>
      </c>
      <c r="C6" s="351" t="s">
        <v>201</v>
      </c>
      <c r="D6" s="351" t="s">
        <v>202</v>
      </c>
      <c r="E6" s="352">
        <v>37</v>
      </c>
      <c r="F6" s="353">
        <v>492</v>
      </c>
      <c r="G6" s="349">
        <v>1</v>
      </c>
      <c r="H6" s="24"/>
    </row>
    <row r="7" spans="1:26" s="21" customFormat="1" ht="37.5" customHeight="1" thickBot="1" x14ac:dyDescent="0.45">
      <c r="A7" s="344">
        <f>G7+0.3</f>
        <v>1.3</v>
      </c>
      <c r="B7" s="354">
        <v>3670</v>
      </c>
      <c r="C7" s="355" t="s">
        <v>203</v>
      </c>
      <c r="D7" s="355" t="s">
        <v>204</v>
      </c>
      <c r="E7" s="356">
        <v>38</v>
      </c>
      <c r="F7" s="357">
        <v>492</v>
      </c>
      <c r="G7" s="349">
        <v>1</v>
      </c>
      <c r="H7" s="24"/>
    </row>
    <row r="8" spans="1:26" s="21" customFormat="1" ht="37.5" customHeight="1" thickBot="1" x14ac:dyDescent="0.45">
      <c r="A8" s="344">
        <f t="shared" ref="A8" si="0">G8+0.1</f>
        <v>2.1</v>
      </c>
      <c r="B8" s="358">
        <v>2582</v>
      </c>
      <c r="C8" s="359" t="s">
        <v>205</v>
      </c>
      <c r="D8" s="359" t="s">
        <v>206</v>
      </c>
      <c r="E8" s="360">
        <v>2</v>
      </c>
      <c r="F8" s="361">
        <v>698</v>
      </c>
      <c r="G8" s="362">
        <v>2</v>
      </c>
      <c r="H8" s="24"/>
      <c r="U8" s="29"/>
      <c r="V8" s="25"/>
      <c r="W8" s="25"/>
      <c r="X8" s="30"/>
      <c r="Y8" s="30"/>
      <c r="Z8" s="31"/>
    </row>
    <row r="9" spans="1:26" s="21" customFormat="1" ht="37.5" customHeight="1" thickBot="1" x14ac:dyDescent="0.45">
      <c r="A9" s="344">
        <f t="shared" ref="A9" si="1">G9+0.2</f>
        <v>2.2000000000000002</v>
      </c>
      <c r="B9" s="363">
        <v>2513</v>
      </c>
      <c r="C9" s="364" t="s">
        <v>207</v>
      </c>
      <c r="D9" s="364" t="s">
        <v>200</v>
      </c>
      <c r="E9" s="365">
        <v>35</v>
      </c>
      <c r="F9" s="366">
        <v>493</v>
      </c>
      <c r="G9" s="362">
        <v>2</v>
      </c>
      <c r="H9" s="24"/>
      <c r="U9" s="29"/>
      <c r="V9" s="25"/>
      <c r="W9" s="25"/>
      <c r="X9" s="30"/>
      <c r="Y9" s="30"/>
      <c r="Z9" s="33"/>
    </row>
    <row r="10" spans="1:26" s="21" customFormat="1" ht="37.5" customHeight="1" thickBot="1" x14ac:dyDescent="0.45">
      <c r="A10" s="344">
        <f t="shared" ref="A10" si="2">G10+0.3</f>
        <v>2.2999999999999998</v>
      </c>
      <c r="B10" s="367">
        <v>4144</v>
      </c>
      <c r="C10" s="368" t="s">
        <v>208</v>
      </c>
      <c r="D10" s="368" t="s">
        <v>209</v>
      </c>
      <c r="E10" s="369">
        <v>40</v>
      </c>
      <c r="F10" s="370">
        <v>485</v>
      </c>
      <c r="G10" s="362">
        <v>2</v>
      </c>
      <c r="H10" s="24"/>
      <c r="U10" s="35"/>
      <c r="V10" s="26"/>
      <c r="W10" s="26"/>
      <c r="X10" s="36"/>
      <c r="Y10" s="36"/>
      <c r="Z10" s="37"/>
    </row>
    <row r="11" spans="1:26" s="21" customFormat="1" ht="37.5" customHeight="1" thickBot="1" x14ac:dyDescent="0.45">
      <c r="A11" s="344">
        <f t="shared" ref="A11" si="3">G11+0.1</f>
        <v>3.1</v>
      </c>
      <c r="B11" s="345">
        <v>4034</v>
      </c>
      <c r="C11" s="346" t="s">
        <v>210</v>
      </c>
      <c r="D11" s="346" t="s">
        <v>211</v>
      </c>
      <c r="E11" s="347">
        <v>3</v>
      </c>
      <c r="F11" s="348">
        <v>645</v>
      </c>
      <c r="G11" s="349">
        <v>3</v>
      </c>
      <c r="H11" s="24"/>
      <c r="U11" s="38"/>
      <c r="V11" s="39"/>
      <c r="W11" s="39"/>
      <c r="X11" s="40"/>
      <c r="Y11" s="40"/>
      <c r="Z11" s="41"/>
    </row>
    <row r="12" spans="1:26" s="21" customFormat="1" ht="37.5" customHeight="1" thickBot="1" x14ac:dyDescent="0.45">
      <c r="A12" s="344">
        <f t="shared" ref="A12" si="4">G12+0.2</f>
        <v>3.2</v>
      </c>
      <c r="B12" s="350">
        <v>2847</v>
      </c>
      <c r="C12" s="351" t="s">
        <v>212</v>
      </c>
      <c r="D12" s="351" t="s">
        <v>213</v>
      </c>
      <c r="E12" s="352">
        <v>34</v>
      </c>
      <c r="F12" s="353">
        <v>493</v>
      </c>
      <c r="G12" s="349">
        <v>3</v>
      </c>
      <c r="H12" s="24"/>
      <c r="J12" s="42"/>
      <c r="K12" s="43"/>
      <c r="L12" s="43"/>
      <c r="M12" s="44"/>
      <c r="N12" s="44"/>
      <c r="U12" s="45"/>
      <c r="V12" s="46"/>
      <c r="W12" s="46"/>
      <c r="X12" s="47"/>
      <c r="Y12" s="47"/>
      <c r="Z12" s="48"/>
    </row>
    <row r="13" spans="1:26" s="21" customFormat="1" ht="37.5" customHeight="1" thickBot="1" x14ac:dyDescent="0.45">
      <c r="A13" s="344">
        <f t="shared" ref="A13" si="5">G13+0.3</f>
        <v>3.3</v>
      </c>
      <c r="B13" s="354">
        <v>4415</v>
      </c>
      <c r="C13" s="355" t="s">
        <v>214</v>
      </c>
      <c r="D13" s="355" t="s">
        <v>215</v>
      </c>
      <c r="E13" s="356">
        <v>45</v>
      </c>
      <c r="F13" s="357">
        <v>482</v>
      </c>
      <c r="G13" s="349">
        <v>3</v>
      </c>
      <c r="H13" s="24"/>
      <c r="U13" s="42"/>
      <c r="V13" s="43"/>
      <c r="W13" s="43"/>
      <c r="X13" s="44"/>
      <c r="Y13" s="44"/>
      <c r="Z13" s="49"/>
    </row>
    <row r="14" spans="1:26" s="21" customFormat="1" ht="37.5" customHeight="1" thickBot="1" x14ac:dyDescent="0.45">
      <c r="A14" s="344">
        <f t="shared" ref="A14" si="6">G14+0.1</f>
        <v>4.0999999999999996</v>
      </c>
      <c r="B14" s="358">
        <v>3472</v>
      </c>
      <c r="C14" s="359" t="s">
        <v>216</v>
      </c>
      <c r="D14" s="359" t="s">
        <v>217</v>
      </c>
      <c r="E14" s="360">
        <v>4</v>
      </c>
      <c r="F14" s="361">
        <v>626</v>
      </c>
      <c r="G14" s="362">
        <v>4</v>
      </c>
      <c r="H14" s="24"/>
    </row>
    <row r="15" spans="1:26" s="21" customFormat="1" ht="37.5" customHeight="1" thickBot="1" x14ac:dyDescent="0.45">
      <c r="A15" s="344">
        <f t="shared" ref="A15" si="7">G15+0.2</f>
        <v>4.2</v>
      </c>
      <c r="B15" s="363">
        <v>4248</v>
      </c>
      <c r="C15" s="364" t="s">
        <v>218</v>
      </c>
      <c r="D15" s="364" t="s">
        <v>219</v>
      </c>
      <c r="E15" s="365">
        <v>33</v>
      </c>
      <c r="F15" s="366">
        <v>493</v>
      </c>
      <c r="G15" s="362">
        <v>4</v>
      </c>
      <c r="H15" s="24"/>
      <c r="J15" s="29"/>
      <c r="K15" s="25"/>
      <c r="L15" s="25"/>
      <c r="M15" s="30"/>
      <c r="N15" s="30"/>
      <c r="O15" s="31"/>
    </row>
    <row r="16" spans="1:26" s="21" customFormat="1" ht="37.5" customHeight="1" thickBot="1" x14ac:dyDescent="0.45">
      <c r="A16" s="344">
        <f t="shared" ref="A16" si="8">G16+0.3</f>
        <v>4.3</v>
      </c>
      <c r="B16" s="367">
        <v>4464</v>
      </c>
      <c r="C16" s="368" t="s">
        <v>220</v>
      </c>
      <c r="D16" s="368" t="s">
        <v>213</v>
      </c>
      <c r="E16" s="369">
        <v>42</v>
      </c>
      <c r="F16" s="370">
        <v>483</v>
      </c>
      <c r="G16" s="362">
        <v>4</v>
      </c>
      <c r="H16" s="24"/>
      <c r="J16" s="29"/>
      <c r="K16" s="25"/>
      <c r="L16" s="25"/>
      <c r="M16" s="30"/>
      <c r="N16" s="30"/>
      <c r="O16" s="33"/>
    </row>
    <row r="17" spans="1:15" s="21" customFormat="1" ht="37.5" customHeight="1" thickBot="1" x14ac:dyDescent="0.45">
      <c r="A17" s="344">
        <f t="shared" ref="A17" si="9">G17+0.1</f>
        <v>5.0999999999999996</v>
      </c>
      <c r="B17" s="345">
        <v>2895</v>
      </c>
      <c r="C17" s="346" t="s">
        <v>221</v>
      </c>
      <c r="D17" s="346" t="s">
        <v>222</v>
      </c>
      <c r="E17" s="347">
        <v>5</v>
      </c>
      <c r="F17" s="348">
        <v>613</v>
      </c>
      <c r="G17" s="349">
        <v>5</v>
      </c>
      <c r="H17" s="24"/>
      <c r="J17" s="35"/>
      <c r="K17" s="26"/>
      <c r="L17" s="26"/>
      <c r="M17" s="36"/>
      <c r="N17" s="36"/>
      <c r="O17" s="37"/>
    </row>
    <row r="18" spans="1:15" s="21" customFormat="1" ht="37.5" customHeight="1" thickBot="1" x14ac:dyDescent="0.45">
      <c r="A18" s="344">
        <f t="shared" ref="A18" si="10">G18+0.2</f>
        <v>5.2</v>
      </c>
      <c r="B18" s="350">
        <v>3898</v>
      </c>
      <c r="C18" s="351" t="s">
        <v>223</v>
      </c>
      <c r="D18" s="351" t="s">
        <v>211</v>
      </c>
      <c r="E18" s="352">
        <v>32</v>
      </c>
      <c r="F18" s="353">
        <v>493</v>
      </c>
      <c r="G18" s="349">
        <v>5</v>
      </c>
      <c r="H18" s="24"/>
      <c r="J18" s="38"/>
      <c r="K18" s="39"/>
      <c r="L18" s="39"/>
      <c r="M18" s="40"/>
      <c r="N18" s="40"/>
      <c r="O18" s="41"/>
    </row>
    <row r="19" spans="1:15" s="21" customFormat="1" ht="37.5" customHeight="1" thickBot="1" x14ac:dyDescent="0.45">
      <c r="A19" s="344">
        <f t="shared" ref="A19" si="11">G19+0.3</f>
        <v>5.3</v>
      </c>
      <c r="B19" s="354">
        <v>3450</v>
      </c>
      <c r="C19" s="355" t="s">
        <v>224</v>
      </c>
      <c r="D19" s="355" t="s">
        <v>200</v>
      </c>
      <c r="E19" s="356">
        <v>49</v>
      </c>
      <c r="F19" s="357">
        <v>473</v>
      </c>
      <c r="G19" s="349">
        <v>5</v>
      </c>
      <c r="H19" s="24"/>
      <c r="J19" s="45"/>
      <c r="K19" s="46"/>
      <c r="L19" s="46"/>
      <c r="M19" s="47"/>
      <c r="N19" s="47"/>
      <c r="O19" s="48"/>
    </row>
    <row r="20" spans="1:15" s="21" customFormat="1" ht="37.5" customHeight="1" thickBot="1" x14ac:dyDescent="0.45">
      <c r="A20" s="344">
        <f t="shared" ref="A20" si="12">G20+0.1</f>
        <v>6.1</v>
      </c>
      <c r="B20" s="358">
        <v>2623</v>
      </c>
      <c r="C20" s="359" t="s">
        <v>225</v>
      </c>
      <c r="D20" s="359" t="s">
        <v>200</v>
      </c>
      <c r="E20" s="360">
        <v>6</v>
      </c>
      <c r="F20" s="361">
        <v>611</v>
      </c>
      <c r="G20" s="362">
        <v>6</v>
      </c>
      <c r="H20" s="24"/>
      <c r="J20" s="42"/>
      <c r="K20" s="43"/>
      <c r="L20" s="43"/>
      <c r="M20" s="44"/>
      <c r="N20" s="44"/>
      <c r="O20" s="49"/>
    </row>
    <row r="21" spans="1:15" s="21" customFormat="1" ht="37.5" customHeight="1" thickBot="1" x14ac:dyDescent="0.45">
      <c r="A21" s="344">
        <f t="shared" ref="A21" si="13">G21+0.2</f>
        <v>6.2</v>
      </c>
      <c r="B21" s="363">
        <v>4463</v>
      </c>
      <c r="C21" s="364" t="s">
        <v>226</v>
      </c>
      <c r="D21" s="364" t="s">
        <v>213</v>
      </c>
      <c r="E21" s="365">
        <v>30</v>
      </c>
      <c r="F21" s="366">
        <v>499</v>
      </c>
      <c r="G21" s="362">
        <v>6</v>
      </c>
      <c r="H21" s="24"/>
    </row>
    <row r="22" spans="1:15" s="21" customFormat="1" ht="37.5" customHeight="1" thickBot="1" x14ac:dyDescent="0.45">
      <c r="A22" s="344">
        <f t="shared" ref="A22" si="14">G22+0.3</f>
        <v>6.3</v>
      </c>
      <c r="B22" s="367">
        <v>4528</v>
      </c>
      <c r="C22" s="368" t="s">
        <v>227</v>
      </c>
      <c r="D22" s="368" t="s">
        <v>228</v>
      </c>
      <c r="E22" s="369">
        <v>48</v>
      </c>
      <c r="F22" s="370">
        <v>474</v>
      </c>
      <c r="G22" s="362">
        <v>6</v>
      </c>
      <c r="H22" s="24"/>
    </row>
    <row r="23" spans="1:15" s="21" customFormat="1" ht="37.5" customHeight="1" thickBot="1" x14ac:dyDescent="0.45">
      <c r="A23" s="344">
        <f t="shared" ref="A23" si="15">G23+0.1</f>
        <v>7.1</v>
      </c>
      <c r="B23" s="345">
        <v>3153</v>
      </c>
      <c r="C23" s="346" t="s">
        <v>229</v>
      </c>
      <c r="D23" s="346" t="s">
        <v>230</v>
      </c>
      <c r="E23" s="347">
        <v>7</v>
      </c>
      <c r="F23" s="348">
        <v>597</v>
      </c>
      <c r="G23" s="349">
        <v>7</v>
      </c>
      <c r="H23" s="24"/>
    </row>
    <row r="24" spans="1:15" s="21" customFormat="1" ht="37.5" customHeight="1" thickBot="1" x14ac:dyDescent="0.45">
      <c r="A24" s="344">
        <f t="shared" ref="A24" si="16">G24+0.2</f>
        <v>7.2</v>
      </c>
      <c r="B24" s="350">
        <v>4677</v>
      </c>
      <c r="C24" s="351" t="s">
        <v>231</v>
      </c>
      <c r="D24" s="351" t="s">
        <v>232</v>
      </c>
      <c r="E24" s="352">
        <v>28</v>
      </c>
      <c r="F24" s="353">
        <v>501</v>
      </c>
      <c r="G24" s="349">
        <v>7</v>
      </c>
      <c r="H24" s="24"/>
    </row>
    <row r="25" spans="1:15" s="21" customFormat="1" ht="37.5" customHeight="1" thickBot="1" x14ac:dyDescent="0.45">
      <c r="A25" s="344">
        <f t="shared" ref="A25" si="17">G25+0.3</f>
        <v>7.3</v>
      </c>
      <c r="B25" s="354">
        <v>4284</v>
      </c>
      <c r="C25" s="355" t="s">
        <v>233</v>
      </c>
      <c r="D25" s="355" t="s">
        <v>209</v>
      </c>
      <c r="E25" s="356">
        <v>50</v>
      </c>
      <c r="F25" s="357">
        <v>472</v>
      </c>
      <c r="G25" s="349">
        <v>7</v>
      </c>
      <c r="H25" s="24"/>
    </row>
    <row r="26" spans="1:15" s="21" customFormat="1" ht="37.5" customHeight="1" thickBot="1" x14ac:dyDescent="0.45">
      <c r="A26" s="344">
        <f t="shared" ref="A26" si="18">G26+0.1</f>
        <v>8.1</v>
      </c>
      <c r="B26" s="358">
        <v>3839</v>
      </c>
      <c r="C26" s="359" t="s">
        <v>234</v>
      </c>
      <c r="D26" s="359" t="s">
        <v>235</v>
      </c>
      <c r="E26" s="360">
        <v>8</v>
      </c>
      <c r="F26" s="361">
        <v>588</v>
      </c>
      <c r="G26" s="362">
        <v>8</v>
      </c>
      <c r="H26" s="24"/>
    </row>
    <row r="27" spans="1:15" s="21" customFormat="1" ht="37.5" customHeight="1" thickBot="1" x14ac:dyDescent="0.45">
      <c r="A27" s="344">
        <f t="shared" ref="A27" si="19">G27+0.2</f>
        <v>8.1999999999999993</v>
      </c>
      <c r="B27" s="363">
        <v>4002</v>
      </c>
      <c r="C27" s="364" t="s">
        <v>236</v>
      </c>
      <c r="D27" s="364" t="s">
        <v>211</v>
      </c>
      <c r="E27" s="365">
        <v>27</v>
      </c>
      <c r="F27" s="366">
        <v>502</v>
      </c>
      <c r="G27" s="362">
        <v>8</v>
      </c>
      <c r="H27" s="24"/>
    </row>
    <row r="28" spans="1:15" s="21" customFormat="1" ht="37.5" customHeight="1" thickBot="1" x14ac:dyDescent="0.45">
      <c r="A28" s="344">
        <f t="shared" ref="A28" si="20">G28+0.3</f>
        <v>8.3000000000000007</v>
      </c>
      <c r="B28" s="367">
        <v>4641</v>
      </c>
      <c r="C28" s="368" t="s">
        <v>237</v>
      </c>
      <c r="D28" s="368" t="s">
        <v>219</v>
      </c>
      <c r="E28" s="369">
        <v>51</v>
      </c>
      <c r="F28" s="370">
        <v>472</v>
      </c>
      <c r="G28" s="362">
        <v>8</v>
      </c>
      <c r="H28" s="24"/>
    </row>
    <row r="29" spans="1:15" s="21" customFormat="1" ht="37.5" customHeight="1" thickBot="1" x14ac:dyDescent="0.45">
      <c r="A29" s="344">
        <f t="shared" ref="A29" si="21">G29+0.1</f>
        <v>9.1</v>
      </c>
      <c r="B29" s="345">
        <v>3836</v>
      </c>
      <c r="C29" s="346" t="s">
        <v>238</v>
      </c>
      <c r="D29" s="346" t="s">
        <v>228</v>
      </c>
      <c r="E29" s="347">
        <v>9</v>
      </c>
      <c r="F29" s="348">
        <v>578</v>
      </c>
      <c r="G29" s="349">
        <v>9</v>
      </c>
      <c r="H29" s="24"/>
    </row>
    <row r="30" spans="1:15" s="21" customFormat="1" ht="37.5" customHeight="1" thickBot="1" x14ac:dyDescent="0.45">
      <c r="A30" s="344">
        <f t="shared" ref="A30" si="22">G30+0.2</f>
        <v>9.1999999999999993</v>
      </c>
      <c r="B30" s="350">
        <v>3234</v>
      </c>
      <c r="C30" s="351" t="s">
        <v>239</v>
      </c>
      <c r="D30" s="351" t="s">
        <v>235</v>
      </c>
      <c r="E30" s="352">
        <v>28</v>
      </c>
      <c r="F30" s="353">
        <v>501</v>
      </c>
      <c r="G30" s="349">
        <v>9</v>
      </c>
      <c r="H30" s="24"/>
    </row>
    <row r="31" spans="1:15" s="21" customFormat="1" ht="37.5" customHeight="1" thickBot="1" x14ac:dyDescent="0.45">
      <c r="A31" s="344">
        <f t="shared" ref="A31" si="23">G31+0.3</f>
        <v>9.3000000000000007</v>
      </c>
      <c r="B31" s="354">
        <v>4115</v>
      </c>
      <c r="C31" s="355" t="s">
        <v>240</v>
      </c>
      <c r="D31" s="355" t="s">
        <v>241</v>
      </c>
      <c r="E31" s="356">
        <v>53</v>
      </c>
      <c r="F31" s="357">
        <v>471</v>
      </c>
      <c r="G31" s="349">
        <v>9</v>
      </c>
      <c r="H31" s="24"/>
    </row>
    <row r="32" spans="1:15" s="21" customFormat="1" ht="37.5" customHeight="1" thickBot="1" x14ac:dyDescent="0.45">
      <c r="A32" s="344">
        <f t="shared" ref="A32" si="24">G32+0.1</f>
        <v>10.1</v>
      </c>
      <c r="B32" s="358">
        <v>3671</v>
      </c>
      <c r="C32" s="359" t="s">
        <v>242</v>
      </c>
      <c r="D32" s="359" t="s">
        <v>200</v>
      </c>
      <c r="E32" s="360">
        <v>10</v>
      </c>
      <c r="F32" s="361">
        <v>575</v>
      </c>
      <c r="G32" s="362">
        <v>10</v>
      </c>
      <c r="H32" s="24"/>
      <c r="J32" s="29"/>
      <c r="K32" s="25"/>
      <c r="L32" s="25"/>
      <c r="M32" s="30"/>
      <c r="N32" s="50"/>
    </row>
    <row r="33" spans="1:12" s="21" customFormat="1" ht="37.5" customHeight="1" thickBot="1" x14ac:dyDescent="0.45">
      <c r="A33" s="344">
        <f t="shared" ref="A33" si="25">G33+0.2</f>
        <v>10.199999999999999</v>
      </c>
      <c r="B33" s="363">
        <v>3449</v>
      </c>
      <c r="C33" s="364" t="s">
        <v>243</v>
      </c>
      <c r="D33" s="364" t="s">
        <v>215</v>
      </c>
      <c r="E33" s="365">
        <v>26</v>
      </c>
      <c r="F33" s="366">
        <v>505</v>
      </c>
      <c r="G33" s="362">
        <v>10</v>
      </c>
      <c r="H33" s="24"/>
    </row>
    <row r="34" spans="1:12" s="21" customFormat="1" ht="37.5" customHeight="1" thickBot="1" x14ac:dyDescent="0.45">
      <c r="A34" s="344">
        <f t="shared" ref="A34" si="26">G34+0.3</f>
        <v>10.3</v>
      </c>
      <c r="B34" s="367">
        <v>4236</v>
      </c>
      <c r="C34" s="368" t="s">
        <v>244</v>
      </c>
      <c r="D34" s="368" t="s">
        <v>245</v>
      </c>
      <c r="E34" s="369">
        <v>58</v>
      </c>
      <c r="F34" s="370">
        <v>462</v>
      </c>
      <c r="G34" s="362">
        <v>10</v>
      </c>
      <c r="H34" s="24"/>
    </row>
    <row r="35" spans="1:12" s="21" customFormat="1" ht="37.5" customHeight="1" thickBot="1" x14ac:dyDescent="0.45">
      <c r="A35" s="344">
        <f t="shared" ref="A35" si="27">G35+0.1</f>
        <v>11.1</v>
      </c>
      <c r="B35" s="345">
        <v>3499</v>
      </c>
      <c r="C35" s="346" t="s">
        <v>246</v>
      </c>
      <c r="D35" s="346" t="s">
        <v>247</v>
      </c>
      <c r="E35" s="347">
        <v>11</v>
      </c>
      <c r="F35" s="348">
        <v>569</v>
      </c>
      <c r="G35" s="349">
        <v>11</v>
      </c>
      <c r="H35" s="24"/>
    </row>
    <row r="36" spans="1:12" s="21" customFormat="1" ht="37.5" customHeight="1" thickBot="1" x14ac:dyDescent="0.45">
      <c r="A36" s="344">
        <f t="shared" ref="A36" si="28">G36+0.2</f>
        <v>11.2</v>
      </c>
      <c r="B36" s="350">
        <v>2801</v>
      </c>
      <c r="C36" s="351" t="s">
        <v>248</v>
      </c>
      <c r="D36" s="351" t="s">
        <v>211</v>
      </c>
      <c r="E36" s="352">
        <v>25</v>
      </c>
      <c r="F36" s="353">
        <v>507</v>
      </c>
      <c r="G36" s="349">
        <v>11</v>
      </c>
      <c r="H36" s="24"/>
    </row>
    <row r="37" spans="1:12" s="21" customFormat="1" ht="37.5" customHeight="1" thickBot="1" x14ac:dyDescent="0.45">
      <c r="A37" s="344">
        <f t="shared" ref="A37" si="29">G37+0.3</f>
        <v>11.3</v>
      </c>
      <c r="B37" s="354">
        <v>4833</v>
      </c>
      <c r="C37" s="355" t="s">
        <v>249</v>
      </c>
      <c r="D37" s="355" t="s">
        <v>204</v>
      </c>
      <c r="E37" s="356">
        <v>59</v>
      </c>
      <c r="F37" s="357">
        <v>462</v>
      </c>
      <c r="G37" s="349">
        <v>11</v>
      </c>
      <c r="H37" s="24"/>
    </row>
    <row r="38" spans="1:12" s="21" customFormat="1" ht="37.5" customHeight="1" thickBot="1" x14ac:dyDescent="0.45">
      <c r="A38" s="344">
        <f t="shared" ref="A38" si="30">G38+0.1</f>
        <v>12.1</v>
      </c>
      <c r="B38" s="358">
        <v>3696</v>
      </c>
      <c r="C38" s="359" t="s">
        <v>250</v>
      </c>
      <c r="D38" s="359" t="s">
        <v>235</v>
      </c>
      <c r="E38" s="360">
        <v>12</v>
      </c>
      <c r="F38" s="361">
        <v>565</v>
      </c>
      <c r="G38" s="362">
        <v>12</v>
      </c>
      <c r="H38" s="24"/>
    </row>
    <row r="39" spans="1:12" s="21" customFormat="1" ht="37.5" customHeight="1" thickBot="1" x14ac:dyDescent="0.45">
      <c r="A39" s="344">
        <f t="shared" ref="A39" si="31">G39+0.2</f>
        <v>12.2</v>
      </c>
      <c r="B39" s="363">
        <v>3468</v>
      </c>
      <c r="C39" s="364" t="s">
        <v>251</v>
      </c>
      <c r="D39" s="364" t="s">
        <v>204</v>
      </c>
      <c r="E39" s="365">
        <v>24</v>
      </c>
      <c r="F39" s="366">
        <v>508</v>
      </c>
      <c r="G39" s="362">
        <v>12</v>
      </c>
      <c r="H39" s="24"/>
    </row>
    <row r="40" spans="1:12" s="21" customFormat="1" ht="37.5" customHeight="1" thickBot="1" x14ac:dyDescent="0.45">
      <c r="A40" s="344">
        <f t="shared" ref="A40" si="32">G40+0.3</f>
        <v>12.3</v>
      </c>
      <c r="B40" s="367">
        <v>4790</v>
      </c>
      <c r="C40" s="368" t="s">
        <v>252</v>
      </c>
      <c r="D40" s="368" t="s">
        <v>211</v>
      </c>
      <c r="E40" s="369">
        <v>62</v>
      </c>
      <c r="F40" s="370">
        <v>461</v>
      </c>
      <c r="G40" s="362">
        <v>12</v>
      </c>
      <c r="H40" s="24"/>
    </row>
    <row r="41" spans="1:12" s="21" customFormat="1" ht="37.5" customHeight="1" thickBot="1" x14ac:dyDescent="0.45">
      <c r="A41" s="344">
        <f t="shared" ref="A41" si="33">G41+0.1</f>
        <v>13.1</v>
      </c>
      <c r="B41" s="345">
        <v>3309</v>
      </c>
      <c r="C41" s="346" t="s">
        <v>253</v>
      </c>
      <c r="D41" s="346" t="s">
        <v>219</v>
      </c>
      <c r="E41" s="347">
        <v>13</v>
      </c>
      <c r="F41" s="348">
        <v>558</v>
      </c>
      <c r="G41" s="349">
        <v>13</v>
      </c>
      <c r="H41" s="24"/>
    </row>
    <row r="42" spans="1:12" s="21" customFormat="1" ht="37.5" customHeight="1" thickBot="1" x14ac:dyDescent="0.45">
      <c r="A42" s="344">
        <f t="shared" ref="A42" si="34">G42+0.2</f>
        <v>13.2</v>
      </c>
      <c r="B42" s="350">
        <v>3458</v>
      </c>
      <c r="C42" s="351" t="s">
        <v>254</v>
      </c>
      <c r="D42" s="351" t="s">
        <v>209</v>
      </c>
      <c r="E42" s="352">
        <v>20</v>
      </c>
      <c r="F42" s="353">
        <v>531</v>
      </c>
      <c r="G42" s="349">
        <v>13</v>
      </c>
      <c r="H42" s="24"/>
    </row>
    <row r="43" spans="1:12" s="21" customFormat="1" ht="37.5" customHeight="1" thickBot="1" x14ac:dyDescent="0.45">
      <c r="A43" s="344">
        <f t="shared" ref="A43" si="35">G43+0.3</f>
        <v>13.3</v>
      </c>
      <c r="B43" s="354">
        <v>4327</v>
      </c>
      <c r="C43" s="355" t="s">
        <v>255</v>
      </c>
      <c r="D43" s="355" t="s">
        <v>204</v>
      </c>
      <c r="E43" s="356">
        <v>61</v>
      </c>
      <c r="F43" s="357">
        <v>461</v>
      </c>
      <c r="G43" s="349">
        <v>13</v>
      </c>
      <c r="H43" s="24"/>
      <c r="K43" s="36"/>
      <c r="L43" s="36"/>
    </row>
    <row r="44" spans="1:12" s="21" customFormat="1" ht="37.5" customHeight="1" thickBot="1" x14ac:dyDescent="0.45">
      <c r="A44" s="344">
        <f t="shared" ref="A44" si="36">G44+0.1</f>
        <v>14.1</v>
      </c>
      <c r="B44" s="358">
        <v>4363</v>
      </c>
      <c r="C44" s="359" t="s">
        <v>256</v>
      </c>
      <c r="D44" s="359" t="s">
        <v>257</v>
      </c>
      <c r="E44" s="360">
        <v>14</v>
      </c>
      <c r="F44" s="361">
        <v>549</v>
      </c>
      <c r="G44" s="362">
        <v>14</v>
      </c>
      <c r="H44" s="24"/>
      <c r="K44" s="40"/>
      <c r="L44" s="40"/>
    </row>
    <row r="45" spans="1:12" ht="37.5" customHeight="1" thickBot="1" x14ac:dyDescent="0.45">
      <c r="A45" s="344">
        <f t="shared" ref="A45" si="37">G45+0.2</f>
        <v>14.2</v>
      </c>
      <c r="B45" s="363">
        <v>4056</v>
      </c>
      <c r="C45" s="364" t="s">
        <v>258</v>
      </c>
      <c r="D45" s="364" t="s">
        <v>213</v>
      </c>
      <c r="E45" s="365">
        <v>19</v>
      </c>
      <c r="F45" s="366">
        <v>536</v>
      </c>
      <c r="G45" s="362">
        <v>14</v>
      </c>
      <c r="H45" s="24"/>
      <c r="K45" s="51"/>
      <c r="L45" s="51"/>
    </row>
    <row r="46" spans="1:12" ht="37.5" customHeight="1" thickBot="1" x14ac:dyDescent="0.45">
      <c r="A46" s="344">
        <f t="shared" ref="A46" si="38">G46+0.3</f>
        <v>14.3</v>
      </c>
      <c r="B46" s="367">
        <v>4851</v>
      </c>
      <c r="C46" s="368" t="s">
        <v>259</v>
      </c>
      <c r="D46" s="368" t="s">
        <v>260</v>
      </c>
      <c r="E46" s="369">
        <v>64</v>
      </c>
      <c r="F46" s="370">
        <v>460</v>
      </c>
      <c r="G46" s="362">
        <v>14</v>
      </c>
      <c r="H46" s="24"/>
      <c r="K46" s="52"/>
      <c r="L46" s="52"/>
    </row>
    <row r="47" spans="1:12" ht="37.5" customHeight="1" thickBot="1" x14ac:dyDescent="0.45">
      <c r="A47" s="344">
        <f t="shared" ref="A47:A51" si="39">G47+0.1</f>
        <v>15.1</v>
      </c>
      <c r="B47" s="345">
        <v>3719</v>
      </c>
      <c r="C47" s="346" t="s">
        <v>261</v>
      </c>
      <c r="D47" s="346" t="s">
        <v>200</v>
      </c>
      <c r="E47" s="347">
        <v>15</v>
      </c>
      <c r="F47" s="348">
        <v>543</v>
      </c>
      <c r="G47" s="349">
        <v>15</v>
      </c>
      <c r="H47" s="24"/>
      <c r="K47" s="53"/>
      <c r="L47" s="53"/>
    </row>
    <row r="48" spans="1:12" ht="37.5" customHeight="1" thickBot="1" x14ac:dyDescent="0.45">
      <c r="A48" s="344">
        <f t="shared" ref="A48" si="40">G48+0.2</f>
        <v>15.2</v>
      </c>
      <c r="B48" s="371">
        <v>2368</v>
      </c>
      <c r="C48" s="351" t="s">
        <v>262</v>
      </c>
      <c r="D48" s="351" t="s">
        <v>204</v>
      </c>
      <c r="E48" s="372">
        <v>18</v>
      </c>
      <c r="F48" s="373">
        <v>540</v>
      </c>
      <c r="G48" s="349">
        <v>15</v>
      </c>
      <c r="H48" s="24"/>
      <c r="K48" s="53"/>
      <c r="L48" s="53"/>
    </row>
    <row r="49" spans="1:12" ht="37.5" customHeight="1" thickBot="1" x14ac:dyDescent="0.45">
      <c r="A49" s="344">
        <f t="shared" ref="A49" si="41">G49+0.3</f>
        <v>15.3</v>
      </c>
      <c r="B49" s="371">
        <v>4541</v>
      </c>
      <c r="C49" s="351" t="s">
        <v>263</v>
      </c>
      <c r="D49" s="351" t="s">
        <v>213</v>
      </c>
      <c r="E49" s="372">
        <v>74</v>
      </c>
      <c r="F49" s="373">
        <v>440</v>
      </c>
      <c r="G49" s="349">
        <v>15</v>
      </c>
      <c r="H49" s="24"/>
      <c r="K49" s="55"/>
      <c r="L49" s="55"/>
    </row>
    <row r="50" spans="1:12" ht="37.5" customHeight="1" thickBot="1" x14ac:dyDescent="0.45">
      <c r="A50" s="344">
        <f>G50+0.4</f>
        <v>15.4</v>
      </c>
      <c r="B50" s="374">
        <v>3792</v>
      </c>
      <c r="C50" s="355" t="s">
        <v>264</v>
      </c>
      <c r="D50" s="355" t="s">
        <v>232</v>
      </c>
      <c r="E50" s="375">
        <v>76</v>
      </c>
      <c r="F50" s="376">
        <v>440</v>
      </c>
      <c r="G50" s="349">
        <v>15</v>
      </c>
      <c r="H50" s="24"/>
      <c r="K50" s="59"/>
    </row>
    <row r="51" spans="1:12" ht="37.5" customHeight="1" thickBot="1" x14ac:dyDescent="0.45">
      <c r="A51" s="344">
        <f t="shared" si="39"/>
        <v>16.100000000000001</v>
      </c>
      <c r="B51" s="377">
        <v>3160</v>
      </c>
      <c r="C51" s="364" t="s">
        <v>265</v>
      </c>
      <c r="D51" s="364" t="s">
        <v>200</v>
      </c>
      <c r="E51" s="378">
        <v>16</v>
      </c>
      <c r="F51" s="379">
        <v>543</v>
      </c>
      <c r="G51" s="362">
        <v>16</v>
      </c>
      <c r="H51" s="24"/>
      <c r="K51" s="51"/>
      <c r="L51" s="51"/>
    </row>
    <row r="52" spans="1:12" ht="37.5" customHeight="1" thickBot="1" x14ac:dyDescent="0.45">
      <c r="A52" s="344">
        <f t="shared" ref="A52" si="42">G52+0.2</f>
        <v>16.2</v>
      </c>
      <c r="B52" s="363">
        <v>3747</v>
      </c>
      <c r="C52" s="364" t="s">
        <v>266</v>
      </c>
      <c r="D52" s="364" t="s">
        <v>213</v>
      </c>
      <c r="E52" s="365">
        <v>17</v>
      </c>
      <c r="F52" s="366">
        <v>542</v>
      </c>
      <c r="G52" s="362">
        <v>16</v>
      </c>
      <c r="H52" s="24"/>
      <c r="K52" s="52"/>
      <c r="L52" s="52"/>
    </row>
    <row r="53" spans="1:12" ht="37.5" customHeight="1" thickBot="1" x14ac:dyDescent="0.45">
      <c r="A53" s="344">
        <f t="shared" ref="A53" si="43">G53+0.3</f>
        <v>16.3</v>
      </c>
      <c r="B53" s="363">
        <v>4300</v>
      </c>
      <c r="C53" s="364" t="s">
        <v>267</v>
      </c>
      <c r="D53" s="364" t="s">
        <v>202</v>
      </c>
      <c r="E53" s="365">
        <v>72</v>
      </c>
      <c r="F53" s="366">
        <v>447</v>
      </c>
      <c r="G53" s="362">
        <v>16</v>
      </c>
      <c r="H53" s="24"/>
      <c r="K53" s="53"/>
      <c r="L53" s="53"/>
    </row>
    <row r="54" spans="1:12" ht="37.5" customHeight="1" thickBot="1" x14ac:dyDescent="0.45">
      <c r="A54" s="344">
        <f>G54+0.4</f>
        <v>16.399999999999999</v>
      </c>
      <c r="B54" s="367">
        <v>4287</v>
      </c>
      <c r="C54" s="368" t="s">
        <v>268</v>
      </c>
      <c r="D54" s="368" t="s">
        <v>228</v>
      </c>
      <c r="E54" s="369">
        <v>75</v>
      </c>
      <c r="F54" s="370">
        <v>440</v>
      </c>
      <c r="G54" s="362">
        <v>16</v>
      </c>
      <c r="H54" s="24"/>
      <c r="K54" s="53"/>
      <c r="L54" s="53"/>
    </row>
    <row r="55" spans="1:12" ht="37.5" customHeight="1" thickBot="1" x14ac:dyDescent="0.45">
      <c r="A55" s="21">
        <f t="shared" ref="A55:A88" si="44">G55+0.3</f>
        <v>0.3</v>
      </c>
      <c r="B55" s="35"/>
      <c r="C55" s="26"/>
      <c r="D55" s="26"/>
      <c r="E55" s="36"/>
      <c r="F55" s="54"/>
      <c r="G55" s="23"/>
      <c r="H55" s="24"/>
      <c r="K55" s="55"/>
      <c r="L55" s="55"/>
    </row>
    <row r="56" spans="1:12" ht="37.5" customHeight="1" thickBot="1" x14ac:dyDescent="0.45">
      <c r="A56" s="21">
        <f t="shared" ref="A56:A89" si="45">G56+0.1</f>
        <v>0.1</v>
      </c>
      <c r="B56" s="56"/>
      <c r="C56" s="27"/>
      <c r="D56" s="27"/>
      <c r="E56" s="57"/>
      <c r="F56" s="58"/>
      <c r="G56" s="28"/>
      <c r="H56" s="24"/>
      <c r="K56" s="59"/>
      <c r="L56" s="59"/>
    </row>
    <row r="57" spans="1:12" ht="37.5" customHeight="1" thickBot="1" x14ac:dyDescent="0.45">
      <c r="A57" s="21">
        <f t="shared" ref="A57:A87" si="46">G57+0.2</f>
        <v>0.2</v>
      </c>
      <c r="B57" s="60"/>
      <c r="C57" s="32"/>
      <c r="D57" s="32"/>
      <c r="E57" s="61"/>
      <c r="F57" s="62"/>
      <c r="G57" s="28"/>
      <c r="H57" s="24"/>
      <c r="K57" s="51"/>
      <c r="L57" s="51"/>
    </row>
    <row r="58" spans="1:12" ht="37.5" customHeight="1" thickBot="1" x14ac:dyDescent="0.45">
      <c r="A58" s="21">
        <f t="shared" si="44"/>
        <v>0.3</v>
      </c>
      <c r="B58" s="63"/>
      <c r="C58" s="34"/>
      <c r="D58" s="34"/>
      <c r="E58" s="64"/>
      <c r="F58" s="65"/>
      <c r="G58" s="28"/>
      <c r="H58" s="24"/>
      <c r="K58" s="52"/>
      <c r="L58" s="52"/>
    </row>
    <row r="59" spans="1:12" ht="37.5" customHeight="1" thickBot="1" x14ac:dyDescent="0.45">
      <c r="A59" s="21">
        <f t="shared" si="45"/>
        <v>0.1</v>
      </c>
      <c r="B59" s="66"/>
      <c r="C59" s="22"/>
      <c r="D59" s="22"/>
      <c r="E59" s="67"/>
      <c r="F59" s="68"/>
      <c r="G59" s="23"/>
      <c r="H59" s="24"/>
      <c r="K59" s="53"/>
      <c r="L59" s="53"/>
    </row>
    <row r="60" spans="1:12" ht="37.5" customHeight="1" thickBot="1" x14ac:dyDescent="0.45">
      <c r="A60" s="21">
        <f t="shared" si="46"/>
        <v>0.2</v>
      </c>
      <c r="B60" s="29"/>
      <c r="C60" s="25"/>
      <c r="D60" s="25"/>
      <c r="E60" s="30"/>
      <c r="F60" s="50"/>
      <c r="G60" s="23"/>
      <c r="H60" s="24"/>
      <c r="K60" s="53"/>
      <c r="L60" s="53"/>
    </row>
    <row r="61" spans="1:12" ht="37.5" customHeight="1" thickBot="1" x14ac:dyDescent="0.45">
      <c r="A61" s="21">
        <f t="shared" si="44"/>
        <v>0.3</v>
      </c>
      <c r="B61" s="35"/>
      <c r="C61" s="26"/>
      <c r="D61" s="26"/>
      <c r="E61" s="36"/>
      <c r="F61" s="54"/>
      <c r="G61" s="23"/>
      <c r="H61" s="24"/>
      <c r="K61" s="55"/>
      <c r="L61" s="55"/>
    </row>
    <row r="62" spans="1:12" ht="37.5" customHeight="1" thickBot="1" x14ac:dyDescent="0.45">
      <c r="A62" s="21">
        <f t="shared" si="45"/>
        <v>0.1</v>
      </c>
      <c r="B62" s="56"/>
      <c r="C62" s="27"/>
      <c r="D62" s="27"/>
      <c r="E62" s="57"/>
      <c r="F62" s="58"/>
      <c r="G62" s="28"/>
      <c r="H62" s="24"/>
      <c r="K62" s="59"/>
      <c r="L62" s="59"/>
    </row>
    <row r="63" spans="1:12" ht="37.5" customHeight="1" thickBot="1" x14ac:dyDescent="0.45">
      <c r="A63" s="21">
        <f t="shared" si="46"/>
        <v>0.2</v>
      </c>
      <c r="B63" s="60"/>
      <c r="C63" s="32"/>
      <c r="D63" s="32"/>
      <c r="E63" s="61"/>
      <c r="F63" s="62"/>
      <c r="G63" s="28"/>
      <c r="H63" s="24"/>
      <c r="K63" s="51"/>
      <c r="L63" s="51"/>
    </row>
    <row r="64" spans="1:12" ht="37.5" customHeight="1" thickBot="1" x14ac:dyDescent="0.45">
      <c r="A64" s="21">
        <f t="shared" si="44"/>
        <v>0.3</v>
      </c>
      <c r="B64" s="63"/>
      <c r="C64" s="34"/>
      <c r="D64" s="34"/>
      <c r="E64" s="64"/>
      <c r="F64" s="65"/>
      <c r="G64" s="28"/>
      <c r="H64" s="24"/>
      <c r="K64" s="52"/>
      <c r="L64" s="52"/>
    </row>
    <row r="65" spans="1:12" ht="37.5" customHeight="1" thickBot="1" x14ac:dyDescent="0.45">
      <c r="A65" s="21">
        <f t="shared" si="45"/>
        <v>0.1</v>
      </c>
      <c r="B65" s="66"/>
      <c r="C65" s="22"/>
      <c r="D65" s="22"/>
      <c r="E65" s="67"/>
      <c r="F65" s="68"/>
      <c r="G65" s="23"/>
      <c r="H65" s="24"/>
      <c r="K65" s="53"/>
      <c r="L65" s="53"/>
    </row>
    <row r="66" spans="1:12" ht="37.5" customHeight="1" thickBot="1" x14ac:dyDescent="0.45">
      <c r="A66" s="21">
        <f t="shared" si="46"/>
        <v>0.2</v>
      </c>
      <c r="B66" s="29"/>
      <c r="C66" s="25"/>
      <c r="D66" s="25"/>
      <c r="E66" s="30"/>
      <c r="F66" s="50"/>
      <c r="G66" s="23"/>
      <c r="H66" s="24"/>
      <c r="K66" s="53"/>
      <c r="L66" s="53"/>
    </row>
    <row r="67" spans="1:12" ht="37.5" customHeight="1" thickBot="1" x14ac:dyDescent="0.45">
      <c r="A67" s="21">
        <f t="shared" si="44"/>
        <v>0.3</v>
      </c>
      <c r="B67" s="35"/>
      <c r="C67" s="26"/>
      <c r="D67" s="26"/>
      <c r="E67" s="36"/>
      <c r="F67" s="54"/>
      <c r="G67" s="23"/>
      <c r="H67" s="24"/>
      <c r="K67" s="55"/>
      <c r="L67" s="55"/>
    </row>
    <row r="68" spans="1:12" ht="37.5" customHeight="1" thickBot="1" x14ac:dyDescent="0.45">
      <c r="A68" s="21">
        <f t="shared" si="45"/>
        <v>0.1</v>
      </c>
      <c r="B68" s="56"/>
      <c r="C68" s="27"/>
      <c r="D68" s="27"/>
      <c r="E68" s="57"/>
      <c r="F68" s="58"/>
      <c r="G68" s="28"/>
      <c r="H68" s="24"/>
      <c r="K68" s="59"/>
      <c r="L68" s="59"/>
    </row>
    <row r="69" spans="1:12" ht="37.5" customHeight="1" thickBot="1" x14ac:dyDescent="0.45">
      <c r="A69" s="21">
        <f t="shared" si="46"/>
        <v>0.2</v>
      </c>
      <c r="B69" s="60"/>
      <c r="C69" s="32"/>
      <c r="D69" s="32"/>
      <c r="E69" s="61"/>
      <c r="F69" s="62"/>
      <c r="G69" s="28"/>
      <c r="H69" s="24"/>
      <c r="K69" s="51"/>
      <c r="L69" s="51"/>
    </row>
    <row r="70" spans="1:12" ht="37.5" customHeight="1" thickBot="1" x14ac:dyDescent="0.45">
      <c r="A70" s="21">
        <f t="shared" si="44"/>
        <v>0.3</v>
      </c>
      <c r="B70" s="63"/>
      <c r="C70" s="34"/>
      <c r="D70" s="34"/>
      <c r="E70" s="64"/>
      <c r="F70" s="65"/>
      <c r="G70" s="28"/>
      <c r="H70" s="24"/>
      <c r="K70" s="52"/>
      <c r="L70" s="52"/>
    </row>
    <row r="71" spans="1:12" ht="37.5" customHeight="1" thickBot="1" x14ac:dyDescent="0.45">
      <c r="A71" s="21">
        <f t="shared" si="45"/>
        <v>0.1</v>
      </c>
      <c r="B71" s="66"/>
      <c r="C71" s="22"/>
      <c r="D71" s="22"/>
      <c r="E71" s="67"/>
      <c r="F71" s="68"/>
      <c r="G71" s="23"/>
      <c r="H71" s="24"/>
      <c r="K71" s="53"/>
      <c r="L71" s="53"/>
    </row>
    <row r="72" spans="1:12" ht="37.5" customHeight="1" thickBot="1" x14ac:dyDescent="0.45">
      <c r="A72" s="21">
        <f t="shared" si="46"/>
        <v>0.2</v>
      </c>
      <c r="B72" s="29"/>
      <c r="C72" s="25"/>
      <c r="D72" s="25"/>
      <c r="E72" s="30"/>
      <c r="F72" s="50"/>
      <c r="G72" s="23"/>
      <c r="H72" s="24"/>
      <c r="K72" s="53"/>
      <c r="L72" s="53"/>
    </row>
    <row r="73" spans="1:12" ht="37.5" customHeight="1" thickBot="1" x14ac:dyDescent="0.45">
      <c r="A73" s="21">
        <f t="shared" si="44"/>
        <v>0.3</v>
      </c>
      <c r="B73" s="35"/>
      <c r="C73" s="26"/>
      <c r="D73" s="26"/>
      <c r="E73" s="36"/>
      <c r="F73" s="54"/>
      <c r="G73" s="23"/>
      <c r="H73" s="24"/>
      <c r="K73" s="55"/>
      <c r="L73" s="55"/>
    </row>
    <row r="74" spans="1:12" ht="37.5" customHeight="1" thickBot="1" x14ac:dyDescent="0.45">
      <c r="A74" s="21">
        <f t="shared" si="45"/>
        <v>0.1</v>
      </c>
      <c r="B74" s="56"/>
      <c r="C74" s="27"/>
      <c r="D74" s="27"/>
      <c r="E74" s="57"/>
      <c r="F74" s="58"/>
      <c r="G74" s="28"/>
      <c r="H74" s="24"/>
      <c r="K74" s="59"/>
      <c r="L74" s="59"/>
    </row>
    <row r="75" spans="1:12" ht="37.5" customHeight="1" thickBot="1" x14ac:dyDescent="0.45">
      <c r="A75" s="21">
        <f t="shared" si="46"/>
        <v>0.2</v>
      </c>
      <c r="B75" s="60"/>
      <c r="C75" s="32"/>
      <c r="D75" s="32"/>
      <c r="E75" s="61"/>
      <c r="F75" s="62"/>
      <c r="G75" s="28"/>
      <c r="H75" s="24"/>
      <c r="K75" s="51"/>
    </row>
    <row r="76" spans="1:12" ht="37.5" customHeight="1" thickBot="1" x14ac:dyDescent="0.45">
      <c r="A76" s="21">
        <f t="shared" si="44"/>
        <v>0.3</v>
      </c>
      <c r="B76" s="63"/>
      <c r="C76" s="34"/>
      <c r="D76" s="34"/>
      <c r="E76" s="64"/>
      <c r="F76" s="65"/>
      <c r="G76" s="28"/>
      <c r="H76" s="24"/>
      <c r="K76" s="52"/>
      <c r="L76" s="52"/>
    </row>
    <row r="77" spans="1:12" ht="37.5" customHeight="1" thickBot="1" x14ac:dyDescent="0.45">
      <c r="A77" s="21">
        <f t="shared" si="45"/>
        <v>0.1</v>
      </c>
      <c r="B77" s="66"/>
      <c r="C77" s="22"/>
      <c r="D77" s="22"/>
      <c r="E77" s="67"/>
      <c r="F77" s="68"/>
      <c r="G77" s="23"/>
      <c r="H77" s="24"/>
      <c r="K77" s="53"/>
      <c r="L77" s="53"/>
    </row>
    <row r="78" spans="1:12" ht="37.5" customHeight="1" thickBot="1" x14ac:dyDescent="0.45">
      <c r="A78" s="21">
        <f t="shared" si="46"/>
        <v>0.2</v>
      </c>
      <c r="B78" s="29"/>
      <c r="C78" s="25"/>
      <c r="D78" s="25"/>
      <c r="E78" s="30"/>
      <c r="F78" s="50"/>
      <c r="G78" s="23"/>
      <c r="H78" s="24"/>
      <c r="K78" s="53"/>
      <c r="L78" s="53"/>
    </row>
    <row r="79" spans="1:12" ht="37.5" customHeight="1" thickBot="1" x14ac:dyDescent="0.45">
      <c r="A79" s="21">
        <f t="shared" si="44"/>
        <v>0.3</v>
      </c>
      <c r="B79" s="35"/>
      <c r="C79" s="26"/>
      <c r="D79" s="26"/>
      <c r="E79" s="36"/>
      <c r="F79" s="54"/>
      <c r="G79" s="23"/>
      <c r="H79" s="24"/>
      <c r="K79" s="55"/>
      <c r="L79" s="55"/>
    </row>
    <row r="80" spans="1:12" ht="37.5" customHeight="1" thickBot="1" x14ac:dyDescent="0.45">
      <c r="A80" s="21">
        <f t="shared" si="45"/>
        <v>0.1</v>
      </c>
      <c r="B80" s="56"/>
      <c r="C80" s="27"/>
      <c r="D80" s="27"/>
      <c r="E80" s="57"/>
      <c r="F80" s="58"/>
      <c r="G80" s="28"/>
      <c r="H80" s="24"/>
      <c r="K80" s="59"/>
      <c r="L80" s="59"/>
    </row>
    <row r="81" spans="1:12" ht="37.5" customHeight="1" thickBot="1" x14ac:dyDescent="0.45">
      <c r="A81" s="21">
        <f t="shared" si="46"/>
        <v>0.2</v>
      </c>
      <c r="B81" s="60"/>
      <c r="C81" s="32"/>
      <c r="D81" s="32"/>
      <c r="E81" s="61"/>
      <c r="F81" s="62"/>
      <c r="G81" s="28"/>
      <c r="H81" s="24"/>
      <c r="K81" s="51"/>
      <c r="L81" s="51"/>
    </row>
    <row r="82" spans="1:12" ht="37.5" customHeight="1" thickBot="1" x14ac:dyDescent="0.45">
      <c r="A82" s="21">
        <f t="shared" si="44"/>
        <v>0.3</v>
      </c>
      <c r="B82" s="63"/>
      <c r="C82" s="34"/>
      <c r="D82" s="34"/>
      <c r="E82" s="64"/>
      <c r="F82" s="65"/>
      <c r="G82" s="28"/>
      <c r="H82" s="24"/>
      <c r="K82" s="52"/>
      <c r="L82" s="52"/>
    </row>
    <row r="83" spans="1:12" ht="37.5" customHeight="1" thickBot="1" x14ac:dyDescent="0.45">
      <c r="A83" s="21">
        <f t="shared" si="45"/>
        <v>0.1</v>
      </c>
      <c r="B83" s="66"/>
      <c r="C83" s="22"/>
      <c r="D83" s="22"/>
      <c r="E83" s="67"/>
      <c r="F83" s="68"/>
      <c r="G83" s="23"/>
      <c r="H83" s="24"/>
      <c r="K83" s="53"/>
      <c r="L83" s="53"/>
    </row>
    <row r="84" spans="1:12" ht="37.5" customHeight="1" thickBot="1" x14ac:dyDescent="0.45">
      <c r="A84" s="21">
        <f t="shared" si="46"/>
        <v>0.2</v>
      </c>
      <c r="B84" s="29"/>
      <c r="C84" s="25"/>
      <c r="D84" s="25"/>
      <c r="E84" s="30"/>
      <c r="F84" s="50"/>
      <c r="G84" s="23"/>
      <c r="H84" s="24"/>
      <c r="K84" s="53"/>
      <c r="L84" s="53"/>
    </row>
    <row r="85" spans="1:12" ht="37.5" customHeight="1" thickBot="1" x14ac:dyDescent="0.45">
      <c r="A85" s="21">
        <f t="shared" si="44"/>
        <v>0.3</v>
      </c>
      <c r="B85" s="35"/>
      <c r="C85" s="26"/>
      <c r="D85" s="26"/>
      <c r="E85" s="36"/>
      <c r="F85" s="54"/>
      <c r="G85" s="23"/>
      <c r="H85" s="24"/>
      <c r="K85" s="55"/>
      <c r="L85" s="55"/>
    </row>
    <row r="86" spans="1:12" ht="37.5" customHeight="1" thickBot="1" x14ac:dyDescent="0.45">
      <c r="A86" s="21">
        <f t="shared" si="45"/>
        <v>0.1</v>
      </c>
      <c r="B86" s="56"/>
      <c r="C86" s="27"/>
      <c r="D86" s="27"/>
      <c r="E86" s="57"/>
      <c r="F86" s="58"/>
      <c r="G86" s="28"/>
      <c r="H86" s="24"/>
      <c r="K86" s="59"/>
      <c r="L86" s="59"/>
    </row>
    <row r="87" spans="1:12" ht="37.5" customHeight="1" thickBot="1" x14ac:dyDescent="0.45">
      <c r="A87" s="21">
        <f t="shared" si="46"/>
        <v>0.2</v>
      </c>
      <c r="B87" s="60"/>
      <c r="C87" s="32"/>
      <c r="D87" s="32"/>
      <c r="E87" s="61"/>
      <c r="F87" s="62"/>
      <c r="G87" s="28"/>
      <c r="K87" s="51"/>
      <c r="L87" s="51"/>
    </row>
    <row r="88" spans="1:12" ht="37.5" customHeight="1" thickBot="1" x14ac:dyDescent="0.45">
      <c r="A88" s="21">
        <f t="shared" si="44"/>
        <v>0.3</v>
      </c>
      <c r="B88" s="63"/>
      <c r="C88" s="34"/>
      <c r="D88" s="34"/>
      <c r="E88" s="64"/>
      <c r="F88" s="65"/>
      <c r="G88" s="28"/>
      <c r="K88" s="52"/>
      <c r="L88" s="52"/>
    </row>
    <row r="89" spans="1:12" ht="37.5" customHeight="1" thickBot="1" x14ac:dyDescent="0.45">
      <c r="A89" s="21">
        <f t="shared" si="45"/>
        <v>0.1</v>
      </c>
      <c r="B89" s="66"/>
      <c r="C89" s="22"/>
      <c r="D89" s="22"/>
      <c r="E89" s="67"/>
      <c r="F89" s="67"/>
      <c r="G89" s="69"/>
      <c r="K89" s="53"/>
      <c r="L89" s="53"/>
    </row>
    <row r="90" spans="1:12" ht="37.5" customHeight="1" thickBot="1" x14ac:dyDescent="0.45">
      <c r="A90" s="21">
        <f t="shared" ref="A90" si="47">G90+0.2</f>
        <v>0.2</v>
      </c>
      <c r="B90" s="29"/>
      <c r="C90" s="25"/>
      <c r="D90" s="25"/>
      <c r="E90" s="30"/>
      <c r="F90" s="30"/>
      <c r="G90" s="69"/>
      <c r="K90" s="53"/>
      <c r="L90" s="53"/>
    </row>
    <row r="91" spans="1:12" ht="37.5" customHeight="1" thickBot="1" x14ac:dyDescent="0.45">
      <c r="A91" s="21">
        <f t="shared" ref="A91" si="48">G91+0.3</f>
        <v>0.3</v>
      </c>
      <c r="B91" s="29"/>
      <c r="C91" s="25"/>
      <c r="D91" s="25"/>
      <c r="E91" s="30"/>
      <c r="F91" s="30"/>
      <c r="G91" s="69"/>
      <c r="K91" s="55"/>
      <c r="L91" s="55"/>
    </row>
    <row r="92" spans="1:12" ht="37.5" customHeight="1" thickBot="1" x14ac:dyDescent="0.45">
      <c r="A92" s="21">
        <f>G92+0.4</f>
        <v>0.4</v>
      </c>
      <c r="B92" s="35"/>
      <c r="C92" s="26"/>
      <c r="D92" s="26"/>
      <c r="E92" s="36"/>
      <c r="F92" s="36"/>
      <c r="G92" s="69"/>
      <c r="K92" s="59"/>
      <c r="L92" s="59"/>
    </row>
    <row r="93" spans="1:12" ht="37.5" customHeight="1" thickBot="1" x14ac:dyDescent="0.45">
      <c r="A93" s="21">
        <f t="shared" ref="A93" si="49">G93+0.1</f>
        <v>0.1</v>
      </c>
      <c r="B93" s="56"/>
      <c r="C93" s="27"/>
      <c r="D93" s="27"/>
      <c r="E93" s="57"/>
      <c r="F93" s="57"/>
      <c r="G93" s="70"/>
      <c r="K93" s="51"/>
      <c r="L93" s="51"/>
    </row>
    <row r="94" spans="1:12" ht="37.5" customHeight="1" thickBot="1" x14ac:dyDescent="0.45">
      <c r="A94" s="21">
        <f t="shared" ref="A94" si="50">G94+0.2</f>
        <v>0.2</v>
      </c>
      <c r="B94" s="60"/>
      <c r="C94" s="32"/>
      <c r="D94" s="32"/>
      <c r="E94" s="61"/>
      <c r="F94" s="61"/>
      <c r="G94" s="70"/>
      <c r="K94" s="52"/>
      <c r="L94" s="52"/>
    </row>
    <row r="95" spans="1:12" ht="37.5" customHeight="1" thickBot="1" x14ac:dyDescent="0.45">
      <c r="A95" s="21">
        <f t="shared" ref="A95" si="51">G95+0.3</f>
        <v>0.3</v>
      </c>
      <c r="B95" s="60"/>
      <c r="C95" s="32"/>
      <c r="D95" s="32"/>
      <c r="E95" s="61"/>
      <c r="F95" s="61"/>
      <c r="G95" s="70"/>
      <c r="K95" s="53"/>
      <c r="L95" s="53"/>
    </row>
    <row r="96" spans="1:12" ht="37.5" customHeight="1" thickBot="1" x14ac:dyDescent="0.45">
      <c r="A96" s="21">
        <f>G96+0.4</f>
        <v>0.4</v>
      </c>
      <c r="B96" s="63"/>
      <c r="C96" s="34"/>
      <c r="D96" s="34"/>
      <c r="E96" s="64"/>
      <c r="F96" s="64"/>
      <c r="G96" s="70"/>
      <c r="K96" s="53"/>
      <c r="L96" s="53"/>
    </row>
    <row r="97" spans="1:12" ht="24" thickBot="1" x14ac:dyDescent="0.3">
      <c r="A97" s="17">
        <f t="shared" ref="A97" si="52">G97+0.3</f>
        <v>0.3</v>
      </c>
      <c r="B97" s="35" t="s">
        <v>9</v>
      </c>
      <c r="C97" s="26" t="s">
        <v>10</v>
      </c>
      <c r="D97" s="26" t="s">
        <v>10</v>
      </c>
      <c r="E97" s="36"/>
      <c r="F97" s="54"/>
      <c r="G97" s="71"/>
      <c r="K97" s="55"/>
      <c r="L97" s="55"/>
    </row>
    <row r="98" spans="1:12" ht="24" thickBot="1" x14ac:dyDescent="0.3">
      <c r="A98" s="17">
        <f t="shared" ref="A98" si="53">G98+0.1</f>
        <v>0.1</v>
      </c>
      <c r="B98" s="72"/>
      <c r="C98" s="73"/>
      <c r="D98" s="73"/>
      <c r="E98" s="59"/>
      <c r="F98" s="59"/>
      <c r="G98" s="23"/>
      <c r="K98" s="59"/>
      <c r="L98" s="59"/>
    </row>
    <row r="99" spans="1:12" ht="24" thickBot="1" x14ac:dyDescent="0.3">
      <c r="A99" s="17">
        <f t="shared" ref="A99" si="54">G99+0.2</f>
        <v>0.2</v>
      </c>
      <c r="B99" s="74"/>
      <c r="C99" s="75"/>
      <c r="D99" s="75"/>
      <c r="E99" s="51"/>
      <c r="F99" s="51"/>
      <c r="G99" s="23"/>
      <c r="K99" s="51"/>
      <c r="L99" s="51"/>
    </row>
    <row r="100" spans="1:12" ht="24" thickBot="1" x14ac:dyDescent="0.3">
      <c r="A100" s="17">
        <f t="shared" ref="A100" si="55">G100+0.3</f>
        <v>0.3</v>
      </c>
      <c r="B100" s="76"/>
      <c r="C100" s="77"/>
      <c r="D100" s="77"/>
      <c r="E100" s="52"/>
      <c r="F100" s="52"/>
      <c r="G100" s="23"/>
      <c r="K100" s="52"/>
      <c r="L100" s="52"/>
    </row>
    <row r="101" spans="1:12" ht="24" thickBot="1" x14ac:dyDescent="0.3">
      <c r="A101" s="17">
        <f t="shared" ref="A101" si="56">G101+0.1</f>
        <v>0.1</v>
      </c>
      <c r="B101" s="78"/>
      <c r="C101" s="79"/>
      <c r="D101" s="79"/>
      <c r="E101" s="53"/>
      <c r="F101" s="53"/>
      <c r="G101" s="23"/>
      <c r="K101" s="53"/>
      <c r="L101" s="53"/>
    </row>
    <row r="102" spans="1:12" ht="24" thickBot="1" x14ac:dyDescent="0.3">
      <c r="A102" s="17">
        <f t="shared" ref="A102" si="57">G102+0.2</f>
        <v>0.2</v>
      </c>
      <c r="B102" s="78"/>
      <c r="C102" s="79"/>
      <c r="D102" s="79"/>
      <c r="E102" s="53"/>
      <c r="F102" s="53"/>
      <c r="G102" s="23"/>
      <c r="K102" s="53"/>
      <c r="L102" s="53"/>
    </row>
    <row r="103" spans="1:12" ht="24" thickBot="1" x14ac:dyDescent="0.3">
      <c r="A103" s="17">
        <f t="shared" ref="A103" si="58">G103+0.3</f>
        <v>0.3</v>
      </c>
      <c r="B103" s="80"/>
      <c r="C103" s="81"/>
      <c r="D103" s="81"/>
      <c r="E103" s="55"/>
      <c r="F103" s="55"/>
      <c r="G103" s="23"/>
      <c r="K103" s="55"/>
      <c r="L103" s="55"/>
    </row>
    <row r="104" spans="1:12" ht="24" thickBot="1" x14ac:dyDescent="0.3">
      <c r="A104" s="17">
        <f t="shared" ref="A104" si="59">G104+0.1</f>
        <v>0.1</v>
      </c>
      <c r="B104" s="72"/>
      <c r="C104" s="73"/>
      <c r="D104" s="73"/>
      <c r="E104" s="59"/>
      <c r="F104" s="59"/>
      <c r="G104" s="23"/>
      <c r="K104" s="59"/>
      <c r="L104" s="59"/>
    </row>
    <row r="105" spans="1:12" ht="24" thickBot="1" x14ac:dyDescent="0.3">
      <c r="A105" s="17">
        <f t="shared" ref="A105" si="60">G105+0.2</f>
        <v>0.2</v>
      </c>
      <c r="B105" s="74"/>
      <c r="C105" s="75"/>
      <c r="D105" s="75"/>
      <c r="E105" s="51"/>
      <c r="F105" s="51"/>
      <c r="G105" s="23"/>
      <c r="K105" s="51"/>
      <c r="L105" s="51"/>
    </row>
    <row r="106" spans="1:12" ht="24" thickBot="1" x14ac:dyDescent="0.3">
      <c r="A106" s="17">
        <f t="shared" ref="A106" si="61">G106+0.3</f>
        <v>0.3</v>
      </c>
      <c r="B106" s="76"/>
      <c r="C106" s="77"/>
      <c r="D106" s="77"/>
      <c r="E106" s="52"/>
      <c r="F106" s="52"/>
      <c r="G106" s="23"/>
      <c r="K106" s="52"/>
      <c r="L106" s="52"/>
    </row>
    <row r="107" spans="1:12" ht="24" thickBot="1" x14ac:dyDescent="0.3">
      <c r="A107" s="17">
        <f t="shared" ref="A107" si="62">G107+0.1</f>
        <v>0.1</v>
      </c>
      <c r="B107" s="78"/>
      <c r="C107" s="79"/>
      <c r="D107" s="79"/>
      <c r="E107" s="53"/>
      <c r="F107" s="53"/>
      <c r="G107" s="23"/>
      <c r="K107" s="53"/>
      <c r="L107" s="53"/>
    </row>
    <row r="108" spans="1:12" ht="24" thickBot="1" x14ac:dyDescent="0.3">
      <c r="A108" s="17">
        <f t="shared" ref="A108" si="63">G108+0.2</f>
        <v>0.2</v>
      </c>
      <c r="B108" s="78"/>
      <c r="C108" s="79"/>
      <c r="D108" s="79"/>
      <c r="E108" s="53"/>
      <c r="F108" s="53"/>
      <c r="G108" s="23"/>
      <c r="K108" s="53"/>
      <c r="L108" s="53"/>
    </row>
    <row r="109" spans="1:12" ht="24" thickBot="1" x14ac:dyDescent="0.3">
      <c r="A109" s="17">
        <f t="shared" ref="A109" si="64">G109+0.3</f>
        <v>0.3</v>
      </c>
      <c r="B109" s="80"/>
      <c r="C109" s="81"/>
      <c r="D109" s="81"/>
      <c r="E109" s="55"/>
      <c r="F109" s="55"/>
      <c r="G109" s="23"/>
      <c r="K109" s="55"/>
      <c r="L109" s="55"/>
    </row>
    <row r="110" spans="1:12" ht="24" thickBot="1" x14ac:dyDescent="0.3">
      <c r="A110" s="17">
        <f t="shared" ref="A110" si="65">G110+0.1</f>
        <v>0.1</v>
      </c>
      <c r="B110" s="72"/>
      <c r="C110" s="73"/>
      <c r="D110" s="73"/>
      <c r="E110" s="59"/>
      <c r="F110" s="59"/>
      <c r="G110" s="23"/>
      <c r="K110" s="59"/>
      <c r="L110" s="59"/>
    </row>
    <row r="111" spans="1:12" ht="24" thickBot="1" x14ac:dyDescent="0.3">
      <c r="A111" s="17">
        <f t="shared" ref="A111" si="66">G111+0.2</f>
        <v>0.2</v>
      </c>
      <c r="B111" s="74"/>
      <c r="C111" s="75"/>
      <c r="D111" s="75"/>
      <c r="E111" s="51"/>
      <c r="F111" s="51"/>
      <c r="G111" s="23"/>
      <c r="K111" s="51"/>
      <c r="L111" s="51"/>
    </row>
    <row r="112" spans="1:12" ht="24" thickBot="1" x14ac:dyDescent="0.3">
      <c r="A112" s="17">
        <f t="shared" ref="A112" si="67">G112+0.3</f>
        <v>0.3</v>
      </c>
      <c r="B112" s="76"/>
      <c r="C112" s="77"/>
      <c r="D112" s="77"/>
      <c r="E112" s="52"/>
      <c r="F112" s="52"/>
      <c r="G112" s="23"/>
      <c r="K112" s="52"/>
      <c r="L112" s="52"/>
    </row>
    <row r="113" spans="1:12" ht="24" thickBot="1" x14ac:dyDescent="0.3">
      <c r="A113" s="17">
        <f t="shared" ref="A113" si="68">G113+0.1</f>
        <v>0.1</v>
      </c>
      <c r="B113" s="78"/>
      <c r="C113" s="79"/>
      <c r="D113" s="79"/>
      <c r="E113" s="53"/>
      <c r="F113" s="53"/>
      <c r="G113" s="23"/>
      <c r="K113" s="53"/>
      <c r="L113" s="53"/>
    </row>
    <row r="114" spans="1:12" ht="24" thickBot="1" x14ac:dyDescent="0.3">
      <c r="A114" s="17">
        <f t="shared" ref="A114" si="69">G114+0.2</f>
        <v>0.2</v>
      </c>
      <c r="B114" s="78"/>
      <c r="C114" s="79"/>
      <c r="D114" s="79"/>
      <c r="E114" s="53"/>
      <c r="F114" s="53"/>
      <c r="G114" s="23"/>
      <c r="K114" s="53"/>
      <c r="L114" s="53"/>
    </row>
    <row r="115" spans="1:12" ht="24" thickBot="1" x14ac:dyDescent="0.3">
      <c r="A115" s="17">
        <f t="shared" ref="A115" si="70">G115+0.3</f>
        <v>0.3</v>
      </c>
      <c r="B115" s="80"/>
      <c r="C115" s="81"/>
      <c r="D115" s="81"/>
      <c r="E115" s="55"/>
      <c r="F115" s="55"/>
      <c r="G115" s="23"/>
      <c r="K115" s="55"/>
      <c r="L115" s="55"/>
    </row>
    <row r="116" spans="1:12" ht="24" thickBot="1" x14ac:dyDescent="0.3">
      <c r="A116" s="17">
        <f>G116+0.1</f>
        <v>0.1</v>
      </c>
      <c r="B116" s="72"/>
      <c r="C116" s="73"/>
      <c r="D116" s="73"/>
      <c r="E116" s="59"/>
      <c r="F116" s="59"/>
      <c r="G116" s="23"/>
      <c r="K116" s="59"/>
      <c r="L116" s="59"/>
    </row>
    <row r="117" spans="1:12" ht="24" thickBot="1" x14ac:dyDescent="0.3">
      <c r="A117" s="17">
        <f>G117+0.2</f>
        <v>0.2</v>
      </c>
      <c r="B117" s="74"/>
      <c r="C117" s="75"/>
      <c r="D117" s="75"/>
      <c r="E117" s="51"/>
      <c r="F117" s="51"/>
      <c r="G117" s="23"/>
      <c r="K117" s="51"/>
      <c r="L117" s="51"/>
    </row>
    <row r="118" spans="1:12" ht="24" thickBot="1" x14ac:dyDescent="0.3">
      <c r="A118" s="17">
        <f>G118+0.3</f>
        <v>0.3</v>
      </c>
      <c r="B118" s="74"/>
      <c r="C118" s="75"/>
      <c r="D118" s="75"/>
      <c r="E118" s="51"/>
      <c r="F118" s="51"/>
      <c r="G118" s="23"/>
      <c r="K118" s="51"/>
      <c r="L118" s="51"/>
    </row>
    <row r="119" spans="1:12" ht="24" thickBot="1" x14ac:dyDescent="0.3">
      <c r="A119" s="17">
        <f>G119+0.4</f>
        <v>0.4</v>
      </c>
      <c r="B119" s="76"/>
      <c r="C119" s="77"/>
      <c r="D119" s="77"/>
      <c r="E119" s="52"/>
      <c r="F119" s="52"/>
      <c r="G119" s="23"/>
      <c r="K119" s="52"/>
      <c r="L119" s="52"/>
    </row>
  </sheetData>
  <mergeCells count="2">
    <mergeCell ref="B1:G1"/>
    <mergeCell ref="B2:G3"/>
  </mergeCells>
  <pageMargins left="0.7" right="0.7" top="0.75" bottom="0.75" header="0.3" footer="0.3"/>
  <pageSetup scale="19" orientation="portrait" r:id="rId1"/>
  <rowBreaks count="1" manualBreakCount="1">
    <brk id="48" max="16383" man="1"/>
  </rowBreaks>
  <colBreaks count="1" manualBreakCount="1">
    <brk id="2" max="9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96488-9722-4524-83B4-490040388C25}">
  <sheetPr codeName="Sheet4">
    <pageSetUpPr fitToPage="1"/>
  </sheetPr>
  <dimension ref="A2:M35"/>
  <sheetViews>
    <sheetView topLeftCell="A16" zoomScale="85" zoomScaleNormal="85" workbookViewId="0">
      <selection activeCell="C36" sqref="C36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28.42578125" style="17" bestFit="1" customWidth="1"/>
    <col min="5" max="5" width="1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385" t="e" vm="1">
        <v>#VALUE!</v>
      </c>
      <c r="C2" s="385"/>
      <c r="D2" s="385"/>
      <c r="E2" s="385"/>
      <c r="F2" s="385"/>
      <c r="G2" s="385"/>
      <c r="H2" s="385"/>
      <c r="I2" s="385"/>
      <c r="J2" s="385"/>
    </row>
    <row r="3" spans="1:13" x14ac:dyDescent="0.25">
      <c r="B3" s="385"/>
      <c r="C3" s="385"/>
      <c r="D3" s="385"/>
      <c r="E3" s="385"/>
      <c r="F3" s="385"/>
      <c r="G3" s="385"/>
      <c r="H3" s="385"/>
      <c r="I3" s="385"/>
      <c r="J3" s="385"/>
    </row>
    <row r="4" spans="1:13" ht="15" customHeight="1" thickBot="1" x14ac:dyDescent="0.3">
      <c r="B4" s="385"/>
      <c r="C4" s="385"/>
      <c r="D4" s="385"/>
      <c r="E4" s="385"/>
      <c r="F4" s="385"/>
      <c r="G4" s="385"/>
      <c r="H4" s="385"/>
      <c r="I4" s="385"/>
      <c r="J4" s="385"/>
    </row>
    <row r="5" spans="1:13" ht="15.75" customHeight="1" x14ac:dyDescent="0.25">
      <c r="B5" s="385"/>
      <c r="C5" s="385"/>
      <c r="D5" s="385"/>
      <c r="E5" s="385"/>
      <c r="F5" s="385"/>
      <c r="G5" s="385"/>
      <c r="H5" s="385"/>
      <c r="I5" s="385"/>
      <c r="J5" s="385"/>
      <c r="L5" s="412" t="s">
        <v>11</v>
      </c>
      <c r="M5" s="412"/>
    </row>
    <row r="6" spans="1:13" ht="26.25" customHeight="1" x14ac:dyDescent="0.25">
      <c r="B6" s="385"/>
      <c r="C6" s="385"/>
      <c r="D6" s="385"/>
      <c r="E6" s="385"/>
      <c r="F6" s="385"/>
      <c r="G6" s="385"/>
      <c r="H6" s="385"/>
      <c r="I6" s="385"/>
      <c r="J6" s="385"/>
      <c r="L6" s="413"/>
      <c r="M6" s="413"/>
    </row>
    <row r="7" spans="1:13" ht="26.25" customHeight="1" x14ac:dyDescent="0.35">
      <c r="C7" s="83"/>
      <c r="D7" s="83"/>
      <c r="G7" s="83" t="s">
        <v>12</v>
      </c>
      <c r="H7" s="83"/>
      <c r="I7" s="83"/>
      <c r="J7" s="84">
        <f ca="1">TODAY()</f>
        <v>46288</v>
      </c>
      <c r="L7" s="413"/>
      <c r="M7" s="413"/>
    </row>
    <row r="8" spans="1:13" ht="26.25" customHeight="1" x14ac:dyDescent="0.35">
      <c r="C8" s="83"/>
      <c r="D8" s="83"/>
      <c r="L8" s="413"/>
      <c r="M8" s="413"/>
    </row>
    <row r="9" spans="1:13" ht="21" customHeight="1" x14ac:dyDescent="0.35">
      <c r="B9" s="85" t="s">
        <v>13</v>
      </c>
      <c r="C9" s="86"/>
      <c r="D9" s="87" t="str">
        <f>Inscripciones!B2</f>
        <v>U19 MASCULINO</v>
      </c>
      <c r="E9" s="85" t="s">
        <v>14</v>
      </c>
      <c r="F9" s="87">
        <v>1</v>
      </c>
      <c r="G9" s="85" t="s">
        <v>15</v>
      </c>
      <c r="H9" s="85"/>
      <c r="I9" s="85"/>
      <c r="J9" s="88"/>
    </row>
    <row r="10" spans="1:13" ht="21" customHeight="1" x14ac:dyDescent="0.25"/>
    <row r="11" spans="1:13" ht="21" customHeight="1" x14ac:dyDescent="0.25">
      <c r="B11" s="89" t="s">
        <v>16</v>
      </c>
      <c r="C11" s="89" t="s">
        <v>17</v>
      </c>
      <c r="D11" s="89" t="s">
        <v>18</v>
      </c>
      <c r="E11" s="89" t="s">
        <v>19</v>
      </c>
      <c r="F11" s="89" t="s">
        <v>20</v>
      </c>
      <c r="G11" s="89" t="s">
        <v>21</v>
      </c>
      <c r="H11" s="89"/>
      <c r="I11" s="89"/>
      <c r="J11" s="90"/>
    </row>
    <row r="12" spans="1:13" ht="21" customHeight="1" x14ac:dyDescent="0.35">
      <c r="A12" s="17">
        <f>F9+0.1</f>
        <v>1.1000000000000001</v>
      </c>
      <c r="B12" s="91">
        <v>1</v>
      </c>
      <c r="C12" s="92">
        <f>VLOOKUP(A12,Inscripciones!A5:G167,2,FALSE)</f>
        <v>2515</v>
      </c>
      <c r="D12" s="93" t="str">
        <f>IF(ISBLANK(C12),"",VLOOKUP(C12,Inscripciones!$B$5:$F$200,2,FALSE))</f>
        <v>GABRIEL CHAVEZ QUIROS</v>
      </c>
      <c r="E12" s="94" t="str">
        <f>IF(ISBLANK(C12),"",VLOOKUP(C12,Inscripciones!$B$5:$F$200,3,FALSE))</f>
        <v>SANTA ANA</v>
      </c>
      <c r="F12" s="94">
        <f>IF(ISBLANK(C12),"",VLOOKUP(C12,Inscripciones!$B$5:$F$200,4,FALSE))</f>
        <v>1</v>
      </c>
      <c r="G12" s="94">
        <f>IF(ISBLANK(C12),"",VLOOKUP(C12,Inscripciones!$B$5:$F$200,5,FALSE))</f>
        <v>716</v>
      </c>
      <c r="H12" s="95"/>
      <c r="I12" s="95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1.2</v>
      </c>
      <c r="B13" s="91">
        <v>2</v>
      </c>
      <c r="C13" s="92">
        <f>VLOOKUP(A13,Inscripciones!A5:G168,2,FALSE)</f>
        <v>4513</v>
      </c>
      <c r="D13" s="93" t="str">
        <f>IF(ISBLANK(C13),"",VLOOKUP(C13,Inscripciones!$B$5:$F$200,2,FALSE))</f>
        <v>GABRIEL ANTONIO AMADOR GARITA</v>
      </c>
      <c r="E13" s="94" t="str">
        <f>IF(ISBLANK(C13),"",VLOOKUP(C13,Inscripciones!$B$5:$F$200,3,FALSE))</f>
        <v>CCDR SANTA CRUZ</v>
      </c>
      <c r="F13" s="94">
        <f>IF(ISBLANK(C13),"",VLOOKUP(C13,Inscripciones!$B$5:$F$200,4,FALSE))</f>
        <v>37</v>
      </c>
      <c r="G13" s="94">
        <f>IF(ISBLANK(C13),"",VLOOKUP(C13,Inscripciones!$B$5:$F$200,5,FALSE))</f>
        <v>492</v>
      </c>
      <c r="H13" s="95"/>
      <c r="I13" s="95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1.3</v>
      </c>
      <c r="B14" s="91">
        <v>3</v>
      </c>
      <c r="C14" s="92">
        <f>VLOOKUP(A14,Inscripciones!A6:G169,2,FALSE)</f>
        <v>3670</v>
      </c>
      <c r="D14" s="93" t="str">
        <f>IF(ISBLANK(C14),"",VLOOKUP(C14,Inscripciones!$B$7:$F$200,2,FALSE))</f>
        <v>KAY MATHIAS PERAZA MURILLO</v>
      </c>
      <c r="E14" s="94" t="str">
        <f>IF(ISBLANK(C14),"",VLOOKUP(C14,Inscripciones!$B$7:$F$200,3,FALSE))</f>
        <v>ASERRÍ</v>
      </c>
      <c r="F14" s="94">
        <f>IF(ISBLANK(C14),"",VLOOKUP(C14,Inscripciones!$B$7:$F$200,4,FALSE))</f>
        <v>38</v>
      </c>
      <c r="G14" s="94">
        <f>IF(ISBLANK(C14),"",VLOOKUP(C14,Inscripciones!$B$7:$F$200,5,FALSE))</f>
        <v>492</v>
      </c>
      <c r="H14" s="95"/>
      <c r="I14" s="95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96" t="s">
        <v>22</v>
      </c>
      <c r="C17" s="96"/>
      <c r="D17" s="96" t="s">
        <v>23</v>
      </c>
      <c r="E17" s="96" t="s">
        <v>24</v>
      </c>
      <c r="F17" s="96" t="s">
        <v>25</v>
      </c>
      <c r="G17" s="96" t="s">
        <v>26</v>
      </c>
      <c r="H17" s="96" t="s">
        <v>27</v>
      </c>
      <c r="I17" s="96" t="s">
        <v>28</v>
      </c>
      <c r="J17" s="97" t="s">
        <v>29</v>
      </c>
    </row>
    <row r="18" spans="2:10" ht="21" customHeight="1" x14ac:dyDescent="0.25">
      <c r="B18" s="98">
        <v>1</v>
      </c>
      <c r="C18" s="99">
        <v>1</v>
      </c>
      <c r="D18" s="100" t="str">
        <f>D12</f>
        <v>GABRIEL CHAVEZ QUIROS</v>
      </c>
      <c r="E18" s="101">
        <v>11</v>
      </c>
      <c r="F18" s="101">
        <v>11</v>
      </c>
      <c r="G18" s="101"/>
      <c r="H18" s="101"/>
      <c r="I18" s="101"/>
      <c r="J18" s="393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02"/>
      <c r="C19" s="99">
        <v>3</v>
      </c>
      <c r="D19" s="100" t="str">
        <f>D14</f>
        <v>KAY MATHIAS PERAZA MURILLO</v>
      </c>
      <c r="E19" s="101">
        <v>0</v>
      </c>
      <c r="F19" s="101">
        <v>3</v>
      </c>
      <c r="G19" s="101"/>
      <c r="H19" s="101"/>
      <c r="I19" s="101"/>
      <c r="J19" s="394"/>
    </row>
    <row r="20" spans="2:10" ht="21" customHeight="1" x14ac:dyDescent="0.25">
      <c r="B20" s="98">
        <v>2</v>
      </c>
      <c r="C20" s="101">
        <v>1</v>
      </c>
      <c r="D20" s="100" t="str">
        <f>D12</f>
        <v>GABRIEL CHAVEZ QUIROS</v>
      </c>
      <c r="E20" s="101">
        <v>11</v>
      </c>
      <c r="F20" s="101">
        <v>11</v>
      </c>
      <c r="G20" s="101"/>
      <c r="H20" s="101"/>
      <c r="I20" s="101"/>
      <c r="J20" s="393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02"/>
      <c r="C21" s="101">
        <v>2</v>
      </c>
      <c r="D21" s="100" t="str">
        <f>D13</f>
        <v>GABRIEL ANTONIO AMADOR GARITA</v>
      </c>
      <c r="E21" s="101">
        <v>2</v>
      </c>
      <c r="F21" s="101">
        <v>7</v>
      </c>
      <c r="G21" s="101"/>
      <c r="H21" s="101"/>
      <c r="I21" s="101"/>
      <c r="J21" s="394"/>
    </row>
    <row r="22" spans="2:10" ht="21" customHeight="1" x14ac:dyDescent="0.25">
      <c r="B22" s="98">
        <v>3</v>
      </c>
      <c r="C22" s="101">
        <v>2</v>
      </c>
      <c r="D22" s="100" t="str">
        <f>D13</f>
        <v>GABRIEL ANTONIO AMADOR GARITA</v>
      </c>
      <c r="E22" s="101">
        <v>11</v>
      </c>
      <c r="F22" s="101">
        <v>12</v>
      </c>
      <c r="G22" s="101"/>
      <c r="H22" s="101"/>
      <c r="I22" s="101"/>
      <c r="J22" s="393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02"/>
      <c r="C23" s="101">
        <v>3</v>
      </c>
      <c r="D23" s="100" t="str">
        <f>D14</f>
        <v>KAY MATHIAS PERAZA MURILLO</v>
      </c>
      <c r="E23" s="101">
        <v>3</v>
      </c>
      <c r="F23" s="101">
        <v>10</v>
      </c>
      <c r="G23" s="101"/>
      <c r="H23" s="101"/>
      <c r="I23" s="101"/>
      <c r="J23" s="394"/>
    </row>
    <row r="24" spans="2:10" ht="6" customHeight="1" x14ac:dyDescent="0.25">
      <c r="B24" s="86"/>
      <c r="C24" s="86"/>
      <c r="D24" s="86"/>
      <c r="E24" s="86"/>
      <c r="F24" s="86"/>
      <c r="G24" s="86"/>
      <c r="H24" s="86"/>
      <c r="I24" s="86"/>
      <c r="J24" s="86"/>
    </row>
    <row r="25" spans="2:10" ht="6" customHeight="1" x14ac:dyDescent="0.25">
      <c r="B25" s="86"/>
      <c r="E25" s="86"/>
      <c r="F25" s="86"/>
      <c r="G25" s="86"/>
      <c r="H25" s="86"/>
      <c r="I25" s="86"/>
      <c r="J25" s="86"/>
    </row>
    <row r="26" spans="2:10" s="104" customFormat="1" ht="6" customHeight="1" x14ac:dyDescent="0.25">
      <c r="B26" s="103"/>
      <c r="E26" s="103"/>
      <c r="F26" s="103"/>
      <c r="G26" s="103"/>
      <c r="H26" s="103"/>
      <c r="I26" s="103"/>
      <c r="J26" s="103"/>
    </row>
    <row r="27" spans="2:10" ht="6" customHeight="1" x14ac:dyDescent="0.25">
      <c r="E27" s="86"/>
      <c r="F27" s="86"/>
    </row>
    <row r="28" spans="2:10" ht="6" customHeight="1" x14ac:dyDescent="0.25">
      <c r="E28" s="86"/>
      <c r="F28" s="86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380" t="s">
        <v>30</v>
      </c>
      <c r="D32" s="380"/>
      <c r="F32" s="381" t="s">
        <v>31</v>
      </c>
      <c r="G32" s="382"/>
      <c r="H32" s="382"/>
      <c r="I32" s="382"/>
      <c r="J32" s="382"/>
    </row>
    <row r="33" spans="3:10" ht="18" customHeight="1" thickBot="1" x14ac:dyDescent="0.3">
      <c r="C33" s="106" t="s">
        <v>32</v>
      </c>
      <c r="D33" s="106" t="s">
        <v>33</v>
      </c>
      <c r="F33" s="383" t="s">
        <v>34</v>
      </c>
      <c r="G33" s="384"/>
      <c r="H33" s="384"/>
      <c r="I33" s="384"/>
      <c r="J33" s="384"/>
    </row>
    <row r="34" spans="3:10" ht="25.5" customHeight="1" thickBot="1" x14ac:dyDescent="0.3">
      <c r="C34" s="107">
        <v>2515</v>
      </c>
      <c r="D34" s="108" t="str">
        <f>IF(ISBLANK(C34),"",VLOOKUP(C34,Inscripciones!$B$5:$F$200,2,FALSE))</f>
        <v>GABRIEL CHAVEZ QUIROS</v>
      </c>
      <c r="F34" s="109" t="s">
        <v>35</v>
      </c>
      <c r="G34" s="395"/>
      <c r="H34" s="396"/>
      <c r="I34" s="396"/>
      <c r="J34" s="397"/>
    </row>
    <row r="35" spans="3:10" ht="25.5" customHeight="1" thickBot="1" x14ac:dyDescent="0.3">
      <c r="C35" s="107">
        <v>4513</v>
      </c>
      <c r="D35" s="108" t="str">
        <f>IF(ISBLANK(C35),"",VLOOKUP(C35,Inscripciones!$B$5:$F$200,2,FALSE))</f>
        <v>GABRIEL ANTONIO AMADOR GARITA</v>
      </c>
      <c r="F35" s="398" t="s">
        <v>36</v>
      </c>
      <c r="G35" s="399"/>
      <c r="H35" s="399"/>
      <c r="I35" s="400"/>
      <c r="J35" s="110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3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C07CD-BD11-495B-A84B-E571EB8A3DA8}">
  <sheetPr codeName="Sheet5">
    <pageSetUpPr fitToPage="1"/>
  </sheetPr>
  <dimension ref="A2:M35"/>
  <sheetViews>
    <sheetView topLeftCell="A14" zoomScale="85" zoomScaleNormal="85" workbookViewId="0">
      <selection activeCell="C36" sqref="C36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25.42578125" style="17" bestFit="1" customWidth="1"/>
    <col min="5" max="5" width="13.570312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385" t="e" vm="1">
        <v>#VALUE!</v>
      </c>
      <c r="C2" s="385"/>
      <c r="D2" s="385"/>
      <c r="E2" s="385"/>
      <c r="F2" s="385"/>
      <c r="G2" s="385"/>
      <c r="H2" s="385"/>
      <c r="I2" s="385"/>
      <c r="J2" s="385"/>
    </row>
    <row r="3" spans="1:13" x14ac:dyDescent="0.25">
      <c r="B3" s="385"/>
      <c r="C3" s="385"/>
      <c r="D3" s="385"/>
      <c r="E3" s="385"/>
      <c r="F3" s="385"/>
      <c r="G3" s="385"/>
      <c r="H3" s="385"/>
      <c r="I3" s="385"/>
      <c r="J3" s="385"/>
    </row>
    <row r="4" spans="1:13" ht="15" customHeight="1" thickBot="1" x14ac:dyDescent="0.3">
      <c r="B4" s="385"/>
      <c r="C4" s="385"/>
      <c r="D4" s="385"/>
      <c r="E4" s="385"/>
      <c r="F4" s="385"/>
      <c r="G4" s="385"/>
      <c r="H4" s="385"/>
      <c r="I4" s="385"/>
      <c r="J4" s="385"/>
    </row>
    <row r="5" spans="1:13" ht="15.75" customHeight="1" x14ac:dyDescent="0.25">
      <c r="B5" s="385"/>
      <c r="C5" s="385"/>
      <c r="D5" s="385"/>
      <c r="E5" s="385"/>
      <c r="F5" s="385"/>
      <c r="G5" s="385"/>
      <c r="H5" s="385"/>
      <c r="I5" s="385"/>
      <c r="J5" s="385"/>
      <c r="L5" s="412" t="s">
        <v>11</v>
      </c>
      <c r="M5" s="412"/>
    </row>
    <row r="6" spans="1:13" ht="26.25" customHeight="1" x14ac:dyDescent="0.25">
      <c r="B6" s="385"/>
      <c r="C6" s="385"/>
      <c r="D6" s="385"/>
      <c r="E6" s="385"/>
      <c r="F6" s="385"/>
      <c r="G6" s="385"/>
      <c r="H6" s="385"/>
      <c r="I6" s="385"/>
      <c r="J6" s="385"/>
      <c r="L6" s="413"/>
      <c r="M6" s="413"/>
    </row>
    <row r="7" spans="1:13" ht="26.25" customHeight="1" x14ac:dyDescent="0.35">
      <c r="C7" s="83"/>
      <c r="D7" s="83"/>
      <c r="G7" s="83" t="s">
        <v>12</v>
      </c>
      <c r="H7" s="83"/>
      <c r="I7" s="83"/>
      <c r="J7" s="84">
        <f ca="1">TODAY()</f>
        <v>46288</v>
      </c>
      <c r="L7" s="413"/>
      <c r="M7" s="413"/>
    </row>
    <row r="8" spans="1:13" ht="26.25" customHeight="1" x14ac:dyDescent="0.35">
      <c r="C8" s="83"/>
      <c r="D8" s="83"/>
      <c r="L8" s="413"/>
      <c r="M8" s="413"/>
    </row>
    <row r="9" spans="1:13" ht="21" customHeight="1" x14ac:dyDescent="0.35">
      <c r="B9" s="85" t="s">
        <v>13</v>
      </c>
      <c r="C9" s="86"/>
      <c r="D9" s="87" t="str">
        <f>Inscripciones!B2</f>
        <v>U19 MASCULINO</v>
      </c>
      <c r="E9" s="85" t="s">
        <v>14</v>
      </c>
      <c r="F9" s="87">
        <v>2</v>
      </c>
      <c r="G9" s="85" t="s">
        <v>15</v>
      </c>
      <c r="H9" s="85"/>
      <c r="I9" s="85"/>
      <c r="J9" s="88"/>
    </row>
    <row r="10" spans="1:13" ht="21" customHeight="1" x14ac:dyDescent="0.25"/>
    <row r="11" spans="1:13" ht="21" customHeight="1" x14ac:dyDescent="0.25">
      <c r="B11" s="89" t="s">
        <v>16</v>
      </c>
      <c r="C11" s="89" t="s">
        <v>17</v>
      </c>
      <c r="D11" s="89" t="s">
        <v>18</v>
      </c>
      <c r="E11" s="89" t="s">
        <v>19</v>
      </c>
      <c r="F11" s="89" t="s">
        <v>20</v>
      </c>
      <c r="G11" s="89" t="s">
        <v>21</v>
      </c>
      <c r="H11" s="89"/>
      <c r="I11" s="89"/>
      <c r="J11" s="90"/>
    </row>
    <row r="12" spans="1:13" ht="21" customHeight="1" x14ac:dyDescent="0.35">
      <c r="A12" s="17">
        <f>F9+0.1</f>
        <v>2.1</v>
      </c>
      <c r="B12" s="91">
        <v>1</v>
      </c>
      <c r="C12" s="92">
        <f>VLOOKUP(A12,Inscripciones!A5:G167,2,FALSE)</f>
        <v>2582</v>
      </c>
      <c r="D12" s="93" t="str">
        <f>IF(ISBLANK(C12),"",VLOOKUP(C12,Inscripciones!$B$5:$F$200,2,FALSE))</f>
        <v>ALEJANDRO MONTOYA MORERA</v>
      </c>
      <c r="E12" s="94" t="str">
        <f>IF(ISBLANK(C12),"",VLOOKUP(C12,Inscripciones!$B$5:$F$200,3,FALSE))</f>
        <v>ALAJUELA - UNA</v>
      </c>
      <c r="F12" s="94">
        <f>IF(ISBLANK(C12),"",VLOOKUP(C12,Inscripciones!$B$5:$F$200,4,FALSE))</f>
        <v>2</v>
      </c>
      <c r="G12" s="94">
        <f>IF(ISBLANK(C12),"",VLOOKUP(C12,Inscripciones!$B$5:$F$200,5,FALSE))</f>
        <v>698</v>
      </c>
      <c r="H12" s="95"/>
      <c r="I12" s="95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2.2000000000000002</v>
      </c>
      <c r="B13" s="91">
        <v>2</v>
      </c>
      <c r="C13" s="92">
        <f>VLOOKUP(A13,Inscripciones!A5:G168,2,FALSE)</f>
        <v>2513</v>
      </c>
      <c r="D13" s="93" t="str">
        <f>IF(ISBLANK(C13),"",VLOOKUP(C13,Inscripciones!$B$5:$F$200,2,FALSE))</f>
        <v>SEBASTIAN CHAVEZ QUIROS</v>
      </c>
      <c r="E13" s="94" t="str">
        <f>IF(ISBLANK(C13),"",VLOOKUP(C13,Inscripciones!$B$5:$F$200,3,FALSE))</f>
        <v>SANTA ANA</v>
      </c>
      <c r="F13" s="94">
        <f>IF(ISBLANK(C13),"",VLOOKUP(C13,Inscripciones!$B$5:$F$200,4,FALSE))</f>
        <v>35</v>
      </c>
      <c r="G13" s="94">
        <f>IF(ISBLANK(C13),"",VLOOKUP(C13,Inscripciones!$B$5:$F$200,5,FALSE))</f>
        <v>493</v>
      </c>
      <c r="H13" s="95"/>
      <c r="I13" s="95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2.2999999999999998</v>
      </c>
      <c r="B14" s="91">
        <v>3</v>
      </c>
      <c r="C14" s="92">
        <f>VLOOKUP(A14,Inscripciones!A6:G169,2,FALSE)</f>
        <v>4144</v>
      </c>
      <c r="D14" s="93" t="str">
        <f>IF(ISBLANK(C14),"",VLOOKUP(C14,Inscripciones!$B$7:$F$200,2,FALSE))</f>
        <v>ANDRÉS PARRA CHACÓN</v>
      </c>
      <c r="E14" s="94" t="str">
        <f>IF(ISBLANK(C14),"",VLOOKUP(C14,Inscripciones!$B$7:$F$200,3,FALSE))</f>
        <v>SANTO DOMINGO</v>
      </c>
      <c r="F14" s="94">
        <f>IF(ISBLANK(C14),"",VLOOKUP(C14,Inscripciones!$B$7:$F$200,4,FALSE))</f>
        <v>40</v>
      </c>
      <c r="G14" s="94">
        <f>IF(ISBLANK(C14),"",VLOOKUP(C14,Inscripciones!$B$7:$F$200,5,FALSE))</f>
        <v>485</v>
      </c>
      <c r="H14" s="95"/>
      <c r="I14" s="95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96" t="s">
        <v>22</v>
      </c>
      <c r="C17" s="96"/>
      <c r="D17" s="96" t="s">
        <v>23</v>
      </c>
      <c r="E17" s="96" t="s">
        <v>24</v>
      </c>
      <c r="F17" s="96" t="s">
        <v>25</v>
      </c>
      <c r="G17" s="96" t="s">
        <v>26</v>
      </c>
      <c r="H17" s="96" t="s">
        <v>27</v>
      </c>
      <c r="I17" s="96" t="s">
        <v>28</v>
      </c>
      <c r="J17" s="97" t="s">
        <v>29</v>
      </c>
    </row>
    <row r="18" spans="2:10" ht="21" customHeight="1" x14ac:dyDescent="0.25">
      <c r="B18" s="98">
        <v>1</v>
      </c>
      <c r="C18" s="99">
        <v>1</v>
      </c>
      <c r="D18" s="100" t="str">
        <f>D12</f>
        <v>ALEJANDRO MONTOYA MORERA</v>
      </c>
      <c r="E18" s="101" t="s">
        <v>271</v>
      </c>
      <c r="F18" s="101" t="s">
        <v>271</v>
      </c>
      <c r="G18" s="101"/>
      <c r="H18" s="101"/>
      <c r="I18" s="101"/>
      <c r="J18" s="393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3</v>
      </c>
    </row>
    <row r="19" spans="2:10" ht="21" customHeight="1" x14ac:dyDescent="0.25">
      <c r="B19" s="102"/>
      <c r="C19" s="99">
        <v>3</v>
      </c>
      <c r="D19" s="100" t="str">
        <f>D14</f>
        <v>ANDRÉS PARRA CHACÓN</v>
      </c>
      <c r="E19" s="101">
        <v>11</v>
      </c>
      <c r="F19" s="101">
        <v>11</v>
      </c>
      <c r="G19" s="101"/>
      <c r="H19" s="101"/>
      <c r="I19" s="101"/>
      <c r="J19" s="394"/>
    </row>
    <row r="20" spans="2:10" ht="21" customHeight="1" x14ac:dyDescent="0.25">
      <c r="B20" s="98">
        <v>2</v>
      </c>
      <c r="C20" s="101">
        <v>1</v>
      </c>
      <c r="D20" s="100" t="str">
        <f>D12</f>
        <v>ALEJANDRO MONTOYA MORERA</v>
      </c>
      <c r="E20" s="101" t="s">
        <v>271</v>
      </c>
      <c r="F20" s="101" t="s">
        <v>271</v>
      </c>
      <c r="G20" s="101"/>
      <c r="H20" s="101"/>
      <c r="I20" s="101"/>
      <c r="J20" s="393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2</v>
      </c>
    </row>
    <row r="21" spans="2:10" ht="21" customHeight="1" x14ac:dyDescent="0.25">
      <c r="B21" s="102"/>
      <c r="C21" s="101">
        <v>2</v>
      </c>
      <c r="D21" s="100" t="str">
        <f>D13</f>
        <v>SEBASTIAN CHAVEZ QUIROS</v>
      </c>
      <c r="E21" s="101">
        <v>11</v>
      </c>
      <c r="F21" s="101">
        <v>11</v>
      </c>
      <c r="G21" s="101"/>
      <c r="H21" s="101"/>
      <c r="I21" s="101"/>
      <c r="J21" s="394"/>
    </row>
    <row r="22" spans="2:10" ht="21" customHeight="1" x14ac:dyDescent="0.25">
      <c r="B22" s="98">
        <v>3</v>
      </c>
      <c r="C22" s="101">
        <v>2</v>
      </c>
      <c r="D22" s="100" t="str">
        <f>D13</f>
        <v>SEBASTIAN CHAVEZ QUIROS</v>
      </c>
      <c r="E22" s="101">
        <v>11</v>
      </c>
      <c r="F22" s="101">
        <v>9</v>
      </c>
      <c r="G22" s="101"/>
      <c r="H22" s="101"/>
      <c r="I22" s="101"/>
      <c r="J22" s="393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3</v>
      </c>
    </row>
    <row r="23" spans="2:10" ht="21" customHeight="1" x14ac:dyDescent="0.25">
      <c r="B23" s="102"/>
      <c r="C23" s="101">
        <v>3</v>
      </c>
      <c r="D23" s="100" t="str">
        <f>D14</f>
        <v>ANDRÉS PARRA CHACÓN</v>
      </c>
      <c r="E23" s="101">
        <v>13</v>
      </c>
      <c r="F23" s="101">
        <v>11</v>
      </c>
      <c r="G23" s="101"/>
      <c r="H23" s="101"/>
      <c r="I23" s="101"/>
      <c r="J23" s="394"/>
    </row>
    <row r="24" spans="2:10" ht="6" customHeight="1" x14ac:dyDescent="0.25">
      <c r="B24" s="86"/>
      <c r="C24" s="86"/>
      <c r="D24" s="86"/>
      <c r="E24" s="86"/>
      <c r="F24" s="86"/>
      <c r="G24" s="86"/>
      <c r="H24" s="86"/>
      <c r="I24" s="86"/>
      <c r="J24" s="86"/>
    </row>
    <row r="25" spans="2:10" ht="6" customHeight="1" x14ac:dyDescent="0.25">
      <c r="B25" s="86"/>
      <c r="E25" s="86"/>
      <c r="F25" s="86"/>
      <c r="G25" s="86"/>
      <c r="H25" s="86"/>
      <c r="I25" s="86"/>
      <c r="J25" s="86"/>
    </row>
    <row r="26" spans="2:10" s="104" customFormat="1" ht="6" customHeight="1" x14ac:dyDescent="0.25">
      <c r="B26" s="103"/>
      <c r="E26" s="103"/>
      <c r="F26" s="103"/>
      <c r="G26" s="103"/>
      <c r="H26" s="103"/>
      <c r="I26" s="103"/>
      <c r="J26" s="103"/>
    </row>
    <row r="27" spans="2:10" ht="6" customHeight="1" x14ac:dyDescent="0.25">
      <c r="E27" s="86"/>
      <c r="F27" s="86"/>
    </row>
    <row r="28" spans="2:10" ht="6" customHeight="1" x14ac:dyDescent="0.25">
      <c r="E28" s="86"/>
      <c r="F28" s="86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380" t="s">
        <v>30</v>
      </c>
      <c r="D32" s="380"/>
      <c r="F32" s="381" t="s">
        <v>31</v>
      </c>
      <c r="G32" s="382"/>
      <c r="H32" s="382"/>
      <c r="I32" s="382"/>
      <c r="J32" s="382"/>
    </row>
    <row r="33" spans="3:10" ht="18" customHeight="1" thickBot="1" x14ac:dyDescent="0.3">
      <c r="C33" s="106" t="s">
        <v>32</v>
      </c>
      <c r="D33" s="106" t="s">
        <v>33</v>
      </c>
      <c r="F33" s="383" t="s">
        <v>34</v>
      </c>
      <c r="G33" s="384"/>
      <c r="H33" s="384"/>
      <c r="I33" s="384"/>
      <c r="J33" s="384"/>
    </row>
    <row r="34" spans="3:10" ht="25.5" customHeight="1" thickBot="1" x14ac:dyDescent="0.3">
      <c r="C34" s="107">
        <v>4144</v>
      </c>
      <c r="D34" s="108" t="str">
        <f>IF(ISBLANK(C34),"",VLOOKUP(C34,Inscripciones!$B$5:$F$200,2,FALSE))</f>
        <v>ANDRÉS PARRA CHACÓN</v>
      </c>
      <c r="F34" s="109" t="s">
        <v>35</v>
      </c>
      <c r="G34" s="395"/>
      <c r="H34" s="396"/>
      <c r="I34" s="396"/>
      <c r="J34" s="397"/>
    </row>
    <row r="35" spans="3:10" ht="25.5" customHeight="1" thickBot="1" x14ac:dyDescent="0.3">
      <c r="C35" s="107">
        <v>2513</v>
      </c>
      <c r="D35" s="108" t="str">
        <f>IF(ISBLANK(C35),"",VLOOKUP(C35,Inscripciones!$B$5:$F$200,2,FALSE))</f>
        <v>SEBASTIAN CHAVEZ QUIROS</v>
      </c>
      <c r="F35" s="398" t="s">
        <v>36</v>
      </c>
      <c r="G35" s="399"/>
      <c r="H35" s="399"/>
      <c r="I35" s="400"/>
      <c r="J35" s="110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7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1AD53-BB22-41EA-A329-5463F9F5177F}">
  <sheetPr codeName="Sheet6">
    <pageSetUpPr fitToPage="1"/>
  </sheetPr>
  <dimension ref="A2:M35"/>
  <sheetViews>
    <sheetView topLeftCell="A17" zoomScale="85" zoomScaleNormal="85" workbookViewId="0">
      <selection activeCell="C36" sqref="C36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21.85546875" style="17" bestFit="1" customWidth="1"/>
    <col min="5" max="5" width="12.8554687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385" t="e" vm="1">
        <v>#VALUE!</v>
      </c>
      <c r="C2" s="385"/>
      <c r="D2" s="385"/>
      <c r="E2" s="385"/>
      <c r="F2" s="385"/>
      <c r="G2" s="385"/>
      <c r="H2" s="385"/>
      <c r="I2" s="385"/>
      <c r="J2" s="385"/>
    </row>
    <row r="3" spans="1:13" x14ac:dyDescent="0.25">
      <c r="B3" s="385"/>
      <c r="C3" s="385"/>
      <c r="D3" s="385"/>
      <c r="E3" s="385"/>
      <c r="F3" s="385"/>
      <c r="G3" s="385"/>
      <c r="H3" s="385"/>
      <c r="I3" s="385"/>
      <c r="J3" s="385"/>
    </row>
    <row r="4" spans="1:13" ht="15" customHeight="1" thickBot="1" x14ac:dyDescent="0.3">
      <c r="B4" s="385"/>
      <c r="C4" s="385"/>
      <c r="D4" s="385"/>
      <c r="E4" s="385"/>
      <c r="F4" s="385"/>
      <c r="G4" s="385"/>
      <c r="H4" s="385"/>
      <c r="I4" s="385"/>
      <c r="J4" s="385"/>
    </row>
    <row r="5" spans="1:13" ht="15.75" customHeight="1" x14ac:dyDescent="0.25">
      <c r="B5" s="385"/>
      <c r="C5" s="385"/>
      <c r="D5" s="385"/>
      <c r="E5" s="385"/>
      <c r="F5" s="385"/>
      <c r="G5" s="385"/>
      <c r="H5" s="385"/>
      <c r="I5" s="385"/>
      <c r="J5" s="385"/>
      <c r="L5" s="412" t="s">
        <v>11</v>
      </c>
      <c r="M5" s="412"/>
    </row>
    <row r="6" spans="1:13" ht="26.25" customHeight="1" x14ac:dyDescent="0.25">
      <c r="B6" s="385"/>
      <c r="C6" s="385"/>
      <c r="D6" s="385"/>
      <c r="E6" s="385"/>
      <c r="F6" s="385"/>
      <c r="G6" s="385"/>
      <c r="H6" s="385"/>
      <c r="I6" s="385"/>
      <c r="J6" s="385"/>
      <c r="L6" s="413"/>
      <c r="M6" s="413"/>
    </row>
    <row r="7" spans="1:13" ht="26.25" customHeight="1" x14ac:dyDescent="0.35">
      <c r="C7" s="83"/>
      <c r="D7" s="83"/>
      <c r="G7" s="83" t="s">
        <v>12</v>
      </c>
      <c r="H7" s="83"/>
      <c r="I7" s="83"/>
      <c r="J7" s="84">
        <f ca="1">TODAY()</f>
        <v>46288</v>
      </c>
      <c r="L7" s="413"/>
      <c r="M7" s="413"/>
    </row>
    <row r="8" spans="1:13" ht="26.25" customHeight="1" x14ac:dyDescent="0.35">
      <c r="C8" s="83"/>
      <c r="D8" s="83"/>
      <c r="L8" s="413"/>
      <c r="M8" s="413"/>
    </row>
    <row r="9" spans="1:13" ht="21" customHeight="1" x14ac:dyDescent="0.35">
      <c r="B9" s="85" t="s">
        <v>13</v>
      </c>
      <c r="C9" s="86"/>
      <c r="D9" s="87" t="str">
        <f>Inscripciones!B2</f>
        <v>U19 MASCULINO</v>
      </c>
      <c r="E9" s="85" t="s">
        <v>14</v>
      </c>
      <c r="F9" s="87">
        <v>3</v>
      </c>
      <c r="G9" s="85" t="s">
        <v>15</v>
      </c>
      <c r="H9" s="85"/>
      <c r="I9" s="85"/>
      <c r="J9" s="88"/>
    </row>
    <row r="10" spans="1:13" ht="21" customHeight="1" x14ac:dyDescent="0.25"/>
    <row r="11" spans="1:13" ht="21" customHeight="1" x14ac:dyDescent="0.25">
      <c r="B11" s="89" t="s">
        <v>16</v>
      </c>
      <c r="C11" s="89" t="s">
        <v>17</v>
      </c>
      <c r="D11" s="89" t="s">
        <v>18</v>
      </c>
      <c r="E11" s="89" t="s">
        <v>19</v>
      </c>
      <c r="F11" s="89" t="s">
        <v>20</v>
      </c>
      <c r="G11" s="89" t="s">
        <v>21</v>
      </c>
      <c r="H11" s="89"/>
      <c r="I11" s="89"/>
      <c r="J11" s="90"/>
    </row>
    <row r="12" spans="1:13" ht="21" customHeight="1" x14ac:dyDescent="0.35">
      <c r="A12" s="17">
        <f>F9+0.1</f>
        <v>3.1</v>
      </c>
      <c r="B12" s="91">
        <v>1</v>
      </c>
      <c r="C12" s="92">
        <f>VLOOKUP(A12,Inscripciones!A5:G167,2,FALSE)</f>
        <v>4034</v>
      </c>
      <c r="D12" s="93" t="str">
        <f>IF(ISBLANK(C12),"",VLOOKUP(C12,Inscripciones!$B$5:$F$200,2,FALSE))</f>
        <v>IAN DAVID GARRO ALONSO</v>
      </c>
      <c r="E12" s="94" t="str">
        <f>IF(ISBLANK(C12),"",VLOOKUP(C12,Inscripciones!$B$5:$F$200,3,FALSE))</f>
        <v>CCDR SAN JOSÉ</v>
      </c>
      <c r="F12" s="94">
        <f>IF(ISBLANK(C12),"",VLOOKUP(C12,Inscripciones!$B$5:$F$200,4,FALSE))</f>
        <v>3</v>
      </c>
      <c r="G12" s="94">
        <f>IF(ISBLANK(C12),"",VLOOKUP(C12,Inscripciones!$B$5:$F$200,5,FALSE))</f>
        <v>645</v>
      </c>
      <c r="H12" s="95"/>
      <c r="I12" s="95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3.2</v>
      </c>
      <c r="B13" s="91">
        <v>2</v>
      </c>
      <c r="C13" s="92">
        <f>VLOOKUP(A13,Inscripciones!A5:G168,2,FALSE)</f>
        <v>2847</v>
      </c>
      <c r="D13" s="93" t="str">
        <f>IF(ISBLANK(C13),"",VLOOKUP(C13,Inscripciones!$B$5:$F$200,2,FALSE))</f>
        <v>LUIS GAEL SILES LOBO</v>
      </c>
      <c r="E13" s="94" t="str">
        <f>IF(ISBLANK(C13),"",VLOOKUP(C13,Inscripciones!$B$5:$F$200,3,FALSE))</f>
        <v>ESPARZA</v>
      </c>
      <c r="F13" s="94">
        <f>IF(ISBLANK(C13),"",VLOOKUP(C13,Inscripciones!$B$5:$F$200,4,FALSE))</f>
        <v>34</v>
      </c>
      <c r="G13" s="94">
        <f>IF(ISBLANK(C13),"",VLOOKUP(C13,Inscripciones!$B$5:$F$200,5,FALSE))</f>
        <v>493</v>
      </c>
      <c r="H13" s="95"/>
      <c r="I13" s="95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3.3</v>
      </c>
      <c r="B14" s="91">
        <v>3</v>
      </c>
      <c r="C14" s="92">
        <f>VLOOKUP(A14,Inscripciones!A6:G169,2,FALSE)</f>
        <v>4415</v>
      </c>
      <c r="D14" s="93" t="str">
        <f>IF(ISBLANK(C14),"",VLOOKUP(C14,Inscripciones!$B$7:$F$200,2,FALSE))</f>
        <v>ALEJANDRO CRUZ BONILLA</v>
      </c>
      <c r="E14" s="94" t="str">
        <f>IF(ISBLANK(C14),"",VLOOKUP(C14,Inscripciones!$B$7:$F$200,3,FALSE))</f>
        <v>ALAJUELA</v>
      </c>
      <c r="F14" s="94">
        <f>IF(ISBLANK(C14),"",VLOOKUP(C14,Inscripciones!$B$7:$F$200,4,FALSE))</f>
        <v>45</v>
      </c>
      <c r="G14" s="94">
        <f>IF(ISBLANK(C14),"",VLOOKUP(C14,Inscripciones!$B$7:$F$200,5,FALSE))</f>
        <v>482</v>
      </c>
      <c r="H14" s="95"/>
      <c r="I14" s="95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96" t="s">
        <v>22</v>
      </c>
      <c r="C17" s="96"/>
      <c r="D17" s="96" t="s">
        <v>23</v>
      </c>
      <c r="E17" s="96" t="s">
        <v>24</v>
      </c>
      <c r="F17" s="96" t="s">
        <v>25</v>
      </c>
      <c r="G17" s="96" t="s">
        <v>26</v>
      </c>
      <c r="H17" s="96" t="s">
        <v>27</v>
      </c>
      <c r="I17" s="96" t="s">
        <v>28</v>
      </c>
      <c r="J17" s="97" t="s">
        <v>29</v>
      </c>
    </row>
    <row r="18" spans="2:10" ht="21" customHeight="1" x14ac:dyDescent="0.25">
      <c r="B18" s="98">
        <v>1</v>
      </c>
      <c r="C18" s="99">
        <v>1</v>
      </c>
      <c r="D18" s="100" t="str">
        <f>D12</f>
        <v>IAN DAVID GARRO ALONSO</v>
      </c>
      <c r="E18" s="101">
        <v>11</v>
      </c>
      <c r="F18" s="101">
        <v>11</v>
      </c>
      <c r="G18" s="101"/>
      <c r="H18" s="101"/>
      <c r="I18" s="101"/>
      <c r="J18" s="393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02"/>
      <c r="C19" s="99">
        <v>3</v>
      </c>
      <c r="D19" s="100" t="str">
        <f>D14</f>
        <v>ALEJANDRO CRUZ BONILLA</v>
      </c>
      <c r="E19" s="101">
        <v>0</v>
      </c>
      <c r="F19" s="101">
        <v>5</v>
      </c>
      <c r="G19" s="101"/>
      <c r="H19" s="101"/>
      <c r="I19" s="101"/>
      <c r="J19" s="394"/>
    </row>
    <row r="20" spans="2:10" ht="21" customHeight="1" x14ac:dyDescent="0.25">
      <c r="B20" s="98">
        <v>2</v>
      </c>
      <c r="C20" s="101">
        <v>1</v>
      </c>
      <c r="D20" s="100" t="str">
        <f>D12</f>
        <v>IAN DAVID GARRO ALONSO</v>
      </c>
      <c r="E20" s="101">
        <v>11</v>
      </c>
      <c r="F20" s="101">
        <v>11</v>
      </c>
      <c r="G20" s="101"/>
      <c r="H20" s="101"/>
      <c r="I20" s="101"/>
      <c r="J20" s="393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02"/>
      <c r="C21" s="101">
        <v>2</v>
      </c>
      <c r="D21" s="100" t="str">
        <f>D13</f>
        <v>LUIS GAEL SILES LOBO</v>
      </c>
      <c r="E21" s="101">
        <v>3</v>
      </c>
      <c r="F21" s="101">
        <v>6</v>
      </c>
      <c r="G21" s="101"/>
      <c r="H21" s="101"/>
      <c r="I21" s="101"/>
      <c r="J21" s="394"/>
    </row>
    <row r="22" spans="2:10" ht="21" customHeight="1" x14ac:dyDescent="0.25">
      <c r="B22" s="98">
        <v>3</v>
      </c>
      <c r="C22" s="101">
        <v>2</v>
      </c>
      <c r="D22" s="100" t="str">
        <f>D13</f>
        <v>LUIS GAEL SILES LOBO</v>
      </c>
      <c r="E22" s="101">
        <v>12</v>
      </c>
      <c r="F22" s="101">
        <v>11</v>
      </c>
      <c r="G22" s="101"/>
      <c r="H22" s="101"/>
      <c r="I22" s="101"/>
      <c r="J22" s="393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02"/>
      <c r="C23" s="101">
        <v>3</v>
      </c>
      <c r="D23" s="100" t="str">
        <f>D14</f>
        <v>ALEJANDRO CRUZ BONILLA</v>
      </c>
      <c r="E23" s="101">
        <v>10</v>
      </c>
      <c r="F23" s="101">
        <v>4</v>
      </c>
      <c r="G23" s="101"/>
      <c r="H23" s="101"/>
      <c r="I23" s="101"/>
      <c r="J23" s="394"/>
    </row>
    <row r="24" spans="2:10" ht="6" customHeight="1" x14ac:dyDescent="0.25">
      <c r="B24" s="86"/>
      <c r="C24" s="86"/>
      <c r="D24" s="86"/>
      <c r="E24" s="86"/>
      <c r="F24" s="86"/>
      <c r="G24" s="86"/>
      <c r="H24" s="86"/>
      <c r="I24" s="86"/>
      <c r="J24" s="86"/>
    </row>
    <row r="25" spans="2:10" ht="6" customHeight="1" x14ac:dyDescent="0.25">
      <c r="B25" s="86"/>
      <c r="E25" s="86"/>
      <c r="F25" s="86"/>
      <c r="G25" s="86"/>
      <c r="H25" s="86"/>
      <c r="I25" s="86"/>
      <c r="J25" s="86"/>
    </row>
    <row r="26" spans="2:10" s="104" customFormat="1" ht="6" customHeight="1" x14ac:dyDescent="0.25">
      <c r="B26" s="103"/>
      <c r="E26" s="103"/>
      <c r="F26" s="103"/>
      <c r="G26" s="103"/>
      <c r="H26" s="103"/>
      <c r="I26" s="103"/>
      <c r="J26" s="103"/>
    </row>
    <row r="27" spans="2:10" ht="6" customHeight="1" x14ac:dyDescent="0.25">
      <c r="E27" s="86"/>
      <c r="F27" s="86"/>
    </row>
    <row r="28" spans="2:10" ht="6" customHeight="1" x14ac:dyDescent="0.25">
      <c r="E28" s="86"/>
      <c r="F28" s="86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380" t="s">
        <v>30</v>
      </c>
      <c r="D32" s="380"/>
      <c r="F32" s="381" t="s">
        <v>31</v>
      </c>
      <c r="G32" s="382"/>
      <c r="H32" s="382"/>
      <c r="I32" s="382"/>
      <c r="J32" s="382"/>
    </row>
    <row r="33" spans="3:10" ht="18" customHeight="1" thickBot="1" x14ac:dyDescent="0.3">
      <c r="C33" s="106" t="s">
        <v>32</v>
      </c>
      <c r="D33" s="106" t="s">
        <v>33</v>
      </c>
      <c r="F33" s="383" t="s">
        <v>34</v>
      </c>
      <c r="G33" s="384"/>
      <c r="H33" s="384"/>
      <c r="I33" s="384"/>
      <c r="J33" s="384"/>
    </row>
    <row r="34" spans="3:10" ht="25.5" customHeight="1" thickBot="1" x14ac:dyDescent="0.3">
      <c r="C34" s="107">
        <v>4034</v>
      </c>
      <c r="D34" s="108" t="str">
        <f>IF(ISBLANK(C34),"",VLOOKUP(C34,Inscripciones!$B$5:$F$200,2,FALSE))</f>
        <v>IAN DAVID GARRO ALONSO</v>
      </c>
      <c r="F34" s="109" t="s">
        <v>35</v>
      </c>
      <c r="G34" s="395"/>
      <c r="H34" s="396"/>
      <c r="I34" s="396"/>
      <c r="J34" s="397"/>
    </row>
    <row r="35" spans="3:10" ht="25.5" customHeight="1" thickBot="1" x14ac:dyDescent="0.3">
      <c r="C35" s="107">
        <v>2847</v>
      </c>
      <c r="D35" s="108" t="str">
        <f>IF(ISBLANK(C35),"",VLOOKUP(C35,Inscripciones!$B$5:$F$200,2,FALSE))</f>
        <v>LUIS GAEL SILES LOBO</v>
      </c>
      <c r="F35" s="398" t="s">
        <v>36</v>
      </c>
      <c r="G35" s="399"/>
      <c r="H35" s="399"/>
      <c r="I35" s="400"/>
      <c r="J35" s="110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91"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77B09-D53C-4808-AB5D-F9C5B39B78B5}">
  <sheetPr codeName="Sheet7">
    <pageSetUpPr fitToPage="1"/>
  </sheetPr>
  <dimension ref="A2:M35"/>
  <sheetViews>
    <sheetView topLeftCell="A16" zoomScale="85" zoomScaleNormal="85" workbookViewId="0">
      <selection activeCell="O12" sqref="O12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31.7109375" style="17" bestFit="1" customWidth="1"/>
    <col min="5" max="5" width="10.8554687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385" t="e" vm="1">
        <v>#VALUE!</v>
      </c>
      <c r="C2" s="385"/>
      <c r="D2" s="385"/>
      <c r="E2" s="385"/>
      <c r="F2" s="385"/>
      <c r="G2" s="385"/>
      <c r="H2" s="385"/>
      <c r="I2" s="385"/>
      <c r="J2" s="385"/>
    </row>
    <row r="3" spans="1:13" x14ac:dyDescent="0.25">
      <c r="B3" s="385"/>
      <c r="C3" s="385"/>
      <c r="D3" s="385"/>
      <c r="E3" s="385"/>
      <c r="F3" s="385"/>
      <c r="G3" s="385"/>
      <c r="H3" s="385"/>
      <c r="I3" s="385"/>
      <c r="J3" s="385"/>
    </row>
    <row r="4" spans="1:13" ht="15" customHeight="1" thickBot="1" x14ac:dyDescent="0.3">
      <c r="B4" s="385"/>
      <c r="C4" s="385"/>
      <c r="D4" s="385"/>
      <c r="E4" s="385"/>
      <c r="F4" s="385"/>
      <c r="G4" s="385"/>
      <c r="H4" s="385"/>
      <c r="I4" s="385"/>
      <c r="J4" s="385"/>
    </row>
    <row r="5" spans="1:13" ht="15.75" customHeight="1" x14ac:dyDescent="0.25">
      <c r="B5" s="385"/>
      <c r="C5" s="385"/>
      <c r="D5" s="385"/>
      <c r="E5" s="385"/>
      <c r="F5" s="385"/>
      <c r="G5" s="385"/>
      <c r="H5" s="385"/>
      <c r="I5" s="385"/>
      <c r="J5" s="385"/>
      <c r="L5" s="412" t="s">
        <v>11</v>
      </c>
      <c r="M5" s="412"/>
    </row>
    <row r="6" spans="1:13" ht="26.25" customHeight="1" x14ac:dyDescent="0.25">
      <c r="B6" s="385"/>
      <c r="C6" s="385"/>
      <c r="D6" s="385"/>
      <c r="E6" s="385"/>
      <c r="F6" s="385"/>
      <c r="G6" s="385"/>
      <c r="H6" s="385"/>
      <c r="I6" s="385"/>
      <c r="J6" s="385"/>
      <c r="L6" s="413"/>
      <c r="M6" s="413"/>
    </row>
    <row r="7" spans="1:13" ht="26.25" customHeight="1" x14ac:dyDescent="0.35">
      <c r="C7" s="83"/>
      <c r="D7" s="83"/>
      <c r="G7" s="83" t="s">
        <v>12</v>
      </c>
      <c r="H7" s="83"/>
      <c r="I7" s="83"/>
      <c r="J7" s="84">
        <f ca="1">TODAY()</f>
        <v>46288</v>
      </c>
      <c r="L7" s="413"/>
      <c r="M7" s="413"/>
    </row>
    <row r="8" spans="1:13" ht="26.25" customHeight="1" x14ac:dyDescent="0.35">
      <c r="C8" s="83"/>
      <c r="D8" s="83"/>
      <c r="L8" s="413"/>
      <c r="M8" s="413"/>
    </row>
    <row r="9" spans="1:13" ht="21" customHeight="1" x14ac:dyDescent="0.35">
      <c r="B9" s="85" t="s">
        <v>13</v>
      </c>
      <c r="C9" s="86"/>
      <c r="D9" s="87" t="str">
        <f>Inscripciones!B2</f>
        <v>U19 MASCULINO</v>
      </c>
      <c r="E9" s="85" t="s">
        <v>14</v>
      </c>
      <c r="F9" s="87">
        <v>4</v>
      </c>
      <c r="G9" s="85" t="s">
        <v>15</v>
      </c>
      <c r="H9" s="85"/>
      <c r="I9" s="85"/>
      <c r="J9" s="88"/>
    </row>
    <row r="10" spans="1:13" ht="21" customHeight="1" x14ac:dyDescent="0.25"/>
    <row r="11" spans="1:13" ht="21" customHeight="1" x14ac:dyDescent="0.25">
      <c r="B11" s="89" t="s">
        <v>16</v>
      </c>
      <c r="C11" s="89" t="s">
        <v>17</v>
      </c>
      <c r="D11" s="89" t="s">
        <v>18</v>
      </c>
      <c r="E11" s="89" t="s">
        <v>19</v>
      </c>
      <c r="F11" s="89" t="s">
        <v>20</v>
      </c>
      <c r="G11" s="89" t="s">
        <v>21</v>
      </c>
      <c r="H11" s="89"/>
      <c r="I11" s="89"/>
      <c r="J11" s="90"/>
    </row>
    <row r="12" spans="1:13" ht="21" customHeight="1" x14ac:dyDescent="0.35">
      <c r="A12" s="17">
        <f>F9+0.1</f>
        <v>4.0999999999999996</v>
      </c>
      <c r="B12" s="91">
        <v>1</v>
      </c>
      <c r="C12" s="92">
        <f>VLOOKUP(A12,Inscripciones!A5:G167,2,FALSE)</f>
        <v>3472</v>
      </c>
      <c r="D12" s="93" t="str">
        <f>IF(ISBLANK(C12),"",VLOOKUP(C12,Inscripciones!$B$5:$F$200,2,FALSE))</f>
        <v>JAYDRICK SHAMALL BAKER CRAWFORD</v>
      </c>
      <c r="E12" s="94" t="str">
        <f>IF(ISBLANK(C12),"",VLOOKUP(C12,Inscripciones!$B$5:$F$200,3,FALSE))</f>
        <v>ASERRÍ - UCR</v>
      </c>
      <c r="F12" s="94">
        <f>IF(ISBLANK(C12),"",VLOOKUP(C12,Inscripciones!$B$5:$F$200,4,FALSE))</f>
        <v>4</v>
      </c>
      <c r="G12" s="94">
        <f>IF(ISBLANK(C12),"",VLOOKUP(C12,Inscripciones!$B$5:$F$200,5,FALSE))</f>
        <v>626</v>
      </c>
      <c r="H12" s="95"/>
      <c r="I12" s="95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4.2</v>
      </c>
      <c r="B13" s="91">
        <v>2</v>
      </c>
      <c r="C13" s="92">
        <f>VLOOKUP(A13,Inscripciones!A5:G168,2,FALSE)</f>
        <v>4248</v>
      </c>
      <c r="D13" s="93" t="str">
        <f>IF(ISBLANK(C13),"",VLOOKUP(C13,Inscripciones!$B$5:$F$200,2,FALSE))</f>
        <v>ALEJANDRO COTO RAMIREZ</v>
      </c>
      <c r="E13" s="94" t="str">
        <f>IF(ISBLANK(C13),"",VLOOKUP(C13,Inscripciones!$B$5:$F$200,3,FALSE))</f>
        <v>GUARCO</v>
      </c>
      <c r="F13" s="94">
        <f>IF(ISBLANK(C13),"",VLOOKUP(C13,Inscripciones!$B$5:$F$200,4,FALSE))</f>
        <v>33</v>
      </c>
      <c r="G13" s="94">
        <f>IF(ISBLANK(C13),"",VLOOKUP(C13,Inscripciones!$B$5:$F$200,5,FALSE))</f>
        <v>493</v>
      </c>
      <c r="H13" s="95"/>
      <c r="I13" s="95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4.3</v>
      </c>
      <c r="B14" s="91">
        <v>3</v>
      </c>
      <c r="C14" s="92">
        <f>VLOOKUP(A14,Inscripciones!A6:G169,2,FALSE)</f>
        <v>4464</v>
      </c>
      <c r="D14" s="93" t="str">
        <f>IF(ISBLANK(C14),"",VLOOKUP(C14,Inscripciones!$B$7:$F$200,2,FALSE))</f>
        <v>ISAAC GAMBOA MORERA</v>
      </c>
      <c r="E14" s="94" t="str">
        <f>IF(ISBLANK(C14),"",VLOOKUP(C14,Inscripciones!$B$7:$F$200,3,FALSE))</f>
        <v>ESPARZA</v>
      </c>
      <c r="F14" s="94">
        <f>IF(ISBLANK(C14),"",VLOOKUP(C14,Inscripciones!$B$7:$F$200,4,FALSE))</f>
        <v>42</v>
      </c>
      <c r="G14" s="94">
        <f>IF(ISBLANK(C14),"",VLOOKUP(C14,Inscripciones!$B$7:$F$200,5,FALSE))</f>
        <v>483</v>
      </c>
      <c r="H14" s="95"/>
      <c r="I14" s="95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96" t="s">
        <v>22</v>
      </c>
      <c r="C17" s="96"/>
      <c r="D17" s="96" t="s">
        <v>23</v>
      </c>
      <c r="E17" s="96" t="s">
        <v>24</v>
      </c>
      <c r="F17" s="96" t="s">
        <v>25</v>
      </c>
      <c r="G17" s="96" t="s">
        <v>26</v>
      </c>
      <c r="H17" s="96" t="s">
        <v>27</v>
      </c>
      <c r="I17" s="96" t="s">
        <v>28</v>
      </c>
      <c r="J17" s="97" t="s">
        <v>29</v>
      </c>
    </row>
    <row r="18" spans="2:10" ht="21" customHeight="1" x14ac:dyDescent="0.25">
      <c r="B18" s="98">
        <v>1</v>
      </c>
      <c r="C18" s="99">
        <v>1</v>
      </c>
      <c r="D18" s="100" t="str">
        <f>D12</f>
        <v>JAYDRICK SHAMALL BAKER CRAWFORD</v>
      </c>
      <c r="E18" s="101">
        <v>11</v>
      </c>
      <c r="F18" s="101">
        <v>14</v>
      </c>
      <c r="G18" s="101"/>
      <c r="H18" s="101"/>
      <c r="I18" s="101"/>
      <c r="J18" s="393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02"/>
      <c r="C19" s="99">
        <v>3</v>
      </c>
      <c r="D19" s="100" t="str">
        <f>D14</f>
        <v>ISAAC GAMBOA MORERA</v>
      </c>
      <c r="E19" s="101">
        <v>5</v>
      </c>
      <c r="F19" s="101">
        <v>12</v>
      </c>
      <c r="G19" s="101"/>
      <c r="H19" s="101"/>
      <c r="I19" s="101"/>
      <c r="J19" s="394"/>
    </row>
    <row r="20" spans="2:10" ht="21" customHeight="1" x14ac:dyDescent="0.25">
      <c r="B20" s="98">
        <v>2</v>
      </c>
      <c r="C20" s="101">
        <v>1</v>
      </c>
      <c r="D20" s="100" t="str">
        <f>D12</f>
        <v>JAYDRICK SHAMALL BAKER CRAWFORD</v>
      </c>
      <c r="E20" s="101">
        <v>11</v>
      </c>
      <c r="F20" s="101">
        <v>11</v>
      </c>
      <c r="G20" s="101"/>
      <c r="H20" s="101"/>
      <c r="I20" s="101"/>
      <c r="J20" s="393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02"/>
      <c r="C21" s="101">
        <v>2</v>
      </c>
      <c r="D21" s="100" t="str">
        <f>D13</f>
        <v>ALEJANDRO COTO RAMIREZ</v>
      </c>
      <c r="E21" s="101">
        <v>3</v>
      </c>
      <c r="F21" s="101">
        <v>4</v>
      </c>
      <c r="G21" s="101"/>
      <c r="H21" s="101"/>
      <c r="I21" s="101"/>
      <c r="J21" s="394"/>
    </row>
    <row r="22" spans="2:10" ht="21" customHeight="1" x14ac:dyDescent="0.25">
      <c r="B22" s="98">
        <v>3</v>
      </c>
      <c r="C22" s="101">
        <v>2</v>
      </c>
      <c r="D22" s="100" t="str">
        <f>D13</f>
        <v>ALEJANDRO COTO RAMIREZ</v>
      </c>
      <c r="E22" s="101">
        <v>9</v>
      </c>
      <c r="F22" s="101">
        <v>12</v>
      </c>
      <c r="G22" s="101">
        <v>8</v>
      </c>
      <c r="H22" s="101"/>
      <c r="I22" s="101"/>
      <c r="J22" s="393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3</v>
      </c>
    </row>
    <row r="23" spans="2:10" ht="21" customHeight="1" x14ac:dyDescent="0.25">
      <c r="B23" s="102"/>
      <c r="C23" s="101">
        <v>3</v>
      </c>
      <c r="D23" s="100" t="str">
        <f>D14</f>
        <v>ISAAC GAMBOA MORERA</v>
      </c>
      <c r="E23" s="101">
        <v>11</v>
      </c>
      <c r="F23" s="101">
        <v>10</v>
      </c>
      <c r="G23" s="101">
        <v>11</v>
      </c>
      <c r="H23" s="101"/>
      <c r="I23" s="101"/>
      <c r="J23" s="394"/>
    </row>
    <row r="24" spans="2:10" ht="6" customHeight="1" x14ac:dyDescent="0.25">
      <c r="B24" s="86"/>
      <c r="C24" s="86"/>
      <c r="D24" s="86"/>
      <c r="E24" s="86"/>
      <c r="F24" s="86"/>
      <c r="G24" s="86"/>
      <c r="H24" s="86"/>
      <c r="I24" s="86"/>
      <c r="J24" s="86"/>
    </row>
    <row r="25" spans="2:10" ht="6" customHeight="1" x14ac:dyDescent="0.25">
      <c r="B25" s="86"/>
      <c r="E25" s="86"/>
      <c r="F25" s="86"/>
      <c r="G25" s="86"/>
      <c r="H25" s="86"/>
      <c r="I25" s="86"/>
      <c r="J25" s="86"/>
    </row>
    <row r="26" spans="2:10" s="104" customFormat="1" ht="6" customHeight="1" x14ac:dyDescent="0.25">
      <c r="B26" s="103"/>
      <c r="E26" s="103"/>
      <c r="F26" s="103"/>
      <c r="G26" s="103"/>
      <c r="H26" s="103"/>
      <c r="I26" s="103"/>
      <c r="J26" s="103"/>
    </row>
    <row r="27" spans="2:10" ht="6" customHeight="1" x14ac:dyDescent="0.25">
      <c r="E27" s="86"/>
      <c r="F27" s="86"/>
    </row>
    <row r="28" spans="2:10" ht="6" customHeight="1" x14ac:dyDescent="0.25">
      <c r="E28" s="86"/>
      <c r="F28" s="86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380" t="s">
        <v>30</v>
      </c>
      <c r="D32" s="380"/>
      <c r="F32" s="381" t="s">
        <v>31</v>
      </c>
      <c r="G32" s="382"/>
      <c r="H32" s="382"/>
      <c r="I32" s="382"/>
      <c r="J32" s="382"/>
    </row>
    <row r="33" spans="3:10" ht="18" customHeight="1" thickBot="1" x14ac:dyDescent="0.3">
      <c r="C33" s="106" t="s">
        <v>32</v>
      </c>
      <c r="D33" s="106" t="s">
        <v>33</v>
      </c>
      <c r="F33" s="383" t="s">
        <v>34</v>
      </c>
      <c r="G33" s="384"/>
      <c r="H33" s="384"/>
      <c r="I33" s="384"/>
      <c r="J33" s="384"/>
    </row>
    <row r="34" spans="3:10" ht="25.5" customHeight="1" thickBot="1" x14ac:dyDescent="0.3">
      <c r="C34" s="107">
        <v>3472</v>
      </c>
      <c r="D34" s="108" t="str">
        <f>IF(ISBLANK(C34),"",VLOOKUP(C34,Inscripciones!$B$5:$F$200,2,FALSE))</f>
        <v>JAYDRICK SHAMALL BAKER CRAWFORD</v>
      </c>
      <c r="F34" s="109" t="s">
        <v>35</v>
      </c>
      <c r="G34" s="395"/>
      <c r="H34" s="396"/>
      <c r="I34" s="396"/>
      <c r="J34" s="397"/>
    </row>
    <row r="35" spans="3:10" ht="25.5" customHeight="1" thickBot="1" x14ac:dyDescent="0.3">
      <c r="C35" s="107">
        <v>4464</v>
      </c>
      <c r="D35" s="108" t="str">
        <f>IF(ISBLANK(C35),"",VLOOKUP(C35,Inscripciones!$B$5:$F$200,2,FALSE))</f>
        <v>ISAAC GAMBOA MORERA</v>
      </c>
      <c r="F35" s="398" t="s">
        <v>36</v>
      </c>
      <c r="G35" s="399"/>
      <c r="H35" s="399"/>
      <c r="I35" s="400"/>
      <c r="J35" s="110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4" orientation="portrait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205DF-8EA1-498D-8108-28981588B82C}">
  <sheetPr codeName="Sheet8">
    <pageSetUpPr fitToPage="1"/>
  </sheetPr>
  <dimension ref="A2:M35"/>
  <sheetViews>
    <sheetView topLeftCell="A17" zoomScale="85" zoomScaleNormal="85" workbookViewId="0">
      <selection activeCell="C36" sqref="C36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26.5703125" style="17" bestFit="1" customWidth="1"/>
    <col min="5" max="5" width="12.8554687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385" t="e" vm="1">
        <v>#VALUE!</v>
      </c>
      <c r="C2" s="385"/>
      <c r="D2" s="385"/>
      <c r="E2" s="385"/>
      <c r="F2" s="385"/>
      <c r="G2" s="385"/>
      <c r="H2" s="385"/>
      <c r="I2" s="385"/>
      <c r="J2" s="385"/>
    </row>
    <row r="3" spans="1:13" x14ac:dyDescent="0.25">
      <c r="B3" s="385"/>
      <c r="C3" s="385"/>
      <c r="D3" s="385"/>
      <c r="E3" s="385"/>
      <c r="F3" s="385"/>
      <c r="G3" s="385"/>
      <c r="H3" s="385"/>
      <c r="I3" s="385"/>
      <c r="J3" s="385"/>
    </row>
    <row r="4" spans="1:13" ht="15" customHeight="1" thickBot="1" x14ac:dyDescent="0.3">
      <c r="B4" s="385"/>
      <c r="C4" s="385"/>
      <c r="D4" s="385"/>
      <c r="E4" s="385"/>
      <c r="F4" s="385"/>
      <c r="G4" s="385"/>
      <c r="H4" s="385"/>
      <c r="I4" s="385"/>
      <c r="J4" s="385"/>
    </row>
    <row r="5" spans="1:13" ht="15.75" customHeight="1" x14ac:dyDescent="0.25">
      <c r="B5" s="385"/>
      <c r="C5" s="385"/>
      <c r="D5" s="385"/>
      <c r="E5" s="385"/>
      <c r="F5" s="385"/>
      <c r="G5" s="385"/>
      <c r="H5" s="385"/>
      <c r="I5" s="385"/>
      <c r="J5" s="385"/>
      <c r="L5" s="412" t="s">
        <v>11</v>
      </c>
      <c r="M5" s="412"/>
    </row>
    <row r="6" spans="1:13" ht="26.25" customHeight="1" x14ac:dyDescent="0.25">
      <c r="B6" s="385"/>
      <c r="C6" s="385"/>
      <c r="D6" s="385"/>
      <c r="E6" s="385"/>
      <c r="F6" s="385"/>
      <c r="G6" s="385"/>
      <c r="H6" s="385"/>
      <c r="I6" s="385"/>
      <c r="J6" s="385"/>
      <c r="L6" s="413"/>
      <c r="M6" s="413"/>
    </row>
    <row r="7" spans="1:13" ht="26.25" customHeight="1" x14ac:dyDescent="0.35">
      <c r="C7" s="83"/>
      <c r="D7" s="83"/>
      <c r="G7" s="83" t="s">
        <v>12</v>
      </c>
      <c r="H7" s="83"/>
      <c r="I7" s="83"/>
      <c r="J7" s="84">
        <f ca="1">TODAY()</f>
        <v>46288</v>
      </c>
      <c r="L7" s="413"/>
      <c r="M7" s="413"/>
    </row>
    <row r="8" spans="1:13" ht="26.25" customHeight="1" x14ac:dyDescent="0.35">
      <c r="C8" s="83"/>
      <c r="D8" s="83"/>
      <c r="L8" s="413"/>
      <c r="M8" s="413"/>
    </row>
    <row r="9" spans="1:13" ht="21" customHeight="1" x14ac:dyDescent="0.35">
      <c r="B9" s="85" t="s">
        <v>13</v>
      </c>
      <c r="C9" s="86"/>
      <c r="D9" s="87" t="str">
        <f>Inscripciones!B2</f>
        <v>U19 MASCULINO</v>
      </c>
      <c r="E9" s="85" t="s">
        <v>14</v>
      </c>
      <c r="F9" s="87">
        <v>5</v>
      </c>
      <c r="G9" s="85" t="s">
        <v>15</v>
      </c>
      <c r="H9" s="85"/>
      <c r="I9" s="85"/>
      <c r="J9" s="88"/>
    </row>
    <row r="10" spans="1:13" ht="21" customHeight="1" x14ac:dyDescent="0.25"/>
    <row r="11" spans="1:13" ht="21" customHeight="1" x14ac:dyDescent="0.25">
      <c r="B11" s="89" t="s">
        <v>16</v>
      </c>
      <c r="C11" s="89" t="s">
        <v>17</v>
      </c>
      <c r="D11" s="89" t="s">
        <v>18</v>
      </c>
      <c r="E11" s="89" t="s">
        <v>19</v>
      </c>
      <c r="F11" s="89" t="s">
        <v>20</v>
      </c>
      <c r="G11" s="89" t="s">
        <v>21</v>
      </c>
      <c r="H11" s="89"/>
      <c r="I11" s="89"/>
      <c r="J11" s="90"/>
    </row>
    <row r="12" spans="1:13" ht="21" customHeight="1" x14ac:dyDescent="0.35">
      <c r="A12" s="17">
        <f>F9+0.1</f>
        <v>5.0999999999999996</v>
      </c>
      <c r="B12" s="91">
        <v>1</v>
      </c>
      <c r="C12" s="92">
        <f>VLOOKUP(A12,Inscripciones!A5:G167,2,FALSE)</f>
        <v>2895</v>
      </c>
      <c r="D12" s="93" t="str">
        <f>IF(ISBLANK(C12),"",VLOOKUP(C12,Inscripciones!$B$5:$F$200,2,FALSE))</f>
        <v>ANDRES JOSE VEGA VALERIO</v>
      </c>
      <c r="E12" s="94" t="str">
        <f>IF(ISBLANK(C12),"",VLOOKUP(C12,Inscripciones!$B$5:$F$200,3,FALSE))</f>
        <v>ALAJUELA - UCR</v>
      </c>
      <c r="F12" s="94">
        <f>IF(ISBLANK(C12),"",VLOOKUP(C12,Inscripciones!$B$5:$F$200,4,FALSE))</f>
        <v>5</v>
      </c>
      <c r="G12" s="94">
        <f>IF(ISBLANK(C12),"",VLOOKUP(C12,Inscripciones!$B$5:$F$200,5,FALSE))</f>
        <v>613</v>
      </c>
      <c r="H12" s="95"/>
      <c r="I12" s="95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5.2</v>
      </c>
      <c r="B13" s="91">
        <v>2</v>
      </c>
      <c r="C13" s="92">
        <f>VLOOKUP(A13,Inscripciones!A5:G168,2,FALSE)</f>
        <v>3898</v>
      </c>
      <c r="D13" s="93" t="str">
        <f>IF(ISBLANK(C13),"",VLOOKUP(C13,Inscripciones!$B$5:$F$200,2,FALSE))</f>
        <v>JOSUE CALVO CRUZ</v>
      </c>
      <c r="E13" s="94" t="str">
        <f>IF(ISBLANK(C13),"",VLOOKUP(C13,Inscripciones!$B$5:$F$200,3,FALSE))</f>
        <v>CCDR SAN JOSÉ</v>
      </c>
      <c r="F13" s="94">
        <f>IF(ISBLANK(C13),"",VLOOKUP(C13,Inscripciones!$B$5:$F$200,4,FALSE))</f>
        <v>32</v>
      </c>
      <c r="G13" s="94">
        <f>IF(ISBLANK(C13),"",VLOOKUP(C13,Inscripciones!$B$5:$F$200,5,FALSE))</f>
        <v>493</v>
      </c>
      <c r="H13" s="95"/>
      <c r="I13" s="95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5.3</v>
      </c>
      <c r="B14" s="91">
        <v>3</v>
      </c>
      <c r="C14" s="92">
        <f>VLOOKUP(A14,Inscripciones!A6:G169,2,FALSE)</f>
        <v>3450</v>
      </c>
      <c r="D14" s="93" t="str">
        <f>IF(ISBLANK(C14),"",VLOOKUP(C14,Inscripciones!$B$7:$F$200,2,FALSE))</f>
        <v>OSWALDO IGNACIO SILVA NOVOA</v>
      </c>
      <c r="E14" s="94" t="str">
        <f>IF(ISBLANK(C14),"",VLOOKUP(C14,Inscripciones!$B$7:$F$200,3,FALSE))</f>
        <v>SANTA ANA</v>
      </c>
      <c r="F14" s="94">
        <f>IF(ISBLANK(C14),"",VLOOKUP(C14,Inscripciones!$B$7:$F$200,4,FALSE))</f>
        <v>49</v>
      </c>
      <c r="G14" s="94">
        <f>IF(ISBLANK(C14),"",VLOOKUP(C14,Inscripciones!$B$7:$F$200,5,FALSE))</f>
        <v>473</v>
      </c>
      <c r="H14" s="95"/>
      <c r="I14" s="95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96" t="s">
        <v>22</v>
      </c>
      <c r="C17" s="96"/>
      <c r="D17" s="96" t="s">
        <v>23</v>
      </c>
      <c r="E17" s="96" t="s">
        <v>24</v>
      </c>
      <c r="F17" s="96" t="s">
        <v>25</v>
      </c>
      <c r="G17" s="96" t="s">
        <v>26</v>
      </c>
      <c r="H17" s="96" t="s">
        <v>27</v>
      </c>
      <c r="I17" s="96" t="s">
        <v>28</v>
      </c>
      <c r="J17" s="97" t="s">
        <v>29</v>
      </c>
    </row>
    <row r="18" spans="2:10" ht="21" customHeight="1" x14ac:dyDescent="0.25">
      <c r="B18" s="98">
        <v>1</v>
      </c>
      <c r="C18" s="99">
        <v>1</v>
      </c>
      <c r="D18" s="100" t="str">
        <f>D12</f>
        <v>ANDRES JOSE VEGA VALERIO</v>
      </c>
      <c r="E18" s="101">
        <v>11</v>
      </c>
      <c r="F18" s="101">
        <v>11</v>
      </c>
      <c r="G18" s="101">
        <v>11</v>
      </c>
      <c r="H18" s="101"/>
      <c r="I18" s="101"/>
      <c r="J18" s="393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02"/>
      <c r="C19" s="99">
        <v>3</v>
      </c>
      <c r="D19" s="100" t="str">
        <f>D14</f>
        <v>OSWALDO IGNACIO SILVA NOVOA</v>
      </c>
      <c r="E19" s="101">
        <v>5</v>
      </c>
      <c r="F19" s="101">
        <v>13</v>
      </c>
      <c r="G19" s="101">
        <v>8</v>
      </c>
      <c r="H19" s="101"/>
      <c r="I19" s="101"/>
      <c r="J19" s="394"/>
    </row>
    <row r="20" spans="2:10" ht="21" customHeight="1" x14ac:dyDescent="0.25">
      <c r="B20" s="98">
        <v>2</v>
      </c>
      <c r="C20" s="101">
        <v>1</v>
      </c>
      <c r="D20" s="100" t="str">
        <f>D12</f>
        <v>ANDRES JOSE VEGA VALERIO</v>
      </c>
      <c r="E20" s="101">
        <v>11</v>
      </c>
      <c r="F20" s="101">
        <v>11</v>
      </c>
      <c r="G20" s="101"/>
      <c r="H20" s="101"/>
      <c r="I20" s="101"/>
      <c r="J20" s="393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02"/>
      <c r="C21" s="101">
        <v>2</v>
      </c>
      <c r="D21" s="100" t="str">
        <f>D13</f>
        <v>JOSUE CALVO CRUZ</v>
      </c>
      <c r="E21" s="101">
        <v>6</v>
      </c>
      <c r="F21" s="101">
        <v>5</v>
      </c>
      <c r="G21" s="101"/>
      <c r="H21" s="101"/>
      <c r="I21" s="101"/>
      <c r="J21" s="394"/>
    </row>
    <row r="22" spans="2:10" ht="21" customHeight="1" x14ac:dyDescent="0.25">
      <c r="B22" s="98">
        <v>3</v>
      </c>
      <c r="C22" s="101">
        <v>2</v>
      </c>
      <c r="D22" s="100" t="str">
        <f>D13</f>
        <v>JOSUE CALVO CRUZ</v>
      </c>
      <c r="E22" s="101">
        <v>5</v>
      </c>
      <c r="F22" s="101">
        <v>7</v>
      </c>
      <c r="G22" s="101"/>
      <c r="H22" s="101"/>
      <c r="I22" s="101"/>
      <c r="J22" s="393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3</v>
      </c>
    </row>
    <row r="23" spans="2:10" ht="21" customHeight="1" x14ac:dyDescent="0.25">
      <c r="B23" s="102"/>
      <c r="C23" s="101">
        <v>3</v>
      </c>
      <c r="D23" s="100" t="str">
        <f>D14</f>
        <v>OSWALDO IGNACIO SILVA NOVOA</v>
      </c>
      <c r="E23" s="101">
        <v>11</v>
      </c>
      <c r="F23" s="101">
        <v>11</v>
      </c>
      <c r="G23" s="101"/>
      <c r="H23" s="101"/>
      <c r="I23" s="101"/>
      <c r="J23" s="394"/>
    </row>
    <row r="24" spans="2:10" ht="6" customHeight="1" x14ac:dyDescent="0.25">
      <c r="B24" s="86"/>
      <c r="C24" s="86"/>
      <c r="D24" s="86"/>
      <c r="E24" s="86"/>
      <c r="F24" s="86"/>
      <c r="G24" s="86"/>
      <c r="H24" s="86"/>
      <c r="I24" s="86"/>
      <c r="J24" s="86"/>
    </row>
    <row r="25" spans="2:10" ht="6" customHeight="1" x14ac:dyDescent="0.25">
      <c r="B25" s="86"/>
      <c r="E25" s="86"/>
      <c r="F25" s="86"/>
      <c r="G25" s="86"/>
      <c r="H25" s="86"/>
      <c r="I25" s="86"/>
      <c r="J25" s="86"/>
    </row>
    <row r="26" spans="2:10" s="104" customFormat="1" ht="6" customHeight="1" x14ac:dyDescent="0.25">
      <c r="B26" s="103"/>
      <c r="E26" s="103"/>
      <c r="F26" s="103"/>
      <c r="G26" s="103"/>
      <c r="H26" s="103"/>
      <c r="I26" s="103"/>
      <c r="J26" s="103"/>
    </row>
    <row r="27" spans="2:10" ht="6" customHeight="1" x14ac:dyDescent="0.25">
      <c r="E27" s="86"/>
      <c r="F27" s="86"/>
    </row>
    <row r="28" spans="2:10" ht="6" customHeight="1" x14ac:dyDescent="0.25">
      <c r="E28" s="86"/>
      <c r="F28" s="86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380" t="s">
        <v>30</v>
      </c>
      <c r="D32" s="380"/>
      <c r="F32" s="381" t="s">
        <v>31</v>
      </c>
      <c r="G32" s="382"/>
      <c r="H32" s="382"/>
      <c r="I32" s="382"/>
      <c r="J32" s="382"/>
    </row>
    <row r="33" spans="3:10" ht="18" customHeight="1" thickBot="1" x14ac:dyDescent="0.3">
      <c r="C33" s="106" t="s">
        <v>32</v>
      </c>
      <c r="D33" s="106" t="s">
        <v>33</v>
      </c>
      <c r="F33" s="383" t="s">
        <v>34</v>
      </c>
      <c r="G33" s="384"/>
      <c r="H33" s="384"/>
      <c r="I33" s="384"/>
      <c r="J33" s="384"/>
    </row>
    <row r="34" spans="3:10" ht="25.5" customHeight="1" thickBot="1" x14ac:dyDescent="0.3">
      <c r="C34" s="107">
        <v>2895</v>
      </c>
      <c r="D34" s="108" t="str">
        <f>IF(ISBLANK(C34),"",VLOOKUP(C34,Inscripciones!$B$5:$F$200,2,FALSE))</f>
        <v>ANDRES JOSE VEGA VALERIO</v>
      </c>
      <c r="F34" s="109" t="s">
        <v>35</v>
      </c>
      <c r="G34" s="395"/>
      <c r="H34" s="396"/>
      <c r="I34" s="396"/>
      <c r="J34" s="397"/>
    </row>
    <row r="35" spans="3:10" ht="25.5" customHeight="1" thickBot="1" x14ac:dyDescent="0.3">
      <c r="C35" s="107">
        <v>3450</v>
      </c>
      <c r="D35" s="108" t="str">
        <f>IF(ISBLANK(C35),"",VLOOKUP(C35,Inscripciones!$B$5:$F$200,2,FALSE))</f>
        <v>OSWALDO IGNACIO SILVA NOVOA</v>
      </c>
      <c r="F35" s="398" t="s">
        <v>36</v>
      </c>
      <c r="G35" s="399"/>
      <c r="H35" s="399"/>
      <c r="I35" s="400"/>
      <c r="J35" s="110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7" orientation="portrait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95BF1-4E5A-48D8-B3FB-12F9860F3356}">
  <sheetPr codeName="Sheet9">
    <pageSetUpPr fitToPage="1"/>
  </sheetPr>
  <dimension ref="A2:M35"/>
  <sheetViews>
    <sheetView topLeftCell="A14" zoomScale="85" zoomScaleNormal="85" workbookViewId="0">
      <selection activeCell="C36" sqref="C36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23.7109375" style="17" bestFit="1" customWidth="1"/>
    <col min="5" max="5" width="9.4257812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385" t="e" vm="1">
        <v>#VALUE!</v>
      </c>
      <c r="C2" s="385"/>
      <c r="D2" s="385"/>
      <c r="E2" s="385"/>
      <c r="F2" s="385"/>
      <c r="G2" s="385"/>
      <c r="H2" s="385"/>
      <c r="I2" s="385"/>
      <c r="J2" s="385"/>
    </row>
    <row r="3" spans="1:13" x14ac:dyDescent="0.25">
      <c r="B3" s="385"/>
      <c r="C3" s="385"/>
      <c r="D3" s="385"/>
      <c r="E3" s="385"/>
      <c r="F3" s="385"/>
      <c r="G3" s="385"/>
      <c r="H3" s="385"/>
      <c r="I3" s="385"/>
      <c r="J3" s="385"/>
    </row>
    <row r="4" spans="1:13" ht="15" customHeight="1" thickBot="1" x14ac:dyDescent="0.3">
      <c r="B4" s="385"/>
      <c r="C4" s="385"/>
      <c r="D4" s="385"/>
      <c r="E4" s="385"/>
      <c r="F4" s="385"/>
      <c r="G4" s="385"/>
      <c r="H4" s="385"/>
      <c r="I4" s="385"/>
      <c r="J4" s="385"/>
    </row>
    <row r="5" spans="1:13" ht="15.75" customHeight="1" x14ac:dyDescent="0.25">
      <c r="B5" s="385"/>
      <c r="C5" s="385"/>
      <c r="D5" s="385"/>
      <c r="E5" s="385"/>
      <c r="F5" s="385"/>
      <c r="G5" s="385"/>
      <c r="H5" s="385"/>
      <c r="I5" s="385"/>
      <c r="J5" s="385"/>
      <c r="L5" s="412" t="s">
        <v>11</v>
      </c>
      <c r="M5" s="412"/>
    </row>
    <row r="6" spans="1:13" ht="26.25" customHeight="1" x14ac:dyDescent="0.25">
      <c r="B6" s="385"/>
      <c r="C6" s="385"/>
      <c r="D6" s="385"/>
      <c r="E6" s="385"/>
      <c r="F6" s="385"/>
      <c r="G6" s="385"/>
      <c r="H6" s="385"/>
      <c r="I6" s="385"/>
      <c r="J6" s="385"/>
      <c r="L6" s="413"/>
      <c r="M6" s="413"/>
    </row>
    <row r="7" spans="1:13" ht="26.25" customHeight="1" x14ac:dyDescent="0.35">
      <c r="C7" s="83"/>
      <c r="D7" s="83"/>
      <c r="G7" s="83" t="s">
        <v>12</v>
      </c>
      <c r="H7" s="83"/>
      <c r="I7" s="83"/>
      <c r="J7" s="84">
        <f ca="1">TODAY()</f>
        <v>46288</v>
      </c>
      <c r="L7" s="413"/>
      <c r="M7" s="413"/>
    </row>
    <row r="8" spans="1:13" ht="26.25" customHeight="1" x14ac:dyDescent="0.35">
      <c r="C8" s="83"/>
      <c r="D8" s="83"/>
      <c r="L8" s="413"/>
      <c r="M8" s="413"/>
    </row>
    <row r="9" spans="1:13" ht="21" customHeight="1" x14ac:dyDescent="0.35">
      <c r="B9" s="85" t="s">
        <v>13</v>
      </c>
      <c r="C9" s="86"/>
      <c r="D9" s="87" t="str">
        <f>Inscripciones!B2</f>
        <v>U19 MASCULINO</v>
      </c>
      <c r="E9" s="85" t="s">
        <v>14</v>
      </c>
      <c r="F9" s="87">
        <v>6</v>
      </c>
      <c r="G9" s="85" t="s">
        <v>15</v>
      </c>
      <c r="H9" s="85"/>
      <c r="I9" s="85"/>
      <c r="J9" s="88"/>
    </row>
    <row r="10" spans="1:13" ht="21" customHeight="1" x14ac:dyDescent="0.25"/>
    <row r="11" spans="1:13" ht="21" customHeight="1" x14ac:dyDescent="0.25">
      <c r="B11" s="89" t="s">
        <v>16</v>
      </c>
      <c r="C11" s="89" t="s">
        <v>17</v>
      </c>
      <c r="D11" s="89" t="s">
        <v>18</v>
      </c>
      <c r="E11" s="89" t="s">
        <v>19</v>
      </c>
      <c r="F11" s="89" t="s">
        <v>20</v>
      </c>
      <c r="G11" s="89" t="s">
        <v>21</v>
      </c>
      <c r="H11" s="89"/>
      <c r="I11" s="89"/>
      <c r="J11" s="90"/>
    </row>
    <row r="12" spans="1:13" ht="21" customHeight="1" x14ac:dyDescent="0.35">
      <c r="A12" s="17">
        <f>F9+0.1</f>
        <v>6.1</v>
      </c>
      <c r="B12" s="91">
        <v>1</v>
      </c>
      <c r="C12" s="92">
        <f>VLOOKUP(A12,Inscripciones!A5:G167,2,FALSE)</f>
        <v>2623</v>
      </c>
      <c r="D12" s="93" t="str">
        <f>IF(ISBLANK(C12),"",VLOOKUP(C12,Inscripciones!$B$5:$F$200,2,FALSE))</f>
        <v>MATEO MONGE ARROYO</v>
      </c>
      <c r="E12" s="94" t="str">
        <f>IF(ISBLANK(C12),"",VLOOKUP(C12,Inscripciones!$B$5:$F$200,3,FALSE))</f>
        <v>SANTA ANA</v>
      </c>
      <c r="F12" s="94">
        <f>IF(ISBLANK(C12),"",VLOOKUP(C12,Inscripciones!$B$5:$F$200,4,FALSE))</f>
        <v>6</v>
      </c>
      <c r="G12" s="94">
        <f>IF(ISBLANK(C12),"",VLOOKUP(C12,Inscripciones!$B$5:$F$200,5,FALSE))</f>
        <v>611</v>
      </c>
      <c r="H12" s="95"/>
      <c r="I12" s="95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6.2</v>
      </c>
      <c r="B13" s="91">
        <v>2</v>
      </c>
      <c r="C13" s="92">
        <f>VLOOKUP(A13,Inscripciones!A5:G168,2,FALSE)</f>
        <v>4463</v>
      </c>
      <c r="D13" s="93" t="str">
        <f>IF(ISBLANK(C13),"",VLOOKUP(C13,Inscripciones!$B$5:$F$200,2,FALSE))</f>
        <v>ISAAC ANDRÉS LEAL CHACÓN</v>
      </c>
      <c r="E13" s="94" t="str">
        <f>IF(ISBLANK(C13),"",VLOOKUP(C13,Inscripciones!$B$5:$F$200,3,FALSE))</f>
        <v>ESPARZA</v>
      </c>
      <c r="F13" s="94">
        <f>IF(ISBLANK(C13),"",VLOOKUP(C13,Inscripciones!$B$5:$F$200,4,FALSE))</f>
        <v>30</v>
      </c>
      <c r="G13" s="94">
        <f>IF(ISBLANK(C13),"",VLOOKUP(C13,Inscripciones!$B$5:$F$200,5,FALSE))</f>
        <v>499</v>
      </c>
      <c r="H13" s="95"/>
      <c r="I13" s="95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6.3</v>
      </c>
      <c r="B14" s="91">
        <v>3</v>
      </c>
      <c r="C14" s="92">
        <f>VLOOKUP(A14,Inscripciones!A6:G169,2,FALSE)</f>
        <v>4528</v>
      </c>
      <c r="D14" s="93" t="str">
        <f>IF(ISBLANK(C14),"",VLOOKUP(C14,Inscripciones!$B$7:$F$200,2,FALSE))</f>
        <v>BRAD GÓMEZ CASTILLO</v>
      </c>
      <c r="E14" s="94" t="str">
        <f>IF(ISBLANK(C14),"",VLOOKUP(C14,Inscripciones!$B$7:$F$200,3,FALSE))</f>
        <v>ESCAZÚ</v>
      </c>
      <c r="F14" s="94">
        <f>IF(ISBLANK(C14),"",VLOOKUP(C14,Inscripciones!$B$7:$F$200,4,FALSE))</f>
        <v>48</v>
      </c>
      <c r="G14" s="94">
        <f>IF(ISBLANK(C14),"",VLOOKUP(C14,Inscripciones!$B$7:$F$200,5,FALSE))</f>
        <v>474</v>
      </c>
      <c r="H14" s="95"/>
      <c r="I14" s="95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96" t="s">
        <v>22</v>
      </c>
      <c r="C17" s="96"/>
      <c r="D17" s="96" t="s">
        <v>23</v>
      </c>
      <c r="E17" s="96" t="s">
        <v>24</v>
      </c>
      <c r="F17" s="96" t="s">
        <v>25</v>
      </c>
      <c r="G17" s="96" t="s">
        <v>26</v>
      </c>
      <c r="H17" s="96" t="s">
        <v>27</v>
      </c>
      <c r="I17" s="96" t="s">
        <v>28</v>
      </c>
      <c r="J17" s="97" t="s">
        <v>29</v>
      </c>
    </row>
    <row r="18" spans="2:10" ht="21" customHeight="1" x14ac:dyDescent="0.25">
      <c r="B18" s="98">
        <v>1</v>
      </c>
      <c r="C18" s="99">
        <v>1</v>
      </c>
      <c r="D18" s="100" t="str">
        <f>D12</f>
        <v>MATEO MONGE ARROYO</v>
      </c>
      <c r="E18" s="101">
        <v>11</v>
      </c>
      <c r="F18" s="101">
        <v>11</v>
      </c>
      <c r="G18" s="101"/>
      <c r="H18" s="101"/>
      <c r="I18" s="101"/>
      <c r="J18" s="393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02"/>
      <c r="C19" s="99">
        <v>3</v>
      </c>
      <c r="D19" s="100" t="str">
        <f>D14</f>
        <v>BRAD GÓMEZ CASTILLO</v>
      </c>
      <c r="E19" s="101">
        <v>4</v>
      </c>
      <c r="F19" s="101">
        <v>6</v>
      </c>
      <c r="G19" s="101"/>
      <c r="H19" s="101"/>
      <c r="I19" s="101"/>
      <c r="J19" s="394"/>
    </row>
    <row r="20" spans="2:10" ht="21" customHeight="1" x14ac:dyDescent="0.25">
      <c r="B20" s="98">
        <v>2</v>
      </c>
      <c r="C20" s="101">
        <v>1</v>
      </c>
      <c r="D20" s="100" t="str">
        <f>D12</f>
        <v>MATEO MONGE ARROYO</v>
      </c>
      <c r="E20" s="101">
        <v>11</v>
      </c>
      <c r="F20" s="101">
        <v>11</v>
      </c>
      <c r="G20" s="101"/>
      <c r="H20" s="101"/>
      <c r="I20" s="101"/>
      <c r="J20" s="393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02"/>
      <c r="C21" s="101">
        <v>2</v>
      </c>
      <c r="D21" s="100" t="str">
        <f>D13</f>
        <v>ISAAC ANDRÉS LEAL CHACÓN</v>
      </c>
      <c r="E21" s="101">
        <v>2</v>
      </c>
      <c r="F21" s="101">
        <v>6</v>
      </c>
      <c r="G21" s="101"/>
      <c r="H21" s="101"/>
      <c r="I21" s="101"/>
      <c r="J21" s="394"/>
    </row>
    <row r="22" spans="2:10" ht="21" customHeight="1" x14ac:dyDescent="0.25">
      <c r="B22" s="98">
        <v>3</v>
      </c>
      <c r="C22" s="101">
        <v>2</v>
      </c>
      <c r="D22" s="100" t="str">
        <f>D13</f>
        <v>ISAAC ANDRÉS LEAL CHACÓN</v>
      </c>
      <c r="E22" s="101">
        <v>11</v>
      </c>
      <c r="F22" s="101">
        <v>11</v>
      </c>
      <c r="G22" s="101"/>
      <c r="H22" s="101"/>
      <c r="I22" s="101"/>
      <c r="J22" s="393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02"/>
      <c r="C23" s="101">
        <v>3</v>
      </c>
      <c r="D23" s="100" t="str">
        <f>D14</f>
        <v>BRAD GÓMEZ CASTILLO</v>
      </c>
      <c r="E23" s="101">
        <v>2</v>
      </c>
      <c r="F23" s="101">
        <v>6</v>
      </c>
      <c r="G23" s="101"/>
      <c r="H23" s="101"/>
      <c r="I23" s="101"/>
      <c r="J23" s="394"/>
    </row>
    <row r="24" spans="2:10" ht="6" customHeight="1" x14ac:dyDescent="0.25">
      <c r="B24" s="86"/>
      <c r="C24" s="86"/>
      <c r="D24" s="86"/>
      <c r="E24" s="86"/>
      <c r="F24" s="86"/>
      <c r="G24" s="86"/>
      <c r="H24" s="86"/>
      <c r="I24" s="86"/>
      <c r="J24" s="86"/>
    </row>
    <row r="25" spans="2:10" ht="6" customHeight="1" x14ac:dyDescent="0.25">
      <c r="B25" s="86"/>
      <c r="E25" s="86"/>
      <c r="F25" s="86"/>
      <c r="G25" s="86"/>
      <c r="H25" s="86"/>
      <c r="I25" s="86"/>
      <c r="J25" s="86"/>
    </row>
    <row r="26" spans="2:10" s="104" customFormat="1" ht="6" customHeight="1" x14ac:dyDescent="0.25">
      <c r="B26" s="103"/>
      <c r="E26" s="103"/>
      <c r="F26" s="103"/>
      <c r="G26" s="103"/>
      <c r="H26" s="103"/>
      <c r="I26" s="103"/>
      <c r="J26" s="103"/>
    </row>
    <row r="27" spans="2:10" ht="6" customHeight="1" x14ac:dyDescent="0.25">
      <c r="E27" s="86"/>
      <c r="F27" s="86"/>
    </row>
    <row r="28" spans="2:10" ht="6" customHeight="1" x14ac:dyDescent="0.25">
      <c r="E28" s="86"/>
      <c r="F28" s="86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380" t="s">
        <v>30</v>
      </c>
      <c r="D32" s="380"/>
      <c r="F32" s="381" t="s">
        <v>31</v>
      </c>
      <c r="G32" s="382"/>
      <c r="H32" s="382"/>
      <c r="I32" s="382"/>
      <c r="J32" s="382"/>
    </row>
    <row r="33" spans="3:10" ht="18" customHeight="1" thickBot="1" x14ac:dyDescent="0.3">
      <c r="C33" s="106" t="s">
        <v>32</v>
      </c>
      <c r="D33" s="106" t="s">
        <v>33</v>
      </c>
      <c r="F33" s="383" t="s">
        <v>34</v>
      </c>
      <c r="G33" s="384"/>
      <c r="H33" s="384"/>
      <c r="I33" s="384"/>
      <c r="J33" s="384"/>
    </row>
    <row r="34" spans="3:10" ht="25.5" customHeight="1" thickBot="1" x14ac:dyDescent="0.3">
      <c r="C34" s="107">
        <v>2623</v>
      </c>
      <c r="D34" s="108" t="str">
        <f>IF(ISBLANK(C34),"",VLOOKUP(C34,Inscripciones!$B$5:$F$200,2,FALSE))</f>
        <v>MATEO MONGE ARROYO</v>
      </c>
      <c r="F34" s="109" t="s">
        <v>35</v>
      </c>
      <c r="G34" s="395"/>
      <c r="H34" s="396"/>
      <c r="I34" s="396"/>
      <c r="J34" s="397"/>
    </row>
    <row r="35" spans="3:10" ht="25.5" customHeight="1" thickBot="1" x14ac:dyDescent="0.3">
      <c r="C35" s="107">
        <v>4463</v>
      </c>
      <c r="D35" s="108" t="str">
        <f>IF(ISBLANK(C35),"",VLOOKUP(C35,Inscripciones!$B$5:$F$200,2,FALSE))</f>
        <v>ISAAC ANDRÉS LEAL CHACÓN</v>
      </c>
      <c r="F35" s="398" t="s">
        <v>36</v>
      </c>
      <c r="G35" s="399"/>
      <c r="H35" s="399"/>
      <c r="I35" s="400"/>
      <c r="J35" s="110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93" orientation="portrait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57EF4-3387-4DA7-8BBF-CE386524A3B2}">
  <sheetPr codeName="Sheet10">
    <pageSetUpPr fitToPage="1"/>
  </sheetPr>
  <dimension ref="A2:M35"/>
  <sheetViews>
    <sheetView topLeftCell="A17" zoomScale="85" zoomScaleNormal="85" workbookViewId="0">
      <selection activeCell="D41" sqref="D41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29" style="17" bestFit="1" customWidth="1"/>
    <col min="5" max="5" width="17.710937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385" t="e" vm="1">
        <v>#VALUE!</v>
      </c>
      <c r="C2" s="385"/>
      <c r="D2" s="385"/>
      <c r="E2" s="385"/>
      <c r="F2" s="385"/>
      <c r="G2" s="385"/>
      <c r="H2" s="385"/>
      <c r="I2" s="385"/>
      <c r="J2" s="385"/>
    </row>
    <row r="3" spans="1:13" x14ac:dyDescent="0.25">
      <c r="B3" s="385"/>
      <c r="C3" s="385"/>
      <c r="D3" s="385"/>
      <c r="E3" s="385"/>
      <c r="F3" s="385"/>
      <c r="G3" s="385"/>
      <c r="H3" s="385"/>
      <c r="I3" s="385"/>
      <c r="J3" s="385"/>
    </row>
    <row r="4" spans="1:13" ht="15" customHeight="1" thickBot="1" x14ac:dyDescent="0.3">
      <c r="B4" s="385"/>
      <c r="C4" s="385"/>
      <c r="D4" s="385"/>
      <c r="E4" s="385"/>
      <c r="F4" s="385"/>
      <c r="G4" s="385"/>
      <c r="H4" s="385"/>
      <c r="I4" s="385"/>
      <c r="J4" s="385"/>
    </row>
    <row r="5" spans="1:13" ht="15.75" customHeight="1" x14ac:dyDescent="0.25">
      <c r="B5" s="385"/>
      <c r="C5" s="385"/>
      <c r="D5" s="385"/>
      <c r="E5" s="385"/>
      <c r="F5" s="385"/>
      <c r="G5" s="385"/>
      <c r="H5" s="385"/>
      <c r="I5" s="385"/>
      <c r="J5" s="385"/>
      <c r="L5" s="412" t="s">
        <v>11</v>
      </c>
      <c r="M5" s="412"/>
    </row>
    <row r="6" spans="1:13" ht="26.25" customHeight="1" x14ac:dyDescent="0.25">
      <c r="B6" s="385"/>
      <c r="C6" s="385"/>
      <c r="D6" s="385"/>
      <c r="E6" s="385"/>
      <c r="F6" s="385"/>
      <c r="G6" s="385"/>
      <c r="H6" s="385"/>
      <c r="I6" s="385"/>
      <c r="J6" s="385"/>
      <c r="L6" s="413"/>
      <c r="M6" s="413"/>
    </row>
    <row r="7" spans="1:13" ht="26.25" customHeight="1" x14ac:dyDescent="0.35">
      <c r="C7" s="83"/>
      <c r="D7" s="83"/>
      <c r="G7" s="83" t="s">
        <v>12</v>
      </c>
      <c r="H7" s="83"/>
      <c r="I7" s="83"/>
      <c r="J7" s="84">
        <f ca="1">TODAY()</f>
        <v>46288</v>
      </c>
      <c r="L7" s="413"/>
      <c r="M7" s="413"/>
    </row>
    <row r="8" spans="1:13" ht="26.25" customHeight="1" x14ac:dyDescent="0.35">
      <c r="C8" s="83"/>
      <c r="D8" s="83"/>
      <c r="L8" s="413"/>
      <c r="M8" s="413"/>
    </row>
    <row r="9" spans="1:13" ht="21" customHeight="1" x14ac:dyDescent="0.35">
      <c r="B9" s="85" t="s">
        <v>13</v>
      </c>
      <c r="C9" s="86"/>
      <c r="D9" s="87" t="str">
        <f>Inscripciones!B2</f>
        <v>U19 MASCULINO</v>
      </c>
      <c r="E9" s="85" t="s">
        <v>14</v>
      </c>
      <c r="F9" s="87">
        <v>7</v>
      </c>
      <c r="G9" s="85" t="s">
        <v>15</v>
      </c>
      <c r="H9" s="85"/>
      <c r="I9" s="85"/>
      <c r="J9" s="88"/>
    </row>
    <row r="10" spans="1:13" ht="21" customHeight="1" x14ac:dyDescent="0.25"/>
    <row r="11" spans="1:13" ht="21" customHeight="1" x14ac:dyDescent="0.25">
      <c r="B11" s="89" t="s">
        <v>16</v>
      </c>
      <c r="C11" s="89" t="s">
        <v>17</v>
      </c>
      <c r="D11" s="89" t="s">
        <v>18</v>
      </c>
      <c r="E11" s="89" t="s">
        <v>19</v>
      </c>
      <c r="F11" s="89" t="s">
        <v>20</v>
      </c>
      <c r="G11" s="89" t="s">
        <v>21</v>
      </c>
      <c r="H11" s="89"/>
      <c r="I11" s="89"/>
      <c r="J11" s="90"/>
    </row>
    <row r="12" spans="1:13" ht="21" customHeight="1" x14ac:dyDescent="0.35">
      <c r="A12" s="17">
        <f>F9+0.1</f>
        <v>7.1</v>
      </c>
      <c r="B12" s="91">
        <v>1</v>
      </c>
      <c r="C12" s="92">
        <f>VLOOKUP(A12,Inscripciones!A5:G167,2,FALSE)</f>
        <v>3153</v>
      </c>
      <c r="D12" s="93" t="str">
        <f>IF(ISBLANK(C12),"",VLOOKUP(C12,Inscripciones!$B$5:$F$200,2,FALSE))</f>
        <v>ARIEL IGNACIO BARTELS BARQUERO</v>
      </c>
      <c r="E12" s="94" t="str">
        <f>IF(ISBLANK(C12),"",VLOOKUP(C12,Inscripciones!$B$5:$F$200,3,FALSE))</f>
        <v>PÉREZ ZELEDÓN - UNA</v>
      </c>
      <c r="F12" s="94">
        <f>IF(ISBLANK(C12),"",VLOOKUP(C12,Inscripciones!$B$5:$F$200,4,FALSE))</f>
        <v>7</v>
      </c>
      <c r="G12" s="94">
        <f>IF(ISBLANK(C12),"",VLOOKUP(C12,Inscripciones!$B$5:$F$200,5,FALSE))</f>
        <v>597</v>
      </c>
      <c r="H12" s="95"/>
      <c r="I12" s="95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7.2</v>
      </c>
      <c r="B13" s="91">
        <v>2</v>
      </c>
      <c r="C13" s="92">
        <f>VLOOKUP(A13,Inscripciones!A5:G168,2,FALSE)</f>
        <v>4677</v>
      </c>
      <c r="D13" s="93" t="str">
        <f>IF(ISBLANK(C13),"",VLOOKUP(C13,Inscripciones!$B$5:$F$200,2,FALSE))</f>
        <v>SANTIAGO GUARDADO ROJAS</v>
      </c>
      <c r="E13" s="94" t="str">
        <f>IF(ISBLANK(C13),"",VLOOKUP(C13,Inscripciones!$B$5:$F$200,3,FALSE))</f>
        <v>SAN CARLOS</v>
      </c>
      <c r="F13" s="94">
        <f>IF(ISBLANK(C13),"",VLOOKUP(C13,Inscripciones!$B$5:$F$200,4,FALSE))</f>
        <v>28</v>
      </c>
      <c r="G13" s="94">
        <f>IF(ISBLANK(C13),"",VLOOKUP(C13,Inscripciones!$B$5:$F$200,5,FALSE))</f>
        <v>501</v>
      </c>
      <c r="H13" s="95"/>
      <c r="I13" s="95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7.3</v>
      </c>
      <c r="B14" s="91">
        <v>3</v>
      </c>
      <c r="C14" s="92">
        <f>VLOOKUP(A14,Inscripciones!A6:G169,2,FALSE)</f>
        <v>4284</v>
      </c>
      <c r="D14" s="93" t="str">
        <f>IF(ISBLANK(C14),"",VLOOKUP(C14,Inscripciones!$B$7:$F$200,2,FALSE))</f>
        <v>IAN SOLÍS CARRANZA</v>
      </c>
      <c r="E14" s="94" t="str">
        <f>IF(ISBLANK(C14),"",VLOOKUP(C14,Inscripciones!$B$7:$F$200,3,FALSE))</f>
        <v>SANTO DOMINGO</v>
      </c>
      <c r="F14" s="94">
        <f>IF(ISBLANK(C14),"",VLOOKUP(C14,Inscripciones!$B$7:$F$200,4,FALSE))</f>
        <v>50</v>
      </c>
      <c r="G14" s="94">
        <f>IF(ISBLANK(C14),"",VLOOKUP(C14,Inscripciones!$B$7:$F$200,5,FALSE))</f>
        <v>472</v>
      </c>
      <c r="H14" s="95"/>
      <c r="I14" s="95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96" t="s">
        <v>22</v>
      </c>
      <c r="C17" s="96"/>
      <c r="D17" s="96" t="s">
        <v>23</v>
      </c>
      <c r="E17" s="96" t="s">
        <v>24</v>
      </c>
      <c r="F17" s="96" t="s">
        <v>25</v>
      </c>
      <c r="G17" s="96" t="s">
        <v>26</v>
      </c>
      <c r="H17" s="96" t="s">
        <v>27</v>
      </c>
      <c r="I17" s="96" t="s">
        <v>28</v>
      </c>
      <c r="J17" s="97" t="s">
        <v>29</v>
      </c>
    </row>
    <row r="18" spans="2:10" ht="21" customHeight="1" x14ac:dyDescent="0.25">
      <c r="B18" s="98">
        <v>1</v>
      </c>
      <c r="C18" s="99">
        <v>1</v>
      </c>
      <c r="D18" s="100" t="str">
        <f>D12</f>
        <v>ARIEL IGNACIO BARTELS BARQUERO</v>
      </c>
      <c r="E18" s="101">
        <v>11</v>
      </c>
      <c r="F18" s="101">
        <v>11</v>
      </c>
      <c r="G18" s="101"/>
      <c r="H18" s="101"/>
      <c r="I18" s="101"/>
      <c r="J18" s="393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02"/>
      <c r="C19" s="99">
        <v>3</v>
      </c>
      <c r="D19" s="100" t="str">
        <f>D14</f>
        <v>IAN SOLÍS CARRANZA</v>
      </c>
      <c r="E19" s="101">
        <v>5</v>
      </c>
      <c r="F19" s="101">
        <v>5</v>
      </c>
      <c r="G19" s="101"/>
      <c r="H19" s="101"/>
      <c r="I19" s="101"/>
      <c r="J19" s="394"/>
    </row>
    <row r="20" spans="2:10" ht="21" customHeight="1" x14ac:dyDescent="0.25">
      <c r="B20" s="98">
        <v>2</v>
      </c>
      <c r="C20" s="101">
        <v>1</v>
      </c>
      <c r="D20" s="100" t="str">
        <f>D12</f>
        <v>ARIEL IGNACIO BARTELS BARQUERO</v>
      </c>
      <c r="E20" s="101">
        <v>11</v>
      </c>
      <c r="F20" s="101">
        <v>11</v>
      </c>
      <c r="G20" s="101"/>
      <c r="H20" s="101"/>
      <c r="I20" s="101"/>
      <c r="J20" s="393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02"/>
      <c r="C21" s="101">
        <v>2</v>
      </c>
      <c r="D21" s="100" t="str">
        <f>D13</f>
        <v>SANTIAGO GUARDADO ROJAS</v>
      </c>
      <c r="E21" s="101">
        <v>5</v>
      </c>
      <c r="F21" s="101">
        <v>6</v>
      </c>
      <c r="G21" s="101"/>
      <c r="H21" s="101"/>
      <c r="I21" s="101"/>
      <c r="J21" s="394"/>
    </row>
    <row r="22" spans="2:10" ht="21" customHeight="1" x14ac:dyDescent="0.25">
      <c r="B22" s="98">
        <v>3</v>
      </c>
      <c r="C22" s="101">
        <v>2</v>
      </c>
      <c r="D22" s="100" t="str">
        <f>D13</f>
        <v>SANTIAGO GUARDADO ROJAS</v>
      </c>
      <c r="E22" s="101">
        <v>5</v>
      </c>
      <c r="F22" s="101">
        <v>11</v>
      </c>
      <c r="G22" s="101">
        <v>6</v>
      </c>
      <c r="H22" s="101"/>
      <c r="I22" s="101"/>
      <c r="J22" s="393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3</v>
      </c>
    </row>
    <row r="23" spans="2:10" ht="21" customHeight="1" x14ac:dyDescent="0.25">
      <c r="B23" s="102"/>
      <c r="C23" s="101">
        <v>3</v>
      </c>
      <c r="D23" s="100" t="str">
        <f>D14</f>
        <v>IAN SOLÍS CARRANZA</v>
      </c>
      <c r="E23" s="101">
        <v>11</v>
      </c>
      <c r="F23" s="101">
        <v>7</v>
      </c>
      <c r="G23" s="101">
        <v>11</v>
      </c>
      <c r="H23" s="101"/>
      <c r="I23" s="101"/>
      <c r="J23" s="394"/>
    </row>
    <row r="24" spans="2:10" ht="6" customHeight="1" x14ac:dyDescent="0.25">
      <c r="B24" s="86"/>
      <c r="C24" s="86"/>
      <c r="D24" s="86"/>
      <c r="E24" s="86"/>
      <c r="F24" s="86"/>
      <c r="G24" s="86"/>
      <c r="H24" s="86"/>
      <c r="I24" s="86"/>
      <c r="J24" s="86"/>
    </row>
    <row r="25" spans="2:10" ht="6" customHeight="1" x14ac:dyDescent="0.25">
      <c r="B25" s="86"/>
      <c r="E25" s="86"/>
      <c r="F25" s="86"/>
      <c r="G25" s="86"/>
      <c r="H25" s="86"/>
      <c r="I25" s="86"/>
      <c r="J25" s="86"/>
    </row>
    <row r="26" spans="2:10" s="104" customFormat="1" ht="6" customHeight="1" x14ac:dyDescent="0.25">
      <c r="B26" s="103"/>
      <c r="E26" s="103"/>
      <c r="F26" s="103"/>
      <c r="G26" s="103"/>
      <c r="H26" s="103"/>
      <c r="I26" s="103"/>
      <c r="J26" s="103"/>
    </row>
    <row r="27" spans="2:10" ht="6" customHeight="1" x14ac:dyDescent="0.25">
      <c r="E27" s="86"/>
      <c r="F27" s="86"/>
    </row>
    <row r="28" spans="2:10" ht="6" customHeight="1" x14ac:dyDescent="0.25">
      <c r="E28" s="86"/>
      <c r="F28" s="86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380" t="s">
        <v>30</v>
      </c>
      <c r="D32" s="380"/>
      <c r="F32" s="381" t="s">
        <v>31</v>
      </c>
      <c r="G32" s="382"/>
      <c r="H32" s="382"/>
      <c r="I32" s="382"/>
      <c r="J32" s="382"/>
    </row>
    <row r="33" spans="3:10" ht="18" customHeight="1" thickBot="1" x14ac:dyDescent="0.3">
      <c r="C33" s="106" t="s">
        <v>32</v>
      </c>
      <c r="D33" s="106" t="s">
        <v>33</v>
      </c>
      <c r="F33" s="383" t="s">
        <v>34</v>
      </c>
      <c r="G33" s="384"/>
      <c r="H33" s="384"/>
      <c r="I33" s="384"/>
      <c r="J33" s="384"/>
    </row>
    <row r="34" spans="3:10" ht="25.5" customHeight="1" thickBot="1" x14ac:dyDescent="0.3">
      <c r="C34" s="107">
        <v>3153</v>
      </c>
      <c r="D34" s="108" t="str">
        <f>IF(ISBLANK(C34),"",VLOOKUP(C34,Inscripciones!$B$5:$F$200,2,FALSE))</f>
        <v>ARIEL IGNACIO BARTELS BARQUERO</v>
      </c>
      <c r="F34" s="109" t="s">
        <v>35</v>
      </c>
      <c r="G34" s="395"/>
      <c r="H34" s="396"/>
      <c r="I34" s="396"/>
      <c r="J34" s="397"/>
    </row>
    <row r="35" spans="3:10" ht="25.5" customHeight="1" thickBot="1" x14ac:dyDescent="0.3">
      <c r="C35" s="107">
        <v>4284</v>
      </c>
      <c r="D35" s="108" t="str">
        <f>IF(ISBLANK(C35),"",VLOOKUP(C35,Inscripciones!$B$5:$F$200,2,FALSE))</f>
        <v>IAN SOLÍS CARRANZA</v>
      </c>
      <c r="F35" s="398" t="s">
        <v>36</v>
      </c>
      <c r="G35" s="399"/>
      <c r="H35" s="399"/>
      <c r="I35" s="400"/>
      <c r="J35" s="110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0" orientation="portrait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A3262-742C-49F0-BDC6-E8E88B51C445}">
  <sheetPr codeName="Sheet11">
    <pageSetUpPr fitToPage="1"/>
  </sheetPr>
  <dimension ref="A2:M35"/>
  <sheetViews>
    <sheetView topLeftCell="A14" zoomScale="85" zoomScaleNormal="85" workbookViewId="0">
      <selection activeCell="C36" sqref="C36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22.5703125" style="17" bestFit="1" customWidth="1"/>
    <col min="5" max="5" width="13.2851562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385" t="e" vm="1">
        <v>#VALUE!</v>
      </c>
      <c r="C2" s="385"/>
      <c r="D2" s="385"/>
      <c r="E2" s="385"/>
      <c r="F2" s="385"/>
      <c r="G2" s="385"/>
      <c r="H2" s="385"/>
      <c r="I2" s="385"/>
      <c r="J2" s="385"/>
    </row>
    <row r="3" spans="1:13" x14ac:dyDescent="0.25">
      <c r="B3" s="385"/>
      <c r="C3" s="385"/>
      <c r="D3" s="385"/>
      <c r="E3" s="385"/>
      <c r="F3" s="385"/>
      <c r="G3" s="385"/>
      <c r="H3" s="385"/>
      <c r="I3" s="385"/>
      <c r="J3" s="385"/>
    </row>
    <row r="4" spans="1:13" ht="15" customHeight="1" thickBot="1" x14ac:dyDescent="0.3">
      <c r="B4" s="385"/>
      <c r="C4" s="385"/>
      <c r="D4" s="385"/>
      <c r="E4" s="385"/>
      <c r="F4" s="385"/>
      <c r="G4" s="385"/>
      <c r="H4" s="385"/>
      <c r="I4" s="385"/>
      <c r="J4" s="385"/>
    </row>
    <row r="5" spans="1:13" ht="15.75" customHeight="1" x14ac:dyDescent="0.25">
      <c r="B5" s="385"/>
      <c r="C5" s="385"/>
      <c r="D5" s="385"/>
      <c r="E5" s="385"/>
      <c r="F5" s="385"/>
      <c r="G5" s="385"/>
      <c r="H5" s="385"/>
      <c r="I5" s="385"/>
      <c r="J5" s="385"/>
      <c r="L5" s="412" t="s">
        <v>11</v>
      </c>
      <c r="M5" s="412"/>
    </row>
    <row r="6" spans="1:13" ht="26.25" customHeight="1" x14ac:dyDescent="0.25">
      <c r="B6" s="385"/>
      <c r="C6" s="385"/>
      <c r="D6" s="385"/>
      <c r="E6" s="385"/>
      <c r="F6" s="385"/>
      <c r="G6" s="385"/>
      <c r="H6" s="385"/>
      <c r="I6" s="385"/>
      <c r="J6" s="385"/>
      <c r="L6" s="413"/>
      <c r="M6" s="413"/>
    </row>
    <row r="7" spans="1:13" ht="26.25" customHeight="1" x14ac:dyDescent="0.35">
      <c r="C7" s="83"/>
      <c r="D7" s="83"/>
      <c r="G7" s="83" t="s">
        <v>12</v>
      </c>
      <c r="H7" s="83"/>
      <c r="I7" s="83"/>
      <c r="J7" s="84">
        <f ca="1">TODAY()</f>
        <v>46288</v>
      </c>
      <c r="L7" s="413"/>
      <c r="M7" s="413"/>
    </row>
    <row r="8" spans="1:13" ht="26.25" customHeight="1" x14ac:dyDescent="0.35">
      <c r="C8" s="83"/>
      <c r="D8" s="83"/>
      <c r="L8" s="413"/>
      <c r="M8" s="413"/>
    </row>
    <row r="9" spans="1:13" ht="21" customHeight="1" x14ac:dyDescent="0.35">
      <c r="B9" s="85" t="s">
        <v>13</v>
      </c>
      <c r="C9" s="86"/>
      <c r="D9" s="87" t="str">
        <f>Inscripciones!B2</f>
        <v>U19 MASCULINO</v>
      </c>
      <c r="E9" s="85" t="s">
        <v>14</v>
      </c>
      <c r="F9" s="87">
        <v>8</v>
      </c>
      <c r="G9" s="85" t="s">
        <v>15</v>
      </c>
      <c r="H9" s="85"/>
      <c r="I9" s="85"/>
      <c r="J9" s="88"/>
    </row>
    <row r="10" spans="1:13" ht="21" customHeight="1" x14ac:dyDescent="0.25"/>
    <row r="11" spans="1:13" ht="21" customHeight="1" x14ac:dyDescent="0.25">
      <c r="B11" s="89" t="s">
        <v>16</v>
      </c>
      <c r="C11" s="89" t="s">
        <v>17</v>
      </c>
      <c r="D11" s="89" t="s">
        <v>18</v>
      </c>
      <c r="E11" s="89" t="s">
        <v>19</v>
      </c>
      <c r="F11" s="89" t="s">
        <v>20</v>
      </c>
      <c r="G11" s="89" t="s">
        <v>21</v>
      </c>
      <c r="H11" s="89"/>
      <c r="I11" s="89"/>
      <c r="J11" s="90"/>
    </row>
    <row r="12" spans="1:13" ht="21" customHeight="1" x14ac:dyDescent="0.35">
      <c r="A12" s="17">
        <f>F9+0.1</f>
        <v>8.1</v>
      </c>
      <c r="B12" s="91">
        <v>1</v>
      </c>
      <c r="C12" s="92">
        <f>VLOOKUP(A12,Inscripciones!A5:G167,2,FALSE)</f>
        <v>3839</v>
      </c>
      <c r="D12" s="93" t="str">
        <f>IF(ISBLANK(C12),"",VLOOKUP(C12,Inscripciones!$B$5:$F$200,2,FALSE))</f>
        <v>ALBERTO BLANCO LEDEZMA</v>
      </c>
      <c r="E12" s="94" t="str">
        <f>IF(ISBLANK(C12),"",VLOOKUP(C12,Inscripciones!$B$5:$F$200,3,FALSE))</f>
        <v>PÉREZ ZELEDÓN</v>
      </c>
      <c r="F12" s="94">
        <f>IF(ISBLANK(C12),"",VLOOKUP(C12,Inscripciones!$B$5:$F$200,4,FALSE))</f>
        <v>8</v>
      </c>
      <c r="G12" s="94">
        <f>IF(ISBLANK(C12),"",VLOOKUP(C12,Inscripciones!$B$5:$F$200,5,FALSE))</f>
        <v>588</v>
      </c>
      <c r="H12" s="95"/>
      <c r="I12" s="95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8.1999999999999993</v>
      </c>
      <c r="B13" s="91">
        <v>2</v>
      </c>
      <c r="C13" s="92">
        <f>VLOOKUP(A13,Inscripciones!A5:G168,2,FALSE)</f>
        <v>4002</v>
      </c>
      <c r="D13" s="93" t="str">
        <f>IF(ISBLANK(C13),"",VLOOKUP(C13,Inscripciones!$B$5:$F$200,2,FALSE))</f>
        <v>ISMAEL CÁRDENAS ACOSTA</v>
      </c>
      <c r="E13" s="94" t="str">
        <f>IF(ISBLANK(C13),"",VLOOKUP(C13,Inscripciones!$B$5:$F$200,3,FALSE))</f>
        <v>CCDR SAN JOSÉ</v>
      </c>
      <c r="F13" s="94">
        <f>IF(ISBLANK(C13),"",VLOOKUP(C13,Inscripciones!$B$5:$F$200,4,FALSE))</f>
        <v>27</v>
      </c>
      <c r="G13" s="94">
        <f>IF(ISBLANK(C13),"",VLOOKUP(C13,Inscripciones!$B$5:$F$200,5,FALSE))</f>
        <v>502</v>
      </c>
      <c r="H13" s="95"/>
      <c r="I13" s="95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8.3000000000000007</v>
      </c>
      <c r="B14" s="91">
        <v>3</v>
      </c>
      <c r="C14" s="92">
        <f>VLOOKUP(A14,Inscripciones!A6:G169,2,FALSE)</f>
        <v>4641</v>
      </c>
      <c r="D14" s="93" t="str">
        <f>IF(ISBLANK(C14),"",VLOOKUP(C14,Inscripciones!$B$7:$F$200,2,FALSE))</f>
        <v>JOSEPH BRENES QUESADA</v>
      </c>
      <c r="E14" s="94" t="str">
        <f>IF(ISBLANK(C14),"",VLOOKUP(C14,Inscripciones!$B$7:$F$200,3,FALSE))</f>
        <v>GUARCO</v>
      </c>
      <c r="F14" s="94">
        <f>IF(ISBLANK(C14),"",VLOOKUP(C14,Inscripciones!$B$7:$F$200,4,FALSE))</f>
        <v>51</v>
      </c>
      <c r="G14" s="94">
        <f>IF(ISBLANK(C14),"",VLOOKUP(C14,Inscripciones!$B$7:$F$200,5,FALSE))</f>
        <v>472</v>
      </c>
      <c r="H14" s="95"/>
      <c r="I14" s="95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96" t="s">
        <v>22</v>
      </c>
      <c r="C17" s="96"/>
      <c r="D17" s="96" t="s">
        <v>23</v>
      </c>
      <c r="E17" s="96" t="s">
        <v>24</v>
      </c>
      <c r="F17" s="96" t="s">
        <v>25</v>
      </c>
      <c r="G17" s="96" t="s">
        <v>26</v>
      </c>
      <c r="H17" s="96" t="s">
        <v>27</v>
      </c>
      <c r="I17" s="96" t="s">
        <v>28</v>
      </c>
      <c r="J17" s="97" t="s">
        <v>29</v>
      </c>
    </row>
    <row r="18" spans="2:10" ht="21" customHeight="1" x14ac:dyDescent="0.25">
      <c r="B18" s="98">
        <v>1</v>
      </c>
      <c r="C18" s="99">
        <v>1</v>
      </c>
      <c r="D18" s="100" t="str">
        <f>D12</f>
        <v>ALBERTO BLANCO LEDEZMA</v>
      </c>
      <c r="E18" s="101">
        <v>9</v>
      </c>
      <c r="F18" s="101">
        <v>11</v>
      </c>
      <c r="G18" s="101">
        <v>11</v>
      </c>
      <c r="H18" s="101"/>
      <c r="I18" s="101"/>
      <c r="J18" s="393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02"/>
      <c r="C19" s="99">
        <v>3</v>
      </c>
      <c r="D19" s="100" t="str">
        <f>D14</f>
        <v>JOSEPH BRENES QUESADA</v>
      </c>
      <c r="E19" s="101">
        <v>11</v>
      </c>
      <c r="F19" s="101">
        <v>6</v>
      </c>
      <c r="G19" s="101">
        <v>8</v>
      </c>
      <c r="H19" s="101"/>
      <c r="I19" s="101"/>
      <c r="J19" s="394"/>
    </row>
    <row r="20" spans="2:10" ht="21" customHeight="1" x14ac:dyDescent="0.25">
      <c r="B20" s="98">
        <v>2</v>
      </c>
      <c r="C20" s="101">
        <v>1</v>
      </c>
      <c r="D20" s="100" t="str">
        <f>D12</f>
        <v>ALBERTO BLANCO LEDEZMA</v>
      </c>
      <c r="E20" s="101">
        <v>10</v>
      </c>
      <c r="F20" s="101">
        <v>5</v>
      </c>
      <c r="G20" s="101"/>
      <c r="H20" s="101"/>
      <c r="I20" s="101"/>
      <c r="J20" s="393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2</v>
      </c>
    </row>
    <row r="21" spans="2:10" ht="21" customHeight="1" x14ac:dyDescent="0.25">
      <c r="B21" s="102"/>
      <c r="C21" s="101">
        <v>2</v>
      </c>
      <c r="D21" s="100" t="str">
        <f>D13</f>
        <v>ISMAEL CÁRDENAS ACOSTA</v>
      </c>
      <c r="E21" s="101">
        <v>12</v>
      </c>
      <c r="F21" s="101">
        <v>11</v>
      </c>
      <c r="G21" s="101"/>
      <c r="H21" s="101"/>
      <c r="I21" s="101"/>
      <c r="J21" s="394"/>
    </row>
    <row r="22" spans="2:10" ht="21" customHeight="1" x14ac:dyDescent="0.25">
      <c r="B22" s="98">
        <v>3</v>
      </c>
      <c r="C22" s="101">
        <v>2</v>
      </c>
      <c r="D22" s="100" t="str">
        <f>D13</f>
        <v>ISMAEL CÁRDENAS ACOSTA</v>
      </c>
      <c r="E22" s="101">
        <v>12</v>
      </c>
      <c r="F22" s="101">
        <v>11</v>
      </c>
      <c r="G22" s="101"/>
      <c r="H22" s="101"/>
      <c r="I22" s="101"/>
      <c r="J22" s="393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02"/>
      <c r="C23" s="101">
        <v>3</v>
      </c>
      <c r="D23" s="100" t="str">
        <f>D14</f>
        <v>JOSEPH BRENES QUESADA</v>
      </c>
      <c r="E23" s="101">
        <v>10</v>
      </c>
      <c r="F23" s="101">
        <v>8</v>
      </c>
      <c r="G23" s="101"/>
      <c r="H23" s="101"/>
      <c r="I23" s="101"/>
      <c r="J23" s="394"/>
    </row>
    <row r="24" spans="2:10" ht="6" customHeight="1" x14ac:dyDescent="0.25">
      <c r="B24" s="86"/>
      <c r="C24" s="86"/>
      <c r="D24" s="86"/>
      <c r="E24" s="86"/>
      <c r="F24" s="86"/>
      <c r="G24" s="86"/>
      <c r="H24" s="86"/>
      <c r="I24" s="86"/>
      <c r="J24" s="86"/>
    </row>
    <row r="25" spans="2:10" ht="6" customHeight="1" x14ac:dyDescent="0.25">
      <c r="B25" s="86"/>
      <c r="E25" s="86"/>
      <c r="F25" s="86"/>
      <c r="G25" s="86"/>
      <c r="H25" s="86"/>
      <c r="I25" s="86"/>
      <c r="J25" s="86"/>
    </row>
    <row r="26" spans="2:10" s="104" customFormat="1" ht="6" customHeight="1" x14ac:dyDescent="0.25">
      <c r="B26" s="103"/>
      <c r="E26" s="103"/>
      <c r="F26" s="103"/>
      <c r="G26" s="103"/>
      <c r="H26" s="103"/>
      <c r="I26" s="103"/>
      <c r="J26" s="103"/>
    </row>
    <row r="27" spans="2:10" ht="6" customHeight="1" x14ac:dyDescent="0.25">
      <c r="E27" s="86"/>
      <c r="F27" s="86"/>
    </row>
    <row r="28" spans="2:10" ht="6" customHeight="1" x14ac:dyDescent="0.25">
      <c r="E28" s="86"/>
      <c r="F28" s="86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380" t="s">
        <v>30</v>
      </c>
      <c r="D32" s="380"/>
      <c r="F32" s="381" t="s">
        <v>31</v>
      </c>
      <c r="G32" s="382"/>
      <c r="H32" s="382"/>
      <c r="I32" s="382"/>
      <c r="J32" s="382"/>
    </row>
    <row r="33" spans="3:10" ht="18" customHeight="1" thickBot="1" x14ac:dyDescent="0.3">
      <c r="C33" s="106" t="s">
        <v>32</v>
      </c>
      <c r="D33" s="106" t="s">
        <v>33</v>
      </c>
      <c r="F33" s="383" t="s">
        <v>34</v>
      </c>
      <c r="G33" s="384"/>
      <c r="H33" s="384"/>
      <c r="I33" s="384"/>
      <c r="J33" s="384"/>
    </row>
    <row r="34" spans="3:10" ht="25.5" customHeight="1" thickBot="1" x14ac:dyDescent="0.3">
      <c r="C34" s="107">
        <v>4002</v>
      </c>
      <c r="D34" s="108" t="str">
        <f>IF(ISBLANK(C34),"",VLOOKUP(C34,Inscripciones!$B$5:$F$200,2,FALSE))</f>
        <v>ISMAEL CÁRDENAS ACOSTA</v>
      </c>
      <c r="F34" s="109" t="s">
        <v>35</v>
      </c>
      <c r="G34" s="395"/>
      <c r="H34" s="396"/>
      <c r="I34" s="396"/>
      <c r="J34" s="397"/>
    </row>
    <row r="35" spans="3:10" ht="25.5" customHeight="1" thickBot="1" x14ac:dyDescent="0.3">
      <c r="C35" s="107">
        <v>3839</v>
      </c>
      <c r="D35" s="108" t="str">
        <f>IF(ISBLANK(C35),"",VLOOKUP(C35,Inscripciones!$B$5:$F$200,2,FALSE))</f>
        <v>ALBERTO BLANCO LEDEZMA</v>
      </c>
      <c r="F35" s="398" t="s">
        <v>36</v>
      </c>
      <c r="G35" s="399"/>
      <c r="H35" s="399"/>
      <c r="I35" s="400"/>
      <c r="J35" s="110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90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B8274-5767-4E29-B28B-BEEF40E4879C}">
  <sheetPr codeName="Sheet12">
    <pageSetUpPr fitToPage="1"/>
  </sheetPr>
  <dimension ref="A2:M35"/>
  <sheetViews>
    <sheetView topLeftCell="A17" zoomScale="85" zoomScaleNormal="85" workbookViewId="0">
      <selection activeCell="C36" sqref="C36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23.5703125" style="17" bestFit="1" customWidth="1"/>
    <col min="5" max="5" width="13.8554687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385" t="e" vm="1">
        <v>#VALUE!</v>
      </c>
      <c r="C2" s="385"/>
      <c r="D2" s="385"/>
      <c r="E2" s="385"/>
      <c r="F2" s="385"/>
      <c r="G2" s="385"/>
      <c r="H2" s="385"/>
      <c r="I2" s="385"/>
      <c r="J2" s="385"/>
    </row>
    <row r="3" spans="1:13" x14ac:dyDescent="0.25">
      <c r="B3" s="385"/>
      <c r="C3" s="385"/>
      <c r="D3" s="385"/>
      <c r="E3" s="385"/>
      <c r="F3" s="385"/>
      <c r="G3" s="385"/>
      <c r="H3" s="385"/>
      <c r="I3" s="385"/>
      <c r="J3" s="385"/>
    </row>
    <row r="4" spans="1:13" ht="15" customHeight="1" thickBot="1" x14ac:dyDescent="0.3">
      <c r="B4" s="385"/>
      <c r="C4" s="385"/>
      <c r="D4" s="385"/>
      <c r="E4" s="385"/>
      <c r="F4" s="385"/>
      <c r="G4" s="385"/>
      <c r="H4" s="385"/>
      <c r="I4" s="385"/>
      <c r="J4" s="385"/>
    </row>
    <row r="5" spans="1:13" ht="15.75" customHeight="1" x14ac:dyDescent="0.25">
      <c r="B5" s="385"/>
      <c r="C5" s="385"/>
      <c r="D5" s="385"/>
      <c r="E5" s="385"/>
      <c r="F5" s="385"/>
      <c r="G5" s="385"/>
      <c r="H5" s="385"/>
      <c r="I5" s="385"/>
      <c r="J5" s="385"/>
      <c r="L5" s="412" t="s">
        <v>11</v>
      </c>
      <c r="M5" s="412"/>
    </row>
    <row r="6" spans="1:13" ht="26.25" customHeight="1" x14ac:dyDescent="0.25">
      <c r="B6" s="385"/>
      <c r="C6" s="385"/>
      <c r="D6" s="385"/>
      <c r="E6" s="385"/>
      <c r="F6" s="385"/>
      <c r="G6" s="385"/>
      <c r="H6" s="385"/>
      <c r="I6" s="385"/>
      <c r="J6" s="385"/>
      <c r="L6" s="413"/>
      <c r="M6" s="413"/>
    </row>
    <row r="7" spans="1:13" ht="26.25" customHeight="1" x14ac:dyDescent="0.35">
      <c r="C7" s="83"/>
      <c r="D7" s="83"/>
      <c r="G7" s="83" t="s">
        <v>12</v>
      </c>
      <c r="H7" s="83"/>
      <c r="I7" s="83"/>
      <c r="J7" s="84">
        <f ca="1">TODAY()</f>
        <v>46288</v>
      </c>
      <c r="L7" s="413"/>
      <c r="M7" s="413"/>
    </row>
    <row r="8" spans="1:13" ht="26.25" customHeight="1" x14ac:dyDescent="0.35">
      <c r="C8" s="83"/>
      <c r="D8" s="83"/>
      <c r="L8" s="413"/>
      <c r="M8" s="413"/>
    </row>
    <row r="9" spans="1:13" ht="21" customHeight="1" x14ac:dyDescent="0.35">
      <c r="B9" s="85" t="s">
        <v>13</v>
      </c>
      <c r="C9" s="86"/>
      <c r="D9" s="87" t="str">
        <f>Inscripciones!B2</f>
        <v>U19 MASCULINO</v>
      </c>
      <c r="E9" s="85" t="s">
        <v>14</v>
      </c>
      <c r="F9" s="87">
        <v>9</v>
      </c>
      <c r="G9" s="85" t="s">
        <v>15</v>
      </c>
      <c r="H9" s="85"/>
      <c r="I9" s="85"/>
      <c r="J9" s="88"/>
    </row>
    <row r="10" spans="1:13" ht="21" customHeight="1" x14ac:dyDescent="0.25"/>
    <row r="11" spans="1:13" ht="21" customHeight="1" x14ac:dyDescent="0.25">
      <c r="B11" s="89" t="s">
        <v>16</v>
      </c>
      <c r="C11" s="89" t="s">
        <v>17</v>
      </c>
      <c r="D11" s="89" t="s">
        <v>18</v>
      </c>
      <c r="E11" s="89" t="s">
        <v>19</v>
      </c>
      <c r="F11" s="89" t="s">
        <v>20</v>
      </c>
      <c r="G11" s="89" t="s">
        <v>21</v>
      </c>
      <c r="H11" s="89"/>
      <c r="I11" s="89"/>
      <c r="J11" s="90"/>
    </row>
    <row r="12" spans="1:13" ht="21" customHeight="1" x14ac:dyDescent="0.35">
      <c r="A12" s="17">
        <f>F9+0.1</f>
        <v>9.1</v>
      </c>
      <c r="B12" s="91">
        <v>1</v>
      </c>
      <c r="C12" s="92">
        <f>VLOOKUP(A12,Inscripciones!A5:G167,2,FALSE)</f>
        <v>3836</v>
      </c>
      <c r="D12" s="93" t="str">
        <f>IF(ISBLANK(C12),"",VLOOKUP(C12,Inscripciones!$B$5:$F$200,2,FALSE))</f>
        <v>LUCIANO QUIROS AVILA</v>
      </c>
      <c r="E12" s="94" t="str">
        <f>IF(ISBLANK(C12),"",VLOOKUP(C12,Inscripciones!$B$5:$F$200,3,FALSE))</f>
        <v>ESCAZÚ</v>
      </c>
      <c r="F12" s="94">
        <f>IF(ISBLANK(C12),"",VLOOKUP(C12,Inscripciones!$B$5:$F$200,4,FALSE))</f>
        <v>9</v>
      </c>
      <c r="G12" s="94">
        <f>IF(ISBLANK(C12),"",VLOOKUP(C12,Inscripciones!$B$5:$F$200,5,FALSE))</f>
        <v>578</v>
      </c>
      <c r="H12" s="95"/>
      <c r="I12" s="95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9.1999999999999993</v>
      </c>
      <c r="B13" s="91">
        <v>2</v>
      </c>
      <c r="C13" s="92">
        <f>VLOOKUP(A13,Inscripciones!A5:G168,2,FALSE)</f>
        <v>3234</v>
      </c>
      <c r="D13" s="93" t="str">
        <f>IF(ISBLANK(C13),"",VLOOKUP(C13,Inscripciones!$B$5:$F$200,2,FALSE))</f>
        <v>LUKAS CECILIANO ESQUIVEL</v>
      </c>
      <c r="E13" s="94" t="str">
        <f>IF(ISBLANK(C13),"",VLOOKUP(C13,Inscripciones!$B$5:$F$200,3,FALSE))</f>
        <v>PÉREZ ZELEDÓN</v>
      </c>
      <c r="F13" s="94">
        <f>IF(ISBLANK(C13),"",VLOOKUP(C13,Inscripciones!$B$5:$F$200,4,FALSE))</f>
        <v>28</v>
      </c>
      <c r="G13" s="94">
        <f>IF(ISBLANK(C13),"",VLOOKUP(C13,Inscripciones!$B$5:$F$200,5,FALSE))</f>
        <v>501</v>
      </c>
      <c r="H13" s="95"/>
      <c r="I13" s="95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9.3000000000000007</v>
      </c>
      <c r="B14" s="91">
        <v>3</v>
      </c>
      <c r="C14" s="92">
        <f>VLOOKUP(A14,Inscripciones!A6:G169,2,FALSE)</f>
        <v>4115</v>
      </c>
      <c r="D14" s="93" t="str">
        <f>IF(ISBLANK(C14),"",VLOOKUP(C14,Inscripciones!$B$7:$F$200,2,FALSE))</f>
        <v>JOSEPH ANGEL LOPEZ ARAUZ</v>
      </c>
      <c r="E14" s="94" t="str">
        <f>IF(ISBLANK(C14),"",VLOOKUP(C14,Inscripciones!$B$7:$F$200,3,FALSE))</f>
        <v>ATM SANTA CRUZ</v>
      </c>
      <c r="F14" s="94">
        <f>IF(ISBLANK(C14),"",VLOOKUP(C14,Inscripciones!$B$7:$F$200,4,FALSE))</f>
        <v>53</v>
      </c>
      <c r="G14" s="94">
        <f>IF(ISBLANK(C14),"",VLOOKUP(C14,Inscripciones!$B$7:$F$200,5,FALSE))</f>
        <v>471</v>
      </c>
      <c r="H14" s="95"/>
      <c r="I14" s="95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96" t="s">
        <v>22</v>
      </c>
      <c r="C17" s="96"/>
      <c r="D17" s="96" t="s">
        <v>23</v>
      </c>
      <c r="E17" s="96" t="s">
        <v>24</v>
      </c>
      <c r="F17" s="96" t="s">
        <v>25</v>
      </c>
      <c r="G17" s="96" t="s">
        <v>26</v>
      </c>
      <c r="H17" s="96" t="s">
        <v>27</v>
      </c>
      <c r="I17" s="96" t="s">
        <v>28</v>
      </c>
      <c r="J17" s="97" t="s">
        <v>29</v>
      </c>
    </row>
    <row r="18" spans="2:10" ht="21" customHeight="1" x14ac:dyDescent="0.25">
      <c r="B18" s="98">
        <v>1</v>
      </c>
      <c r="C18" s="99">
        <v>1</v>
      </c>
      <c r="D18" s="100" t="str">
        <f>D12</f>
        <v>LUCIANO QUIROS AVILA</v>
      </c>
      <c r="E18" s="101">
        <v>11</v>
      </c>
      <c r="F18" s="101">
        <v>11</v>
      </c>
      <c r="G18" s="101"/>
      <c r="H18" s="101"/>
      <c r="I18" s="101"/>
      <c r="J18" s="393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02"/>
      <c r="C19" s="99">
        <v>3</v>
      </c>
      <c r="D19" s="100" t="str">
        <f>D14</f>
        <v>JOSEPH ANGEL LOPEZ ARAUZ</v>
      </c>
      <c r="E19" s="101">
        <v>8</v>
      </c>
      <c r="F19" s="101">
        <v>7</v>
      </c>
      <c r="G19" s="101"/>
      <c r="H19" s="101"/>
      <c r="I19" s="101"/>
      <c r="J19" s="394"/>
    </row>
    <row r="20" spans="2:10" ht="21" customHeight="1" x14ac:dyDescent="0.25">
      <c r="B20" s="98">
        <v>2</v>
      </c>
      <c r="C20" s="101">
        <v>1</v>
      </c>
      <c r="D20" s="100" t="str">
        <f>D12</f>
        <v>LUCIANO QUIROS AVILA</v>
      </c>
      <c r="E20" s="101">
        <v>11</v>
      </c>
      <c r="F20" s="101">
        <v>11</v>
      </c>
      <c r="G20" s="101"/>
      <c r="H20" s="101"/>
      <c r="I20" s="101"/>
      <c r="J20" s="393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02"/>
      <c r="C21" s="101">
        <v>2</v>
      </c>
      <c r="D21" s="100" t="str">
        <f>D13</f>
        <v>LUKAS CECILIANO ESQUIVEL</v>
      </c>
      <c r="E21" s="101">
        <v>5</v>
      </c>
      <c r="F21" s="101">
        <v>5</v>
      </c>
      <c r="G21" s="101"/>
      <c r="H21" s="101"/>
      <c r="I21" s="101"/>
      <c r="J21" s="394"/>
    </row>
    <row r="22" spans="2:10" ht="21" customHeight="1" x14ac:dyDescent="0.25">
      <c r="B22" s="98">
        <v>3</v>
      </c>
      <c r="C22" s="101">
        <v>2</v>
      </c>
      <c r="D22" s="100" t="str">
        <f>D13</f>
        <v>LUKAS CECILIANO ESQUIVEL</v>
      </c>
      <c r="E22" s="101">
        <v>7</v>
      </c>
      <c r="F22" s="101">
        <v>4</v>
      </c>
      <c r="G22" s="101"/>
      <c r="H22" s="101"/>
      <c r="I22" s="101"/>
      <c r="J22" s="393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3</v>
      </c>
    </row>
    <row r="23" spans="2:10" ht="21" customHeight="1" x14ac:dyDescent="0.25">
      <c r="B23" s="102"/>
      <c r="C23" s="101">
        <v>3</v>
      </c>
      <c r="D23" s="100" t="str">
        <f>D14</f>
        <v>JOSEPH ANGEL LOPEZ ARAUZ</v>
      </c>
      <c r="E23" s="101">
        <v>11</v>
      </c>
      <c r="F23" s="101">
        <v>11</v>
      </c>
      <c r="G23" s="101"/>
      <c r="H23" s="101"/>
      <c r="I23" s="101"/>
      <c r="J23" s="394"/>
    </row>
    <row r="24" spans="2:10" ht="6" customHeight="1" x14ac:dyDescent="0.25">
      <c r="B24" s="86"/>
      <c r="C24" s="86"/>
      <c r="D24" s="86"/>
      <c r="E24" s="86"/>
      <c r="F24" s="86"/>
      <c r="G24" s="86"/>
      <c r="H24" s="86"/>
      <c r="I24" s="86"/>
      <c r="J24" s="86"/>
    </row>
    <row r="25" spans="2:10" ht="6" customHeight="1" x14ac:dyDescent="0.25">
      <c r="B25" s="86"/>
      <c r="E25" s="86"/>
      <c r="F25" s="86"/>
      <c r="G25" s="86"/>
      <c r="H25" s="86"/>
      <c r="I25" s="86"/>
      <c r="J25" s="86"/>
    </row>
    <row r="26" spans="2:10" s="104" customFormat="1" ht="6" customHeight="1" x14ac:dyDescent="0.25">
      <c r="B26" s="103"/>
      <c r="E26" s="103"/>
      <c r="F26" s="103"/>
      <c r="G26" s="103"/>
      <c r="H26" s="103"/>
      <c r="I26" s="103"/>
      <c r="J26" s="103"/>
    </row>
    <row r="27" spans="2:10" ht="6" customHeight="1" x14ac:dyDescent="0.25">
      <c r="E27" s="86"/>
      <c r="F27" s="86"/>
    </row>
    <row r="28" spans="2:10" ht="6" customHeight="1" x14ac:dyDescent="0.25">
      <c r="E28" s="86"/>
      <c r="F28" s="86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380" t="s">
        <v>30</v>
      </c>
      <c r="D32" s="380"/>
      <c r="F32" s="381" t="s">
        <v>31</v>
      </c>
      <c r="G32" s="382"/>
      <c r="H32" s="382"/>
      <c r="I32" s="382"/>
      <c r="J32" s="382"/>
    </row>
    <row r="33" spans="3:10" ht="18" customHeight="1" thickBot="1" x14ac:dyDescent="0.3">
      <c r="C33" s="106" t="s">
        <v>32</v>
      </c>
      <c r="D33" s="106" t="s">
        <v>33</v>
      </c>
      <c r="F33" s="383" t="s">
        <v>34</v>
      </c>
      <c r="G33" s="384"/>
      <c r="H33" s="384"/>
      <c r="I33" s="384"/>
      <c r="J33" s="384"/>
    </row>
    <row r="34" spans="3:10" ht="25.5" customHeight="1" thickBot="1" x14ac:dyDescent="0.3">
      <c r="C34" s="107">
        <v>3836</v>
      </c>
      <c r="D34" s="108" t="str">
        <f>IF(ISBLANK(C34),"",VLOOKUP(C34,Inscripciones!$B$5:$F$200,2,FALSE))</f>
        <v>LUCIANO QUIROS AVILA</v>
      </c>
      <c r="F34" s="109" t="s">
        <v>35</v>
      </c>
      <c r="G34" s="395"/>
      <c r="H34" s="396"/>
      <c r="I34" s="396"/>
      <c r="J34" s="397"/>
    </row>
    <row r="35" spans="3:10" ht="25.5" customHeight="1" thickBot="1" x14ac:dyDescent="0.3">
      <c r="C35" s="107">
        <v>4115</v>
      </c>
      <c r="D35" s="108" t="str">
        <f>IF(ISBLANK(C35),"",VLOOKUP(C35,Inscripciones!$B$5:$F$200,2,FALSE))</f>
        <v>JOSEPH ANGEL LOPEZ ARAUZ</v>
      </c>
      <c r="F35" s="398" t="s">
        <v>36</v>
      </c>
      <c r="G35" s="399"/>
      <c r="H35" s="399"/>
      <c r="I35" s="400"/>
      <c r="J35" s="110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8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0A119-FF3A-4559-9511-D255B398E40E}">
  <sheetPr codeName="Sheet13">
    <pageSetUpPr fitToPage="1"/>
  </sheetPr>
  <dimension ref="A2:M35"/>
  <sheetViews>
    <sheetView topLeftCell="A19" zoomScale="85" zoomScaleNormal="85" workbookViewId="0">
      <selection activeCell="N15" sqref="N15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28.5703125" style="17" bestFit="1" customWidth="1"/>
    <col min="5" max="5" width="10.2851562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385" t="e" vm="1">
        <v>#VALUE!</v>
      </c>
      <c r="C2" s="385"/>
      <c r="D2" s="385"/>
      <c r="E2" s="385"/>
      <c r="F2" s="385"/>
      <c r="G2" s="385"/>
      <c r="H2" s="385"/>
      <c r="I2" s="385"/>
      <c r="J2" s="385"/>
    </row>
    <row r="3" spans="1:13" x14ac:dyDescent="0.25">
      <c r="B3" s="385"/>
      <c r="C3" s="385"/>
      <c r="D3" s="385"/>
      <c r="E3" s="385"/>
      <c r="F3" s="385"/>
      <c r="G3" s="385"/>
      <c r="H3" s="385"/>
      <c r="I3" s="385"/>
      <c r="J3" s="385"/>
    </row>
    <row r="4" spans="1:13" ht="15" customHeight="1" thickBot="1" x14ac:dyDescent="0.3">
      <c r="B4" s="385"/>
      <c r="C4" s="385"/>
      <c r="D4" s="385"/>
      <c r="E4" s="385"/>
      <c r="F4" s="385"/>
      <c r="G4" s="385"/>
      <c r="H4" s="385"/>
      <c r="I4" s="385"/>
      <c r="J4" s="385"/>
    </row>
    <row r="5" spans="1:13" ht="15.75" customHeight="1" x14ac:dyDescent="0.25">
      <c r="B5" s="385"/>
      <c r="C5" s="385"/>
      <c r="D5" s="385"/>
      <c r="E5" s="385"/>
      <c r="F5" s="385"/>
      <c r="G5" s="385"/>
      <c r="H5" s="385"/>
      <c r="I5" s="385"/>
      <c r="J5" s="385"/>
      <c r="L5" s="412" t="s">
        <v>11</v>
      </c>
      <c r="M5" s="412"/>
    </row>
    <row r="6" spans="1:13" ht="26.25" customHeight="1" x14ac:dyDescent="0.25">
      <c r="B6" s="385"/>
      <c r="C6" s="385"/>
      <c r="D6" s="385"/>
      <c r="E6" s="385"/>
      <c r="F6" s="385"/>
      <c r="G6" s="385"/>
      <c r="H6" s="385"/>
      <c r="I6" s="385"/>
      <c r="J6" s="385"/>
      <c r="L6" s="413"/>
      <c r="M6" s="413"/>
    </row>
    <row r="7" spans="1:13" ht="26.25" customHeight="1" x14ac:dyDescent="0.35">
      <c r="C7" s="83"/>
      <c r="D7" s="83"/>
      <c r="G7" s="83" t="s">
        <v>12</v>
      </c>
      <c r="H7" s="83"/>
      <c r="I7" s="83"/>
      <c r="J7" s="84">
        <f ca="1">TODAY()</f>
        <v>46288</v>
      </c>
      <c r="L7" s="413"/>
      <c r="M7" s="413"/>
    </row>
    <row r="8" spans="1:13" ht="26.25" customHeight="1" x14ac:dyDescent="0.35">
      <c r="C8" s="83"/>
      <c r="D8" s="83"/>
      <c r="L8" s="413"/>
      <c r="M8" s="413"/>
    </row>
    <row r="9" spans="1:13" ht="21" customHeight="1" x14ac:dyDescent="0.35">
      <c r="B9" s="85" t="s">
        <v>13</v>
      </c>
      <c r="C9" s="86"/>
      <c r="D9" s="87" t="str">
        <f>Inscripciones!B2</f>
        <v>U19 MASCULINO</v>
      </c>
      <c r="E9" s="85" t="s">
        <v>14</v>
      </c>
      <c r="F9" s="87">
        <v>10</v>
      </c>
      <c r="G9" s="85" t="s">
        <v>15</v>
      </c>
      <c r="H9" s="85"/>
      <c r="I9" s="85"/>
      <c r="J9" s="88"/>
    </row>
    <row r="10" spans="1:13" ht="21" customHeight="1" x14ac:dyDescent="0.25"/>
    <row r="11" spans="1:13" ht="21" customHeight="1" x14ac:dyDescent="0.25">
      <c r="B11" s="89" t="s">
        <v>16</v>
      </c>
      <c r="C11" s="89" t="s">
        <v>17</v>
      </c>
      <c r="D11" s="89" t="s">
        <v>18</v>
      </c>
      <c r="E11" s="89" t="s">
        <v>19</v>
      </c>
      <c r="F11" s="89" t="s">
        <v>20</v>
      </c>
      <c r="G11" s="89" t="s">
        <v>21</v>
      </c>
      <c r="H11" s="89"/>
      <c r="I11" s="89"/>
      <c r="J11" s="90"/>
    </row>
    <row r="12" spans="1:13" ht="21" customHeight="1" x14ac:dyDescent="0.35">
      <c r="A12" s="17">
        <f>F9+0.1</f>
        <v>10.1</v>
      </c>
      <c r="B12" s="91">
        <v>1</v>
      </c>
      <c r="C12" s="92">
        <f>VLOOKUP(A12,Inscripciones!A5:G167,2,FALSE)</f>
        <v>3671</v>
      </c>
      <c r="D12" s="93" t="str">
        <f>IF(ISBLANK(C12),"",VLOOKUP(C12,Inscripciones!$B$5:$F$200,2,FALSE))</f>
        <v>NICOLAS OVARES CASTRO</v>
      </c>
      <c r="E12" s="94" t="str">
        <f>IF(ISBLANK(C12),"",VLOOKUP(C12,Inscripciones!$B$5:$F$200,3,FALSE))</f>
        <v>SANTA ANA</v>
      </c>
      <c r="F12" s="94">
        <f>IF(ISBLANK(C12),"",VLOOKUP(C12,Inscripciones!$B$5:$F$200,4,FALSE))</f>
        <v>10</v>
      </c>
      <c r="G12" s="94">
        <f>IF(ISBLANK(C12),"",VLOOKUP(C12,Inscripciones!$B$5:$F$200,5,FALSE))</f>
        <v>575</v>
      </c>
      <c r="H12" s="95"/>
      <c r="I12" s="95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10.199999999999999</v>
      </c>
      <c r="B13" s="91">
        <v>2</v>
      </c>
      <c r="C13" s="92">
        <f>VLOOKUP(A13,Inscripciones!A5:G168,2,FALSE)</f>
        <v>3449</v>
      </c>
      <c r="D13" s="93" t="str">
        <f>IF(ISBLANK(C13),"",VLOOKUP(C13,Inscripciones!$B$5:$F$200,2,FALSE))</f>
        <v>REINEL ANTONIO VANEGAS LACAYO</v>
      </c>
      <c r="E13" s="94" t="str">
        <f>IF(ISBLANK(C13),"",VLOOKUP(C13,Inscripciones!$B$5:$F$200,3,FALSE))</f>
        <v>ALAJUELA</v>
      </c>
      <c r="F13" s="94">
        <f>IF(ISBLANK(C13),"",VLOOKUP(C13,Inscripciones!$B$5:$F$200,4,FALSE))</f>
        <v>26</v>
      </c>
      <c r="G13" s="94">
        <f>IF(ISBLANK(C13),"",VLOOKUP(C13,Inscripciones!$B$5:$F$200,5,FALSE))</f>
        <v>505</v>
      </c>
      <c r="H13" s="95"/>
      <c r="I13" s="95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10.3</v>
      </c>
      <c r="B14" s="91">
        <v>3</v>
      </c>
      <c r="C14" s="92">
        <f>VLOOKUP(A14,Inscripciones!A6:G169,2,FALSE)</f>
        <v>4236</v>
      </c>
      <c r="D14" s="93" t="str">
        <f>IF(ISBLANK(C14),"",VLOOKUP(C14,Inscripciones!$B$7:$F$200,2,FALSE))</f>
        <v>SANTIAGO BRENES HERRERA</v>
      </c>
      <c r="E14" s="94" t="str">
        <f>IF(ISBLANK(C14),"",VLOOKUP(C14,Inscripciones!$B$7:$F$200,3,FALSE))</f>
        <v>CURRIDABAT</v>
      </c>
      <c r="F14" s="94">
        <f>IF(ISBLANK(C14),"",VLOOKUP(C14,Inscripciones!$B$7:$F$200,4,FALSE))</f>
        <v>58</v>
      </c>
      <c r="G14" s="94">
        <f>IF(ISBLANK(C14),"",VLOOKUP(C14,Inscripciones!$B$7:$F$200,5,FALSE))</f>
        <v>462</v>
      </c>
      <c r="H14" s="95"/>
      <c r="I14" s="95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96" t="s">
        <v>22</v>
      </c>
      <c r="C17" s="96"/>
      <c r="D17" s="96" t="s">
        <v>23</v>
      </c>
      <c r="E17" s="96" t="s">
        <v>24</v>
      </c>
      <c r="F17" s="96" t="s">
        <v>25</v>
      </c>
      <c r="G17" s="96" t="s">
        <v>26</v>
      </c>
      <c r="H17" s="96" t="s">
        <v>27</v>
      </c>
      <c r="I17" s="96" t="s">
        <v>28</v>
      </c>
      <c r="J17" s="97" t="s">
        <v>29</v>
      </c>
    </row>
    <row r="18" spans="2:10" ht="21" customHeight="1" x14ac:dyDescent="0.25">
      <c r="B18" s="98">
        <v>1</v>
      </c>
      <c r="C18" s="99">
        <v>1</v>
      </c>
      <c r="D18" s="100" t="str">
        <f>D12</f>
        <v>NICOLAS OVARES CASTRO</v>
      </c>
      <c r="E18" s="101">
        <v>11</v>
      </c>
      <c r="F18" s="101">
        <v>11</v>
      </c>
      <c r="G18" s="101"/>
      <c r="H18" s="101"/>
      <c r="I18" s="101"/>
      <c r="J18" s="393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02"/>
      <c r="C19" s="99">
        <v>3</v>
      </c>
      <c r="D19" s="100" t="str">
        <f>D14</f>
        <v>SANTIAGO BRENES HERRERA</v>
      </c>
      <c r="E19" s="101">
        <v>4</v>
      </c>
      <c r="F19" s="101">
        <v>9</v>
      </c>
      <c r="G19" s="101"/>
      <c r="H19" s="101"/>
      <c r="I19" s="101"/>
      <c r="J19" s="394"/>
    </row>
    <row r="20" spans="2:10" ht="21" customHeight="1" x14ac:dyDescent="0.25">
      <c r="B20" s="98">
        <v>2</v>
      </c>
      <c r="C20" s="101">
        <v>1</v>
      </c>
      <c r="D20" s="100" t="str">
        <f>D12</f>
        <v>NICOLAS OVARES CASTRO</v>
      </c>
      <c r="E20" s="101">
        <v>12</v>
      </c>
      <c r="F20" s="101">
        <v>9</v>
      </c>
      <c r="G20" s="101">
        <v>9</v>
      </c>
      <c r="H20" s="101"/>
      <c r="I20" s="101"/>
      <c r="J20" s="393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2</v>
      </c>
    </row>
    <row r="21" spans="2:10" ht="21" customHeight="1" x14ac:dyDescent="0.25">
      <c r="B21" s="102"/>
      <c r="C21" s="101">
        <v>2</v>
      </c>
      <c r="D21" s="100" t="str">
        <f>D13</f>
        <v>REINEL ANTONIO VANEGAS LACAYO</v>
      </c>
      <c r="E21" s="101">
        <v>10</v>
      </c>
      <c r="F21" s="101">
        <v>11</v>
      </c>
      <c r="G21" s="101">
        <v>11</v>
      </c>
      <c r="H21" s="101"/>
      <c r="I21" s="101"/>
      <c r="J21" s="394"/>
    </row>
    <row r="22" spans="2:10" ht="21" customHeight="1" x14ac:dyDescent="0.25">
      <c r="B22" s="98">
        <v>3</v>
      </c>
      <c r="C22" s="101">
        <v>2</v>
      </c>
      <c r="D22" s="100" t="str">
        <f>D13</f>
        <v>REINEL ANTONIO VANEGAS LACAYO</v>
      </c>
      <c r="E22" s="101">
        <v>8</v>
      </c>
      <c r="F22" s="101">
        <v>11</v>
      </c>
      <c r="G22" s="101">
        <v>10</v>
      </c>
      <c r="H22" s="101"/>
      <c r="I22" s="101"/>
      <c r="J22" s="393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3</v>
      </c>
    </row>
    <row r="23" spans="2:10" ht="21" customHeight="1" x14ac:dyDescent="0.25">
      <c r="B23" s="102"/>
      <c r="C23" s="101">
        <v>3</v>
      </c>
      <c r="D23" s="100" t="str">
        <f>D14</f>
        <v>SANTIAGO BRENES HERRERA</v>
      </c>
      <c r="E23" s="101">
        <v>11</v>
      </c>
      <c r="F23" s="101">
        <v>6</v>
      </c>
      <c r="G23" s="101">
        <v>12</v>
      </c>
      <c r="H23" s="101"/>
      <c r="I23" s="101"/>
      <c r="J23" s="394"/>
    </row>
    <row r="24" spans="2:10" ht="6" customHeight="1" x14ac:dyDescent="0.25">
      <c r="B24" s="86"/>
      <c r="C24" s="86"/>
      <c r="D24" s="86"/>
      <c r="E24" s="86"/>
      <c r="F24" s="86"/>
      <c r="G24" s="86"/>
      <c r="H24" s="86"/>
      <c r="I24" s="86"/>
      <c r="J24" s="86"/>
    </row>
    <row r="25" spans="2:10" ht="6" customHeight="1" x14ac:dyDescent="0.25">
      <c r="B25" s="86"/>
      <c r="E25" s="86"/>
      <c r="F25" s="86"/>
      <c r="G25" s="86"/>
      <c r="H25" s="86"/>
      <c r="I25" s="86"/>
      <c r="J25" s="86"/>
    </row>
    <row r="26" spans="2:10" s="104" customFormat="1" ht="6" customHeight="1" x14ac:dyDescent="0.25">
      <c r="B26" s="103"/>
      <c r="E26" s="103"/>
      <c r="F26" s="103"/>
      <c r="G26" s="103"/>
      <c r="H26" s="103"/>
      <c r="I26" s="103"/>
      <c r="J26" s="103"/>
    </row>
    <row r="27" spans="2:10" ht="6" customHeight="1" x14ac:dyDescent="0.25">
      <c r="E27" s="86"/>
      <c r="F27" s="86"/>
    </row>
    <row r="28" spans="2:10" ht="6" customHeight="1" x14ac:dyDescent="0.25">
      <c r="E28" s="86"/>
      <c r="F28" s="86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380" t="s">
        <v>30</v>
      </c>
      <c r="D32" s="380"/>
      <c r="F32" s="381" t="s">
        <v>31</v>
      </c>
      <c r="G32" s="382"/>
      <c r="H32" s="382"/>
      <c r="I32" s="382"/>
      <c r="J32" s="382"/>
    </row>
    <row r="33" spans="3:10" ht="18" customHeight="1" thickBot="1" x14ac:dyDescent="0.3">
      <c r="C33" s="106" t="s">
        <v>32</v>
      </c>
      <c r="D33" s="106" t="s">
        <v>33</v>
      </c>
      <c r="F33" s="383" t="s">
        <v>34</v>
      </c>
      <c r="G33" s="384"/>
      <c r="H33" s="384"/>
      <c r="I33" s="384"/>
      <c r="J33" s="384"/>
    </row>
    <row r="34" spans="3:10" ht="25.5" customHeight="1" thickBot="1" x14ac:dyDescent="0.3">
      <c r="C34" s="107">
        <v>3671</v>
      </c>
      <c r="D34" s="108" t="str">
        <f>IF(ISBLANK(C34),"",VLOOKUP(C34,Inscripciones!$B$5:$F$200,2,FALSE))</f>
        <v>NICOLAS OVARES CASTRO</v>
      </c>
      <c r="F34" s="109" t="s">
        <v>35</v>
      </c>
      <c r="G34" s="395"/>
      <c r="H34" s="396"/>
      <c r="I34" s="396"/>
      <c r="J34" s="397"/>
    </row>
    <row r="35" spans="3:10" ht="25.5" customHeight="1" thickBot="1" x14ac:dyDescent="0.3">
      <c r="C35" s="107">
        <v>3449</v>
      </c>
      <c r="D35" s="108" t="str">
        <f>IF(ISBLANK(C35),"",VLOOKUP(C35,Inscripciones!$B$5:$F$200,2,FALSE))</f>
        <v>REINEL ANTONIO VANEGAS LACAYO</v>
      </c>
      <c r="F35" s="398" t="s">
        <v>36</v>
      </c>
      <c r="G35" s="399"/>
      <c r="H35" s="399"/>
      <c r="I35" s="400"/>
      <c r="J35" s="110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7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EA08B-361C-4384-B63E-E697759FEB82}">
  <sheetPr codeName="Sheet14">
    <pageSetUpPr fitToPage="1"/>
  </sheetPr>
  <dimension ref="A2:M35"/>
  <sheetViews>
    <sheetView topLeftCell="A14" zoomScale="85" zoomScaleNormal="85" workbookViewId="0">
      <selection activeCell="C36" sqref="C36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27" style="17" bestFit="1" customWidth="1"/>
    <col min="5" max="5" width="17.14062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385" t="e" vm="1">
        <v>#VALUE!</v>
      </c>
      <c r="C2" s="385"/>
      <c r="D2" s="385"/>
      <c r="E2" s="385"/>
      <c r="F2" s="385"/>
      <c r="G2" s="385"/>
      <c r="H2" s="385"/>
      <c r="I2" s="385"/>
      <c r="J2" s="385"/>
    </row>
    <row r="3" spans="1:13" x14ac:dyDescent="0.25">
      <c r="B3" s="385"/>
      <c r="C3" s="385"/>
      <c r="D3" s="385"/>
      <c r="E3" s="385"/>
      <c r="F3" s="385"/>
      <c r="G3" s="385"/>
      <c r="H3" s="385"/>
      <c r="I3" s="385"/>
      <c r="J3" s="385"/>
    </row>
    <row r="4" spans="1:13" ht="15" customHeight="1" thickBot="1" x14ac:dyDescent="0.3">
      <c r="B4" s="385"/>
      <c r="C4" s="385"/>
      <c r="D4" s="385"/>
      <c r="E4" s="385"/>
      <c r="F4" s="385"/>
      <c r="G4" s="385"/>
      <c r="H4" s="385"/>
      <c r="I4" s="385"/>
      <c r="J4" s="385"/>
    </row>
    <row r="5" spans="1:13" ht="15.75" customHeight="1" x14ac:dyDescent="0.25">
      <c r="B5" s="385"/>
      <c r="C5" s="385"/>
      <c r="D5" s="385"/>
      <c r="E5" s="385"/>
      <c r="F5" s="385"/>
      <c r="G5" s="385"/>
      <c r="H5" s="385"/>
      <c r="I5" s="385"/>
      <c r="J5" s="385"/>
      <c r="L5" s="412" t="s">
        <v>11</v>
      </c>
      <c r="M5" s="412"/>
    </row>
    <row r="6" spans="1:13" ht="26.25" customHeight="1" x14ac:dyDescent="0.25">
      <c r="B6" s="385"/>
      <c r="C6" s="385"/>
      <c r="D6" s="385"/>
      <c r="E6" s="385"/>
      <c r="F6" s="385"/>
      <c r="G6" s="385"/>
      <c r="H6" s="385"/>
      <c r="I6" s="385"/>
      <c r="J6" s="385"/>
      <c r="L6" s="413"/>
      <c r="M6" s="413"/>
    </row>
    <row r="7" spans="1:13" ht="26.25" customHeight="1" x14ac:dyDescent="0.35">
      <c r="C7" s="83"/>
      <c r="D7" s="83"/>
      <c r="G7" s="83" t="s">
        <v>12</v>
      </c>
      <c r="H7" s="83"/>
      <c r="I7" s="83"/>
      <c r="J7" s="84">
        <f ca="1">TODAY()</f>
        <v>46288</v>
      </c>
      <c r="L7" s="413"/>
      <c r="M7" s="413"/>
    </row>
    <row r="8" spans="1:13" ht="26.25" customHeight="1" x14ac:dyDescent="0.35">
      <c r="C8" s="83"/>
      <c r="D8" s="83"/>
      <c r="L8" s="413"/>
      <c r="M8" s="413"/>
    </row>
    <row r="9" spans="1:13" ht="21" customHeight="1" x14ac:dyDescent="0.35">
      <c r="B9" s="85" t="s">
        <v>13</v>
      </c>
      <c r="C9" s="86"/>
      <c r="D9" s="87" t="str">
        <f>Inscripciones!B2</f>
        <v>U19 MASCULINO</v>
      </c>
      <c r="E9" s="85" t="s">
        <v>14</v>
      </c>
      <c r="F9" s="87">
        <v>11</v>
      </c>
      <c r="G9" s="85" t="s">
        <v>15</v>
      </c>
      <c r="H9" s="85"/>
      <c r="I9" s="85"/>
      <c r="J9" s="88"/>
    </row>
    <row r="10" spans="1:13" ht="21" customHeight="1" x14ac:dyDescent="0.25"/>
    <row r="11" spans="1:13" ht="21" customHeight="1" x14ac:dyDescent="0.25">
      <c r="B11" s="89" t="s">
        <v>16</v>
      </c>
      <c r="C11" s="89" t="s">
        <v>17</v>
      </c>
      <c r="D11" s="89" t="s">
        <v>18</v>
      </c>
      <c r="E11" s="89" t="s">
        <v>19</v>
      </c>
      <c r="F11" s="89" t="s">
        <v>20</v>
      </c>
      <c r="G11" s="89" t="s">
        <v>21</v>
      </c>
      <c r="H11" s="89"/>
      <c r="I11" s="89"/>
      <c r="J11" s="90"/>
    </row>
    <row r="12" spans="1:13" ht="21" customHeight="1" x14ac:dyDescent="0.35">
      <c r="A12" s="17">
        <f>F9+0.1</f>
        <v>11.1</v>
      </c>
      <c r="B12" s="91">
        <v>1</v>
      </c>
      <c r="C12" s="92">
        <f>VLOOKUP(A12,Inscripciones!A5:G167,2,FALSE)</f>
        <v>3499</v>
      </c>
      <c r="D12" s="93" t="str">
        <f>IF(ISBLANK(C12),"",VLOOKUP(C12,Inscripciones!$B$5:$F$200,2,FALSE))</f>
        <v>ESTEBAN MURILLO CHAVES</v>
      </c>
      <c r="E12" s="94" t="str">
        <f>IF(ISBLANK(C12),"",VLOOKUP(C12,Inscripciones!$B$5:$F$200,3,FALSE))</f>
        <v>UCR-PÉREZ ZELEDÓN</v>
      </c>
      <c r="F12" s="94">
        <f>IF(ISBLANK(C12),"",VLOOKUP(C12,Inscripciones!$B$5:$F$200,4,FALSE))</f>
        <v>11</v>
      </c>
      <c r="G12" s="94">
        <f>IF(ISBLANK(C12),"",VLOOKUP(C12,Inscripciones!$B$5:$F$200,5,FALSE))</f>
        <v>569</v>
      </c>
      <c r="H12" s="95"/>
      <c r="I12" s="95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11.2</v>
      </c>
      <c r="B13" s="91">
        <v>2</v>
      </c>
      <c r="C13" s="92">
        <f>VLOOKUP(A13,Inscripciones!A5:G168,2,FALSE)</f>
        <v>2801</v>
      </c>
      <c r="D13" s="93" t="str">
        <f>IF(ISBLANK(C13),"",VLOOKUP(C13,Inscripciones!$B$5:$F$200,2,FALSE))</f>
        <v>IAN VARGAS JIMENEZ</v>
      </c>
      <c r="E13" s="94" t="str">
        <f>IF(ISBLANK(C13),"",VLOOKUP(C13,Inscripciones!$B$5:$F$200,3,FALSE))</f>
        <v>CCDR SAN JOSÉ</v>
      </c>
      <c r="F13" s="94">
        <f>IF(ISBLANK(C13),"",VLOOKUP(C13,Inscripciones!$B$5:$F$200,4,FALSE))</f>
        <v>25</v>
      </c>
      <c r="G13" s="94">
        <f>IF(ISBLANK(C13),"",VLOOKUP(C13,Inscripciones!$B$5:$F$200,5,FALSE))</f>
        <v>507</v>
      </c>
      <c r="H13" s="95"/>
      <c r="I13" s="95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11.3</v>
      </c>
      <c r="B14" s="91">
        <v>3</v>
      </c>
      <c r="C14" s="92">
        <f>VLOOKUP(A14,Inscripciones!A6:G169,2,FALSE)</f>
        <v>4833</v>
      </c>
      <c r="D14" s="93" t="str">
        <f>IF(ISBLANK(C14),"",VLOOKUP(C14,Inscripciones!$B$7:$F$200,2,FALSE))</f>
        <v>JESÚS ADRIÁN VÁSQUEZ TURCIOS</v>
      </c>
      <c r="E14" s="94" t="str">
        <f>IF(ISBLANK(C14),"",VLOOKUP(C14,Inscripciones!$B$7:$F$200,3,FALSE))</f>
        <v>ASERRÍ</v>
      </c>
      <c r="F14" s="94">
        <f>IF(ISBLANK(C14),"",VLOOKUP(C14,Inscripciones!$B$7:$F$200,4,FALSE))</f>
        <v>59</v>
      </c>
      <c r="G14" s="94">
        <f>IF(ISBLANK(C14),"",VLOOKUP(C14,Inscripciones!$B$7:$F$200,5,FALSE))</f>
        <v>462</v>
      </c>
      <c r="H14" s="95"/>
      <c r="I14" s="95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96" t="s">
        <v>22</v>
      </c>
      <c r="C17" s="96"/>
      <c r="D17" s="96" t="s">
        <v>23</v>
      </c>
      <c r="E17" s="96" t="s">
        <v>24</v>
      </c>
      <c r="F17" s="96" t="s">
        <v>25</v>
      </c>
      <c r="G17" s="96" t="s">
        <v>26</v>
      </c>
      <c r="H17" s="96" t="s">
        <v>27</v>
      </c>
      <c r="I17" s="96" t="s">
        <v>28</v>
      </c>
      <c r="J17" s="97" t="s">
        <v>29</v>
      </c>
    </row>
    <row r="18" spans="2:10" ht="21" customHeight="1" x14ac:dyDescent="0.25">
      <c r="B18" s="98">
        <v>1</v>
      </c>
      <c r="C18" s="99">
        <v>1</v>
      </c>
      <c r="D18" s="100" t="str">
        <f>D12</f>
        <v>ESTEBAN MURILLO CHAVES</v>
      </c>
      <c r="E18" s="101">
        <v>11</v>
      </c>
      <c r="F18" s="101">
        <v>11</v>
      </c>
      <c r="G18" s="101"/>
      <c r="H18" s="101"/>
      <c r="I18" s="101"/>
      <c r="J18" s="393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02"/>
      <c r="C19" s="99">
        <v>3</v>
      </c>
      <c r="D19" s="100" t="str">
        <f>D14</f>
        <v>JESÚS ADRIÁN VÁSQUEZ TURCIOS</v>
      </c>
      <c r="E19" s="101">
        <v>2</v>
      </c>
      <c r="F19" s="101">
        <v>1</v>
      </c>
      <c r="G19" s="101"/>
      <c r="H19" s="101"/>
      <c r="I19" s="101"/>
      <c r="J19" s="394"/>
    </row>
    <row r="20" spans="2:10" ht="21" customHeight="1" x14ac:dyDescent="0.25">
      <c r="B20" s="98">
        <v>2</v>
      </c>
      <c r="C20" s="101">
        <v>1</v>
      </c>
      <c r="D20" s="100" t="str">
        <f>D12</f>
        <v>ESTEBAN MURILLO CHAVES</v>
      </c>
      <c r="E20" s="101">
        <v>11</v>
      </c>
      <c r="F20" s="101">
        <v>11</v>
      </c>
      <c r="G20" s="101"/>
      <c r="H20" s="101"/>
      <c r="I20" s="101"/>
      <c r="J20" s="393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02"/>
      <c r="C21" s="101">
        <v>2</v>
      </c>
      <c r="D21" s="100" t="str">
        <f>D13</f>
        <v>IAN VARGAS JIMENEZ</v>
      </c>
      <c r="E21" s="101">
        <v>3</v>
      </c>
      <c r="F21" s="101">
        <v>9</v>
      </c>
      <c r="G21" s="101"/>
      <c r="H21" s="101"/>
      <c r="I21" s="101"/>
      <c r="J21" s="394"/>
    </row>
    <row r="22" spans="2:10" ht="21" customHeight="1" x14ac:dyDescent="0.25">
      <c r="B22" s="98">
        <v>3</v>
      </c>
      <c r="C22" s="101">
        <v>2</v>
      </c>
      <c r="D22" s="100" t="str">
        <f>D13</f>
        <v>IAN VARGAS JIMENEZ</v>
      </c>
      <c r="E22" s="101">
        <v>11</v>
      </c>
      <c r="F22" s="101">
        <v>11</v>
      </c>
      <c r="G22" s="101"/>
      <c r="H22" s="101"/>
      <c r="I22" s="101"/>
      <c r="J22" s="393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02"/>
      <c r="C23" s="101">
        <v>3</v>
      </c>
      <c r="D23" s="100" t="str">
        <f>D14</f>
        <v>JESÚS ADRIÁN VÁSQUEZ TURCIOS</v>
      </c>
      <c r="E23" s="101">
        <v>3</v>
      </c>
      <c r="F23" s="101">
        <v>7</v>
      </c>
      <c r="G23" s="101"/>
      <c r="H23" s="101"/>
      <c r="I23" s="101"/>
      <c r="J23" s="394"/>
    </row>
    <row r="24" spans="2:10" ht="6" customHeight="1" x14ac:dyDescent="0.25">
      <c r="B24" s="86"/>
      <c r="C24" s="86"/>
      <c r="D24" s="86"/>
      <c r="E24" s="86"/>
      <c r="F24" s="86"/>
      <c r="G24" s="86"/>
      <c r="H24" s="86"/>
      <c r="I24" s="86"/>
      <c r="J24" s="86"/>
    </row>
    <row r="25" spans="2:10" ht="6" customHeight="1" x14ac:dyDescent="0.25">
      <c r="B25" s="86"/>
      <c r="E25" s="86"/>
      <c r="F25" s="86"/>
      <c r="G25" s="86"/>
      <c r="H25" s="86"/>
      <c r="I25" s="86"/>
      <c r="J25" s="86"/>
    </row>
    <row r="26" spans="2:10" s="104" customFormat="1" ht="6" customHeight="1" x14ac:dyDescent="0.25">
      <c r="B26" s="103"/>
      <c r="E26" s="103"/>
      <c r="F26" s="103"/>
      <c r="G26" s="103"/>
      <c r="H26" s="103"/>
      <c r="I26" s="103"/>
      <c r="J26" s="103"/>
    </row>
    <row r="27" spans="2:10" ht="6" customHeight="1" x14ac:dyDescent="0.25">
      <c r="E27" s="86"/>
      <c r="F27" s="86"/>
    </row>
    <row r="28" spans="2:10" ht="6" customHeight="1" x14ac:dyDescent="0.25">
      <c r="E28" s="86"/>
      <c r="F28" s="86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380" t="s">
        <v>30</v>
      </c>
      <c r="D32" s="380"/>
      <c r="F32" s="381" t="s">
        <v>31</v>
      </c>
      <c r="G32" s="382"/>
      <c r="H32" s="382"/>
      <c r="I32" s="382"/>
      <c r="J32" s="382"/>
    </row>
    <row r="33" spans="3:10" ht="18" customHeight="1" thickBot="1" x14ac:dyDescent="0.3">
      <c r="C33" s="106" t="s">
        <v>32</v>
      </c>
      <c r="D33" s="106" t="s">
        <v>33</v>
      </c>
      <c r="F33" s="383" t="s">
        <v>34</v>
      </c>
      <c r="G33" s="384"/>
      <c r="H33" s="384"/>
      <c r="I33" s="384"/>
      <c r="J33" s="384"/>
    </row>
    <row r="34" spans="3:10" ht="25.5" customHeight="1" thickBot="1" x14ac:dyDescent="0.3">
      <c r="C34" s="107">
        <v>3499</v>
      </c>
      <c r="D34" s="108" t="str">
        <f>IF(ISBLANK(C34),"",VLOOKUP(C34,Inscripciones!$B$5:$F$200,2,FALSE))</f>
        <v>ESTEBAN MURILLO CHAVES</v>
      </c>
      <c r="F34" s="109" t="s">
        <v>35</v>
      </c>
      <c r="G34" s="395"/>
      <c r="H34" s="396"/>
      <c r="I34" s="396"/>
      <c r="J34" s="397"/>
    </row>
    <row r="35" spans="3:10" ht="25.5" customHeight="1" thickBot="1" x14ac:dyDescent="0.3">
      <c r="C35" s="107">
        <v>2801</v>
      </c>
      <c r="D35" s="108" t="str">
        <f>IF(ISBLANK(C35),"",VLOOKUP(C35,Inscripciones!$B$5:$F$200,2,FALSE))</f>
        <v>IAN VARGAS JIMENEZ</v>
      </c>
      <c r="F35" s="398" t="s">
        <v>36</v>
      </c>
      <c r="G35" s="399"/>
      <c r="H35" s="399"/>
      <c r="I35" s="400"/>
      <c r="J35" s="110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2" orientation="portrait" horizontalDpi="360" verticalDpi="36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9A5C6-B7F7-474C-8115-BBF460A028CF}">
  <sheetPr codeName="Sheet15">
    <pageSetUpPr fitToPage="1"/>
  </sheetPr>
  <dimension ref="A2:M35"/>
  <sheetViews>
    <sheetView topLeftCell="A16" zoomScale="85" zoomScaleNormal="85" workbookViewId="0">
      <selection activeCell="E34" sqref="E34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28.7109375" style="17" bestFit="1" customWidth="1"/>
    <col min="5" max="5" width="13.2851562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385" t="e" vm="1">
        <v>#VALUE!</v>
      </c>
      <c r="C2" s="385"/>
      <c r="D2" s="385"/>
      <c r="E2" s="385"/>
      <c r="F2" s="385"/>
      <c r="G2" s="385"/>
      <c r="H2" s="385"/>
      <c r="I2" s="385"/>
      <c r="J2" s="385"/>
    </row>
    <row r="3" spans="1:13" x14ac:dyDescent="0.25">
      <c r="B3" s="385"/>
      <c r="C3" s="385"/>
      <c r="D3" s="385"/>
      <c r="E3" s="385"/>
      <c r="F3" s="385"/>
      <c r="G3" s="385"/>
      <c r="H3" s="385"/>
      <c r="I3" s="385"/>
      <c r="J3" s="385"/>
    </row>
    <row r="4" spans="1:13" ht="15" customHeight="1" thickBot="1" x14ac:dyDescent="0.3">
      <c r="B4" s="385"/>
      <c r="C4" s="385"/>
      <c r="D4" s="385"/>
      <c r="E4" s="385"/>
      <c r="F4" s="385"/>
      <c r="G4" s="385"/>
      <c r="H4" s="385"/>
      <c r="I4" s="385"/>
      <c r="J4" s="385"/>
    </row>
    <row r="5" spans="1:13" ht="15.75" customHeight="1" x14ac:dyDescent="0.25">
      <c r="B5" s="385"/>
      <c r="C5" s="385"/>
      <c r="D5" s="385"/>
      <c r="E5" s="385"/>
      <c r="F5" s="385"/>
      <c r="G5" s="385"/>
      <c r="H5" s="385"/>
      <c r="I5" s="385"/>
      <c r="J5" s="385"/>
      <c r="L5" s="412" t="s">
        <v>11</v>
      </c>
      <c r="M5" s="412"/>
    </row>
    <row r="6" spans="1:13" ht="26.25" customHeight="1" x14ac:dyDescent="0.25">
      <c r="B6" s="385"/>
      <c r="C6" s="385"/>
      <c r="D6" s="385"/>
      <c r="E6" s="385"/>
      <c r="F6" s="385"/>
      <c r="G6" s="385"/>
      <c r="H6" s="385"/>
      <c r="I6" s="385"/>
      <c r="J6" s="385"/>
      <c r="L6" s="413"/>
      <c r="M6" s="413"/>
    </row>
    <row r="7" spans="1:13" ht="26.25" customHeight="1" x14ac:dyDescent="0.35">
      <c r="C7" s="83"/>
      <c r="D7" s="83"/>
      <c r="G7" s="83" t="s">
        <v>12</v>
      </c>
      <c r="H7" s="83"/>
      <c r="I7" s="83"/>
      <c r="J7" s="84">
        <f ca="1">TODAY()</f>
        <v>46288</v>
      </c>
      <c r="L7" s="413"/>
      <c r="M7" s="413"/>
    </row>
    <row r="8" spans="1:13" ht="26.25" customHeight="1" x14ac:dyDescent="0.35">
      <c r="C8" s="83"/>
      <c r="D8" s="83"/>
      <c r="L8" s="413"/>
      <c r="M8" s="413"/>
    </row>
    <row r="9" spans="1:13" ht="21" customHeight="1" x14ac:dyDescent="0.35">
      <c r="B9" s="85" t="s">
        <v>13</v>
      </c>
      <c r="C9" s="86"/>
      <c r="D9" s="87" t="str">
        <f>Inscripciones!B2</f>
        <v>U19 MASCULINO</v>
      </c>
      <c r="E9" s="85" t="s">
        <v>14</v>
      </c>
      <c r="F9" s="87">
        <v>12</v>
      </c>
      <c r="G9" s="85" t="s">
        <v>15</v>
      </c>
      <c r="H9" s="85"/>
      <c r="I9" s="85"/>
      <c r="J9" s="88"/>
    </row>
    <row r="10" spans="1:13" ht="21" customHeight="1" x14ac:dyDescent="0.25"/>
    <row r="11" spans="1:13" ht="21" customHeight="1" x14ac:dyDescent="0.25">
      <c r="B11" s="89" t="s">
        <v>16</v>
      </c>
      <c r="C11" s="89" t="s">
        <v>17</v>
      </c>
      <c r="D11" s="89" t="s">
        <v>18</v>
      </c>
      <c r="E11" s="89" t="s">
        <v>19</v>
      </c>
      <c r="F11" s="89" t="s">
        <v>20</v>
      </c>
      <c r="G11" s="89" t="s">
        <v>21</v>
      </c>
      <c r="H11" s="89"/>
      <c r="I11" s="89"/>
      <c r="J11" s="90"/>
    </row>
    <row r="12" spans="1:13" ht="21" customHeight="1" x14ac:dyDescent="0.35">
      <c r="A12" s="17">
        <f>F9+0.1</f>
        <v>12.1</v>
      </c>
      <c r="B12" s="91">
        <v>1</v>
      </c>
      <c r="C12" s="92">
        <f>VLOOKUP(A12,Inscripciones!A5:G167,2,FALSE)</f>
        <v>3696</v>
      </c>
      <c r="D12" s="93" t="str">
        <f>IF(ISBLANK(C12),"",VLOOKUP(C12,Inscripciones!$B$5:$F$200,2,FALSE))</f>
        <v>NICOLAS CECILIANO ESQUIVEL</v>
      </c>
      <c r="E12" s="94" t="str">
        <f>IF(ISBLANK(C12),"",VLOOKUP(C12,Inscripciones!$B$5:$F$200,3,FALSE))</f>
        <v>PÉREZ ZELEDÓN</v>
      </c>
      <c r="F12" s="94">
        <f>IF(ISBLANK(C12),"",VLOOKUP(C12,Inscripciones!$B$5:$F$200,4,FALSE))</f>
        <v>12</v>
      </c>
      <c r="G12" s="94">
        <f>IF(ISBLANK(C12),"",VLOOKUP(C12,Inscripciones!$B$5:$F$200,5,FALSE))</f>
        <v>565</v>
      </c>
      <c r="H12" s="95"/>
      <c r="I12" s="95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12.2</v>
      </c>
      <c r="B13" s="91">
        <v>2</v>
      </c>
      <c r="C13" s="92">
        <f>VLOOKUP(A13,Inscripciones!A5:G168,2,FALSE)</f>
        <v>3468</v>
      </c>
      <c r="D13" s="93" t="str">
        <f>IF(ISBLANK(C13),"",VLOOKUP(C13,Inscripciones!$B$5:$F$200,2,FALSE))</f>
        <v>DANIEL DAVID ALPIZAR VILLALOBOS</v>
      </c>
      <c r="E13" s="94" t="str">
        <f>IF(ISBLANK(C13),"",VLOOKUP(C13,Inscripciones!$B$5:$F$200,3,FALSE))</f>
        <v>ASERRÍ</v>
      </c>
      <c r="F13" s="94">
        <f>IF(ISBLANK(C13),"",VLOOKUP(C13,Inscripciones!$B$5:$F$200,4,FALSE))</f>
        <v>24</v>
      </c>
      <c r="G13" s="94">
        <f>IF(ISBLANK(C13),"",VLOOKUP(C13,Inscripciones!$B$5:$F$200,5,FALSE))</f>
        <v>508</v>
      </c>
      <c r="H13" s="95"/>
      <c r="I13" s="95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12.3</v>
      </c>
      <c r="B14" s="91">
        <v>3</v>
      </c>
      <c r="C14" s="92">
        <f>VLOOKUP(A14,Inscripciones!A6:G169,2,FALSE)</f>
        <v>4790</v>
      </c>
      <c r="D14" s="93" t="str">
        <f>IF(ISBLANK(C14),"",VLOOKUP(C14,Inscripciones!$B$7:$F$200,2,FALSE))</f>
        <v>JOSEMARIO ARREDONDO CORDERO</v>
      </c>
      <c r="E14" s="94" t="str">
        <f>IF(ISBLANK(C14),"",VLOOKUP(C14,Inscripciones!$B$7:$F$200,3,FALSE))</f>
        <v>CCDR SAN JOSÉ</v>
      </c>
      <c r="F14" s="94">
        <f>IF(ISBLANK(C14),"",VLOOKUP(C14,Inscripciones!$B$7:$F$200,4,FALSE))</f>
        <v>62</v>
      </c>
      <c r="G14" s="94">
        <f>IF(ISBLANK(C14),"",VLOOKUP(C14,Inscripciones!$B$7:$F$200,5,FALSE))</f>
        <v>461</v>
      </c>
      <c r="H14" s="95"/>
      <c r="I14" s="95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96" t="s">
        <v>22</v>
      </c>
      <c r="C17" s="96"/>
      <c r="D17" s="96" t="s">
        <v>23</v>
      </c>
      <c r="E17" s="96" t="s">
        <v>24</v>
      </c>
      <c r="F17" s="96" t="s">
        <v>25</v>
      </c>
      <c r="G17" s="96" t="s">
        <v>26</v>
      </c>
      <c r="H17" s="96" t="s">
        <v>27</v>
      </c>
      <c r="I17" s="96" t="s">
        <v>28</v>
      </c>
      <c r="J17" s="97" t="s">
        <v>29</v>
      </c>
    </row>
    <row r="18" spans="2:10" ht="21" customHeight="1" x14ac:dyDescent="0.25">
      <c r="B18" s="98">
        <v>1</v>
      </c>
      <c r="C18" s="99">
        <v>1</v>
      </c>
      <c r="D18" s="100" t="str">
        <f>D12</f>
        <v>NICOLAS CECILIANO ESQUIVEL</v>
      </c>
      <c r="E18" s="101">
        <v>11</v>
      </c>
      <c r="F18" s="101">
        <v>11</v>
      </c>
      <c r="G18" s="101"/>
      <c r="H18" s="101"/>
      <c r="I18" s="101"/>
      <c r="J18" s="393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02"/>
      <c r="C19" s="99">
        <v>3</v>
      </c>
      <c r="D19" s="100" t="str">
        <f>D14</f>
        <v>JOSEMARIO ARREDONDO CORDERO</v>
      </c>
      <c r="E19" s="101">
        <v>4</v>
      </c>
      <c r="F19" s="101">
        <v>4</v>
      </c>
      <c r="G19" s="101"/>
      <c r="H19" s="101"/>
      <c r="I19" s="101"/>
      <c r="J19" s="394"/>
    </row>
    <row r="20" spans="2:10" ht="21" customHeight="1" x14ac:dyDescent="0.25">
      <c r="B20" s="98">
        <v>2</v>
      </c>
      <c r="C20" s="101">
        <v>1</v>
      </c>
      <c r="D20" s="100" t="str">
        <f>D12</f>
        <v>NICOLAS CECILIANO ESQUIVEL</v>
      </c>
      <c r="E20" s="101">
        <v>9</v>
      </c>
      <c r="F20" s="101">
        <v>11</v>
      </c>
      <c r="G20" s="101">
        <v>4</v>
      </c>
      <c r="H20" s="101"/>
      <c r="I20" s="101"/>
      <c r="J20" s="393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2</v>
      </c>
    </row>
    <row r="21" spans="2:10" ht="21" customHeight="1" x14ac:dyDescent="0.25">
      <c r="B21" s="102"/>
      <c r="C21" s="101">
        <v>2</v>
      </c>
      <c r="D21" s="100" t="str">
        <f>D13</f>
        <v>DANIEL DAVID ALPIZAR VILLALOBOS</v>
      </c>
      <c r="E21" s="101">
        <v>11</v>
      </c>
      <c r="F21" s="101">
        <v>5</v>
      </c>
      <c r="G21" s="101">
        <v>11</v>
      </c>
      <c r="H21" s="101"/>
      <c r="I21" s="101"/>
      <c r="J21" s="394"/>
    </row>
    <row r="22" spans="2:10" ht="21" customHeight="1" x14ac:dyDescent="0.25">
      <c r="B22" s="98">
        <v>3</v>
      </c>
      <c r="C22" s="101">
        <v>2</v>
      </c>
      <c r="D22" s="100" t="str">
        <f>D13</f>
        <v>DANIEL DAVID ALPIZAR VILLALOBOS</v>
      </c>
      <c r="E22" s="101">
        <v>11</v>
      </c>
      <c r="F22" s="101">
        <v>11</v>
      </c>
      <c r="G22" s="101"/>
      <c r="H22" s="101"/>
      <c r="I22" s="101"/>
      <c r="J22" s="393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02"/>
      <c r="C23" s="101">
        <v>3</v>
      </c>
      <c r="D23" s="100" t="str">
        <f>D14</f>
        <v>JOSEMARIO ARREDONDO CORDERO</v>
      </c>
      <c r="E23" s="101">
        <v>6</v>
      </c>
      <c r="F23" s="101">
        <v>8</v>
      </c>
      <c r="G23" s="101"/>
      <c r="H23" s="101"/>
      <c r="I23" s="101"/>
      <c r="J23" s="394"/>
    </row>
    <row r="24" spans="2:10" ht="6" customHeight="1" x14ac:dyDescent="0.25">
      <c r="B24" s="86"/>
      <c r="C24" s="86"/>
      <c r="D24" s="86"/>
      <c r="E24" s="86"/>
      <c r="F24" s="86"/>
      <c r="G24" s="86"/>
      <c r="H24" s="86"/>
      <c r="I24" s="86"/>
      <c r="J24" s="86"/>
    </row>
    <row r="25" spans="2:10" ht="6" customHeight="1" x14ac:dyDescent="0.25">
      <c r="B25" s="86"/>
      <c r="E25" s="86"/>
      <c r="F25" s="86"/>
      <c r="G25" s="86"/>
      <c r="H25" s="86"/>
      <c r="I25" s="86"/>
      <c r="J25" s="86"/>
    </row>
    <row r="26" spans="2:10" s="104" customFormat="1" ht="6" customHeight="1" x14ac:dyDescent="0.25">
      <c r="B26" s="103"/>
      <c r="E26" s="103"/>
      <c r="F26" s="103"/>
      <c r="G26" s="103"/>
      <c r="H26" s="103"/>
      <c r="I26" s="103"/>
      <c r="J26" s="103"/>
    </row>
    <row r="27" spans="2:10" ht="6" customHeight="1" x14ac:dyDescent="0.25">
      <c r="E27" s="86"/>
      <c r="F27" s="86"/>
    </row>
    <row r="28" spans="2:10" ht="6" customHeight="1" x14ac:dyDescent="0.25">
      <c r="E28" s="86"/>
      <c r="F28" s="86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380" t="s">
        <v>30</v>
      </c>
      <c r="D32" s="380"/>
      <c r="F32" s="381" t="s">
        <v>31</v>
      </c>
      <c r="G32" s="382"/>
      <c r="H32" s="382"/>
      <c r="I32" s="382"/>
      <c r="J32" s="382"/>
    </row>
    <row r="33" spans="3:10" ht="18" customHeight="1" thickBot="1" x14ac:dyDescent="0.3">
      <c r="C33" s="106" t="s">
        <v>32</v>
      </c>
      <c r="D33" s="106" t="s">
        <v>33</v>
      </c>
      <c r="F33" s="383" t="s">
        <v>34</v>
      </c>
      <c r="G33" s="384"/>
      <c r="H33" s="384"/>
      <c r="I33" s="384"/>
      <c r="J33" s="384"/>
    </row>
    <row r="34" spans="3:10" ht="25.5" customHeight="1" thickBot="1" x14ac:dyDescent="0.3">
      <c r="C34" s="107">
        <v>3468</v>
      </c>
      <c r="D34" s="108" t="str">
        <f>IF(ISBLANK(C34),"",VLOOKUP(C34,Inscripciones!$B$5:$F$200,2,FALSE))</f>
        <v>DANIEL DAVID ALPIZAR VILLALOBOS</v>
      </c>
      <c r="F34" s="109" t="s">
        <v>35</v>
      </c>
      <c r="G34" s="395"/>
      <c r="H34" s="396"/>
      <c r="I34" s="396"/>
      <c r="J34" s="397"/>
    </row>
    <row r="35" spans="3:10" ht="25.5" customHeight="1" thickBot="1" x14ac:dyDescent="0.3">
      <c r="C35" s="107">
        <v>3696</v>
      </c>
      <c r="D35" s="108" t="str">
        <f>IF(ISBLANK(C35),"",VLOOKUP(C35,Inscripciones!$B$5:$F$200,2,FALSE))</f>
        <v>NICOLAS CECILIANO ESQUIVEL</v>
      </c>
      <c r="F35" s="398" t="s">
        <v>36</v>
      </c>
      <c r="G35" s="399"/>
      <c r="H35" s="399"/>
      <c r="I35" s="400"/>
      <c r="J35" s="110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4" orientation="portrait" horizontalDpi="360" verticalDpi="36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4EB97-7950-4510-9F63-6EBB863CF03C}">
  <sheetPr codeName="Sheet16">
    <pageSetUpPr fitToPage="1"/>
  </sheetPr>
  <dimension ref="A2:M35"/>
  <sheetViews>
    <sheetView topLeftCell="A14" zoomScale="85" zoomScaleNormal="85" workbookViewId="0">
      <selection activeCell="C36" sqref="C36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25.140625" style="17" bestFit="1" customWidth="1"/>
    <col min="5" max="5" width="13.570312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385" t="e" vm="1">
        <v>#VALUE!</v>
      </c>
      <c r="C2" s="385"/>
      <c r="D2" s="385"/>
      <c r="E2" s="385"/>
      <c r="F2" s="385"/>
      <c r="G2" s="385"/>
      <c r="H2" s="385"/>
      <c r="I2" s="385"/>
      <c r="J2" s="385"/>
    </row>
    <row r="3" spans="1:13" x14ac:dyDescent="0.25">
      <c r="B3" s="385"/>
      <c r="C3" s="385"/>
      <c r="D3" s="385"/>
      <c r="E3" s="385"/>
      <c r="F3" s="385"/>
      <c r="G3" s="385"/>
      <c r="H3" s="385"/>
      <c r="I3" s="385"/>
      <c r="J3" s="385"/>
    </row>
    <row r="4" spans="1:13" ht="15" customHeight="1" thickBot="1" x14ac:dyDescent="0.3">
      <c r="B4" s="385"/>
      <c r="C4" s="385"/>
      <c r="D4" s="385"/>
      <c r="E4" s="385"/>
      <c r="F4" s="385"/>
      <c r="G4" s="385"/>
      <c r="H4" s="385"/>
      <c r="I4" s="385"/>
      <c r="J4" s="385"/>
    </row>
    <row r="5" spans="1:13" ht="15.75" customHeight="1" x14ac:dyDescent="0.25">
      <c r="B5" s="385"/>
      <c r="C5" s="385"/>
      <c r="D5" s="385"/>
      <c r="E5" s="385"/>
      <c r="F5" s="385"/>
      <c r="G5" s="385"/>
      <c r="H5" s="385"/>
      <c r="I5" s="385"/>
      <c r="J5" s="385"/>
      <c r="L5" s="412" t="s">
        <v>11</v>
      </c>
      <c r="M5" s="412"/>
    </row>
    <row r="6" spans="1:13" ht="26.25" customHeight="1" x14ac:dyDescent="0.25">
      <c r="B6" s="385"/>
      <c r="C6" s="385"/>
      <c r="D6" s="385"/>
      <c r="E6" s="385"/>
      <c r="F6" s="385"/>
      <c r="G6" s="385"/>
      <c r="H6" s="385"/>
      <c r="I6" s="385"/>
      <c r="J6" s="385"/>
      <c r="L6" s="413"/>
      <c r="M6" s="413"/>
    </row>
    <row r="7" spans="1:13" ht="26.25" customHeight="1" x14ac:dyDescent="0.35">
      <c r="C7" s="83"/>
      <c r="D7" s="83"/>
      <c r="G7" s="83" t="s">
        <v>12</v>
      </c>
      <c r="H7" s="83"/>
      <c r="I7" s="83"/>
      <c r="J7" s="84">
        <f ca="1">TODAY()</f>
        <v>46288</v>
      </c>
      <c r="L7" s="413"/>
      <c r="M7" s="413"/>
    </row>
    <row r="8" spans="1:13" ht="26.25" customHeight="1" x14ac:dyDescent="0.35">
      <c r="C8" s="83"/>
      <c r="D8" s="83"/>
      <c r="L8" s="413"/>
      <c r="M8" s="413"/>
    </row>
    <row r="9" spans="1:13" ht="21" customHeight="1" x14ac:dyDescent="0.35">
      <c r="B9" s="85" t="s">
        <v>13</v>
      </c>
      <c r="C9" s="86"/>
      <c r="D9" s="87" t="str">
        <f>Inscripciones!B2</f>
        <v>U19 MASCULINO</v>
      </c>
      <c r="E9" s="85" t="s">
        <v>14</v>
      </c>
      <c r="F9" s="87">
        <v>13</v>
      </c>
      <c r="G9" s="85" t="s">
        <v>15</v>
      </c>
      <c r="H9" s="85"/>
      <c r="I9" s="85"/>
      <c r="J9" s="88"/>
    </row>
    <row r="10" spans="1:13" ht="21" customHeight="1" x14ac:dyDescent="0.25"/>
    <row r="11" spans="1:13" ht="21" customHeight="1" x14ac:dyDescent="0.25">
      <c r="B11" s="89" t="s">
        <v>16</v>
      </c>
      <c r="C11" s="89" t="s">
        <v>17</v>
      </c>
      <c r="D11" s="89" t="s">
        <v>18</v>
      </c>
      <c r="E11" s="89" t="s">
        <v>19</v>
      </c>
      <c r="F11" s="89" t="s">
        <v>20</v>
      </c>
      <c r="G11" s="89" t="s">
        <v>21</v>
      </c>
      <c r="H11" s="89"/>
      <c r="I11" s="89"/>
      <c r="J11" s="90"/>
    </row>
    <row r="12" spans="1:13" ht="21" customHeight="1" x14ac:dyDescent="0.35">
      <c r="A12" s="17">
        <f>F9+0.1</f>
        <v>13.1</v>
      </c>
      <c r="B12" s="91">
        <v>1</v>
      </c>
      <c r="C12" s="92">
        <f>VLOOKUP(A12,Inscripciones!A5:G167,2,FALSE)</f>
        <v>3309</v>
      </c>
      <c r="D12" s="93" t="str">
        <f>IF(ISBLANK(C12),"",VLOOKUP(C12,Inscripciones!$B$5:$F$200,2,FALSE))</f>
        <v>SEBASTIAN MASIS MURILLO</v>
      </c>
      <c r="E12" s="94" t="str">
        <f>IF(ISBLANK(C12),"",VLOOKUP(C12,Inscripciones!$B$5:$F$200,3,FALSE))</f>
        <v>GUARCO</v>
      </c>
      <c r="F12" s="94">
        <f>IF(ISBLANK(C12),"",VLOOKUP(C12,Inscripciones!$B$5:$F$200,4,FALSE))</f>
        <v>13</v>
      </c>
      <c r="G12" s="94">
        <f>IF(ISBLANK(C12),"",VLOOKUP(C12,Inscripciones!$B$5:$F$200,5,FALSE))</f>
        <v>558</v>
      </c>
      <c r="H12" s="95"/>
      <c r="I12" s="95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13.2</v>
      </c>
      <c r="B13" s="91">
        <v>2</v>
      </c>
      <c r="C13" s="92">
        <f>VLOOKUP(A13,Inscripciones!A5:G168,2,FALSE)</f>
        <v>3458</v>
      </c>
      <c r="D13" s="93" t="str">
        <f>IF(ISBLANK(C13),"",VLOOKUP(C13,Inscripciones!$B$5:$F$200,2,FALSE))</f>
        <v>SANTIAGO ALVAREZ LONGHI</v>
      </c>
      <c r="E13" s="94" t="str">
        <f>IF(ISBLANK(C13),"",VLOOKUP(C13,Inscripciones!$B$5:$F$200,3,FALSE))</f>
        <v>SANTO DOMINGO</v>
      </c>
      <c r="F13" s="94">
        <f>IF(ISBLANK(C13),"",VLOOKUP(C13,Inscripciones!$B$5:$F$200,4,FALSE))</f>
        <v>20</v>
      </c>
      <c r="G13" s="94">
        <f>IF(ISBLANK(C13),"",VLOOKUP(C13,Inscripciones!$B$5:$F$200,5,FALSE))</f>
        <v>531</v>
      </c>
      <c r="H13" s="95"/>
      <c r="I13" s="95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13.3</v>
      </c>
      <c r="B14" s="91">
        <v>3</v>
      </c>
      <c r="C14" s="92">
        <f>VLOOKUP(A14,Inscripciones!A6:G169,2,FALSE)</f>
        <v>4327</v>
      </c>
      <c r="D14" s="93" t="str">
        <f>IF(ISBLANK(C14),"",VLOOKUP(C14,Inscripciones!$B$7:$F$200,2,FALSE))</f>
        <v>SANTIAGO HERNANDEZ CHAVEZ</v>
      </c>
      <c r="E14" s="94" t="str">
        <f>IF(ISBLANK(C14),"",VLOOKUP(C14,Inscripciones!$B$7:$F$200,3,FALSE))</f>
        <v>ASERRÍ</v>
      </c>
      <c r="F14" s="94">
        <f>IF(ISBLANK(C14),"",VLOOKUP(C14,Inscripciones!$B$7:$F$200,4,FALSE))</f>
        <v>61</v>
      </c>
      <c r="G14" s="94">
        <f>IF(ISBLANK(C14),"",VLOOKUP(C14,Inscripciones!$B$7:$F$200,5,FALSE))</f>
        <v>461</v>
      </c>
      <c r="H14" s="95"/>
      <c r="I14" s="95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96" t="s">
        <v>22</v>
      </c>
      <c r="C17" s="96"/>
      <c r="D17" s="96" t="s">
        <v>23</v>
      </c>
      <c r="E17" s="96" t="s">
        <v>24</v>
      </c>
      <c r="F17" s="96" t="s">
        <v>25</v>
      </c>
      <c r="G17" s="96" t="s">
        <v>26</v>
      </c>
      <c r="H17" s="96" t="s">
        <v>27</v>
      </c>
      <c r="I17" s="96" t="s">
        <v>28</v>
      </c>
      <c r="J17" s="97" t="s">
        <v>29</v>
      </c>
    </row>
    <row r="18" spans="2:10" ht="21" customHeight="1" x14ac:dyDescent="0.25">
      <c r="B18" s="98">
        <v>1</v>
      </c>
      <c r="C18" s="99">
        <v>1</v>
      </c>
      <c r="D18" s="100" t="str">
        <f>D12</f>
        <v>SEBASTIAN MASIS MURILLO</v>
      </c>
      <c r="E18" s="101">
        <v>11</v>
      </c>
      <c r="F18" s="101">
        <v>11</v>
      </c>
      <c r="G18" s="101"/>
      <c r="H18" s="101"/>
      <c r="I18" s="101"/>
      <c r="J18" s="393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02"/>
      <c r="C19" s="99">
        <v>3</v>
      </c>
      <c r="D19" s="100" t="str">
        <f>D14</f>
        <v>SANTIAGO HERNANDEZ CHAVEZ</v>
      </c>
      <c r="E19" s="101">
        <v>3</v>
      </c>
      <c r="F19" s="101">
        <v>2</v>
      </c>
      <c r="G19" s="101"/>
      <c r="H19" s="101"/>
      <c r="I19" s="101"/>
      <c r="J19" s="394"/>
    </row>
    <row r="20" spans="2:10" ht="21" customHeight="1" x14ac:dyDescent="0.25">
      <c r="B20" s="98">
        <v>2</v>
      </c>
      <c r="C20" s="101">
        <v>1</v>
      </c>
      <c r="D20" s="100" t="str">
        <f>D12</f>
        <v>SEBASTIAN MASIS MURILLO</v>
      </c>
      <c r="E20" s="101">
        <v>7</v>
      </c>
      <c r="F20" s="101">
        <v>6</v>
      </c>
      <c r="G20" s="101"/>
      <c r="H20" s="101"/>
      <c r="I20" s="101"/>
      <c r="J20" s="393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2</v>
      </c>
    </row>
    <row r="21" spans="2:10" ht="21" customHeight="1" x14ac:dyDescent="0.25">
      <c r="B21" s="102"/>
      <c r="C21" s="101">
        <v>2</v>
      </c>
      <c r="D21" s="100" t="str">
        <f>D13</f>
        <v>SANTIAGO ALVAREZ LONGHI</v>
      </c>
      <c r="E21" s="101">
        <v>11</v>
      </c>
      <c r="F21" s="101">
        <v>11</v>
      </c>
      <c r="G21" s="101"/>
      <c r="H21" s="101"/>
      <c r="I21" s="101"/>
      <c r="J21" s="394"/>
    </row>
    <row r="22" spans="2:10" ht="21" customHeight="1" x14ac:dyDescent="0.25">
      <c r="B22" s="98">
        <v>3</v>
      </c>
      <c r="C22" s="101">
        <v>2</v>
      </c>
      <c r="D22" s="100" t="str">
        <f>D13</f>
        <v>SANTIAGO ALVAREZ LONGHI</v>
      </c>
      <c r="E22" s="101">
        <v>11</v>
      </c>
      <c r="F22" s="101">
        <v>11</v>
      </c>
      <c r="G22" s="101"/>
      <c r="H22" s="101"/>
      <c r="I22" s="101"/>
      <c r="J22" s="393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02"/>
      <c r="C23" s="101">
        <v>3</v>
      </c>
      <c r="D23" s="100" t="str">
        <f>D14</f>
        <v>SANTIAGO HERNANDEZ CHAVEZ</v>
      </c>
      <c r="E23" s="101">
        <v>1</v>
      </c>
      <c r="F23" s="101">
        <v>5</v>
      </c>
      <c r="G23" s="101"/>
      <c r="H23" s="101"/>
      <c r="I23" s="101"/>
      <c r="J23" s="394"/>
    </row>
    <row r="24" spans="2:10" ht="6" customHeight="1" x14ac:dyDescent="0.25">
      <c r="B24" s="86"/>
      <c r="C24" s="86"/>
      <c r="D24" s="86"/>
      <c r="E24" s="86"/>
      <c r="F24" s="86"/>
      <c r="G24" s="86"/>
      <c r="H24" s="86"/>
      <c r="I24" s="86"/>
      <c r="J24" s="86"/>
    </row>
    <row r="25" spans="2:10" ht="6" customHeight="1" x14ac:dyDescent="0.25">
      <c r="B25" s="86"/>
      <c r="E25" s="86"/>
      <c r="F25" s="86"/>
      <c r="G25" s="86"/>
      <c r="H25" s="86"/>
      <c r="I25" s="86"/>
      <c r="J25" s="86"/>
    </row>
    <row r="26" spans="2:10" s="104" customFormat="1" ht="6" customHeight="1" x14ac:dyDescent="0.25">
      <c r="B26" s="103"/>
      <c r="E26" s="103"/>
      <c r="F26" s="103"/>
      <c r="G26" s="103"/>
      <c r="H26" s="103"/>
      <c r="I26" s="103"/>
      <c r="J26" s="103"/>
    </row>
    <row r="27" spans="2:10" ht="6" customHeight="1" x14ac:dyDescent="0.25">
      <c r="E27" s="86"/>
      <c r="F27" s="86"/>
    </row>
    <row r="28" spans="2:10" ht="6" customHeight="1" x14ac:dyDescent="0.25">
      <c r="E28" s="86"/>
      <c r="F28" s="86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380" t="s">
        <v>30</v>
      </c>
      <c r="D32" s="380"/>
      <c r="F32" s="381" t="s">
        <v>31</v>
      </c>
      <c r="G32" s="382"/>
      <c r="H32" s="382"/>
      <c r="I32" s="382"/>
      <c r="J32" s="382"/>
    </row>
    <row r="33" spans="3:10" ht="18" customHeight="1" thickBot="1" x14ac:dyDescent="0.3">
      <c r="C33" s="106" t="s">
        <v>32</v>
      </c>
      <c r="D33" s="106" t="s">
        <v>33</v>
      </c>
      <c r="F33" s="383" t="s">
        <v>34</v>
      </c>
      <c r="G33" s="384"/>
      <c r="H33" s="384"/>
      <c r="I33" s="384"/>
      <c r="J33" s="384"/>
    </row>
    <row r="34" spans="3:10" ht="25.5" customHeight="1" thickBot="1" x14ac:dyDescent="0.3">
      <c r="C34" s="107">
        <v>3458</v>
      </c>
      <c r="D34" s="108" t="str">
        <f>IF(ISBLANK(C34),"",VLOOKUP(C34,Inscripciones!$B$5:$F$200,2,FALSE))</f>
        <v>SANTIAGO ALVAREZ LONGHI</v>
      </c>
      <c r="F34" s="109" t="s">
        <v>35</v>
      </c>
      <c r="G34" s="395"/>
      <c r="H34" s="396"/>
      <c r="I34" s="396"/>
      <c r="J34" s="397"/>
    </row>
    <row r="35" spans="3:10" ht="25.5" customHeight="1" thickBot="1" x14ac:dyDescent="0.3">
      <c r="C35" s="107">
        <v>3309</v>
      </c>
      <c r="D35" s="108" t="str">
        <f>IF(ISBLANK(C35),"",VLOOKUP(C35,Inscripciones!$B$5:$F$200,2,FALSE))</f>
        <v>SEBASTIAN MASIS MURILLO</v>
      </c>
      <c r="F35" s="398" t="s">
        <v>36</v>
      </c>
      <c r="G35" s="399"/>
      <c r="H35" s="399"/>
      <c r="I35" s="400"/>
      <c r="J35" s="110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7" orientation="portrait" horizontalDpi="360" verticalDpi="36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D3D5D-4298-4C8B-8866-72807964BB2C}">
  <sheetPr codeName="Sheet17">
    <pageSetUpPr fitToPage="1"/>
  </sheetPr>
  <dimension ref="A2:M35"/>
  <sheetViews>
    <sheetView topLeftCell="A17" zoomScale="85" zoomScaleNormal="85" workbookViewId="0">
      <selection activeCell="C36" sqref="C36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25.42578125" style="17" bestFit="1" customWidth="1"/>
    <col min="5" max="5" width="13.2851562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385" t="e" vm="1">
        <v>#VALUE!</v>
      </c>
      <c r="C2" s="385"/>
      <c r="D2" s="385"/>
      <c r="E2" s="385"/>
      <c r="F2" s="385"/>
      <c r="G2" s="385"/>
      <c r="H2" s="385"/>
      <c r="I2" s="385"/>
      <c r="J2" s="385"/>
    </row>
    <row r="3" spans="1:13" x14ac:dyDescent="0.25">
      <c r="B3" s="385"/>
      <c r="C3" s="385"/>
      <c r="D3" s="385"/>
      <c r="E3" s="385"/>
      <c r="F3" s="385"/>
      <c r="G3" s="385"/>
      <c r="H3" s="385"/>
      <c r="I3" s="385"/>
      <c r="J3" s="385"/>
    </row>
    <row r="4" spans="1:13" ht="15" customHeight="1" thickBot="1" x14ac:dyDescent="0.3">
      <c r="B4" s="385"/>
      <c r="C4" s="385"/>
      <c r="D4" s="385"/>
      <c r="E4" s="385"/>
      <c r="F4" s="385"/>
      <c r="G4" s="385"/>
      <c r="H4" s="385"/>
      <c r="I4" s="385"/>
      <c r="J4" s="385"/>
    </row>
    <row r="5" spans="1:13" ht="15.75" customHeight="1" x14ac:dyDescent="0.25">
      <c r="B5" s="385"/>
      <c r="C5" s="385"/>
      <c r="D5" s="385"/>
      <c r="E5" s="385"/>
      <c r="F5" s="385"/>
      <c r="G5" s="385"/>
      <c r="H5" s="385"/>
      <c r="I5" s="385"/>
      <c r="J5" s="385"/>
      <c r="L5" s="412" t="s">
        <v>11</v>
      </c>
      <c r="M5" s="412"/>
    </row>
    <row r="6" spans="1:13" ht="26.25" customHeight="1" x14ac:dyDescent="0.25">
      <c r="B6" s="385"/>
      <c r="C6" s="385"/>
      <c r="D6" s="385"/>
      <c r="E6" s="385"/>
      <c r="F6" s="385"/>
      <c r="G6" s="385"/>
      <c r="H6" s="385"/>
      <c r="I6" s="385"/>
      <c r="J6" s="385"/>
      <c r="L6" s="413"/>
      <c r="M6" s="413"/>
    </row>
    <row r="7" spans="1:13" ht="26.25" customHeight="1" x14ac:dyDescent="0.35">
      <c r="C7" s="83"/>
      <c r="D7" s="83"/>
      <c r="G7" s="83" t="s">
        <v>12</v>
      </c>
      <c r="H7" s="83"/>
      <c r="I7" s="83"/>
      <c r="J7" s="84">
        <f ca="1">TODAY()</f>
        <v>46288</v>
      </c>
      <c r="L7" s="413"/>
      <c r="M7" s="413"/>
    </row>
    <row r="8" spans="1:13" ht="26.25" customHeight="1" x14ac:dyDescent="0.35">
      <c r="C8" s="83"/>
      <c r="D8" s="83"/>
      <c r="L8" s="413"/>
      <c r="M8" s="413"/>
    </row>
    <row r="9" spans="1:13" ht="21" customHeight="1" x14ac:dyDescent="0.35">
      <c r="B9" s="85" t="s">
        <v>13</v>
      </c>
      <c r="C9" s="86"/>
      <c r="D9" s="87" t="str">
        <f>Inscripciones!B2</f>
        <v>U19 MASCULINO</v>
      </c>
      <c r="E9" s="85" t="s">
        <v>14</v>
      </c>
      <c r="F9" s="87">
        <v>14</v>
      </c>
      <c r="G9" s="85" t="s">
        <v>15</v>
      </c>
      <c r="H9" s="85"/>
      <c r="I9" s="85"/>
      <c r="J9" s="88"/>
    </row>
    <row r="10" spans="1:13" ht="21" customHeight="1" x14ac:dyDescent="0.25"/>
    <row r="11" spans="1:13" ht="21" customHeight="1" x14ac:dyDescent="0.25">
      <c r="B11" s="89" t="s">
        <v>16</v>
      </c>
      <c r="C11" s="89" t="s">
        <v>17</v>
      </c>
      <c r="D11" s="89" t="s">
        <v>18</v>
      </c>
      <c r="E11" s="89" t="s">
        <v>19</v>
      </c>
      <c r="F11" s="89" t="s">
        <v>20</v>
      </c>
      <c r="G11" s="89" t="s">
        <v>21</v>
      </c>
      <c r="H11" s="89"/>
      <c r="I11" s="89"/>
      <c r="J11" s="90"/>
    </row>
    <row r="12" spans="1:13" ht="21" customHeight="1" x14ac:dyDescent="0.35">
      <c r="A12" s="17">
        <f>F9+0.1</f>
        <v>14.1</v>
      </c>
      <c r="B12" s="91">
        <v>1</v>
      </c>
      <c r="C12" s="92">
        <f>VLOOKUP(A12,Inscripciones!A5:G167,2,FALSE)</f>
        <v>4363</v>
      </c>
      <c r="D12" s="93" t="str">
        <f>IF(ISBLANK(C12),"",VLOOKUP(C12,Inscripciones!$B$5:$F$200,2,FALSE))</f>
        <v>CESAR DAM BLANCO</v>
      </c>
      <c r="E12" s="94" t="str">
        <f>IF(ISBLANK(C12),"",VLOOKUP(C12,Inscripciones!$B$5:$F$200,3,FALSE))</f>
        <v>CCDR ALAJUELA</v>
      </c>
      <c r="F12" s="94">
        <f>IF(ISBLANK(C12),"",VLOOKUP(C12,Inscripciones!$B$5:$F$200,4,FALSE))</f>
        <v>14</v>
      </c>
      <c r="G12" s="94">
        <f>IF(ISBLANK(C12),"",VLOOKUP(C12,Inscripciones!$B$5:$F$200,5,FALSE))</f>
        <v>549</v>
      </c>
      <c r="H12" s="95"/>
      <c r="I12" s="95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14.2</v>
      </c>
      <c r="B13" s="91">
        <v>2</v>
      </c>
      <c r="C13" s="92">
        <f>VLOOKUP(A13,Inscripciones!A5:G168,2,FALSE)</f>
        <v>4056</v>
      </c>
      <c r="D13" s="93" t="str">
        <f>IF(ISBLANK(C13),"",VLOOKUP(C13,Inscripciones!$B$5:$F$200,2,FALSE))</f>
        <v>JOSEF ARIAS BRAVO</v>
      </c>
      <c r="E13" s="94" t="str">
        <f>IF(ISBLANK(C13),"",VLOOKUP(C13,Inscripciones!$B$5:$F$200,3,FALSE))</f>
        <v>ESPARZA</v>
      </c>
      <c r="F13" s="94">
        <f>IF(ISBLANK(C13),"",VLOOKUP(C13,Inscripciones!$B$5:$F$200,4,FALSE))</f>
        <v>19</v>
      </c>
      <c r="G13" s="94">
        <f>IF(ISBLANK(C13),"",VLOOKUP(C13,Inscripciones!$B$5:$F$200,5,FALSE))</f>
        <v>536</v>
      </c>
      <c r="H13" s="95"/>
      <c r="I13" s="95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14.3</v>
      </c>
      <c r="B14" s="91">
        <v>3</v>
      </c>
      <c r="C14" s="92">
        <f>VLOOKUP(A14,Inscripciones!A6:G169,2,FALSE)</f>
        <v>4851</v>
      </c>
      <c r="D14" s="93" t="str">
        <f>IF(ISBLANK(C14),"",VLOOKUP(C14,Inscripciones!$B$7:$F$200,2,FALSE))</f>
        <v>DAVID GABRIEL NORORI VINDAS</v>
      </c>
      <c r="E14" s="94" t="str">
        <f>IF(ISBLANK(C14),"",VLOOKUP(C14,Inscripciones!$B$7:$F$200,3,FALSE))</f>
        <v>MONTES DE OCA</v>
      </c>
      <c r="F14" s="94">
        <f>IF(ISBLANK(C14),"",VLOOKUP(C14,Inscripciones!$B$7:$F$200,4,FALSE))</f>
        <v>64</v>
      </c>
      <c r="G14" s="94">
        <f>IF(ISBLANK(C14),"",VLOOKUP(C14,Inscripciones!$B$7:$F$200,5,FALSE))</f>
        <v>460</v>
      </c>
      <c r="H14" s="95"/>
      <c r="I14" s="95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96" t="s">
        <v>22</v>
      </c>
      <c r="C17" s="96"/>
      <c r="D17" s="96" t="s">
        <v>23</v>
      </c>
      <c r="E17" s="96" t="s">
        <v>24</v>
      </c>
      <c r="F17" s="96" t="s">
        <v>25</v>
      </c>
      <c r="G17" s="96" t="s">
        <v>26</v>
      </c>
      <c r="H17" s="96" t="s">
        <v>27</v>
      </c>
      <c r="I17" s="96" t="s">
        <v>28</v>
      </c>
      <c r="J17" s="97" t="s">
        <v>29</v>
      </c>
    </row>
    <row r="18" spans="2:10" ht="21" customHeight="1" x14ac:dyDescent="0.25">
      <c r="B18" s="98">
        <v>1</v>
      </c>
      <c r="C18" s="99">
        <v>1</v>
      </c>
      <c r="D18" s="100" t="str">
        <f>D12</f>
        <v>CESAR DAM BLANCO</v>
      </c>
      <c r="E18" s="101">
        <v>11</v>
      </c>
      <c r="F18" s="101">
        <v>11</v>
      </c>
      <c r="G18" s="101"/>
      <c r="H18" s="101"/>
      <c r="I18" s="101"/>
      <c r="J18" s="393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02"/>
      <c r="C19" s="99">
        <v>3</v>
      </c>
      <c r="D19" s="100" t="str">
        <f>D14</f>
        <v>DAVID GABRIEL NORORI VINDAS</v>
      </c>
      <c r="E19" s="101">
        <v>4</v>
      </c>
      <c r="F19" s="101">
        <v>6</v>
      </c>
      <c r="G19" s="101"/>
      <c r="H19" s="101"/>
      <c r="I19" s="101"/>
      <c r="J19" s="394"/>
    </row>
    <row r="20" spans="2:10" ht="21" customHeight="1" x14ac:dyDescent="0.25">
      <c r="B20" s="98">
        <v>2</v>
      </c>
      <c r="C20" s="101">
        <v>1</v>
      </c>
      <c r="D20" s="100" t="str">
        <f>D12</f>
        <v>CESAR DAM BLANCO</v>
      </c>
      <c r="E20" s="101">
        <v>11</v>
      </c>
      <c r="F20" s="101">
        <v>11</v>
      </c>
      <c r="G20" s="101"/>
      <c r="H20" s="101"/>
      <c r="I20" s="101"/>
      <c r="J20" s="393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02"/>
      <c r="C21" s="101">
        <v>2</v>
      </c>
      <c r="D21" s="100" t="str">
        <f>D13</f>
        <v>JOSEF ARIAS BRAVO</v>
      </c>
      <c r="E21" s="101">
        <v>6</v>
      </c>
      <c r="F21" s="101">
        <v>6</v>
      </c>
      <c r="G21" s="101"/>
      <c r="H21" s="101"/>
      <c r="I21" s="101"/>
      <c r="J21" s="394"/>
    </row>
    <row r="22" spans="2:10" ht="21" customHeight="1" x14ac:dyDescent="0.25">
      <c r="B22" s="98">
        <v>3</v>
      </c>
      <c r="C22" s="101">
        <v>2</v>
      </c>
      <c r="D22" s="100" t="str">
        <f>D13</f>
        <v>JOSEF ARIAS BRAVO</v>
      </c>
      <c r="E22" s="101">
        <v>11</v>
      </c>
      <c r="F22" s="101">
        <v>11</v>
      </c>
      <c r="G22" s="101"/>
      <c r="H22" s="101"/>
      <c r="I22" s="101"/>
      <c r="J22" s="393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02"/>
      <c r="C23" s="101">
        <v>3</v>
      </c>
      <c r="D23" s="100" t="str">
        <f>D14</f>
        <v>DAVID GABRIEL NORORI VINDAS</v>
      </c>
      <c r="E23" s="101">
        <v>9</v>
      </c>
      <c r="F23" s="101">
        <v>9</v>
      </c>
      <c r="G23" s="101"/>
      <c r="H23" s="101"/>
      <c r="I23" s="101"/>
      <c r="J23" s="394"/>
    </row>
    <row r="24" spans="2:10" ht="6" customHeight="1" x14ac:dyDescent="0.25">
      <c r="B24" s="86"/>
      <c r="C24" s="86"/>
      <c r="D24" s="86"/>
      <c r="E24" s="86"/>
      <c r="F24" s="86"/>
      <c r="G24" s="86"/>
      <c r="H24" s="86"/>
      <c r="I24" s="86"/>
      <c r="J24" s="86"/>
    </row>
    <row r="25" spans="2:10" ht="6" customHeight="1" x14ac:dyDescent="0.25">
      <c r="B25" s="86"/>
      <c r="E25" s="86"/>
      <c r="F25" s="86"/>
      <c r="G25" s="86"/>
      <c r="H25" s="86"/>
      <c r="I25" s="86"/>
      <c r="J25" s="86"/>
    </row>
    <row r="26" spans="2:10" s="104" customFormat="1" ht="6" customHeight="1" x14ac:dyDescent="0.25">
      <c r="B26" s="103"/>
      <c r="E26" s="103"/>
      <c r="F26" s="103"/>
      <c r="G26" s="103"/>
      <c r="H26" s="103"/>
      <c r="I26" s="103"/>
      <c r="J26" s="103"/>
    </row>
    <row r="27" spans="2:10" ht="6" customHeight="1" x14ac:dyDescent="0.25">
      <c r="E27" s="86"/>
      <c r="F27" s="86"/>
    </row>
    <row r="28" spans="2:10" ht="6" customHeight="1" x14ac:dyDescent="0.25">
      <c r="E28" s="86"/>
      <c r="F28" s="86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380" t="s">
        <v>30</v>
      </c>
      <c r="D32" s="380"/>
      <c r="F32" s="381" t="s">
        <v>31</v>
      </c>
      <c r="G32" s="382"/>
      <c r="H32" s="382"/>
      <c r="I32" s="382"/>
      <c r="J32" s="382"/>
    </row>
    <row r="33" spans="3:10" ht="18" customHeight="1" thickBot="1" x14ac:dyDescent="0.3">
      <c r="C33" s="106" t="s">
        <v>32</v>
      </c>
      <c r="D33" s="106" t="s">
        <v>33</v>
      </c>
      <c r="F33" s="383" t="s">
        <v>34</v>
      </c>
      <c r="G33" s="384"/>
      <c r="H33" s="384"/>
      <c r="I33" s="384"/>
      <c r="J33" s="384"/>
    </row>
    <row r="34" spans="3:10" ht="25.5" customHeight="1" thickBot="1" x14ac:dyDescent="0.3">
      <c r="C34" s="107">
        <v>4363</v>
      </c>
      <c r="D34" s="108" t="str">
        <f>IF(ISBLANK(C34),"",VLOOKUP(C34,Inscripciones!$B$5:$F$200,2,FALSE))</f>
        <v>CESAR DAM BLANCO</v>
      </c>
      <c r="F34" s="109" t="s">
        <v>35</v>
      </c>
      <c r="G34" s="395"/>
      <c r="H34" s="396"/>
      <c r="I34" s="396"/>
      <c r="J34" s="397"/>
    </row>
    <row r="35" spans="3:10" ht="25.5" customHeight="1" thickBot="1" x14ac:dyDescent="0.3">
      <c r="C35" s="107">
        <v>4056</v>
      </c>
      <c r="D35" s="108" t="str">
        <f>IF(ISBLANK(C35),"",VLOOKUP(C35,Inscripciones!$B$5:$F$200,2,FALSE))</f>
        <v>JOSEF ARIAS BRAVO</v>
      </c>
      <c r="F35" s="398" t="s">
        <v>36</v>
      </c>
      <c r="G35" s="399"/>
      <c r="H35" s="399"/>
      <c r="I35" s="400"/>
      <c r="J35" s="110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7" orientation="portrait" horizontalDpi="360" verticalDpi="36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6EDCB-A934-44BA-B383-BF6405544A6D}">
  <sheetPr codeName="Sheet18">
    <pageSetUpPr fitToPage="1"/>
  </sheetPr>
  <dimension ref="A2:P35"/>
  <sheetViews>
    <sheetView topLeftCell="A11" zoomScale="85" zoomScaleNormal="85" workbookViewId="0">
      <selection activeCell="D40" sqref="D40"/>
    </sheetView>
  </sheetViews>
  <sheetFormatPr defaultColWidth="9.140625" defaultRowHeight="15" x14ac:dyDescent="0.25"/>
  <cols>
    <col min="1" max="1" width="5" style="17" bestFit="1" customWidth="1"/>
    <col min="2" max="2" width="7.7109375" style="17" customWidth="1"/>
    <col min="3" max="3" width="7.28515625" style="17" customWidth="1"/>
    <col min="4" max="4" width="23.42578125" style="17" bestFit="1" customWidth="1"/>
    <col min="5" max="5" width="10.7109375" style="17" bestFit="1" customWidth="1"/>
    <col min="6" max="6" width="10.85546875" style="17" customWidth="1"/>
    <col min="7" max="7" width="11.5703125" style="17" customWidth="1"/>
    <col min="8" max="9" width="11.5703125" style="17" hidden="1" customWidth="1"/>
    <col min="10" max="10" width="14.5703125" style="17" customWidth="1"/>
    <col min="11" max="11" width="11.42578125" style="17" customWidth="1"/>
    <col min="12" max="14" width="9.140625" style="17"/>
    <col min="15" max="15" width="9.140625" style="17" hidden="1" customWidth="1"/>
    <col min="16" max="16384" width="9.140625" style="17"/>
  </cols>
  <sheetData>
    <row r="2" spans="1:16" x14ac:dyDescent="0.25">
      <c r="B2" s="385" t="e" vm="1">
        <v>#VALUE!</v>
      </c>
      <c r="C2" s="385"/>
      <c r="D2" s="385"/>
      <c r="E2" s="385"/>
      <c r="F2" s="385"/>
      <c r="G2" s="385"/>
      <c r="H2" s="385"/>
      <c r="I2" s="385"/>
      <c r="J2" s="385"/>
    </row>
    <row r="3" spans="1:16" x14ac:dyDescent="0.25">
      <c r="B3" s="385"/>
      <c r="C3" s="385"/>
      <c r="D3" s="385"/>
      <c r="E3" s="385"/>
      <c r="F3" s="385"/>
      <c r="G3" s="385"/>
      <c r="H3" s="385"/>
      <c r="I3" s="385"/>
      <c r="J3" s="385"/>
    </row>
    <row r="4" spans="1:16" ht="15" customHeight="1" thickBot="1" x14ac:dyDescent="0.3">
      <c r="B4" s="385"/>
      <c r="C4" s="385"/>
      <c r="D4" s="385"/>
      <c r="E4" s="385"/>
      <c r="F4" s="385"/>
      <c r="G4" s="385"/>
      <c r="H4" s="385"/>
      <c r="I4" s="385"/>
      <c r="J4" s="385"/>
    </row>
    <row r="5" spans="1:16" ht="25.5" customHeight="1" x14ac:dyDescent="0.25">
      <c r="B5" s="385"/>
      <c r="C5" s="385"/>
      <c r="D5" s="385"/>
      <c r="E5" s="385"/>
      <c r="F5" s="385"/>
      <c r="G5" s="385"/>
      <c r="H5" s="385"/>
      <c r="I5" s="385"/>
      <c r="J5" s="385"/>
      <c r="L5" s="386" t="s">
        <v>37</v>
      </c>
      <c r="M5" s="387"/>
      <c r="O5" s="111" t="s">
        <v>38</v>
      </c>
      <c r="P5" s="112" t="s">
        <v>39</v>
      </c>
    </row>
    <row r="6" spans="1:16" ht="25.5" customHeight="1" x14ac:dyDescent="0.25">
      <c r="B6" s="385"/>
      <c r="C6" s="385"/>
      <c r="D6" s="385"/>
      <c r="E6" s="385"/>
      <c r="F6" s="385"/>
      <c r="G6" s="385"/>
      <c r="H6" s="385"/>
      <c r="I6" s="385"/>
      <c r="J6" s="385"/>
      <c r="L6" s="388"/>
      <c r="M6" s="389"/>
      <c r="O6" s="111" t="s">
        <v>40</v>
      </c>
      <c r="P6" s="107" t="s">
        <v>38</v>
      </c>
    </row>
    <row r="7" spans="1:16" ht="29.25" customHeight="1" x14ac:dyDescent="0.35">
      <c r="C7" s="392"/>
      <c r="D7" s="392"/>
      <c r="E7" s="392"/>
      <c r="F7" s="392"/>
      <c r="G7" s="113" t="s">
        <v>41</v>
      </c>
      <c r="H7" s="113"/>
      <c r="I7" s="113"/>
      <c r="J7" s="114">
        <f ca="1">TODAY()</f>
        <v>46288</v>
      </c>
      <c r="L7" s="388"/>
      <c r="M7" s="389"/>
      <c r="O7" s="111" t="s">
        <v>42</v>
      </c>
    </row>
    <row r="8" spans="1:16" ht="20.25" customHeight="1" thickBot="1" x14ac:dyDescent="0.4">
      <c r="D8" s="83"/>
      <c r="G8" s="85"/>
      <c r="H8" s="85"/>
      <c r="I8" s="85"/>
      <c r="L8" s="390"/>
      <c r="M8" s="391"/>
      <c r="O8" s="111"/>
    </row>
    <row r="9" spans="1:16" ht="21" customHeight="1" x14ac:dyDescent="0.35">
      <c r="B9" s="85" t="s">
        <v>43</v>
      </c>
      <c r="C9" s="85"/>
      <c r="D9" s="87" t="str">
        <f>Inscripciones!B2</f>
        <v>U19 MASCULINO</v>
      </c>
      <c r="E9" s="85" t="s">
        <v>14</v>
      </c>
      <c r="F9" s="87">
        <v>15</v>
      </c>
      <c r="G9" s="85" t="s">
        <v>15</v>
      </c>
      <c r="H9" s="85"/>
      <c r="I9" s="85"/>
      <c r="J9" s="88"/>
    </row>
    <row r="10" spans="1:16" ht="30" customHeight="1" x14ac:dyDescent="0.25"/>
    <row r="11" spans="1:16" ht="21" customHeight="1" x14ac:dyDescent="0.25">
      <c r="B11" s="85" t="s">
        <v>16</v>
      </c>
      <c r="C11" s="89" t="s">
        <v>17</v>
      </c>
      <c r="D11" s="89" t="s">
        <v>18</v>
      </c>
      <c r="E11" s="89" t="s">
        <v>19</v>
      </c>
      <c r="F11" s="89" t="s">
        <v>20</v>
      </c>
      <c r="G11" s="89" t="s">
        <v>21</v>
      </c>
      <c r="H11" s="89"/>
      <c r="I11" s="89"/>
    </row>
    <row r="12" spans="1:16" ht="21" customHeight="1" x14ac:dyDescent="0.3">
      <c r="A12" s="17">
        <f>$F$9+0.1</f>
        <v>15.1</v>
      </c>
      <c r="B12" s="115">
        <v>1</v>
      </c>
      <c r="C12" s="92">
        <f>VLOOKUP(A12,Inscripciones!$A$5:$G$167,2,FALSE)</f>
        <v>3719</v>
      </c>
      <c r="D12" s="93" t="str">
        <f>IF(ISBLANK(C12),"",VLOOKUP(C12,Inscripciones!$B$7:$F$200,2,FALSE))</f>
        <v>MARCELO MASIS RODRÍGUEZ</v>
      </c>
      <c r="E12" s="94" t="str">
        <f>IF(ISBLANK(C12),"",VLOOKUP(C12,Inscripciones!$B$7:$F$200,3,FALSE))</f>
        <v>SANTA ANA</v>
      </c>
      <c r="F12" s="94">
        <f>IF(ISBLANK(C12),"",VLOOKUP(C12,Inscripciones!$B$7:$F$200,4,FALSE))</f>
        <v>15</v>
      </c>
      <c r="G12" s="94">
        <f>IF(ISBLANK(C12),"",VLOOKUP(C12,Inscripciones!$B$7:$F$200,5,FALSE))</f>
        <v>543</v>
      </c>
      <c r="H12" s="95"/>
      <c r="I12" s="95"/>
    </row>
    <row r="13" spans="1:16" ht="21" customHeight="1" x14ac:dyDescent="0.3">
      <c r="A13" s="17">
        <f>$F$9+0.2</f>
        <v>15.2</v>
      </c>
      <c r="B13" s="115">
        <v>2</v>
      </c>
      <c r="C13" s="92">
        <f>VLOOKUP(A13,Inscripciones!$A$5:$G$167,2,FALSE)</f>
        <v>2368</v>
      </c>
      <c r="D13" s="93" t="str">
        <f>IF(ISBLANK(C13),"",VLOOKUP(C13,Inscripciones!$B$7:$F$200,2,FALSE))</f>
        <v>EMANUEL RIVERA TORRES</v>
      </c>
      <c r="E13" s="94" t="str">
        <f>IF(ISBLANK(C13),"",VLOOKUP(C13,Inscripciones!$B$7:$F$200,3,FALSE))</f>
        <v>ASERRÍ</v>
      </c>
      <c r="F13" s="94">
        <f>IF(ISBLANK(C13),"",VLOOKUP(C13,Inscripciones!$B$7:$F$200,4,FALSE))</f>
        <v>18</v>
      </c>
      <c r="G13" s="94">
        <f>IF(ISBLANK(C13),"",VLOOKUP(C13,Inscripciones!$B$7:$F$200,5,FALSE))</f>
        <v>540</v>
      </c>
      <c r="H13" s="95"/>
      <c r="I13" s="95"/>
    </row>
    <row r="14" spans="1:16" ht="21" customHeight="1" x14ac:dyDescent="0.3">
      <c r="A14" s="17">
        <f>$F$9+0.3</f>
        <v>15.3</v>
      </c>
      <c r="B14" s="115">
        <v>3</v>
      </c>
      <c r="C14" s="92">
        <f>VLOOKUP(A14,Inscripciones!$A$5:$G$167,2,FALSE)</f>
        <v>4541</v>
      </c>
      <c r="D14" s="93" t="str">
        <f>IF(ISBLANK(C14),"",VLOOKUP(C14,Inscripciones!$B$7:$F$200,2,FALSE))</f>
        <v>SANTIAGO FAIT BARRIOS</v>
      </c>
      <c r="E14" s="94" t="str">
        <f>IF(ISBLANK(C14),"",VLOOKUP(C14,Inscripciones!$B$7:$F$200,3,FALSE))</f>
        <v>ESPARZA</v>
      </c>
      <c r="F14" s="94">
        <f>IF(ISBLANK(C14),"",VLOOKUP(C14,Inscripciones!$B$7:$F$200,4,FALSE))</f>
        <v>74</v>
      </c>
      <c r="G14" s="94">
        <f>IF(ISBLANK(C14),"",VLOOKUP(C14,Inscripciones!$B$7:$F$200,5,FALSE))</f>
        <v>440</v>
      </c>
      <c r="H14" s="95"/>
      <c r="I14" s="95"/>
    </row>
    <row r="15" spans="1:16" ht="21" customHeight="1" x14ac:dyDescent="0.3">
      <c r="A15" s="17">
        <f>$F$9+0.4</f>
        <v>15.4</v>
      </c>
      <c r="B15" s="115">
        <v>4</v>
      </c>
      <c r="C15" s="92">
        <f>VLOOKUP(A15,Inscripciones!$A$5:$G$167,2,FALSE)</f>
        <v>3792</v>
      </c>
      <c r="D15" s="93" t="str">
        <f>IF(ISBLANK(C15),"",VLOOKUP(C15,Inscripciones!$B$7:$F$200,2,FALSE))</f>
        <v>NICOLAS ESPINOZA ALFARO</v>
      </c>
      <c r="E15" s="94" t="str">
        <f>IF(ISBLANK(C15),"",VLOOKUP(C15,Inscripciones!$B$7:$F$200,3,FALSE))</f>
        <v>SAN CARLOS</v>
      </c>
      <c r="F15" s="94">
        <f>IF(ISBLANK(C15),"",VLOOKUP(C15,Inscripciones!$B$7:$F$200,4,FALSE))</f>
        <v>76</v>
      </c>
      <c r="G15" s="94">
        <f>IF(ISBLANK(C15),"",VLOOKUP(C15,Inscripciones!$B$7:$F$200,5,FALSE))</f>
        <v>440</v>
      </c>
      <c r="H15" s="95"/>
      <c r="I15" s="95"/>
    </row>
    <row r="16" spans="1:16" ht="21" customHeight="1" x14ac:dyDescent="0.25"/>
    <row r="17" spans="2:10" ht="21" customHeight="1" x14ac:dyDescent="0.25">
      <c r="B17" s="96" t="s">
        <v>22</v>
      </c>
      <c r="C17" s="96" t="s">
        <v>44</v>
      </c>
      <c r="D17" s="96" t="s">
        <v>23</v>
      </c>
      <c r="E17" s="96" t="s">
        <v>24</v>
      </c>
      <c r="F17" s="96" t="s">
        <v>25</v>
      </c>
      <c r="G17" s="96" t="s">
        <v>26</v>
      </c>
      <c r="H17" s="96" t="s">
        <v>27</v>
      </c>
      <c r="I17" s="96" t="s">
        <v>28</v>
      </c>
      <c r="J17" s="97" t="s">
        <v>29</v>
      </c>
    </row>
    <row r="18" spans="2:10" ht="21" customHeight="1" x14ac:dyDescent="0.25">
      <c r="B18" s="98">
        <v>1</v>
      </c>
      <c r="C18" s="99">
        <v>1</v>
      </c>
      <c r="D18" s="116" t="str">
        <f>D12</f>
        <v>MARCELO MASIS RODRÍGUEZ</v>
      </c>
      <c r="E18" s="101">
        <v>11</v>
      </c>
      <c r="F18" s="101">
        <v>11</v>
      </c>
      <c r="G18" s="101"/>
      <c r="H18" s="101"/>
      <c r="I18" s="101"/>
      <c r="J18" s="393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02"/>
      <c r="C19" s="99">
        <v>3</v>
      </c>
      <c r="D19" s="116" t="str">
        <f>D14</f>
        <v>SANTIAGO FAIT BARRIOS</v>
      </c>
      <c r="E19" s="101">
        <v>8</v>
      </c>
      <c r="F19" s="101">
        <v>6</v>
      </c>
      <c r="G19" s="101"/>
      <c r="H19" s="101"/>
      <c r="I19" s="101"/>
      <c r="J19" s="394"/>
    </row>
    <row r="20" spans="2:10" ht="21" customHeight="1" x14ac:dyDescent="0.25">
      <c r="B20" s="98">
        <v>2</v>
      </c>
      <c r="C20" s="101">
        <v>4</v>
      </c>
      <c r="D20" s="116" t="str">
        <f>D15</f>
        <v>NICOLAS ESPINOZA ALFARO</v>
      </c>
      <c r="E20" s="101">
        <v>9</v>
      </c>
      <c r="F20" s="101">
        <v>11</v>
      </c>
      <c r="G20" s="101"/>
      <c r="H20" s="101"/>
      <c r="I20" s="101"/>
      <c r="J20" s="393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2</v>
      </c>
    </row>
    <row r="21" spans="2:10" ht="21" customHeight="1" x14ac:dyDescent="0.25">
      <c r="B21" s="102"/>
      <c r="C21" s="101">
        <v>2</v>
      </c>
      <c r="D21" s="116" t="str">
        <f>D13</f>
        <v>EMANUEL RIVERA TORRES</v>
      </c>
      <c r="E21" s="101">
        <v>11</v>
      </c>
      <c r="F21" s="101">
        <v>11</v>
      </c>
      <c r="G21" s="101"/>
      <c r="H21" s="101"/>
      <c r="I21" s="101"/>
      <c r="J21" s="394"/>
    </row>
    <row r="22" spans="2:10" ht="21" customHeight="1" x14ac:dyDescent="0.25">
      <c r="B22" s="98">
        <v>3</v>
      </c>
      <c r="C22" s="99">
        <v>1</v>
      </c>
      <c r="D22" s="116" t="str">
        <f>D12</f>
        <v>MARCELO MASIS RODRÍGUEZ</v>
      </c>
      <c r="E22" s="101">
        <v>11</v>
      </c>
      <c r="F22" s="101">
        <v>6</v>
      </c>
      <c r="G22" s="101"/>
      <c r="H22" s="101"/>
      <c r="I22" s="101"/>
      <c r="J22" s="393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02"/>
      <c r="C23" s="99">
        <v>2</v>
      </c>
      <c r="D23" s="116" t="str">
        <f>D13</f>
        <v>EMANUEL RIVERA TORRES</v>
      </c>
      <c r="E23" s="101">
        <v>13</v>
      </c>
      <c r="F23" s="101">
        <v>11</v>
      </c>
      <c r="G23" s="101"/>
      <c r="H23" s="101"/>
      <c r="I23" s="101"/>
      <c r="J23" s="394"/>
    </row>
    <row r="24" spans="2:10" ht="21" customHeight="1" x14ac:dyDescent="0.25">
      <c r="B24" s="98">
        <v>4</v>
      </c>
      <c r="C24" s="101">
        <v>3</v>
      </c>
      <c r="D24" s="116" t="str">
        <f>D19</f>
        <v>SANTIAGO FAIT BARRIOS</v>
      </c>
      <c r="E24" s="101">
        <v>4</v>
      </c>
      <c r="F24" s="101">
        <v>9</v>
      </c>
      <c r="G24" s="101"/>
      <c r="H24" s="101"/>
      <c r="I24" s="101"/>
      <c r="J24" s="393" cm="1">
        <f t="array" ref="J24">IF(AND(TRIM(E24)="WO",TRIM(E25)="WO"),"",IF(TRIM(E25)="WO",C24,IF(TRIM(E24)="WO",C25,IF(SUMPRODUCT(--(E24:I24&gt;E25:I25))&gt;SUMPRODUCT(--(E25:I25&gt;E24:I24)),C24,IF(SUMPRODUCT(--(E25:I25&gt;E24:I24))&gt;SUMPRODUCT(--(E24:I24&gt;E25:I25)),C25,"")))))</f>
        <v>4</v>
      </c>
    </row>
    <row r="25" spans="2:10" ht="21" customHeight="1" x14ac:dyDescent="0.25">
      <c r="B25" s="102"/>
      <c r="C25" s="101">
        <v>4</v>
      </c>
      <c r="D25" s="116" t="str">
        <f>D20</f>
        <v>NICOLAS ESPINOZA ALFARO</v>
      </c>
      <c r="E25" s="101">
        <v>11</v>
      </c>
      <c r="F25" s="101">
        <v>11</v>
      </c>
      <c r="G25" s="101"/>
      <c r="H25" s="101"/>
      <c r="I25" s="101"/>
      <c r="J25" s="394"/>
    </row>
    <row r="26" spans="2:10" ht="21" customHeight="1" x14ac:dyDescent="0.25">
      <c r="B26" s="98">
        <v>5</v>
      </c>
      <c r="C26" s="99">
        <v>1</v>
      </c>
      <c r="D26" s="116" t="str">
        <f>D12</f>
        <v>MARCELO MASIS RODRÍGUEZ</v>
      </c>
      <c r="E26" s="101">
        <v>11</v>
      </c>
      <c r="F26" s="101">
        <v>11</v>
      </c>
      <c r="G26" s="101"/>
      <c r="H26" s="101"/>
      <c r="I26" s="101"/>
      <c r="J26" s="393" cm="1">
        <f t="array" ref="J26">IF(AND(TRIM(E26)="WO",TRIM(E27)="WO"),"",IF(TRIM(E27)="WO",C26,IF(TRIM(E26)="WO",C27,IF(SUMPRODUCT(--(E26:I26&gt;E27:I27))&gt;SUMPRODUCT(--(E27:I27&gt;E26:I26)),C26,IF(SUMPRODUCT(--(E27:I27&gt;E26:I26))&gt;SUMPRODUCT(--(E26:I26&gt;E27:I27)),C27,"")))))</f>
        <v>1</v>
      </c>
    </row>
    <row r="27" spans="2:10" ht="21" customHeight="1" x14ac:dyDescent="0.25">
      <c r="B27" s="102"/>
      <c r="C27" s="99">
        <v>4</v>
      </c>
      <c r="D27" s="116" t="str">
        <f>D15</f>
        <v>NICOLAS ESPINOZA ALFARO</v>
      </c>
      <c r="E27" s="101">
        <v>8</v>
      </c>
      <c r="F27" s="101">
        <v>7</v>
      </c>
      <c r="G27" s="101"/>
      <c r="H27" s="101"/>
      <c r="I27" s="101"/>
      <c r="J27" s="394"/>
    </row>
    <row r="28" spans="2:10" ht="21" customHeight="1" x14ac:dyDescent="0.25">
      <c r="B28" s="98">
        <v>6</v>
      </c>
      <c r="C28" s="101">
        <v>2</v>
      </c>
      <c r="D28" s="116" t="str">
        <f>D13</f>
        <v>EMANUEL RIVERA TORRES</v>
      </c>
      <c r="E28" s="101">
        <v>11</v>
      </c>
      <c r="F28" s="101">
        <v>11</v>
      </c>
      <c r="G28" s="101"/>
      <c r="H28" s="101"/>
      <c r="I28" s="101"/>
      <c r="J28" s="393" cm="1">
        <f t="array" ref="J28">IF(AND(TRIM(E28)="WO",TRIM(E29)="WO"),"",IF(TRIM(E29)="WO",C28,IF(TRIM(E28)="WO",C29,IF(SUMPRODUCT(--(E28:I28&gt;E29:I29))&gt;SUMPRODUCT(--(E29:I29&gt;E28:I28)),C28,IF(SUMPRODUCT(--(E29:I29&gt;E28:I28))&gt;SUMPRODUCT(--(E28:I28&gt;E29:I29)),C29,"")))))</f>
        <v>2</v>
      </c>
    </row>
    <row r="29" spans="2:10" ht="21" customHeight="1" x14ac:dyDescent="0.25">
      <c r="B29" s="102"/>
      <c r="C29" s="101">
        <v>3</v>
      </c>
      <c r="D29" s="116" t="str">
        <f>D24</f>
        <v>SANTIAGO FAIT BARRIOS</v>
      </c>
      <c r="E29" s="101">
        <v>4</v>
      </c>
      <c r="F29" s="101">
        <v>5</v>
      </c>
      <c r="G29" s="101"/>
      <c r="H29" s="101"/>
      <c r="I29" s="101"/>
      <c r="J29" s="394"/>
    </row>
    <row r="32" spans="2:10" ht="22.5" customHeight="1" x14ac:dyDescent="0.25">
      <c r="C32" s="380" t="s">
        <v>30</v>
      </c>
      <c r="D32" s="380"/>
      <c r="F32" s="381" t="s">
        <v>31</v>
      </c>
      <c r="G32" s="382"/>
      <c r="H32" s="382"/>
      <c r="I32" s="382"/>
      <c r="J32" s="382"/>
    </row>
    <row r="33" spans="3:10" s="104" customFormat="1" ht="20.25" customHeight="1" thickBot="1" x14ac:dyDescent="0.3">
      <c r="C33" s="105" t="s">
        <v>32</v>
      </c>
      <c r="D33" s="105" t="s">
        <v>33</v>
      </c>
      <c r="F33" s="383" t="s">
        <v>34</v>
      </c>
      <c r="G33" s="384"/>
      <c r="H33" s="384"/>
      <c r="I33" s="384"/>
      <c r="J33" s="384"/>
    </row>
    <row r="34" spans="3:10" ht="20.25" customHeight="1" thickBot="1" x14ac:dyDescent="0.3">
      <c r="C34" s="107">
        <v>2368</v>
      </c>
      <c r="D34" s="108" t="str">
        <f>IF(ISBLANK(C34),"",VLOOKUP(C34,Inscripciones!$B$5:$F$200,2,FALSE))</f>
        <v>EMANUEL RIVERA TORRES</v>
      </c>
      <c r="F34" s="109" t="s">
        <v>35</v>
      </c>
      <c r="G34" s="395"/>
      <c r="H34" s="396"/>
      <c r="I34" s="396"/>
      <c r="J34" s="397"/>
    </row>
    <row r="35" spans="3:10" ht="20.25" customHeight="1" thickBot="1" x14ac:dyDescent="0.3">
      <c r="C35" s="107">
        <v>3719</v>
      </c>
      <c r="D35" s="108" t="str">
        <f>IF(ISBLANK(C35),"",VLOOKUP(C35,Inscripciones!$B$5:$F$200,2,FALSE))</f>
        <v>MARCELO MASIS RODRÍGUEZ</v>
      </c>
      <c r="F35" s="398" t="s">
        <v>36</v>
      </c>
      <c r="G35" s="399"/>
      <c r="H35" s="399"/>
      <c r="I35" s="400"/>
      <c r="J35" s="110"/>
    </row>
  </sheetData>
  <mergeCells count="14">
    <mergeCell ref="G34:J34"/>
    <mergeCell ref="F35:I35"/>
    <mergeCell ref="J24:J25"/>
    <mergeCell ref="J26:J27"/>
    <mergeCell ref="J28:J29"/>
    <mergeCell ref="C32:D32"/>
    <mergeCell ref="F32:J32"/>
    <mergeCell ref="F33:J33"/>
    <mergeCell ref="B2:J6"/>
    <mergeCell ref="L5:M8"/>
    <mergeCell ref="C7:F7"/>
    <mergeCell ref="J18:J19"/>
    <mergeCell ref="J20:J21"/>
    <mergeCell ref="J22:J23"/>
  </mergeCells>
  <conditionalFormatting sqref="B18:J19">
    <cfRule type="expression" dxfId="17" priority="6">
      <formula>$P$6=$O$6</formula>
    </cfRule>
  </conditionalFormatting>
  <conditionalFormatting sqref="B20:J21">
    <cfRule type="expression" dxfId="16" priority="3">
      <formula>$P$6=$O$7</formula>
    </cfRule>
  </conditionalFormatting>
  <conditionalFormatting sqref="B22:J23">
    <cfRule type="expression" dxfId="15" priority="5">
      <formula>$P$6=$O$6</formula>
    </cfRule>
  </conditionalFormatting>
  <conditionalFormatting sqref="B24:J25">
    <cfRule type="expression" dxfId="14" priority="2">
      <formula>$P$6=$O$7</formula>
    </cfRule>
  </conditionalFormatting>
  <conditionalFormatting sqref="B26:J27">
    <cfRule type="expression" dxfId="13" priority="4">
      <formula>$P$6=$O$6</formula>
    </cfRule>
  </conditionalFormatting>
  <conditionalFormatting sqref="B28:J29">
    <cfRule type="expression" dxfId="12" priority="1">
      <formula>$P$6=$O$7</formula>
    </cfRule>
  </conditionalFormatting>
  <dataValidations count="1">
    <dataValidation type="list" allowBlank="1" showInputMessage="1" showErrorMessage="1" sqref="P6" xr:uid="{5D6947AE-92CF-48B3-9A51-A15D6C7131A6}">
      <formula1>$O$5:$O$7</formula1>
    </dataValidation>
  </dataValidations>
  <pageMargins left="0.7" right="0.7" top="0.75" bottom="0.75" header="0.3" footer="0.3"/>
  <pageSetup scale="90" orientation="portrait" horizontalDpi="360" verticalDpi="36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BFFDC-9A6C-49FD-99C1-15EADB230560}">
  <sheetPr codeName="Sheet19">
    <pageSetUpPr fitToPage="1"/>
  </sheetPr>
  <dimension ref="A2:P35"/>
  <sheetViews>
    <sheetView topLeftCell="A23" zoomScale="85" zoomScaleNormal="85" workbookViewId="0">
      <selection activeCell="M28" sqref="M28"/>
    </sheetView>
  </sheetViews>
  <sheetFormatPr defaultColWidth="9.140625" defaultRowHeight="15" x14ac:dyDescent="0.25"/>
  <cols>
    <col min="1" max="1" width="5" style="17" bestFit="1" customWidth="1"/>
    <col min="2" max="2" width="7.7109375" style="17" customWidth="1"/>
    <col min="3" max="3" width="7.28515625" style="17" customWidth="1"/>
    <col min="4" max="4" width="28.85546875" style="17" bestFit="1" customWidth="1"/>
    <col min="5" max="5" width="15.42578125" style="17" bestFit="1" customWidth="1"/>
    <col min="6" max="6" width="10.85546875" style="17" customWidth="1"/>
    <col min="7" max="7" width="11.5703125" style="17" customWidth="1"/>
    <col min="8" max="9" width="11.5703125" style="17" hidden="1" customWidth="1"/>
    <col min="10" max="10" width="14.5703125" style="17" customWidth="1"/>
    <col min="11" max="11" width="11.42578125" style="17" customWidth="1"/>
    <col min="12" max="14" width="9.140625" style="17"/>
    <col min="15" max="15" width="9.140625" style="17" hidden="1" customWidth="1"/>
    <col min="16" max="16384" width="9.140625" style="17"/>
  </cols>
  <sheetData>
    <row r="2" spans="1:16" x14ac:dyDescent="0.25">
      <c r="B2" s="385" t="e" vm="1">
        <v>#VALUE!</v>
      </c>
      <c r="C2" s="385"/>
      <c r="D2" s="385"/>
      <c r="E2" s="385"/>
      <c r="F2" s="385"/>
      <c r="G2" s="385"/>
      <c r="H2" s="385"/>
      <c r="I2" s="385"/>
      <c r="J2" s="385"/>
    </row>
    <row r="3" spans="1:16" x14ac:dyDescent="0.25">
      <c r="B3" s="385"/>
      <c r="C3" s="385"/>
      <c r="D3" s="385"/>
      <c r="E3" s="385"/>
      <c r="F3" s="385"/>
      <c r="G3" s="385"/>
      <c r="H3" s="385"/>
      <c r="I3" s="385"/>
      <c r="J3" s="385"/>
    </row>
    <row r="4" spans="1:16" ht="15" customHeight="1" thickBot="1" x14ac:dyDescent="0.3">
      <c r="B4" s="385"/>
      <c r="C4" s="385"/>
      <c r="D4" s="385"/>
      <c r="E4" s="385"/>
      <c r="F4" s="385"/>
      <c r="G4" s="385"/>
      <c r="H4" s="385"/>
      <c r="I4" s="385"/>
      <c r="J4" s="385"/>
    </row>
    <row r="5" spans="1:16" ht="25.5" customHeight="1" x14ac:dyDescent="0.25">
      <c r="B5" s="385"/>
      <c r="C5" s="385"/>
      <c r="D5" s="385"/>
      <c r="E5" s="385"/>
      <c r="F5" s="385"/>
      <c r="G5" s="385"/>
      <c r="H5" s="385"/>
      <c r="I5" s="385"/>
      <c r="J5" s="385"/>
      <c r="L5" s="386" t="s">
        <v>37</v>
      </c>
      <c r="M5" s="387"/>
      <c r="O5" s="111" t="s">
        <v>38</v>
      </c>
      <c r="P5" s="112" t="s">
        <v>39</v>
      </c>
    </row>
    <row r="6" spans="1:16" ht="25.5" customHeight="1" x14ac:dyDescent="0.25">
      <c r="B6" s="385"/>
      <c r="C6" s="385"/>
      <c r="D6" s="385"/>
      <c r="E6" s="385"/>
      <c r="F6" s="385"/>
      <c r="G6" s="385"/>
      <c r="H6" s="385"/>
      <c r="I6" s="385"/>
      <c r="J6" s="385"/>
      <c r="L6" s="388"/>
      <c r="M6" s="389"/>
      <c r="O6" s="111" t="s">
        <v>40</v>
      </c>
      <c r="P6" s="107" t="s">
        <v>38</v>
      </c>
    </row>
    <row r="7" spans="1:16" ht="29.25" customHeight="1" x14ac:dyDescent="0.35">
      <c r="C7" s="392"/>
      <c r="D7" s="392"/>
      <c r="E7" s="392"/>
      <c r="F7" s="392"/>
      <c r="G7" s="113" t="s">
        <v>41</v>
      </c>
      <c r="H7" s="113"/>
      <c r="I7" s="113"/>
      <c r="J7" s="114">
        <f ca="1">TODAY()</f>
        <v>46288</v>
      </c>
      <c r="L7" s="388"/>
      <c r="M7" s="389"/>
      <c r="O7" s="111" t="s">
        <v>42</v>
      </c>
    </row>
    <row r="8" spans="1:16" ht="20.25" customHeight="1" thickBot="1" x14ac:dyDescent="0.4">
      <c r="D8" s="83"/>
      <c r="G8" s="85"/>
      <c r="H8" s="85"/>
      <c r="I8" s="85"/>
      <c r="L8" s="390"/>
      <c r="M8" s="391"/>
      <c r="O8" s="111"/>
    </row>
    <row r="9" spans="1:16" ht="21" customHeight="1" x14ac:dyDescent="0.35">
      <c r="B9" s="85" t="s">
        <v>43</v>
      </c>
      <c r="C9" s="85"/>
      <c r="D9" s="87" t="str">
        <f>Inscripciones!B2</f>
        <v>U19 MASCULINO</v>
      </c>
      <c r="E9" s="85" t="s">
        <v>14</v>
      </c>
      <c r="F9" s="87">
        <v>16</v>
      </c>
      <c r="G9" s="85" t="s">
        <v>15</v>
      </c>
      <c r="H9" s="85"/>
      <c r="I9" s="85"/>
      <c r="J9" s="88"/>
    </row>
    <row r="10" spans="1:16" ht="30" customHeight="1" x14ac:dyDescent="0.25"/>
    <row r="11" spans="1:16" ht="21" customHeight="1" x14ac:dyDescent="0.25">
      <c r="B11" s="85" t="s">
        <v>16</v>
      </c>
      <c r="C11" s="89" t="s">
        <v>17</v>
      </c>
      <c r="D11" s="89" t="s">
        <v>18</v>
      </c>
      <c r="E11" s="89" t="s">
        <v>19</v>
      </c>
      <c r="F11" s="89" t="s">
        <v>20</v>
      </c>
      <c r="G11" s="89" t="s">
        <v>21</v>
      </c>
      <c r="H11" s="89"/>
      <c r="I11" s="89"/>
    </row>
    <row r="12" spans="1:16" ht="21" customHeight="1" x14ac:dyDescent="0.3">
      <c r="A12" s="17">
        <f>$F$9+0.1</f>
        <v>16.100000000000001</v>
      </c>
      <c r="B12" s="115">
        <v>1</v>
      </c>
      <c r="C12" s="92">
        <f>VLOOKUP(A12,Inscripciones!$A$5:$G$167,2,FALSE)</f>
        <v>3160</v>
      </c>
      <c r="D12" s="93" t="str">
        <f>IF(ISBLANK(C12),"",VLOOKUP(C12,Inscripciones!$B$7:$F$200,2,FALSE))</f>
        <v>SEBASTIAN MORA FUENTES</v>
      </c>
      <c r="E12" s="94" t="str">
        <f>IF(ISBLANK(C12),"",VLOOKUP(C12,Inscripciones!$B$7:$F$200,3,FALSE))</f>
        <v>SANTA ANA</v>
      </c>
      <c r="F12" s="94">
        <f>IF(ISBLANK(C12),"",VLOOKUP(C12,Inscripciones!$B$7:$F$200,4,FALSE))</f>
        <v>16</v>
      </c>
      <c r="G12" s="94">
        <f>IF(ISBLANK(C12),"",VLOOKUP(C12,Inscripciones!$B$7:$F$200,5,FALSE))</f>
        <v>543</v>
      </c>
      <c r="H12" s="95"/>
      <c r="I12" s="95"/>
    </row>
    <row r="13" spans="1:16" ht="21" customHeight="1" x14ac:dyDescent="0.3">
      <c r="A13" s="17">
        <f>$F$9+0.2</f>
        <v>16.2</v>
      </c>
      <c r="B13" s="115">
        <v>2</v>
      </c>
      <c r="C13" s="92">
        <f>VLOOKUP(A13,Inscripciones!$A$5:$G$167,2,FALSE)</f>
        <v>3747</v>
      </c>
      <c r="D13" s="93" t="str">
        <f>IF(ISBLANK(C13),"",VLOOKUP(C13,Inscripciones!$B$7:$F$200,2,FALSE))</f>
        <v>LUIS ALONSO VILLALOBOS CAMPOS</v>
      </c>
      <c r="E13" s="94" t="str">
        <f>IF(ISBLANK(C13),"",VLOOKUP(C13,Inscripciones!$B$7:$F$200,3,FALSE))</f>
        <v>ESPARZA</v>
      </c>
      <c r="F13" s="94">
        <f>IF(ISBLANK(C13),"",VLOOKUP(C13,Inscripciones!$B$7:$F$200,4,FALSE))</f>
        <v>17</v>
      </c>
      <c r="G13" s="94">
        <f>IF(ISBLANK(C13),"",VLOOKUP(C13,Inscripciones!$B$7:$F$200,5,FALSE))</f>
        <v>542</v>
      </c>
      <c r="H13" s="95"/>
      <c r="I13" s="95"/>
    </row>
    <row r="14" spans="1:16" ht="21" customHeight="1" x14ac:dyDescent="0.3">
      <c r="A14" s="17">
        <f>$F$9+0.3</f>
        <v>16.3</v>
      </c>
      <c r="B14" s="115">
        <v>3</v>
      </c>
      <c r="C14" s="92">
        <f>VLOOKUP(A14,Inscripciones!$A$5:$G$167,2,FALSE)</f>
        <v>4300</v>
      </c>
      <c r="D14" s="93" t="str">
        <f>IF(ISBLANK(C14),"",VLOOKUP(C14,Inscripciones!$B$7:$F$200,2,FALSE))</f>
        <v>DERECK JAIR BOLAÑOS GUTIÉRREZ</v>
      </c>
      <c r="E14" s="94" t="str">
        <f>IF(ISBLANK(C14),"",VLOOKUP(C14,Inscripciones!$B$7:$F$200,3,FALSE))</f>
        <v>CCDR SANTA CRUZ</v>
      </c>
      <c r="F14" s="94">
        <f>IF(ISBLANK(C14),"",VLOOKUP(C14,Inscripciones!$B$7:$F$200,4,FALSE))</f>
        <v>72</v>
      </c>
      <c r="G14" s="94">
        <f>IF(ISBLANK(C14),"",VLOOKUP(C14,Inscripciones!$B$7:$F$200,5,FALSE))</f>
        <v>447</v>
      </c>
      <c r="H14" s="95"/>
      <c r="I14" s="95"/>
    </row>
    <row r="15" spans="1:16" ht="21" customHeight="1" x14ac:dyDescent="0.3">
      <c r="A15" s="17">
        <f>$F$9+0.4</f>
        <v>16.399999999999999</v>
      </c>
      <c r="B15" s="115">
        <v>4</v>
      </c>
      <c r="C15" s="92">
        <f>VLOOKUP(A15,Inscripciones!$A$5:$G$167,2,FALSE)</f>
        <v>4287</v>
      </c>
      <c r="D15" s="93" t="str">
        <f>IF(ISBLANK(C15),"",VLOOKUP(C15,Inscripciones!$B$7:$F$200,2,FALSE))</f>
        <v>MATÍAS RAMÍREZ MARÍN</v>
      </c>
      <c r="E15" s="94" t="str">
        <f>IF(ISBLANK(C15),"",VLOOKUP(C15,Inscripciones!$B$7:$F$200,3,FALSE))</f>
        <v>ESCAZÚ</v>
      </c>
      <c r="F15" s="94">
        <f>IF(ISBLANK(C15),"",VLOOKUP(C15,Inscripciones!$B$7:$F$200,4,FALSE))</f>
        <v>75</v>
      </c>
      <c r="G15" s="94">
        <f>IF(ISBLANK(C15),"",VLOOKUP(C15,Inscripciones!$B$7:$F$200,5,FALSE))</f>
        <v>440</v>
      </c>
      <c r="H15" s="95"/>
      <c r="I15" s="95"/>
    </row>
    <row r="16" spans="1:16" ht="21" customHeight="1" x14ac:dyDescent="0.25"/>
    <row r="17" spans="2:10" ht="21" customHeight="1" x14ac:dyDescent="0.25">
      <c r="B17" s="96" t="s">
        <v>22</v>
      </c>
      <c r="C17" s="96" t="s">
        <v>44</v>
      </c>
      <c r="D17" s="96" t="s">
        <v>23</v>
      </c>
      <c r="E17" s="96" t="s">
        <v>24</v>
      </c>
      <c r="F17" s="96" t="s">
        <v>25</v>
      </c>
      <c r="G17" s="96" t="s">
        <v>26</v>
      </c>
      <c r="H17" s="96" t="s">
        <v>27</v>
      </c>
      <c r="I17" s="96" t="s">
        <v>28</v>
      </c>
      <c r="J17" s="97" t="s">
        <v>29</v>
      </c>
    </row>
    <row r="18" spans="2:10" ht="21" customHeight="1" x14ac:dyDescent="0.25">
      <c r="B18" s="98">
        <v>1</v>
      </c>
      <c r="C18" s="99">
        <v>1</v>
      </c>
      <c r="D18" s="116" t="str">
        <f>D12</f>
        <v>SEBASTIAN MORA FUENTES</v>
      </c>
      <c r="E18" s="101">
        <v>2</v>
      </c>
      <c r="F18" s="101">
        <v>2</v>
      </c>
      <c r="G18" s="101"/>
      <c r="H18" s="101"/>
      <c r="I18" s="101"/>
      <c r="J18" s="393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3</v>
      </c>
    </row>
    <row r="19" spans="2:10" ht="21" customHeight="1" x14ac:dyDescent="0.25">
      <c r="B19" s="102"/>
      <c r="C19" s="99">
        <v>3</v>
      </c>
      <c r="D19" s="116" t="str">
        <f>D14</f>
        <v>DERECK JAIR BOLAÑOS GUTIÉRREZ</v>
      </c>
      <c r="E19" s="101">
        <v>11</v>
      </c>
      <c r="F19" s="101">
        <v>11</v>
      </c>
      <c r="G19" s="101"/>
      <c r="H19" s="101"/>
      <c r="I19" s="101"/>
      <c r="J19" s="394"/>
    </row>
    <row r="20" spans="2:10" ht="21" customHeight="1" x14ac:dyDescent="0.25">
      <c r="B20" s="98">
        <v>2</v>
      </c>
      <c r="C20" s="101">
        <v>4</v>
      </c>
      <c r="D20" s="116" t="str">
        <f>D15</f>
        <v>MATÍAS RAMÍREZ MARÍN</v>
      </c>
      <c r="E20" s="101">
        <v>15</v>
      </c>
      <c r="F20" s="101">
        <v>9</v>
      </c>
      <c r="G20" s="101"/>
      <c r="H20" s="101"/>
      <c r="I20" s="101"/>
      <c r="J20" s="393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2</v>
      </c>
    </row>
    <row r="21" spans="2:10" ht="21" customHeight="1" x14ac:dyDescent="0.25">
      <c r="B21" s="102"/>
      <c r="C21" s="101">
        <v>2</v>
      </c>
      <c r="D21" s="116" t="str">
        <f>D13</f>
        <v>LUIS ALONSO VILLALOBOS CAMPOS</v>
      </c>
      <c r="E21" s="101">
        <v>17</v>
      </c>
      <c r="F21" s="101">
        <v>11</v>
      </c>
      <c r="G21" s="101"/>
      <c r="H21" s="101"/>
      <c r="I21" s="101"/>
      <c r="J21" s="394"/>
    </row>
    <row r="22" spans="2:10" ht="21" customHeight="1" x14ac:dyDescent="0.25">
      <c r="B22" s="98">
        <v>3</v>
      </c>
      <c r="C22" s="99">
        <v>1</v>
      </c>
      <c r="D22" s="116" t="str">
        <f>D12</f>
        <v>SEBASTIAN MORA FUENTES</v>
      </c>
      <c r="E22" s="101">
        <v>7</v>
      </c>
      <c r="F22" s="101">
        <v>4</v>
      </c>
      <c r="G22" s="101"/>
      <c r="H22" s="101"/>
      <c r="I22" s="101"/>
      <c r="J22" s="393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02"/>
      <c r="C23" s="99">
        <v>2</v>
      </c>
      <c r="D23" s="116" t="str">
        <f>D13</f>
        <v>LUIS ALONSO VILLALOBOS CAMPOS</v>
      </c>
      <c r="E23" s="101">
        <v>11</v>
      </c>
      <c r="F23" s="101">
        <v>11</v>
      </c>
      <c r="G23" s="101"/>
      <c r="H23" s="101"/>
      <c r="I23" s="101"/>
      <c r="J23" s="394"/>
    </row>
    <row r="24" spans="2:10" ht="21" customHeight="1" x14ac:dyDescent="0.25">
      <c r="B24" s="98">
        <v>4</v>
      </c>
      <c r="C24" s="101">
        <v>3</v>
      </c>
      <c r="D24" s="116" t="str">
        <f>D19</f>
        <v>DERECK JAIR BOLAÑOS GUTIÉRREZ</v>
      </c>
      <c r="E24" s="101">
        <v>5</v>
      </c>
      <c r="F24" s="101">
        <v>7</v>
      </c>
      <c r="G24" s="101"/>
      <c r="H24" s="101"/>
      <c r="I24" s="101"/>
      <c r="J24" s="393" cm="1">
        <f t="array" ref="J24">IF(AND(TRIM(E24)="WO",TRIM(E25)="WO"),"",IF(TRIM(E25)="WO",C24,IF(TRIM(E24)="WO",C25,IF(SUMPRODUCT(--(E24:I24&gt;E25:I25))&gt;SUMPRODUCT(--(E25:I25&gt;E24:I24)),C24,IF(SUMPRODUCT(--(E25:I25&gt;E24:I24))&gt;SUMPRODUCT(--(E24:I24&gt;E25:I25)),C25,"")))))</f>
        <v>4</v>
      </c>
    </row>
    <row r="25" spans="2:10" ht="21" customHeight="1" x14ac:dyDescent="0.25">
      <c r="B25" s="102"/>
      <c r="C25" s="101">
        <v>4</v>
      </c>
      <c r="D25" s="116" t="str">
        <f>D20</f>
        <v>MATÍAS RAMÍREZ MARÍN</v>
      </c>
      <c r="E25" s="101">
        <v>11</v>
      </c>
      <c r="F25" s="101">
        <v>11</v>
      </c>
      <c r="G25" s="101"/>
      <c r="H25" s="101"/>
      <c r="I25" s="101"/>
      <c r="J25" s="394"/>
    </row>
    <row r="26" spans="2:10" ht="21" customHeight="1" x14ac:dyDescent="0.25">
      <c r="B26" s="98">
        <v>5</v>
      </c>
      <c r="C26" s="99">
        <v>1</v>
      </c>
      <c r="D26" s="116" t="str">
        <f>D12</f>
        <v>SEBASTIAN MORA FUENTES</v>
      </c>
      <c r="E26" s="101">
        <v>2</v>
      </c>
      <c r="F26" s="101">
        <v>11</v>
      </c>
      <c r="G26" s="101">
        <v>2</v>
      </c>
      <c r="H26" s="101"/>
      <c r="I26" s="101"/>
      <c r="J26" s="393" cm="1">
        <f t="array" ref="J26">IF(AND(TRIM(E26)="WO",TRIM(E27)="WO"),"",IF(TRIM(E27)="WO",C26,IF(TRIM(E26)="WO",C27,IF(SUMPRODUCT(--(E26:I26&gt;E27:I27))&gt;SUMPRODUCT(--(E27:I27&gt;E26:I26)),C26,IF(SUMPRODUCT(--(E27:I27&gt;E26:I26))&gt;SUMPRODUCT(--(E26:I26&gt;E27:I27)),C27,"")))))</f>
        <v>4</v>
      </c>
    </row>
    <row r="27" spans="2:10" ht="21" customHeight="1" x14ac:dyDescent="0.25">
      <c r="B27" s="102"/>
      <c r="C27" s="99">
        <v>4</v>
      </c>
      <c r="D27" s="116" t="str">
        <f>D15</f>
        <v>MATÍAS RAMÍREZ MARÍN</v>
      </c>
      <c r="E27" s="101">
        <v>11</v>
      </c>
      <c r="F27" s="101">
        <v>2</v>
      </c>
      <c r="G27" s="101">
        <v>11</v>
      </c>
      <c r="H27" s="101"/>
      <c r="I27" s="101"/>
      <c r="J27" s="394"/>
    </row>
    <row r="28" spans="2:10" ht="21" customHeight="1" x14ac:dyDescent="0.25">
      <c r="B28" s="98">
        <v>6</v>
      </c>
      <c r="C28" s="101">
        <v>2</v>
      </c>
      <c r="D28" s="116" t="str">
        <f>D13</f>
        <v>LUIS ALONSO VILLALOBOS CAMPOS</v>
      </c>
      <c r="E28" s="101">
        <v>11</v>
      </c>
      <c r="F28" s="101">
        <v>8</v>
      </c>
      <c r="G28" s="101">
        <v>11</v>
      </c>
      <c r="H28" s="101"/>
      <c r="I28" s="101"/>
      <c r="J28" s="393" cm="1">
        <f t="array" ref="J28">IF(AND(TRIM(E28)="WO",TRIM(E29)="WO"),"",IF(TRIM(E29)="WO",C28,IF(TRIM(E28)="WO",C29,IF(SUMPRODUCT(--(E28:I28&gt;E29:I29))&gt;SUMPRODUCT(--(E29:I29&gt;E28:I28)),C28,IF(SUMPRODUCT(--(E29:I29&gt;E28:I28))&gt;SUMPRODUCT(--(E28:I28&gt;E29:I29)),C29,"")))))</f>
        <v>2</v>
      </c>
    </row>
    <row r="29" spans="2:10" ht="21" customHeight="1" x14ac:dyDescent="0.25">
      <c r="B29" s="102"/>
      <c r="C29" s="101">
        <v>3</v>
      </c>
      <c r="D29" s="116" t="str">
        <f>D24</f>
        <v>DERECK JAIR BOLAÑOS GUTIÉRREZ</v>
      </c>
      <c r="E29" s="101">
        <v>9</v>
      </c>
      <c r="F29" s="101">
        <v>11</v>
      </c>
      <c r="G29" s="101">
        <v>7</v>
      </c>
      <c r="H29" s="101"/>
      <c r="I29" s="101"/>
      <c r="J29" s="394"/>
    </row>
    <row r="32" spans="2:10" ht="22.5" customHeight="1" x14ac:dyDescent="0.25">
      <c r="C32" s="380" t="s">
        <v>30</v>
      </c>
      <c r="D32" s="380"/>
      <c r="F32" s="381" t="s">
        <v>31</v>
      </c>
      <c r="G32" s="382"/>
      <c r="H32" s="382"/>
      <c r="I32" s="382"/>
      <c r="J32" s="382"/>
    </row>
    <row r="33" spans="3:10" s="104" customFormat="1" ht="20.25" customHeight="1" thickBot="1" x14ac:dyDescent="0.3">
      <c r="C33" s="105" t="s">
        <v>32</v>
      </c>
      <c r="D33" s="105" t="s">
        <v>33</v>
      </c>
      <c r="F33" s="383" t="s">
        <v>34</v>
      </c>
      <c r="G33" s="384"/>
      <c r="H33" s="384"/>
      <c r="I33" s="384"/>
      <c r="J33" s="384"/>
    </row>
    <row r="34" spans="3:10" ht="20.25" customHeight="1" thickBot="1" x14ac:dyDescent="0.3">
      <c r="C34" s="107">
        <v>3747</v>
      </c>
      <c r="D34" s="108" t="str">
        <f>IF(ISBLANK(C34),"",VLOOKUP(C34,Inscripciones!$B$5:$F$200,2,FALSE))</f>
        <v>LUIS ALONSO VILLALOBOS CAMPOS</v>
      </c>
      <c r="F34" s="109" t="s">
        <v>35</v>
      </c>
      <c r="G34" s="395"/>
      <c r="H34" s="396"/>
      <c r="I34" s="396"/>
      <c r="J34" s="397"/>
    </row>
    <row r="35" spans="3:10" ht="20.25" customHeight="1" thickBot="1" x14ac:dyDescent="0.3">
      <c r="C35" s="107">
        <v>4287</v>
      </c>
      <c r="D35" s="108" t="str">
        <f>IF(ISBLANK(C35),"",VLOOKUP(C35,Inscripciones!$B$5:$F$200,2,FALSE))</f>
        <v>MATÍAS RAMÍREZ MARÍN</v>
      </c>
      <c r="F35" s="398" t="s">
        <v>36</v>
      </c>
      <c r="G35" s="399"/>
      <c r="H35" s="399"/>
      <c r="I35" s="400"/>
      <c r="J35" s="110"/>
    </row>
  </sheetData>
  <mergeCells count="14">
    <mergeCell ref="G34:J34"/>
    <mergeCell ref="F35:I35"/>
    <mergeCell ref="J24:J25"/>
    <mergeCell ref="J26:J27"/>
    <mergeCell ref="J28:J29"/>
    <mergeCell ref="C32:D32"/>
    <mergeCell ref="F32:J32"/>
    <mergeCell ref="F33:J33"/>
    <mergeCell ref="B2:J6"/>
    <mergeCell ref="L5:M8"/>
    <mergeCell ref="C7:F7"/>
    <mergeCell ref="J18:J19"/>
    <mergeCell ref="J20:J21"/>
    <mergeCell ref="J22:J23"/>
  </mergeCells>
  <conditionalFormatting sqref="B18:J19">
    <cfRule type="expression" dxfId="11" priority="6">
      <formula>$P$6=$O$6</formula>
    </cfRule>
  </conditionalFormatting>
  <conditionalFormatting sqref="B20:J21">
    <cfRule type="expression" dxfId="10" priority="3">
      <formula>$P$6=$O$7</formula>
    </cfRule>
  </conditionalFormatting>
  <conditionalFormatting sqref="B22:J23">
    <cfRule type="expression" dxfId="9" priority="5">
      <formula>$P$6=$O$6</formula>
    </cfRule>
  </conditionalFormatting>
  <conditionalFormatting sqref="B24:J25">
    <cfRule type="expression" dxfId="8" priority="2">
      <formula>$P$6=$O$7</formula>
    </cfRule>
  </conditionalFormatting>
  <conditionalFormatting sqref="B26:J27">
    <cfRule type="expression" dxfId="7" priority="4">
      <formula>$P$6=$O$6</formula>
    </cfRule>
  </conditionalFormatting>
  <conditionalFormatting sqref="B28:J29">
    <cfRule type="expression" dxfId="6" priority="1">
      <formula>$P$6=$O$7</formula>
    </cfRule>
  </conditionalFormatting>
  <dataValidations count="1">
    <dataValidation type="list" allowBlank="1" showInputMessage="1" showErrorMessage="1" sqref="P6" xr:uid="{4512B423-9E8C-4545-BA7E-C8D34DBB6122}">
      <formula1>$O$5:$O$7</formula1>
    </dataValidation>
  </dataValidations>
  <pageMargins left="0.7" right="0.7" top="0.75" bottom="0.75" header="0.3" footer="0.3"/>
  <pageSetup scale="81" orientation="portrait" horizontalDpi="360" verticalDpi="36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A2263-B4D9-4500-8669-4A0C070FBDA0}">
  <sheetPr codeName="Sheet20">
    <tabColor rgb="FFFFFF00"/>
  </sheetPr>
  <dimension ref="B1:AC76"/>
  <sheetViews>
    <sheetView zoomScale="80" zoomScaleNormal="80" workbookViewId="0">
      <selection activeCell="AA10" sqref="AA10"/>
    </sheetView>
  </sheetViews>
  <sheetFormatPr defaultColWidth="0" defaultRowHeight="15" x14ac:dyDescent="0.25"/>
  <cols>
    <col min="1" max="1" width="4.7109375" style="198" customWidth="1"/>
    <col min="2" max="2" width="8.7109375" style="198" customWidth="1"/>
    <col min="3" max="3" width="3.28515625" style="198" bestFit="1" customWidth="1"/>
    <col min="4" max="4" width="4.28515625" style="198" bestFit="1" customWidth="1"/>
    <col min="5" max="5" width="27.28515625" style="198" customWidth="1"/>
    <col min="6" max="6" width="24.5703125" style="198" bestFit="1" customWidth="1"/>
    <col min="7" max="11" width="1.7109375" style="198" customWidth="1"/>
    <col min="12" max="15" width="0.85546875" style="198" customWidth="1"/>
    <col min="16" max="16" width="2.85546875" style="198" customWidth="1"/>
    <col min="17" max="17" width="3" style="198" customWidth="1"/>
    <col min="18" max="18" width="5.85546875" style="198" bestFit="1" customWidth="1"/>
    <col min="19" max="19" width="29" style="198" customWidth="1"/>
    <col min="20" max="20" width="22.7109375" style="198" bestFit="1" customWidth="1"/>
    <col min="21" max="21" width="3" style="198" customWidth="1"/>
    <col min="22" max="22" width="0" style="198" hidden="1" customWidth="1"/>
    <col min="23" max="23" width="3.42578125" style="198" customWidth="1"/>
    <col min="24" max="27" width="3.7109375" style="198" customWidth="1"/>
    <col min="28" max="29" width="4.7109375" style="198" customWidth="1"/>
    <col min="30" max="16384" width="0" style="198" hidden="1"/>
  </cols>
  <sheetData>
    <row r="1" spans="2:29" s="117" customFormat="1" ht="12" x14ac:dyDescent="0.25">
      <c r="G1" s="118"/>
      <c r="H1" s="118"/>
      <c r="I1" s="118"/>
      <c r="J1" s="118"/>
      <c r="K1" s="118"/>
      <c r="L1" s="118"/>
      <c r="M1" s="118"/>
      <c r="N1" s="118"/>
      <c r="O1" s="118"/>
      <c r="X1" s="119"/>
      <c r="Y1" s="120"/>
      <c r="AA1" s="120"/>
      <c r="AC1" s="121"/>
    </row>
    <row r="2" spans="2:29" s="117" customFormat="1" ht="12" x14ac:dyDescent="0.25">
      <c r="B2" s="414" t="e" vm="1">
        <v>#VALUE!</v>
      </c>
      <c r="C2" s="414"/>
      <c r="D2" s="414"/>
      <c r="E2" s="414"/>
      <c r="F2" s="414"/>
      <c r="G2" s="118"/>
      <c r="H2" s="118"/>
      <c r="I2" s="118"/>
      <c r="J2" s="118"/>
      <c r="K2" s="118"/>
      <c r="L2" s="118"/>
      <c r="M2" s="118"/>
      <c r="N2" s="118"/>
      <c r="O2" s="118"/>
      <c r="X2" s="119"/>
      <c r="Y2" s="120"/>
      <c r="AA2" s="120"/>
      <c r="AC2" s="121"/>
    </row>
    <row r="3" spans="2:29" s="117" customFormat="1" ht="12" x14ac:dyDescent="0.25">
      <c r="B3" s="414"/>
      <c r="C3" s="414"/>
      <c r="D3" s="414"/>
      <c r="E3" s="414"/>
      <c r="F3" s="414"/>
      <c r="G3" s="118"/>
      <c r="H3" s="118"/>
      <c r="I3" s="118"/>
      <c r="J3" s="118"/>
      <c r="K3" s="118"/>
      <c r="L3" s="118"/>
      <c r="M3" s="118"/>
      <c r="N3" s="118"/>
      <c r="O3" s="118"/>
      <c r="X3" s="119"/>
      <c r="Y3" s="120"/>
      <c r="AA3" s="120"/>
      <c r="AC3" s="121"/>
    </row>
    <row r="4" spans="2:29" s="117" customFormat="1" ht="12" x14ac:dyDescent="0.25">
      <c r="B4" s="414"/>
      <c r="C4" s="414"/>
      <c r="D4" s="414"/>
      <c r="E4" s="414"/>
      <c r="F4" s="414"/>
      <c r="G4" s="118"/>
      <c r="H4" s="118"/>
      <c r="I4" s="118"/>
      <c r="J4" s="118"/>
      <c r="K4" s="118"/>
      <c r="L4" s="118"/>
      <c r="M4" s="118"/>
      <c r="N4" s="118"/>
      <c r="O4" s="118"/>
      <c r="X4" s="119"/>
      <c r="Y4" s="120"/>
      <c r="AA4" s="120"/>
      <c r="AC4" s="121"/>
    </row>
    <row r="5" spans="2:29" s="117" customFormat="1" ht="12" x14ac:dyDescent="0.25">
      <c r="B5" s="415"/>
      <c r="C5" s="415"/>
      <c r="D5" s="415"/>
      <c r="E5" s="415"/>
      <c r="F5" s="415"/>
      <c r="G5" s="118"/>
      <c r="H5" s="118"/>
      <c r="I5" s="118"/>
      <c r="J5" s="118"/>
      <c r="K5" s="118"/>
      <c r="L5" s="118"/>
      <c r="M5" s="118"/>
      <c r="N5" s="118"/>
      <c r="O5" s="118"/>
      <c r="Y5" s="120"/>
      <c r="AA5" s="120"/>
      <c r="AC5" s="121"/>
    </row>
    <row r="6" spans="2:29" s="117" customFormat="1" ht="12" customHeight="1" x14ac:dyDescent="0.25">
      <c r="B6" s="416" t="s">
        <v>45</v>
      </c>
      <c r="C6" s="417"/>
      <c r="D6" s="417"/>
      <c r="E6" s="417"/>
      <c r="F6" s="417"/>
      <c r="G6" s="417"/>
      <c r="H6" s="417"/>
      <c r="I6" s="417"/>
      <c r="J6" s="417"/>
      <c r="K6" s="417"/>
      <c r="L6" s="417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3"/>
      <c r="Y6" s="120"/>
      <c r="AA6" s="120"/>
      <c r="AC6" s="121"/>
    </row>
    <row r="7" spans="2:29" s="117" customFormat="1" ht="12" customHeight="1" x14ac:dyDescent="0.25">
      <c r="B7" s="418"/>
      <c r="C7" s="419"/>
      <c r="D7" s="419"/>
      <c r="E7" s="419"/>
      <c r="F7" s="419"/>
      <c r="G7" s="419"/>
      <c r="H7" s="419"/>
      <c r="I7" s="419"/>
      <c r="J7" s="419"/>
      <c r="K7" s="419"/>
      <c r="L7" s="419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5"/>
      <c r="Y7" s="120"/>
      <c r="AA7" s="120"/>
      <c r="AC7" s="121"/>
    </row>
    <row r="8" spans="2:29" s="117" customFormat="1" ht="16.5" thickBot="1" x14ac:dyDescent="0.3">
      <c r="G8" s="118"/>
      <c r="H8" s="118"/>
      <c r="I8" s="118"/>
      <c r="J8" s="118"/>
      <c r="K8" s="118"/>
      <c r="L8" s="118"/>
      <c r="M8" s="118"/>
      <c r="N8" s="118"/>
      <c r="O8" s="118"/>
      <c r="R8" s="420" t="s">
        <v>46</v>
      </c>
      <c r="S8" s="421"/>
      <c r="T8" s="421"/>
      <c r="U8" s="421"/>
      <c r="V8" s="421"/>
      <c r="W8" s="422"/>
      <c r="X8" s="118"/>
      <c r="Y8" s="120"/>
      <c r="AA8" s="120"/>
      <c r="AC8" s="120"/>
    </row>
    <row r="9" spans="2:29" s="117" customFormat="1" x14ac:dyDescent="0.25">
      <c r="B9" s="126" t="s">
        <v>47</v>
      </c>
      <c r="C9" s="127">
        <v>1</v>
      </c>
      <c r="D9" s="128">
        <f t="shared" ref="D9:D40" ca="1" si="0">VLOOKUP(C9,$U$8:$W$313,2,FALSE)</f>
        <v>2515</v>
      </c>
      <c r="E9" s="129" t="str">
        <f ca="1">IF(D9=0,0,VLOOKUP(D9,Inscripciones!$B$1:$K$159,2,FALSE))</f>
        <v>GABRIEL CHAVEZ QUIROS</v>
      </c>
      <c r="F9" s="130" t="str">
        <f ca="1">IF(D9=0,0,VLOOKUP(D9,Inscripciones!$B$1:$K$159,3,FALSE))</f>
        <v>SANTA ANA</v>
      </c>
      <c r="L9" s="118"/>
      <c r="M9" s="118"/>
      <c r="P9" s="126" t="s">
        <v>48</v>
      </c>
      <c r="Q9" s="131">
        <v>1</v>
      </c>
      <c r="R9" s="132" cm="1">
        <f t="array" aca="1" ref="R9" ca="1">INDIRECT("'Grupo " &amp; Q9 &amp; "'!C34")</f>
        <v>2515</v>
      </c>
      <c r="S9" s="133" t="str">
        <f ca="1">IF(ISBLANK(R9),"",VLOOKUP(R9,Inscripciones!$B$1:$K$159,2,FALSE))</f>
        <v>GABRIEL CHAVEZ QUIROS</v>
      </c>
      <c r="T9" s="134" t="str">
        <f ca="1">IF(ISBLANK(R9),"",VLOOKUP(R9,Inscripciones!$B$1:$K$159,3,FALSE))</f>
        <v>SANTA ANA</v>
      </c>
      <c r="U9" s="135">
        <v>1</v>
      </c>
      <c r="V9" s="136">
        <f ca="1">R9</f>
        <v>2515</v>
      </c>
      <c r="W9" s="137" t="str">
        <f>IF(U9=0,0,IF(U9&lt;17,"UP","DO"))</f>
        <v>UP</v>
      </c>
      <c r="Y9" s="120"/>
      <c r="AA9" s="120"/>
      <c r="AC9" s="120"/>
    </row>
    <row r="10" spans="2:29" s="117" customFormat="1" ht="15.75" thickBot="1" x14ac:dyDescent="0.3">
      <c r="B10" s="138" t="s">
        <v>49</v>
      </c>
      <c r="C10" s="139">
        <v>2</v>
      </c>
      <c r="D10" s="140">
        <f t="shared" ca="1" si="0"/>
        <v>3839</v>
      </c>
      <c r="E10" s="141" t="str">
        <f ca="1">IF(D10=0,0,VLOOKUP(D10,Inscripciones!$B$1:$K$159,2,FALSE))</f>
        <v>ALBERTO BLANCO LEDEZMA</v>
      </c>
      <c r="F10" s="142" t="str">
        <f ca="1">IF(D10=0,0,VLOOKUP(D10,Inscripciones!$B$1:$K$159,3,FALSE))</f>
        <v>PÉREZ ZELEDÓN</v>
      </c>
      <c r="G10" s="143"/>
      <c r="L10" s="118"/>
      <c r="M10" s="118"/>
      <c r="P10" s="144" t="s">
        <v>48</v>
      </c>
      <c r="Q10" s="145">
        <v>2</v>
      </c>
      <c r="R10" s="146" cm="1">
        <f t="array" aca="1" ref="R10" ca="1">INDIRECT("'Grupo " &amp; Q10 &amp; "'!C34")</f>
        <v>4144</v>
      </c>
      <c r="S10" s="147" t="str">
        <f ca="1">IF(ISBLANK(R10),"",VLOOKUP(R10,Inscripciones!$B$1:$K$159,2,FALSE))</f>
        <v>ANDRÉS PARRA CHACÓN</v>
      </c>
      <c r="T10" s="148" t="str">
        <f ca="1">IF(ISBLANK(R10),"",VLOOKUP(R10,Inscripciones!$B$1:$K$159,3,FALSE))</f>
        <v>SANTO DOMINGO</v>
      </c>
      <c r="U10" s="149">
        <v>32</v>
      </c>
      <c r="V10" s="150">
        <f t="shared" ref="V10:V22" ca="1" si="1">R10</f>
        <v>4144</v>
      </c>
      <c r="W10" s="151" t="str">
        <f t="shared" ref="W10:W22" si="2">IF(U10=0,0,IF(U10&lt;17,"UP","DO"))</f>
        <v>DO</v>
      </c>
      <c r="Y10" s="120"/>
      <c r="AA10" s="120"/>
      <c r="AC10" s="120"/>
    </row>
    <row r="11" spans="2:29" s="117" customFormat="1" x14ac:dyDescent="0.25">
      <c r="B11" s="138" t="s">
        <v>49</v>
      </c>
      <c r="C11" s="139">
        <v>3</v>
      </c>
      <c r="D11" s="128">
        <f t="shared" ca="1" si="0"/>
        <v>2513</v>
      </c>
      <c r="E11" s="152" t="str">
        <f ca="1">IF(D11=0,0,VLOOKUP(D11,Inscripciones!$B$1:$K$159,2,FALSE))</f>
        <v>SEBASTIAN CHAVEZ QUIROS</v>
      </c>
      <c r="F11" s="153" t="str">
        <f ca="1">IF(D11=0,0,VLOOKUP(D11,Inscripciones!$B$1:$K$159,3,FALSE))</f>
        <v>SANTA ANA</v>
      </c>
      <c r="G11" s="154"/>
      <c r="H11" s="143"/>
      <c r="L11" s="118"/>
      <c r="M11" s="118"/>
      <c r="N11" s="118"/>
      <c r="O11" s="118"/>
      <c r="P11" s="155" t="s">
        <v>48</v>
      </c>
      <c r="Q11" s="156">
        <v>3</v>
      </c>
      <c r="R11" s="146" cm="1">
        <f t="array" aca="1" ref="R11" ca="1">INDIRECT("'Grupo " &amp; Q11 &amp; "'!C34")</f>
        <v>4034</v>
      </c>
      <c r="S11" s="147" t="str">
        <f ca="1">IF(ISBLANK(R11),"",VLOOKUP(R11,Inscripciones!$B$1:$K$159,2,FALSE))</f>
        <v>IAN DAVID GARRO ALONSO</v>
      </c>
      <c r="T11" s="148" t="str">
        <f ca="1">IF(ISBLANK(R11),"",VLOOKUP(R11,Inscripciones!$B$1:$K$159,3,FALSE))</f>
        <v>CCDR SAN JOSÉ</v>
      </c>
      <c r="U11" s="149">
        <v>16</v>
      </c>
      <c r="V11" s="150">
        <f t="shared" ca="1" si="1"/>
        <v>4034</v>
      </c>
      <c r="W11" s="151" t="str">
        <f t="shared" si="2"/>
        <v>UP</v>
      </c>
      <c r="X11" s="157"/>
      <c r="Y11" s="120"/>
      <c r="AA11" s="120"/>
      <c r="AC11" s="120"/>
    </row>
    <row r="12" spans="2:29" s="117" customFormat="1" ht="15.75" thickBot="1" x14ac:dyDescent="0.3">
      <c r="B12" s="158" t="s">
        <v>50</v>
      </c>
      <c r="C12" s="139">
        <v>4</v>
      </c>
      <c r="D12" s="140">
        <f t="shared" ca="1" si="0"/>
        <v>3747</v>
      </c>
      <c r="E12" s="159" t="str">
        <f ca="1">IF(D12=0,0,VLOOKUP(D12,Inscripciones!$B$1:$K$159,2,FALSE))</f>
        <v>LUIS ALONSO VILLALOBOS CAMPOS</v>
      </c>
      <c r="F12" s="160" t="str">
        <f ca="1">IF(D12=0,0,VLOOKUP(D12,Inscripciones!$B$1:$K$159,3,FALSE))</f>
        <v>ESPARZA</v>
      </c>
      <c r="H12" s="161"/>
      <c r="L12" s="118"/>
      <c r="M12" s="118"/>
      <c r="N12" s="118"/>
      <c r="O12" s="118"/>
      <c r="P12" s="155" t="s">
        <v>48</v>
      </c>
      <c r="Q12" s="156">
        <v>4</v>
      </c>
      <c r="R12" s="146" cm="1">
        <f t="array" aca="1" ref="R12" ca="1">INDIRECT("'Grupo " &amp; Q12 &amp; "'!C34")</f>
        <v>3472</v>
      </c>
      <c r="S12" s="147" t="str">
        <f ca="1">IF(ISBLANK(R12),"",VLOOKUP(R12,Inscripciones!$B$1:$K$159,2,FALSE))</f>
        <v>JAYDRICK SHAMALL BAKER CRAWFORD</v>
      </c>
      <c r="T12" s="148" t="str">
        <f ca="1">IF(ISBLANK(R12),"",VLOOKUP(R12,Inscripciones!$B$1:$K$159,3,FALSE))</f>
        <v>ASERRÍ - UCR</v>
      </c>
      <c r="U12" s="149">
        <v>17</v>
      </c>
      <c r="V12" s="150">
        <f t="shared" ca="1" si="1"/>
        <v>3472</v>
      </c>
      <c r="W12" s="151" t="str">
        <f t="shared" si="2"/>
        <v>DO</v>
      </c>
      <c r="X12" s="157"/>
      <c r="Y12" s="120"/>
      <c r="AA12" s="120"/>
      <c r="AC12" s="120"/>
    </row>
    <row r="13" spans="2:29" s="117" customFormat="1" x14ac:dyDescent="0.25">
      <c r="B13" s="158" t="s">
        <v>50</v>
      </c>
      <c r="C13" s="139">
        <v>5</v>
      </c>
      <c r="D13" s="128">
        <f t="shared" ca="1" si="0"/>
        <v>3468</v>
      </c>
      <c r="E13" s="162" t="str">
        <f ca="1">IF(D13=0,0,VLOOKUP(D13,Inscripciones!$B$1:$K$159,2,FALSE))</f>
        <v>DANIEL DAVID ALPIZAR VILLALOBOS</v>
      </c>
      <c r="F13" s="163" t="str">
        <f ca="1">IF(D13=0,0,VLOOKUP(D13,Inscripciones!$B$1:$K$159,3,FALSE))</f>
        <v>ASERRÍ</v>
      </c>
      <c r="H13" s="161"/>
      <c r="I13" s="143"/>
      <c r="L13" s="118"/>
      <c r="M13" s="118"/>
      <c r="N13" s="118"/>
      <c r="O13" s="118"/>
      <c r="P13" s="164" t="s">
        <v>48</v>
      </c>
      <c r="Q13" s="165">
        <v>5</v>
      </c>
      <c r="R13" s="146" cm="1">
        <f t="array" aca="1" ref="R13" ca="1">INDIRECT("'Grupo " &amp; Q13 &amp; "'!C34")</f>
        <v>2895</v>
      </c>
      <c r="S13" s="147" t="str">
        <f ca="1">IF(ISBLANK(R13),"",VLOOKUP(R13,Inscripciones!$B$1:$K$159,2,FALSE))</f>
        <v>ANDRES JOSE VEGA VALERIO</v>
      </c>
      <c r="T13" s="148" t="str">
        <f ca="1">IF(ISBLANK(R13),"",VLOOKUP(R13,Inscripciones!$B$1:$K$159,3,FALSE))</f>
        <v>ALAJUELA - UCR</v>
      </c>
      <c r="U13" s="149">
        <v>8</v>
      </c>
      <c r="V13" s="150">
        <f t="shared" ca="1" si="1"/>
        <v>2895</v>
      </c>
      <c r="W13" s="151" t="str">
        <f t="shared" si="2"/>
        <v>UP</v>
      </c>
      <c r="X13" s="157"/>
      <c r="Y13" s="166"/>
      <c r="AA13" s="120"/>
      <c r="AC13" s="120"/>
    </row>
    <row r="14" spans="2:29" s="117" customFormat="1" ht="15.75" thickBot="1" x14ac:dyDescent="0.3">
      <c r="B14" s="138" t="s">
        <v>49</v>
      </c>
      <c r="C14" s="139">
        <v>6</v>
      </c>
      <c r="D14" s="140">
        <f t="shared" ca="1" si="0"/>
        <v>4056</v>
      </c>
      <c r="E14" s="141" t="str">
        <f ca="1">IF(D14=0,0,VLOOKUP(D14,Inscripciones!$B$1:$K$159,2,FALSE))</f>
        <v>JOSEF ARIAS BRAVO</v>
      </c>
      <c r="F14" s="142" t="str">
        <f ca="1">IF(D14=0,0,VLOOKUP(D14,Inscripciones!$B$1:$K$159,3,FALSE))</f>
        <v>ESPARZA</v>
      </c>
      <c r="G14" s="143"/>
      <c r="H14" s="154"/>
      <c r="I14" s="161"/>
      <c r="L14" s="118"/>
      <c r="M14" s="118"/>
      <c r="N14" s="118"/>
      <c r="O14" s="118"/>
      <c r="P14" s="164" t="s">
        <v>48</v>
      </c>
      <c r="Q14" s="165">
        <v>6</v>
      </c>
      <c r="R14" s="146" cm="1">
        <f t="array" aca="1" ref="R14" ca="1">INDIRECT("'Grupo " &amp; Q14 &amp; "'!C34")</f>
        <v>2623</v>
      </c>
      <c r="S14" s="147" t="str">
        <f ca="1">IF(ISBLANK(R14),"",VLOOKUP(R14,Inscripciones!$B$1:$K$159,2,FALSE))</f>
        <v>MATEO MONGE ARROYO</v>
      </c>
      <c r="T14" s="148" t="str">
        <f ca="1">IF(ISBLANK(R14),"",VLOOKUP(R14,Inscripciones!$B$1:$K$159,3,FALSE))</f>
        <v>SANTA ANA</v>
      </c>
      <c r="U14" s="149">
        <v>25</v>
      </c>
      <c r="V14" s="150">
        <f t="shared" ca="1" si="1"/>
        <v>2623</v>
      </c>
      <c r="W14" s="151" t="str">
        <f t="shared" si="2"/>
        <v>DO</v>
      </c>
      <c r="X14" s="157"/>
      <c r="Y14" s="166"/>
      <c r="Z14" s="157"/>
      <c r="AA14" s="166"/>
      <c r="AB14" s="157"/>
      <c r="AC14" s="166"/>
    </row>
    <row r="15" spans="2:29" s="117" customFormat="1" x14ac:dyDescent="0.25">
      <c r="B15" s="138" t="s">
        <v>49</v>
      </c>
      <c r="C15" s="139">
        <v>7</v>
      </c>
      <c r="D15" s="128">
        <f t="shared" ca="1" si="0"/>
        <v>2801</v>
      </c>
      <c r="E15" s="152" t="str">
        <f ca="1">IF(D15=0,0,VLOOKUP(D15,Inscripciones!$B$1:$K$159,2,FALSE))</f>
        <v>IAN VARGAS JIMENEZ</v>
      </c>
      <c r="F15" s="153" t="str">
        <f ca="1">IF(D15=0,0,VLOOKUP(D15,Inscripciones!$B$1:$K$159,3,FALSE))</f>
        <v>CCDR SAN JOSÉ</v>
      </c>
      <c r="G15" s="154"/>
      <c r="I15" s="161"/>
      <c r="L15" s="118"/>
      <c r="M15" s="118"/>
      <c r="N15" s="118"/>
      <c r="O15" s="118"/>
      <c r="P15" s="164" t="s">
        <v>48</v>
      </c>
      <c r="Q15" s="165">
        <v>7</v>
      </c>
      <c r="R15" s="146" cm="1">
        <f t="array" aca="1" ref="R15" ca="1">INDIRECT("'Grupo " &amp; Q15 &amp; "'!C34")</f>
        <v>3153</v>
      </c>
      <c r="S15" s="147" t="str">
        <f ca="1">IF(ISBLANK(R15),"",VLOOKUP(R15,Inscripciones!$B$1:$K$159,2,FALSE))</f>
        <v>ARIEL IGNACIO BARTELS BARQUERO</v>
      </c>
      <c r="T15" s="148" t="str">
        <f ca="1">IF(ISBLANK(R15),"",VLOOKUP(R15,Inscripciones!$B$1:$K$159,3,FALSE))</f>
        <v>PÉREZ ZELEDÓN - UNA</v>
      </c>
      <c r="U15" s="149">
        <v>9</v>
      </c>
      <c r="V15" s="150">
        <f t="shared" ca="1" si="1"/>
        <v>3153</v>
      </c>
      <c r="W15" s="151" t="str">
        <f t="shared" si="2"/>
        <v>UP</v>
      </c>
      <c r="X15" s="157"/>
      <c r="Y15" s="166"/>
      <c r="Z15" s="157"/>
      <c r="AA15" s="166"/>
      <c r="AB15" s="157"/>
      <c r="AC15" s="166"/>
    </row>
    <row r="16" spans="2:29" s="117" customFormat="1" ht="15.75" thickBot="1" x14ac:dyDescent="0.3">
      <c r="B16" s="164" t="s">
        <v>51</v>
      </c>
      <c r="C16" s="139">
        <v>8</v>
      </c>
      <c r="D16" s="140">
        <f t="shared" ca="1" si="0"/>
        <v>2895</v>
      </c>
      <c r="E16" s="159" t="str">
        <f ca="1">IF(D16=0,0,VLOOKUP(D16,Inscripciones!$B$1:$K$159,2,FALSE))</f>
        <v>ANDRES JOSE VEGA VALERIO</v>
      </c>
      <c r="F16" s="160" t="str">
        <f ca="1">IF(D16=0,0,VLOOKUP(D16,Inscripciones!$B$1:$K$159,3,FALSE))</f>
        <v>ALAJUELA - UCR</v>
      </c>
      <c r="I16" s="161"/>
      <c r="L16" s="118"/>
      <c r="M16" s="118"/>
      <c r="N16" s="118"/>
      <c r="O16" s="118"/>
      <c r="P16" s="164" t="s">
        <v>48</v>
      </c>
      <c r="Q16" s="165">
        <v>8</v>
      </c>
      <c r="R16" s="146" cm="1">
        <f t="array" aca="1" ref="R16" ca="1">INDIRECT("'Grupo " &amp; Q16 &amp; "'!C34")</f>
        <v>4002</v>
      </c>
      <c r="S16" s="147" t="str">
        <f ca="1">IF(ISBLANK(R16),"",VLOOKUP(R16,Inscripciones!$B$1:$K$159,2,FALSE))</f>
        <v>ISMAEL CÁRDENAS ACOSTA</v>
      </c>
      <c r="T16" s="148" t="str">
        <f ca="1">IF(ISBLANK(R16),"",VLOOKUP(R16,Inscripciones!$B$1:$K$159,3,FALSE))</f>
        <v>CCDR SAN JOSÉ</v>
      </c>
      <c r="U16" s="149">
        <v>24</v>
      </c>
      <c r="V16" s="150">
        <f t="shared" ca="1" si="1"/>
        <v>4002</v>
      </c>
      <c r="W16" s="151" t="str">
        <f t="shared" si="2"/>
        <v>DO</v>
      </c>
      <c r="X16" s="157"/>
      <c r="Y16" s="166"/>
      <c r="Z16" s="157"/>
      <c r="AA16" s="166"/>
      <c r="AB16" s="157"/>
      <c r="AC16" s="166"/>
    </row>
    <row r="17" spans="2:29" s="117" customFormat="1" x14ac:dyDescent="0.25">
      <c r="B17" s="164" t="s">
        <v>51</v>
      </c>
      <c r="C17" s="139">
        <v>9</v>
      </c>
      <c r="D17" s="128">
        <f t="shared" ca="1" si="0"/>
        <v>3153</v>
      </c>
      <c r="E17" s="162" t="str">
        <f ca="1">IF(D17=0,0,VLOOKUP(D17,Inscripciones!$B$1:$K$159,2,FALSE))</f>
        <v>ARIEL IGNACIO BARTELS BARQUERO</v>
      </c>
      <c r="F17" s="163" t="str">
        <f ca="1">IF(D17=0,0,VLOOKUP(D17,Inscripciones!$B$1:$K$159,3,FALSE))</f>
        <v>PÉREZ ZELEDÓN - UNA</v>
      </c>
      <c r="I17" s="161"/>
      <c r="J17" s="143"/>
      <c r="L17" s="118"/>
      <c r="M17" s="118"/>
      <c r="N17" s="118"/>
      <c r="O17" s="118"/>
      <c r="P17" s="167" t="s">
        <v>48</v>
      </c>
      <c r="Q17" s="168">
        <v>9</v>
      </c>
      <c r="R17" s="146" cm="1">
        <f t="array" aca="1" ref="R17" ca="1">INDIRECT("'Grupo " &amp; Q17 &amp; "'!C34")</f>
        <v>3836</v>
      </c>
      <c r="S17" s="147" t="str">
        <f ca="1">IF(ISBLANK(R17),"",VLOOKUP(R17,Inscripciones!$B$1:$K$159,2,FALSE))</f>
        <v>LUCIANO QUIROS AVILA</v>
      </c>
      <c r="T17" s="148" t="str">
        <f ca="1">IF(ISBLANK(R17),"",VLOOKUP(R17,Inscripciones!$B$1:$K$159,3,FALSE))</f>
        <v>ESCAZÚ</v>
      </c>
      <c r="U17" s="149">
        <v>28</v>
      </c>
      <c r="V17" s="150">
        <f t="shared" ca="1" si="1"/>
        <v>3836</v>
      </c>
      <c r="W17" s="151" t="str">
        <f t="shared" si="2"/>
        <v>DO</v>
      </c>
      <c r="X17" s="157"/>
      <c r="Y17" s="166"/>
      <c r="Z17" s="157"/>
      <c r="AA17" s="166"/>
      <c r="AB17" s="157"/>
      <c r="AC17" s="166"/>
    </row>
    <row r="18" spans="2:29" s="117" customFormat="1" ht="15.75" thickBot="1" x14ac:dyDescent="0.3">
      <c r="B18" s="138" t="s">
        <v>49</v>
      </c>
      <c r="C18" s="139">
        <v>10</v>
      </c>
      <c r="D18" s="140">
        <f t="shared" ca="1" si="0"/>
        <v>4463</v>
      </c>
      <c r="E18" s="141" t="str">
        <f ca="1">IF(D18=0,0,VLOOKUP(D18,Inscripciones!$B$1:$K$159,2,FALSE))</f>
        <v>ISAAC ANDRÉS LEAL CHACÓN</v>
      </c>
      <c r="F18" s="142" t="str">
        <f ca="1">IF(D18=0,0,VLOOKUP(D18,Inscripciones!$B$1:$K$159,3,FALSE))</f>
        <v>ESPARZA</v>
      </c>
      <c r="G18" s="143"/>
      <c r="I18" s="161"/>
      <c r="J18" s="161"/>
      <c r="L18" s="118"/>
      <c r="M18" s="118"/>
      <c r="N18" s="118"/>
      <c r="O18" s="118"/>
      <c r="P18" s="167" t="s">
        <v>48</v>
      </c>
      <c r="Q18" s="168">
        <v>10</v>
      </c>
      <c r="R18" s="146" cm="1">
        <f t="array" aca="1" ref="R18" ca="1">INDIRECT("'Grupo " &amp; Q18 &amp; "'!C34")</f>
        <v>3671</v>
      </c>
      <c r="S18" s="147" t="str">
        <f ca="1">IF(ISBLANK(R18),"",VLOOKUP(R18,Inscripciones!$B$1:$K$159,2,FALSE))</f>
        <v>NICOLAS OVARES CASTRO</v>
      </c>
      <c r="T18" s="148" t="str">
        <f ca="1">IF(ISBLANK(R18),"",VLOOKUP(R18,Inscripciones!$B$1:$K$159,3,FALSE))</f>
        <v>SANTA ANA</v>
      </c>
      <c r="U18" s="149">
        <v>13</v>
      </c>
      <c r="V18" s="150">
        <f t="shared" ca="1" si="1"/>
        <v>3671</v>
      </c>
      <c r="W18" s="151" t="str">
        <f t="shared" si="2"/>
        <v>UP</v>
      </c>
      <c r="X18" s="157"/>
      <c r="Y18" s="166"/>
      <c r="Z18" s="157"/>
      <c r="AA18" s="166"/>
      <c r="AB18" s="157"/>
      <c r="AC18" s="166"/>
    </row>
    <row r="19" spans="2:29" s="117" customFormat="1" x14ac:dyDescent="0.25">
      <c r="B19" s="138" t="s">
        <v>49</v>
      </c>
      <c r="C19" s="139">
        <v>11</v>
      </c>
      <c r="D19" s="128">
        <f t="shared" ca="1" si="0"/>
        <v>4464</v>
      </c>
      <c r="E19" s="152" t="str">
        <f ca="1">IF(D19=0,0,VLOOKUP(D19,Inscripciones!$B$1:$K$159,2,FALSE))</f>
        <v>ISAAC GAMBOA MORERA</v>
      </c>
      <c r="F19" s="153" t="str">
        <f ca="1">IF(D19=0,0,VLOOKUP(D19,Inscripciones!$B$1:$K$159,3,FALSE))</f>
        <v>ESPARZA</v>
      </c>
      <c r="G19" s="154"/>
      <c r="H19" s="143"/>
      <c r="I19" s="161"/>
      <c r="J19" s="161"/>
      <c r="L19" s="118"/>
      <c r="M19" s="118"/>
      <c r="N19" s="118"/>
      <c r="O19" s="118"/>
      <c r="P19" s="167" t="s">
        <v>48</v>
      </c>
      <c r="Q19" s="168">
        <v>11</v>
      </c>
      <c r="R19" s="146" cm="1">
        <f t="array" aca="1" ref="R19" ca="1">INDIRECT("'Grupo " &amp; Q19 &amp; "'!C34")</f>
        <v>3499</v>
      </c>
      <c r="S19" s="147" t="str">
        <f ca="1">IF(ISBLANK(R19),"",VLOOKUP(R19,Inscripciones!$B$1:$K$159,2,FALSE))</f>
        <v>ESTEBAN MURILLO CHAVES</v>
      </c>
      <c r="T19" s="148" t="str">
        <f ca="1">IF(ISBLANK(R19),"",VLOOKUP(R19,Inscripciones!$B$1:$K$159,3,FALSE))</f>
        <v>UCR-PÉREZ ZELEDÓN</v>
      </c>
      <c r="U19" s="149">
        <v>29</v>
      </c>
      <c r="V19" s="150">
        <f t="shared" ca="1" si="1"/>
        <v>3499</v>
      </c>
      <c r="W19" s="151" t="str">
        <f t="shared" si="2"/>
        <v>DO</v>
      </c>
      <c r="X19" s="157"/>
      <c r="Y19" s="166"/>
      <c r="Z19" s="157"/>
      <c r="AA19" s="166"/>
      <c r="AB19" s="157"/>
      <c r="AC19" s="166"/>
    </row>
    <row r="20" spans="2:29" s="117" customFormat="1" ht="20.25" thickBot="1" x14ac:dyDescent="0.3">
      <c r="B20" s="158" t="s">
        <v>50</v>
      </c>
      <c r="C20" s="139">
        <v>12</v>
      </c>
      <c r="D20" s="140">
        <f t="shared" ca="1" si="0"/>
        <v>3458</v>
      </c>
      <c r="E20" s="159" t="str">
        <f ca="1">IF(D20=0,0,VLOOKUP(D20,Inscripciones!$B$1:$K$159,2,FALSE))</f>
        <v>SANTIAGO ALVAREZ LONGHI</v>
      </c>
      <c r="F20" s="160" t="str">
        <f ca="1">IF(D20=0,0,VLOOKUP(D20,Inscripciones!$B$1:$K$159,3,FALSE))</f>
        <v>SANTO DOMINGO</v>
      </c>
      <c r="H20" s="161"/>
      <c r="I20" s="154"/>
      <c r="J20" s="161"/>
      <c r="L20" s="118"/>
      <c r="M20" s="118"/>
      <c r="N20" s="118"/>
      <c r="O20" s="118"/>
      <c r="P20" s="167" t="s">
        <v>48</v>
      </c>
      <c r="Q20" s="168">
        <v>12</v>
      </c>
      <c r="R20" s="146" cm="1">
        <f t="array" aca="1" ref="R20" ca="1">INDIRECT("'Grupo " &amp; Q20 &amp; "'!C34")</f>
        <v>3468</v>
      </c>
      <c r="S20" s="147" t="str">
        <f ca="1">IF(ISBLANK(R20),"",VLOOKUP(R20,Inscripciones!$B$1:$K$159,2,FALSE))</f>
        <v>DANIEL DAVID ALPIZAR VILLALOBOS</v>
      </c>
      <c r="T20" s="148" t="str">
        <f ca="1">IF(ISBLANK(R20),"",VLOOKUP(R20,Inscripciones!$B$1:$K$159,3,FALSE))</f>
        <v>ASERRÍ</v>
      </c>
      <c r="U20" s="149">
        <v>5</v>
      </c>
      <c r="V20" s="150">
        <f t="shared" ca="1" si="1"/>
        <v>3468</v>
      </c>
      <c r="W20" s="151" t="str">
        <f t="shared" si="2"/>
        <v>UP</v>
      </c>
      <c r="X20" s="157"/>
      <c r="Y20" s="166"/>
      <c r="Z20" s="169"/>
      <c r="AA20" s="166"/>
      <c r="AB20" s="157"/>
      <c r="AC20" s="166"/>
    </row>
    <row r="21" spans="2:29" s="117" customFormat="1" ht="19.5" x14ac:dyDescent="0.25">
      <c r="B21" s="158" t="s">
        <v>50</v>
      </c>
      <c r="C21" s="139">
        <v>13</v>
      </c>
      <c r="D21" s="128">
        <f t="shared" ca="1" si="0"/>
        <v>3671</v>
      </c>
      <c r="E21" s="162" t="str">
        <f ca="1">IF(D21=0,0,VLOOKUP(D21,Inscripciones!$B$1:$K$159,2,FALSE))</f>
        <v>NICOLAS OVARES CASTRO</v>
      </c>
      <c r="F21" s="163" t="str">
        <f ca="1">IF(D21=0,0,VLOOKUP(D21,Inscripciones!$B$1:$K$159,3,FALSE))</f>
        <v>SANTA ANA</v>
      </c>
      <c r="H21" s="161"/>
      <c r="J21" s="161"/>
      <c r="L21" s="118"/>
      <c r="M21" s="118"/>
      <c r="N21" s="118"/>
      <c r="O21" s="118"/>
      <c r="P21" s="167" t="s">
        <v>48</v>
      </c>
      <c r="Q21" s="168">
        <v>13</v>
      </c>
      <c r="R21" s="146" cm="1">
        <f t="array" aca="1" ref="R21" ca="1">INDIRECT("'Grupo " &amp; Q21 &amp; "'!C34")</f>
        <v>3458</v>
      </c>
      <c r="S21" s="147" t="str">
        <f ca="1">IF(ISBLANK(R21),"",VLOOKUP(R21,Inscripciones!$B$1:$K$159,2,FALSE))</f>
        <v>SANTIAGO ALVAREZ LONGHI</v>
      </c>
      <c r="T21" s="148" t="str">
        <f ca="1">IF(ISBLANK(R21),"",VLOOKUP(R21,Inscripciones!$B$1:$K$159,3,FALSE))</f>
        <v>SANTO DOMINGO</v>
      </c>
      <c r="U21" s="149">
        <v>12</v>
      </c>
      <c r="V21" s="150">
        <f t="shared" ca="1" si="1"/>
        <v>3458</v>
      </c>
      <c r="W21" s="151" t="str">
        <f t="shared" si="2"/>
        <v>UP</v>
      </c>
      <c r="X21" s="157"/>
      <c r="Y21" s="170"/>
      <c r="Z21" s="169"/>
      <c r="AA21" s="166"/>
      <c r="AB21" s="157"/>
      <c r="AC21" s="166"/>
    </row>
    <row r="22" spans="2:29" s="117" customFormat="1" ht="20.25" thickBot="1" x14ac:dyDescent="0.3">
      <c r="B22" s="138" t="s">
        <v>49</v>
      </c>
      <c r="C22" s="139">
        <v>14</v>
      </c>
      <c r="D22" s="140">
        <f t="shared" ca="1" si="0"/>
        <v>4115</v>
      </c>
      <c r="E22" s="141" t="str">
        <f ca="1">IF(D22=0,0,VLOOKUP(D22,Inscripciones!$B$1:$K$159,2,FALSE))</f>
        <v>JOSEPH ANGEL LOPEZ ARAUZ</v>
      </c>
      <c r="F22" s="142" t="str">
        <f ca="1">IF(D22=0,0,VLOOKUP(D22,Inscripciones!$B$1:$K$159,3,FALSE))</f>
        <v>ATM SANTA CRUZ</v>
      </c>
      <c r="G22" s="143"/>
      <c r="H22" s="154"/>
      <c r="J22" s="161"/>
      <c r="L22" s="118"/>
      <c r="M22" s="118"/>
      <c r="N22" s="118"/>
      <c r="O22" s="118"/>
      <c r="P22" s="167" t="s">
        <v>48</v>
      </c>
      <c r="Q22" s="168">
        <v>14</v>
      </c>
      <c r="R22" s="146" cm="1">
        <f t="array" aca="1" ref="R22" ca="1">INDIRECT("'Grupo " &amp; Q22 &amp; "'!C34")</f>
        <v>4363</v>
      </c>
      <c r="S22" s="147" t="str">
        <f ca="1">IF(ISBLANK(R22),"",VLOOKUP(R22,Inscripciones!$B$1:$K$159,2,FALSE))</f>
        <v>CESAR DAM BLANCO</v>
      </c>
      <c r="T22" s="148" t="str">
        <f ca="1">IF(ISBLANK(R22),"",VLOOKUP(R22,Inscripciones!$B$1:$K$159,3,FALSE))</f>
        <v>CCDR ALAJUELA</v>
      </c>
      <c r="U22" s="149">
        <v>20</v>
      </c>
      <c r="V22" s="150">
        <f t="shared" ca="1" si="1"/>
        <v>4363</v>
      </c>
      <c r="W22" s="151" t="str">
        <f t="shared" si="2"/>
        <v>DO</v>
      </c>
      <c r="X22" s="157"/>
      <c r="Y22" s="166"/>
      <c r="Z22" s="169"/>
      <c r="AA22" s="166"/>
      <c r="AB22" s="157"/>
      <c r="AC22" s="166"/>
    </row>
    <row r="23" spans="2:29" s="117" customFormat="1" ht="19.5" x14ac:dyDescent="0.25">
      <c r="B23" s="138" t="s">
        <v>49</v>
      </c>
      <c r="C23" s="139">
        <v>15</v>
      </c>
      <c r="D23" s="128">
        <f t="shared" ca="1" si="0"/>
        <v>3719</v>
      </c>
      <c r="E23" s="152" t="str">
        <f ca="1">IF(D23=0,0,VLOOKUP(D23,Inscripciones!$B$1:$K$159,2,FALSE))</f>
        <v>MARCELO MASIS RODRÍGUEZ</v>
      </c>
      <c r="F23" s="153" t="str">
        <f ca="1">IF(D23=0,0,VLOOKUP(D23,Inscripciones!$B$1:$K$159,3,FALSE))</f>
        <v>SANTA ANA</v>
      </c>
      <c r="G23" s="154"/>
      <c r="J23" s="161"/>
      <c r="L23" s="118"/>
      <c r="M23" s="118"/>
      <c r="N23" s="118"/>
      <c r="O23" s="118"/>
      <c r="P23" s="167" t="s">
        <v>48</v>
      </c>
      <c r="Q23" s="168">
        <v>15</v>
      </c>
      <c r="R23" s="146" cm="1">
        <f t="array" aca="1" ref="R23" ca="1">INDIRECT("'Grupo " &amp; Q23 &amp; "'!C34")</f>
        <v>2368</v>
      </c>
      <c r="S23" s="147" t="str">
        <f ca="1">IF(ISBLANK(R23),"",VLOOKUP(R23,Inscripciones!$B$1:$K$159,2,FALSE))</f>
        <v>EMANUEL RIVERA TORRES</v>
      </c>
      <c r="T23" s="148" t="str">
        <f ca="1">IF(ISBLANK(R23),"",VLOOKUP(R23,Inscripciones!$B$1:$K$159,3,FALSE))</f>
        <v>ASERRÍ</v>
      </c>
      <c r="U23" s="149">
        <v>21</v>
      </c>
      <c r="V23" s="150">
        <f ca="1">R23</f>
        <v>2368</v>
      </c>
      <c r="W23" s="151" t="str">
        <f>IF(U23=0,0,IF(U23&lt;17,"UP","DO"))</f>
        <v>DO</v>
      </c>
      <c r="X23" s="157"/>
      <c r="Y23" s="166"/>
      <c r="Z23" s="169"/>
      <c r="AA23" s="166"/>
      <c r="AB23" s="157"/>
      <c r="AC23" s="171"/>
    </row>
    <row r="24" spans="2:29" s="117" customFormat="1" ht="20.25" thickBot="1" x14ac:dyDescent="0.3">
      <c r="B24" s="155" t="s">
        <v>52</v>
      </c>
      <c r="C24" s="172">
        <v>16</v>
      </c>
      <c r="D24" s="140">
        <f t="shared" ca="1" si="0"/>
        <v>4034</v>
      </c>
      <c r="E24" s="173" t="str">
        <f ca="1">IF(D24=0,0,VLOOKUP(D24,Inscripciones!$B$1:$K$159,2,FALSE))</f>
        <v>IAN DAVID GARRO ALONSO</v>
      </c>
      <c r="F24" s="174" t="str">
        <f ca="1">IF(D24=0,0,VLOOKUP(D24,Inscripciones!$B$1:$K$159,3,FALSE))</f>
        <v>CCDR SAN JOSÉ</v>
      </c>
      <c r="J24" s="161"/>
      <c r="K24" s="175"/>
      <c r="L24" s="118"/>
      <c r="M24" s="118"/>
      <c r="N24" s="118"/>
      <c r="O24" s="118"/>
      <c r="P24" s="176" t="s">
        <v>48</v>
      </c>
      <c r="Q24" s="177">
        <v>16</v>
      </c>
      <c r="R24" s="178" cm="1">
        <f t="array" aca="1" ref="R24" ca="1">INDIRECT("'Grupo " &amp; Q24 &amp; "'!C34")</f>
        <v>3747</v>
      </c>
      <c r="S24" s="179" t="str">
        <f ca="1">IF(ISBLANK(R24),"",VLOOKUP(R24,Inscripciones!$B$1:$K$159,2,FALSE))</f>
        <v>LUIS ALONSO VILLALOBOS CAMPOS</v>
      </c>
      <c r="T24" s="180" t="str">
        <f ca="1">IF(ISBLANK(R24),"",VLOOKUP(R24,Inscripciones!$B$1:$K$159,3,FALSE))</f>
        <v>ESPARZA</v>
      </c>
      <c r="U24" s="181">
        <v>4</v>
      </c>
      <c r="V24" s="182">
        <f ca="1">R24</f>
        <v>3747</v>
      </c>
      <c r="W24" s="183" t="str">
        <f>IF(U24=0,0,IF(U24&lt;17,"UP","DO"))</f>
        <v>UP</v>
      </c>
      <c r="X24" s="157"/>
      <c r="Y24" s="166"/>
      <c r="Z24" s="169"/>
      <c r="AA24" s="120"/>
      <c r="AC24" s="121"/>
    </row>
    <row r="25" spans="2:29" s="117" customFormat="1" ht="20.25" thickBot="1" x14ac:dyDescent="0.3">
      <c r="B25" s="155" t="s">
        <v>52</v>
      </c>
      <c r="C25" s="127">
        <v>17</v>
      </c>
      <c r="D25" s="128">
        <f t="shared" ca="1" si="0"/>
        <v>3472</v>
      </c>
      <c r="E25" s="129" t="str">
        <f ca="1">IF(D25=0,0,VLOOKUP(D25,Inscripciones!$B$1:$K$159,2,FALSE))</f>
        <v>JAYDRICK SHAMALL BAKER CRAWFORD</v>
      </c>
      <c r="F25" s="130" t="str">
        <f ca="1">IF(D25=0,0,VLOOKUP(D25,Inscripciones!$B$1:$K$159,3,FALSE))</f>
        <v>ASERRÍ - UCR</v>
      </c>
      <c r="J25" s="161"/>
      <c r="K25" s="184"/>
      <c r="L25" s="185"/>
      <c r="M25" s="118"/>
      <c r="N25" s="118"/>
      <c r="O25" s="118"/>
      <c r="P25" s="169"/>
      <c r="Q25" s="169"/>
      <c r="R25" s="423" t="s">
        <v>53</v>
      </c>
      <c r="S25" s="424"/>
      <c r="T25" s="424"/>
      <c r="U25" s="424"/>
      <c r="V25" s="424"/>
      <c r="W25" s="425"/>
      <c r="X25" s="157"/>
      <c r="Y25" s="166"/>
      <c r="AA25" s="120"/>
      <c r="AC25" s="121"/>
    </row>
    <row r="26" spans="2:29" s="117" customFormat="1" ht="15.75" thickBot="1" x14ac:dyDescent="0.3">
      <c r="B26" s="138" t="s">
        <v>49</v>
      </c>
      <c r="C26" s="139">
        <v>18</v>
      </c>
      <c r="D26" s="140">
        <f t="shared" ca="1" si="0"/>
        <v>3696</v>
      </c>
      <c r="E26" s="141" t="str">
        <f ca="1">IF(D26=0,0,VLOOKUP(D26,Inscripciones!$B$1:$K$159,2,FALSE))</f>
        <v>NICOLAS CECILIANO ESQUIVEL</v>
      </c>
      <c r="F26" s="142" t="str">
        <f ca="1">IF(D26=0,0,VLOOKUP(D26,Inscripciones!$B$1:$K$159,3,FALSE))</f>
        <v>PÉREZ ZELEDÓN</v>
      </c>
      <c r="G26" s="143"/>
      <c r="J26" s="161"/>
      <c r="K26" s="186"/>
      <c r="L26" s="185"/>
      <c r="M26" s="118"/>
      <c r="N26" s="118"/>
      <c r="O26" s="118"/>
      <c r="P26" s="187" t="s">
        <v>48</v>
      </c>
      <c r="Q26" s="188">
        <v>1</v>
      </c>
      <c r="R26" s="132" cm="1">
        <f t="array" aca="1" ref="R26" ca="1">INDIRECT("'Grupo " &amp; Q9 &amp; "'!C35")</f>
        <v>4513</v>
      </c>
      <c r="S26" s="133" t="str">
        <f ca="1">IF(ISBLANK(R26),"",VLOOKUP(R26,Inscripciones!$B$1:$K$159,2,FALSE))</f>
        <v>GABRIEL ANTONIO AMADOR GARITA</v>
      </c>
      <c r="T26" s="134" t="str">
        <f ca="1">IF(ISBLANK(R26),"",VLOOKUP(R26,Inscripciones!$B$1:$K$159,3,FALSE))</f>
        <v>CCDR SANTA CRUZ</v>
      </c>
      <c r="U26" s="135">
        <v>23</v>
      </c>
      <c r="V26" s="136">
        <f ca="1">R26</f>
        <v>4513</v>
      </c>
      <c r="W26" s="137" t="str">
        <f>IF(W9="","",IF(W9="UP","DO",IF(W9="DO","UP","")))</f>
        <v>DO</v>
      </c>
      <c r="X26" s="157"/>
      <c r="Y26" s="166"/>
      <c r="AA26" s="120"/>
      <c r="AC26" s="121"/>
    </row>
    <row r="27" spans="2:29" s="117" customFormat="1" x14ac:dyDescent="0.25">
      <c r="B27" s="138" t="s">
        <v>49</v>
      </c>
      <c r="C27" s="139">
        <v>19</v>
      </c>
      <c r="D27" s="128">
        <f t="shared" ca="1" si="0"/>
        <v>2847</v>
      </c>
      <c r="E27" s="152" t="str">
        <f ca="1">IF(D27=0,0,VLOOKUP(D27,Inscripciones!$B$1:$K$159,2,FALSE))</f>
        <v>LUIS GAEL SILES LOBO</v>
      </c>
      <c r="F27" s="153" t="str">
        <f ca="1">IF(D27=0,0,VLOOKUP(D27,Inscripciones!$B$1:$K$159,3,FALSE))</f>
        <v>ESPARZA</v>
      </c>
      <c r="G27" s="154"/>
      <c r="H27" s="143"/>
      <c r="J27" s="161"/>
      <c r="K27" s="186"/>
      <c r="L27" s="185"/>
      <c r="M27" s="118"/>
      <c r="N27" s="118"/>
      <c r="O27" s="118"/>
      <c r="P27" s="189" t="s">
        <v>48</v>
      </c>
      <c r="Q27" s="190">
        <v>2</v>
      </c>
      <c r="R27" s="146" cm="1">
        <f t="array" aca="1" ref="R27" ca="1">INDIRECT("'Grupo " &amp; Q10 &amp; "'!C35")</f>
        <v>2513</v>
      </c>
      <c r="S27" s="147" t="str">
        <f ca="1">IF(ISBLANK(R27),"",VLOOKUP(R27,Inscripciones!$B$1:$K$159,2,FALSE))</f>
        <v>SEBASTIAN CHAVEZ QUIROS</v>
      </c>
      <c r="T27" s="148" t="str">
        <f ca="1">IF(ISBLANK(R27),"",VLOOKUP(R27,Inscripciones!$B$1:$K$159,3,FALSE))</f>
        <v>SANTA ANA</v>
      </c>
      <c r="U27" s="149">
        <v>3</v>
      </c>
      <c r="V27" s="150">
        <f t="shared" ref="V27:V39" ca="1" si="3">R27</f>
        <v>2513</v>
      </c>
      <c r="W27" s="151" t="str">
        <f t="shared" ref="W27:W41" si="4">IF(W10="","",IF(W10="UP","DO",IF(W10="DO","UP","")))</f>
        <v>UP</v>
      </c>
      <c r="X27" s="157"/>
      <c r="Y27" s="166"/>
      <c r="Z27" s="157"/>
      <c r="AA27" s="120"/>
      <c r="AC27" s="121"/>
    </row>
    <row r="28" spans="2:29" s="117" customFormat="1" ht="15.75" thickBot="1" x14ac:dyDescent="0.3">
      <c r="B28" s="158" t="s">
        <v>50</v>
      </c>
      <c r="C28" s="139">
        <v>20</v>
      </c>
      <c r="D28" s="140">
        <f t="shared" ca="1" si="0"/>
        <v>4363</v>
      </c>
      <c r="E28" s="159" t="str">
        <f ca="1">IF(D28=0,0,VLOOKUP(D28,Inscripciones!$B$1:$K$159,2,FALSE))</f>
        <v>CESAR DAM BLANCO</v>
      </c>
      <c r="F28" s="160" t="str">
        <f ca="1">IF(D28=0,0,VLOOKUP(D28,Inscripciones!$B$1:$K$159,3,FALSE))</f>
        <v>CCDR ALAJUELA</v>
      </c>
      <c r="H28" s="161"/>
      <c r="J28" s="161"/>
      <c r="K28" s="186"/>
      <c r="L28" s="185"/>
      <c r="M28" s="118"/>
      <c r="N28" s="118"/>
      <c r="O28" s="118"/>
      <c r="P28" s="189" t="s">
        <v>48</v>
      </c>
      <c r="Q28" s="190">
        <v>3</v>
      </c>
      <c r="R28" s="146" cm="1">
        <f t="array" aca="1" ref="R28" ca="1">INDIRECT("'Grupo " &amp; Q11 &amp; "'!C35")</f>
        <v>2847</v>
      </c>
      <c r="S28" s="147" t="str">
        <f ca="1">IF(ISBLANK(R28),"",VLOOKUP(R28,Inscripciones!$B$1:$K$159,2,FALSE))</f>
        <v>LUIS GAEL SILES LOBO</v>
      </c>
      <c r="T28" s="148" t="str">
        <f ca="1">IF(ISBLANK(R28),"",VLOOKUP(R28,Inscripciones!$B$1:$K$159,3,FALSE))</f>
        <v>ESPARZA</v>
      </c>
      <c r="U28" s="149">
        <v>19</v>
      </c>
      <c r="V28" s="150">
        <f t="shared" ca="1" si="3"/>
        <v>2847</v>
      </c>
      <c r="W28" s="151" t="str">
        <f t="shared" si="4"/>
        <v>DO</v>
      </c>
      <c r="X28" s="157"/>
      <c r="Y28" s="166"/>
      <c r="Z28" s="157"/>
      <c r="AA28" s="120"/>
      <c r="AC28" s="121"/>
    </row>
    <row r="29" spans="2:29" s="117" customFormat="1" x14ac:dyDescent="0.25">
      <c r="B29" s="158" t="s">
        <v>50</v>
      </c>
      <c r="C29" s="139">
        <v>21</v>
      </c>
      <c r="D29" s="128">
        <f t="shared" ca="1" si="0"/>
        <v>2368</v>
      </c>
      <c r="E29" s="162" t="str">
        <f ca="1">IF(D29=0,0,VLOOKUP(D29,Inscripciones!$B$1:$K$159,2,FALSE))</f>
        <v>EMANUEL RIVERA TORRES</v>
      </c>
      <c r="F29" s="163" t="str">
        <f ca="1">IF(D29=0,0,VLOOKUP(D29,Inscripciones!$B$1:$K$159,3,FALSE))</f>
        <v>ASERRÍ</v>
      </c>
      <c r="H29" s="161"/>
      <c r="I29" s="143"/>
      <c r="J29" s="161"/>
      <c r="K29" s="186"/>
      <c r="L29" s="185"/>
      <c r="M29" s="118"/>
      <c r="N29" s="118"/>
      <c r="O29" s="118"/>
      <c r="P29" s="189" t="s">
        <v>48</v>
      </c>
      <c r="Q29" s="190">
        <v>4</v>
      </c>
      <c r="R29" s="146" cm="1">
        <f t="array" aca="1" ref="R29" ca="1">INDIRECT("'Grupo " &amp; Q12 &amp; "'!C35")</f>
        <v>4464</v>
      </c>
      <c r="S29" s="147" t="str">
        <f ca="1">IF(ISBLANK(R29),"",VLOOKUP(R29,Inscripciones!$B$1:$K$159,2,FALSE))</f>
        <v>ISAAC GAMBOA MORERA</v>
      </c>
      <c r="T29" s="148" t="str">
        <f ca="1">IF(ISBLANK(R29),"",VLOOKUP(R29,Inscripciones!$B$1:$K$159,3,FALSE))</f>
        <v>ESPARZA</v>
      </c>
      <c r="U29" s="149">
        <v>11</v>
      </c>
      <c r="V29" s="150">
        <f t="shared" ca="1" si="3"/>
        <v>4464</v>
      </c>
      <c r="W29" s="151" t="str">
        <f t="shared" si="4"/>
        <v>UP</v>
      </c>
      <c r="X29" s="157"/>
      <c r="Y29" s="166"/>
      <c r="Z29" s="157"/>
      <c r="AA29" s="120"/>
      <c r="AB29" s="157"/>
      <c r="AC29" s="166"/>
    </row>
    <row r="30" spans="2:29" s="117" customFormat="1" ht="15.75" thickBot="1" x14ac:dyDescent="0.3">
      <c r="B30" s="138" t="s">
        <v>49</v>
      </c>
      <c r="C30" s="139">
        <v>22</v>
      </c>
      <c r="D30" s="140">
        <f t="shared" ca="1" si="0"/>
        <v>3309</v>
      </c>
      <c r="E30" s="141" t="str">
        <f ca="1">IF(D30=0,0,VLOOKUP(D30,Inscripciones!$B$1:$K$159,2,FALSE))</f>
        <v>SEBASTIAN MASIS MURILLO</v>
      </c>
      <c r="F30" s="142" t="str">
        <f ca="1">IF(D30=0,0,VLOOKUP(D30,Inscripciones!$B$1:$K$159,3,FALSE))</f>
        <v>GUARCO</v>
      </c>
      <c r="G30" s="143"/>
      <c r="H30" s="154"/>
      <c r="I30" s="161"/>
      <c r="J30" s="161"/>
      <c r="K30" s="186"/>
      <c r="L30" s="185"/>
      <c r="M30" s="118"/>
      <c r="N30" s="118"/>
      <c r="O30" s="118"/>
      <c r="P30" s="189" t="s">
        <v>48</v>
      </c>
      <c r="Q30" s="190">
        <v>5</v>
      </c>
      <c r="R30" s="146" cm="1">
        <f t="array" aca="1" ref="R30" ca="1">INDIRECT("'Grupo " &amp; Q13 &amp; "'!C35")</f>
        <v>3450</v>
      </c>
      <c r="S30" s="147" t="str">
        <f ca="1">IF(ISBLANK(R30),"",VLOOKUP(R30,Inscripciones!$B$1:$K$159,2,FALSE))</f>
        <v>OSWALDO IGNACIO SILVA NOVOA</v>
      </c>
      <c r="T30" s="148" t="str">
        <f ca="1">IF(ISBLANK(R30),"",VLOOKUP(R30,Inscripciones!$B$1:$K$159,3,FALSE))</f>
        <v>SANTA ANA</v>
      </c>
      <c r="U30" s="149">
        <v>27</v>
      </c>
      <c r="V30" s="150">
        <f t="shared" ca="1" si="3"/>
        <v>3450</v>
      </c>
      <c r="W30" s="151" t="str">
        <f t="shared" si="4"/>
        <v>DO</v>
      </c>
      <c r="X30" s="157"/>
      <c r="Y30" s="166"/>
      <c r="Z30" s="157"/>
      <c r="AA30" s="120"/>
      <c r="AB30" s="157"/>
      <c r="AC30" s="166"/>
    </row>
    <row r="31" spans="2:29" s="117" customFormat="1" x14ac:dyDescent="0.25">
      <c r="B31" s="138" t="s">
        <v>49</v>
      </c>
      <c r="C31" s="139">
        <v>23</v>
      </c>
      <c r="D31" s="128">
        <f t="shared" ca="1" si="0"/>
        <v>4513</v>
      </c>
      <c r="E31" s="152" t="str">
        <f ca="1">IF(D31=0,0,VLOOKUP(D31,Inscripciones!$B$1:$K$159,2,FALSE))</f>
        <v>GABRIEL ANTONIO AMADOR GARITA</v>
      </c>
      <c r="F31" s="153" t="str">
        <f ca="1">IF(D31=0,0,VLOOKUP(D31,Inscripciones!$B$1:$K$159,3,FALSE))</f>
        <v>CCDR SANTA CRUZ</v>
      </c>
      <c r="G31" s="154"/>
      <c r="I31" s="161"/>
      <c r="J31" s="161"/>
      <c r="K31" s="186"/>
      <c r="L31" s="185"/>
      <c r="M31" s="118"/>
      <c r="N31" s="118"/>
      <c r="O31" s="118"/>
      <c r="P31" s="189" t="s">
        <v>48</v>
      </c>
      <c r="Q31" s="190">
        <v>6</v>
      </c>
      <c r="R31" s="146" cm="1">
        <f t="array" aca="1" ref="R31" ca="1">INDIRECT("'Grupo " &amp; Q14 &amp; "'!C35")</f>
        <v>4463</v>
      </c>
      <c r="S31" s="147" t="str">
        <f ca="1">IF(ISBLANK(R31),"",VLOOKUP(R31,Inscripciones!$B$1:$K$159,2,FALSE))</f>
        <v>ISAAC ANDRÉS LEAL CHACÓN</v>
      </c>
      <c r="T31" s="148" t="str">
        <f ca="1">IF(ISBLANK(R31),"",VLOOKUP(R31,Inscripciones!$B$1:$K$159,3,FALSE))</f>
        <v>ESPARZA</v>
      </c>
      <c r="U31" s="149">
        <v>10</v>
      </c>
      <c r="V31" s="150">
        <f t="shared" ca="1" si="3"/>
        <v>4463</v>
      </c>
      <c r="W31" s="151" t="str">
        <f t="shared" si="4"/>
        <v>UP</v>
      </c>
      <c r="X31" s="157"/>
      <c r="Y31" s="166"/>
      <c r="Z31" s="157"/>
      <c r="AA31" s="120"/>
      <c r="AB31" s="157"/>
      <c r="AC31" s="171"/>
    </row>
    <row r="32" spans="2:29" s="117" customFormat="1" ht="15.75" thickBot="1" x14ac:dyDescent="0.3">
      <c r="B32" s="164" t="s">
        <v>51</v>
      </c>
      <c r="C32" s="139">
        <v>24</v>
      </c>
      <c r="D32" s="140">
        <f t="shared" ca="1" si="0"/>
        <v>4002</v>
      </c>
      <c r="E32" s="159" t="str">
        <f ca="1">IF(D32=0,0,VLOOKUP(D32,Inscripciones!$B$1:$K$159,2,FALSE))</f>
        <v>ISMAEL CÁRDENAS ACOSTA</v>
      </c>
      <c r="F32" s="160" t="str">
        <f ca="1">IF(D32=0,0,VLOOKUP(D32,Inscripciones!$B$1:$K$159,3,FALSE))</f>
        <v>CCDR SAN JOSÉ</v>
      </c>
      <c r="I32" s="161"/>
      <c r="J32" s="154"/>
      <c r="K32" s="186"/>
      <c r="L32" s="185"/>
      <c r="M32" s="118"/>
      <c r="N32" s="118"/>
      <c r="O32" s="118"/>
      <c r="P32" s="189" t="s">
        <v>48</v>
      </c>
      <c r="Q32" s="190">
        <v>7</v>
      </c>
      <c r="R32" s="146" cm="1">
        <f t="array" aca="1" ref="R32" ca="1">INDIRECT("'Grupo " &amp; Q15 &amp; "'!C35")</f>
        <v>4284</v>
      </c>
      <c r="S32" s="147" t="str">
        <f ca="1">IF(ISBLANK(R32),"",VLOOKUP(R32,Inscripciones!$B$1:$K$159,2,FALSE))</f>
        <v>IAN SOLÍS CARRANZA</v>
      </c>
      <c r="T32" s="148" t="str">
        <f ca="1">IF(ISBLANK(R32),"",VLOOKUP(R32,Inscripciones!$B$1:$K$159,3,FALSE))</f>
        <v>SANTO DOMINGO</v>
      </c>
      <c r="U32" s="149">
        <v>30</v>
      </c>
      <c r="V32" s="150">
        <f t="shared" ca="1" si="3"/>
        <v>4284</v>
      </c>
      <c r="W32" s="151" t="str">
        <f t="shared" si="4"/>
        <v>DO</v>
      </c>
      <c r="X32" s="157"/>
      <c r="Y32" s="166"/>
      <c r="Z32" s="157"/>
      <c r="AA32" s="120"/>
      <c r="AB32" s="157"/>
      <c r="AC32" s="171"/>
    </row>
    <row r="33" spans="2:29" s="117" customFormat="1" x14ac:dyDescent="0.25">
      <c r="B33" s="164" t="s">
        <v>51</v>
      </c>
      <c r="C33" s="139">
        <v>25</v>
      </c>
      <c r="D33" s="128">
        <f t="shared" ca="1" si="0"/>
        <v>2623</v>
      </c>
      <c r="E33" s="162" t="str">
        <f ca="1">IF(D33=0,0,VLOOKUP(D33,Inscripciones!$B$1:$K$159,2,FALSE))</f>
        <v>MATEO MONGE ARROYO</v>
      </c>
      <c r="F33" s="163" t="str">
        <f ca="1">IF(D33=0,0,VLOOKUP(D33,Inscripciones!$B$1:$K$159,3,FALSE))</f>
        <v>SANTA ANA</v>
      </c>
      <c r="I33" s="161"/>
      <c r="J33" s="191"/>
      <c r="K33" s="186"/>
      <c r="L33" s="185"/>
      <c r="M33" s="118"/>
      <c r="N33" s="118"/>
      <c r="O33" s="118"/>
      <c r="P33" s="189" t="s">
        <v>48</v>
      </c>
      <c r="Q33" s="190">
        <v>8</v>
      </c>
      <c r="R33" s="146" cm="1">
        <f t="array" aca="1" ref="R33" ca="1">INDIRECT("'Grupo " &amp; Q16 &amp; "'!C35")</f>
        <v>3839</v>
      </c>
      <c r="S33" s="147" t="str">
        <f ca="1">IF(ISBLANK(R33),"",VLOOKUP(R33,Inscripciones!$B$1:$K$159,2,FALSE))</f>
        <v>ALBERTO BLANCO LEDEZMA</v>
      </c>
      <c r="T33" s="148" t="str">
        <f ca="1">IF(ISBLANK(R33),"",VLOOKUP(R33,Inscripciones!$B$1:$K$159,3,FALSE))</f>
        <v>PÉREZ ZELEDÓN</v>
      </c>
      <c r="U33" s="149">
        <v>2</v>
      </c>
      <c r="V33" s="150">
        <f t="shared" ca="1" si="3"/>
        <v>3839</v>
      </c>
      <c r="W33" s="151" t="str">
        <f t="shared" si="4"/>
        <v>UP</v>
      </c>
      <c r="X33" s="157"/>
      <c r="Y33" s="166"/>
      <c r="Z33" s="157"/>
      <c r="AA33" s="120"/>
      <c r="AB33" s="157"/>
      <c r="AC33" s="171"/>
    </row>
    <row r="34" spans="2:29" s="117" customFormat="1" ht="15.75" thickBot="1" x14ac:dyDescent="0.3">
      <c r="B34" s="138" t="s">
        <v>49</v>
      </c>
      <c r="C34" s="139">
        <v>26</v>
      </c>
      <c r="D34" s="140">
        <f t="shared" ca="1" si="0"/>
        <v>4287</v>
      </c>
      <c r="E34" s="141" t="str">
        <f ca="1">IF(D34=0,0,VLOOKUP(D34,Inscripciones!$B$1:$K$159,2,FALSE))</f>
        <v>MATÍAS RAMÍREZ MARÍN</v>
      </c>
      <c r="F34" s="142" t="str">
        <f ca="1">IF(D34=0,0,VLOOKUP(D34,Inscripciones!$B$1:$K$159,3,FALSE))</f>
        <v>ESCAZÚ</v>
      </c>
      <c r="G34" s="143"/>
      <c r="I34" s="161"/>
      <c r="K34" s="186"/>
      <c r="L34" s="185"/>
      <c r="M34" s="118"/>
      <c r="N34" s="118"/>
      <c r="O34" s="118"/>
      <c r="P34" s="189" t="s">
        <v>48</v>
      </c>
      <c r="Q34" s="190">
        <v>9</v>
      </c>
      <c r="R34" s="146" cm="1">
        <f t="array" aca="1" ref="R34" ca="1">INDIRECT("'Grupo " &amp; Q17 &amp; "'!C35")</f>
        <v>4115</v>
      </c>
      <c r="S34" s="147" t="str">
        <f ca="1">IF(ISBLANK(R34),"",VLOOKUP(R34,Inscripciones!$B$1:$K$159,2,FALSE))</f>
        <v>JOSEPH ANGEL LOPEZ ARAUZ</v>
      </c>
      <c r="T34" s="148" t="str">
        <f ca="1">IF(ISBLANK(R34),"",VLOOKUP(R34,Inscripciones!$B$1:$K$159,3,FALSE))</f>
        <v>ATM SANTA CRUZ</v>
      </c>
      <c r="U34" s="149">
        <v>14</v>
      </c>
      <c r="V34" s="150">
        <f t="shared" ca="1" si="3"/>
        <v>4115</v>
      </c>
      <c r="W34" s="151" t="str">
        <f t="shared" si="4"/>
        <v>UP</v>
      </c>
      <c r="X34" s="157"/>
      <c r="Y34" s="166"/>
      <c r="Z34" s="157"/>
      <c r="AA34" s="120"/>
      <c r="AB34" s="157"/>
      <c r="AC34" s="171"/>
    </row>
    <row r="35" spans="2:29" s="117" customFormat="1" x14ac:dyDescent="0.25">
      <c r="B35" s="138" t="s">
        <v>49</v>
      </c>
      <c r="C35" s="139">
        <v>27</v>
      </c>
      <c r="D35" s="128">
        <f t="shared" ca="1" si="0"/>
        <v>3450</v>
      </c>
      <c r="E35" s="152" t="str">
        <f ca="1">IF(D35=0,0,VLOOKUP(D35,Inscripciones!$B$1:$K$159,2,FALSE))</f>
        <v>OSWALDO IGNACIO SILVA NOVOA</v>
      </c>
      <c r="F35" s="153" t="str">
        <f ca="1">IF(D35=0,0,VLOOKUP(D35,Inscripciones!$B$1:$K$159,3,FALSE))</f>
        <v>SANTA ANA</v>
      </c>
      <c r="G35" s="154"/>
      <c r="H35" s="143"/>
      <c r="I35" s="161"/>
      <c r="K35" s="186"/>
      <c r="L35" s="185"/>
      <c r="M35" s="118"/>
      <c r="N35" s="118"/>
      <c r="O35" s="118"/>
      <c r="P35" s="189" t="s">
        <v>48</v>
      </c>
      <c r="Q35" s="190">
        <v>10</v>
      </c>
      <c r="R35" s="146" cm="1">
        <f t="array" aca="1" ref="R35" ca="1">INDIRECT("'Grupo " &amp; Q18 &amp; "'!C35")</f>
        <v>3449</v>
      </c>
      <c r="S35" s="147" t="str">
        <f ca="1">IF(ISBLANK(R35),"",VLOOKUP(R35,Inscripciones!$B$1:$K$159,2,FALSE))</f>
        <v>REINEL ANTONIO VANEGAS LACAYO</v>
      </c>
      <c r="T35" s="148" t="str">
        <f ca="1">IF(ISBLANK(R35),"",VLOOKUP(R35,Inscripciones!$B$1:$K$159,3,FALSE))</f>
        <v>ALAJUELA</v>
      </c>
      <c r="U35" s="149">
        <v>31</v>
      </c>
      <c r="V35" s="150">
        <f t="shared" ca="1" si="3"/>
        <v>3449</v>
      </c>
      <c r="W35" s="151" t="str">
        <f t="shared" si="4"/>
        <v>DO</v>
      </c>
      <c r="X35" s="157"/>
      <c r="Y35" s="166"/>
      <c r="Z35" s="157"/>
      <c r="AA35" s="120"/>
      <c r="AB35" s="157"/>
      <c r="AC35" s="171"/>
    </row>
    <row r="36" spans="2:29" s="117" customFormat="1" ht="15.75" thickBot="1" x14ac:dyDescent="0.3">
      <c r="B36" s="158" t="s">
        <v>50</v>
      </c>
      <c r="C36" s="139">
        <v>28</v>
      </c>
      <c r="D36" s="140">
        <f t="shared" ca="1" si="0"/>
        <v>3836</v>
      </c>
      <c r="E36" s="159" t="str">
        <f ca="1">IF(D36=0,0,VLOOKUP(D36,Inscripciones!$B$1:$K$159,2,FALSE))</f>
        <v>LUCIANO QUIROS AVILA</v>
      </c>
      <c r="F36" s="160" t="str">
        <f ca="1">IF(D36=0,0,VLOOKUP(D36,Inscripciones!$B$1:$K$159,3,FALSE))</f>
        <v>ESCAZÚ</v>
      </c>
      <c r="H36" s="161"/>
      <c r="I36" s="154"/>
      <c r="K36" s="186"/>
      <c r="L36" s="185"/>
      <c r="M36" s="118"/>
      <c r="N36" s="118"/>
      <c r="O36" s="118"/>
      <c r="P36" s="189" t="s">
        <v>48</v>
      </c>
      <c r="Q36" s="190">
        <v>11</v>
      </c>
      <c r="R36" s="146" cm="1">
        <f t="array" aca="1" ref="R36" ca="1">INDIRECT("'Grupo " &amp; Q19 &amp; "'!C35")</f>
        <v>2801</v>
      </c>
      <c r="S36" s="147" t="str">
        <f ca="1">IF(ISBLANK(R36),"",VLOOKUP(R36,Inscripciones!$B$1:$K$159,2,FALSE))</f>
        <v>IAN VARGAS JIMENEZ</v>
      </c>
      <c r="T36" s="148" t="str">
        <f ca="1">IF(ISBLANK(R36),"",VLOOKUP(R36,Inscripciones!$B$1:$K$159,3,FALSE))</f>
        <v>CCDR SAN JOSÉ</v>
      </c>
      <c r="U36" s="149">
        <v>7</v>
      </c>
      <c r="V36" s="150">
        <f t="shared" ca="1" si="3"/>
        <v>2801</v>
      </c>
      <c r="W36" s="151" t="str">
        <f t="shared" si="4"/>
        <v>UP</v>
      </c>
      <c r="X36" s="157"/>
      <c r="Y36" s="166"/>
      <c r="Z36" s="157"/>
      <c r="AA36" s="120"/>
      <c r="AB36" s="157"/>
      <c r="AC36" s="171"/>
    </row>
    <row r="37" spans="2:29" s="117" customFormat="1" x14ac:dyDescent="0.25">
      <c r="B37" s="158" t="s">
        <v>50</v>
      </c>
      <c r="C37" s="139">
        <v>29</v>
      </c>
      <c r="D37" s="128">
        <f t="shared" ca="1" si="0"/>
        <v>3499</v>
      </c>
      <c r="E37" s="162" t="str">
        <f ca="1">IF(D37=0,0,VLOOKUP(D37,Inscripciones!$B$1:$K$159,2,FALSE))</f>
        <v>ESTEBAN MURILLO CHAVES</v>
      </c>
      <c r="F37" s="163" t="str">
        <f ca="1">IF(D37=0,0,VLOOKUP(D37,Inscripciones!$B$1:$K$159,3,FALSE))</f>
        <v>UCR-PÉREZ ZELEDÓN</v>
      </c>
      <c r="H37" s="161"/>
      <c r="K37" s="186"/>
      <c r="L37" s="185"/>
      <c r="M37" s="118"/>
      <c r="N37" s="119"/>
      <c r="O37" s="119"/>
      <c r="P37" s="189" t="s">
        <v>48</v>
      </c>
      <c r="Q37" s="190">
        <v>12</v>
      </c>
      <c r="R37" s="146" cm="1">
        <f t="array" aca="1" ref="R37" ca="1">INDIRECT("'Grupo " &amp; Q20 &amp; "'!C35")</f>
        <v>3696</v>
      </c>
      <c r="S37" s="147" t="str">
        <f ca="1">IF(ISBLANK(R37),"",VLOOKUP(R37,Inscripciones!$B$1:$K$159,2,FALSE))</f>
        <v>NICOLAS CECILIANO ESQUIVEL</v>
      </c>
      <c r="T37" s="148" t="str">
        <f ca="1">IF(ISBLANK(R37),"",VLOOKUP(R37,Inscripciones!$B$1:$K$159,3,FALSE))</f>
        <v>PÉREZ ZELEDÓN</v>
      </c>
      <c r="U37" s="149">
        <v>18</v>
      </c>
      <c r="V37" s="150">
        <f t="shared" ca="1" si="3"/>
        <v>3696</v>
      </c>
      <c r="W37" s="151" t="str">
        <f t="shared" si="4"/>
        <v>DO</v>
      </c>
      <c r="Y37" s="166"/>
      <c r="Z37" s="157"/>
      <c r="AA37" s="120"/>
      <c r="AB37" s="157"/>
      <c r="AC37" s="171"/>
    </row>
    <row r="38" spans="2:29" s="117" customFormat="1" ht="15.75" thickBot="1" x14ac:dyDescent="0.3">
      <c r="B38" s="138" t="s">
        <v>49</v>
      </c>
      <c r="C38" s="139">
        <v>30</v>
      </c>
      <c r="D38" s="140">
        <f t="shared" ca="1" si="0"/>
        <v>4284</v>
      </c>
      <c r="E38" s="141" t="str">
        <f ca="1">IF(D38=0,0,VLOOKUP(D38,Inscripciones!$B$1:$K$159,2,FALSE))</f>
        <v>IAN SOLÍS CARRANZA</v>
      </c>
      <c r="F38" s="142" t="str">
        <f ca="1">IF(D38=0,0,VLOOKUP(D38,Inscripciones!$B$1:$K$159,3,FALSE))</f>
        <v>SANTO DOMINGO</v>
      </c>
      <c r="G38" s="143"/>
      <c r="H38" s="154"/>
      <c r="K38" s="186"/>
      <c r="L38" s="185"/>
      <c r="M38" s="118"/>
      <c r="N38" s="119"/>
      <c r="O38" s="118"/>
      <c r="P38" s="189" t="s">
        <v>48</v>
      </c>
      <c r="Q38" s="190">
        <v>13</v>
      </c>
      <c r="R38" s="146" cm="1">
        <f t="array" aca="1" ref="R38" ca="1">INDIRECT("'Grupo " &amp; Q21 &amp; "'!C35")</f>
        <v>3309</v>
      </c>
      <c r="S38" s="147" t="str">
        <f ca="1">IF(ISBLANK(R38),"",VLOOKUP(R38,Inscripciones!$B$1:$K$159,2,FALSE))</f>
        <v>SEBASTIAN MASIS MURILLO</v>
      </c>
      <c r="T38" s="148" t="str">
        <f ca="1">IF(ISBLANK(R38),"",VLOOKUP(R38,Inscripciones!$B$1:$K$159,3,FALSE))</f>
        <v>GUARCO</v>
      </c>
      <c r="U38" s="149">
        <v>22</v>
      </c>
      <c r="V38" s="150">
        <f t="shared" ca="1" si="3"/>
        <v>3309</v>
      </c>
      <c r="W38" s="151" t="str">
        <f t="shared" si="4"/>
        <v>DO</v>
      </c>
      <c r="Y38" s="166"/>
      <c r="Z38" s="157"/>
      <c r="AA38" s="120"/>
      <c r="AB38" s="157"/>
      <c r="AC38" s="171"/>
    </row>
    <row r="39" spans="2:29" s="117" customFormat="1" x14ac:dyDescent="0.25">
      <c r="B39" s="138" t="s">
        <v>49</v>
      </c>
      <c r="C39" s="139">
        <v>31</v>
      </c>
      <c r="D39" s="128">
        <f t="shared" ca="1" si="0"/>
        <v>3449</v>
      </c>
      <c r="E39" s="152" t="str">
        <f ca="1">IF(D39=0,0,VLOOKUP(D39,Inscripciones!$B$1:$K$159,2,FALSE))</f>
        <v>REINEL ANTONIO VANEGAS LACAYO</v>
      </c>
      <c r="F39" s="153" t="str">
        <f ca="1">IF(D39=0,0,VLOOKUP(D39,Inscripciones!$B$1:$K$159,3,FALSE))</f>
        <v>ALAJUELA</v>
      </c>
      <c r="G39" s="154"/>
      <c r="K39" s="186"/>
      <c r="L39" s="185"/>
      <c r="M39" s="118"/>
      <c r="N39" s="118"/>
      <c r="O39" s="118"/>
      <c r="P39" s="189" t="s">
        <v>48</v>
      </c>
      <c r="Q39" s="190">
        <v>14</v>
      </c>
      <c r="R39" s="146" cm="1">
        <f t="array" aca="1" ref="R39" ca="1">INDIRECT("'Grupo " &amp; Q22 &amp; "'!C35")</f>
        <v>4056</v>
      </c>
      <c r="S39" s="147" t="str">
        <f ca="1">IF(ISBLANK(R39),"",VLOOKUP(R39,Inscripciones!$B$1:$K$159,2,FALSE))</f>
        <v>JOSEF ARIAS BRAVO</v>
      </c>
      <c r="T39" s="148" t="str">
        <f ca="1">IF(ISBLANK(R39),"",VLOOKUP(R39,Inscripciones!$B$1:$K$159,3,FALSE))</f>
        <v>ESPARZA</v>
      </c>
      <c r="U39" s="149">
        <v>6</v>
      </c>
      <c r="V39" s="150">
        <f t="shared" ca="1" si="3"/>
        <v>4056</v>
      </c>
      <c r="W39" s="151" t="str">
        <f t="shared" si="4"/>
        <v>UP</v>
      </c>
      <c r="Y39" s="166"/>
      <c r="AA39" s="120"/>
      <c r="AC39" s="121"/>
    </row>
    <row r="40" spans="2:29" s="117" customFormat="1" ht="15.75" thickBot="1" x14ac:dyDescent="0.3">
      <c r="B40" s="192" t="s">
        <v>54</v>
      </c>
      <c r="C40" s="193">
        <v>32</v>
      </c>
      <c r="D40" s="194">
        <f t="shared" ca="1" si="0"/>
        <v>4144</v>
      </c>
      <c r="E40" s="195" t="str">
        <f ca="1">IF(D40=0,0,VLOOKUP(D40,Inscripciones!$B$1:$K$159,2,FALSE))</f>
        <v>ANDRÉS PARRA CHACÓN</v>
      </c>
      <c r="F40" s="196" t="str">
        <f ca="1">IF(D40=0,0,VLOOKUP(D40,Inscripciones!$B$1:$K$159,3,FALSE))</f>
        <v>SANTO DOMINGO</v>
      </c>
      <c r="K40" s="186"/>
      <c r="L40" s="185"/>
      <c r="M40" s="118"/>
      <c r="N40" s="118"/>
      <c r="O40" s="118"/>
      <c r="P40" s="189" t="s">
        <v>48</v>
      </c>
      <c r="Q40" s="190">
        <v>15</v>
      </c>
      <c r="R40" s="146" cm="1">
        <f t="array" aca="1" ref="R40" ca="1">INDIRECT("'Grupo " &amp; Q23 &amp; "'!C35")</f>
        <v>3719</v>
      </c>
      <c r="S40" s="147" t="str">
        <f ca="1">IF(ISBLANK(R40),"",VLOOKUP(R40,Inscripciones!$B$1:$K$159,2,FALSE))</f>
        <v>MARCELO MASIS RODRÍGUEZ</v>
      </c>
      <c r="T40" s="148" t="str">
        <f ca="1">IF(ISBLANK(R40),"",VLOOKUP(R40,Inscripciones!$B$1:$K$159,3,FALSE))</f>
        <v>SANTA ANA</v>
      </c>
      <c r="U40" s="149">
        <v>15</v>
      </c>
      <c r="V40" s="150">
        <f ca="1">R40</f>
        <v>3719</v>
      </c>
      <c r="W40" s="151" t="str">
        <f t="shared" si="4"/>
        <v>UP</v>
      </c>
      <c r="Y40" s="166"/>
      <c r="AA40" s="120"/>
      <c r="AC40" s="121"/>
    </row>
    <row r="41" spans="2:29" s="117" customFormat="1" ht="12.75" thickBot="1" x14ac:dyDescent="0.3">
      <c r="B41" s="197"/>
      <c r="C41" s="197"/>
      <c r="D41" s="197"/>
      <c r="E41" s="197"/>
      <c r="F41" s="197"/>
      <c r="G41" s="119"/>
      <c r="H41" s="119"/>
      <c r="I41" s="119"/>
      <c r="J41" s="119"/>
      <c r="K41" s="119"/>
      <c r="L41" s="118"/>
      <c r="M41" s="118"/>
      <c r="N41" s="118"/>
      <c r="O41" s="118"/>
      <c r="P41" s="189" t="s">
        <v>48</v>
      </c>
      <c r="Q41" s="190">
        <v>16</v>
      </c>
      <c r="R41" s="178" cm="1">
        <f t="array" aca="1" ref="R41" ca="1">INDIRECT("'Grupo " &amp; Q24 &amp; "'!C35")</f>
        <v>4287</v>
      </c>
      <c r="S41" s="179" t="str">
        <f ca="1">IF(ISBLANK(R41),"",VLOOKUP(R41,Inscripciones!$B$1:$K$159,2,FALSE))</f>
        <v>MATÍAS RAMÍREZ MARÍN</v>
      </c>
      <c r="T41" s="180" t="str">
        <f ca="1">IF(ISBLANK(R41),"",VLOOKUP(R41,Inscripciones!$B$1:$K$159,3,FALSE))</f>
        <v>ESCAZÚ</v>
      </c>
      <c r="U41" s="181">
        <v>26</v>
      </c>
      <c r="V41" s="182">
        <f ca="1">R41</f>
        <v>4287</v>
      </c>
      <c r="W41" s="183" t="str">
        <f t="shared" si="4"/>
        <v>DO</v>
      </c>
      <c r="X41" s="119"/>
      <c r="Y41" s="170"/>
      <c r="AA41" s="120"/>
      <c r="AC41" s="121"/>
    </row>
    <row r="42" spans="2:29" s="117" customFormat="1" ht="12" x14ac:dyDescent="0.25">
      <c r="B42" s="197"/>
      <c r="C42" s="197"/>
      <c r="D42" s="197"/>
      <c r="E42" s="197"/>
      <c r="F42" s="197"/>
      <c r="G42" s="197"/>
      <c r="H42" s="197"/>
      <c r="I42" s="197"/>
      <c r="J42" s="197"/>
      <c r="K42" s="197"/>
      <c r="L42" s="118"/>
      <c r="M42" s="118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</row>
    <row r="43" spans="2:29" s="117" customFormat="1" ht="12" x14ac:dyDescent="0.25">
      <c r="B43" s="197"/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S43" s="119" t="s">
        <v>2</v>
      </c>
      <c r="T43" s="197" t="s">
        <v>2</v>
      </c>
      <c r="U43" s="197">
        <v>1</v>
      </c>
      <c r="V43" s="197" t="s">
        <v>55</v>
      </c>
      <c r="X43" s="119"/>
      <c r="Y43" s="119"/>
    </row>
    <row r="44" spans="2:29" s="117" customFormat="1" ht="12" x14ac:dyDescent="0.25"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S44" s="119"/>
      <c r="T44" s="197"/>
      <c r="U44" s="197">
        <v>2</v>
      </c>
      <c r="V44" s="197" t="s">
        <v>55</v>
      </c>
      <c r="X44" s="119"/>
      <c r="Y44" s="119"/>
    </row>
    <row r="45" spans="2:29" s="117" customFormat="1" ht="12" x14ac:dyDescent="0.25">
      <c r="B45" s="197"/>
      <c r="C45" s="197"/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S45" s="119"/>
      <c r="T45" s="197"/>
      <c r="U45" s="197">
        <v>3</v>
      </c>
      <c r="V45" s="197" t="s">
        <v>55</v>
      </c>
      <c r="X45" s="119"/>
      <c r="Y45" s="119"/>
    </row>
    <row r="46" spans="2:29" s="117" customFormat="1" ht="12" x14ac:dyDescent="0.25">
      <c r="B46" s="197"/>
      <c r="C46" s="197"/>
      <c r="D46" s="197"/>
      <c r="E46" s="197"/>
      <c r="F46" s="197"/>
      <c r="G46" s="197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S46" s="119"/>
      <c r="T46" s="197"/>
      <c r="U46" s="197">
        <v>4</v>
      </c>
      <c r="V46" s="197" t="s">
        <v>55</v>
      </c>
      <c r="X46" s="119"/>
      <c r="Y46" s="119"/>
    </row>
    <row r="47" spans="2:29" s="117" customFormat="1" ht="12" x14ac:dyDescent="0.25">
      <c r="B47" s="197"/>
      <c r="C47" s="197"/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S47" s="119"/>
      <c r="T47" s="197"/>
      <c r="U47" s="197">
        <v>5</v>
      </c>
      <c r="V47" s="197" t="s">
        <v>55</v>
      </c>
      <c r="X47" s="119"/>
      <c r="Y47" s="119"/>
    </row>
    <row r="48" spans="2:29" s="117" customFormat="1" ht="12" x14ac:dyDescent="0.25">
      <c r="P48" s="197"/>
      <c r="Q48" s="197"/>
      <c r="S48" s="119"/>
      <c r="T48" s="197"/>
      <c r="U48" s="197">
        <v>6</v>
      </c>
      <c r="V48" s="197" t="s">
        <v>55</v>
      </c>
      <c r="X48" s="119"/>
      <c r="Y48" s="119"/>
    </row>
    <row r="49" spans="16:25" s="117" customFormat="1" ht="12" x14ac:dyDescent="0.25">
      <c r="P49" s="197"/>
      <c r="Q49" s="197"/>
      <c r="S49" s="119"/>
      <c r="T49" s="197"/>
      <c r="U49" s="197">
        <v>7</v>
      </c>
      <c r="V49" s="197" t="s">
        <v>55</v>
      </c>
      <c r="X49" s="119"/>
      <c r="Y49" s="119"/>
    </row>
    <row r="50" spans="16:25" s="117" customFormat="1" ht="12" x14ac:dyDescent="0.25">
      <c r="P50" s="197"/>
      <c r="Q50" s="197"/>
      <c r="S50" s="119"/>
      <c r="T50" s="197"/>
      <c r="U50" s="197">
        <v>8</v>
      </c>
      <c r="V50" s="197" t="s">
        <v>55</v>
      </c>
      <c r="X50" s="119"/>
      <c r="Y50" s="119"/>
    </row>
    <row r="51" spans="16:25" s="117" customFormat="1" ht="12" x14ac:dyDescent="0.25">
      <c r="P51" s="197"/>
      <c r="Q51" s="197"/>
      <c r="S51" s="119"/>
      <c r="T51" s="197"/>
      <c r="U51" s="197">
        <v>9</v>
      </c>
      <c r="V51" s="197" t="s">
        <v>55</v>
      </c>
      <c r="X51" s="119"/>
      <c r="Y51" s="119"/>
    </row>
    <row r="52" spans="16:25" s="117" customFormat="1" ht="12" x14ac:dyDescent="0.25">
      <c r="P52" s="197"/>
      <c r="Q52" s="197"/>
      <c r="S52" s="119"/>
      <c r="T52" s="197"/>
      <c r="U52" s="197">
        <v>10</v>
      </c>
      <c r="V52" s="197" t="s">
        <v>55</v>
      </c>
      <c r="X52" s="119"/>
      <c r="Y52" s="119"/>
    </row>
    <row r="53" spans="16:25" s="117" customFormat="1" ht="12" x14ac:dyDescent="0.25">
      <c r="P53" s="197"/>
      <c r="Q53" s="197"/>
      <c r="S53" s="119"/>
      <c r="T53" s="197"/>
      <c r="U53" s="197">
        <v>11</v>
      </c>
      <c r="V53" s="197" t="s">
        <v>55</v>
      </c>
      <c r="X53" s="119"/>
      <c r="Y53" s="119"/>
    </row>
    <row r="54" spans="16:25" s="117" customFormat="1" ht="12" x14ac:dyDescent="0.25">
      <c r="P54" s="197"/>
      <c r="Q54" s="197"/>
      <c r="S54" s="119"/>
      <c r="T54" s="197"/>
      <c r="U54" s="197">
        <v>12</v>
      </c>
      <c r="V54" s="197" t="s">
        <v>55</v>
      </c>
      <c r="X54" s="119"/>
      <c r="Y54" s="119"/>
    </row>
    <row r="55" spans="16:25" s="117" customFormat="1" ht="12" x14ac:dyDescent="0.25">
      <c r="P55" s="197"/>
      <c r="Q55" s="197"/>
      <c r="S55" s="119"/>
      <c r="T55" s="197"/>
      <c r="U55" s="197">
        <v>13</v>
      </c>
      <c r="V55" s="197" t="s">
        <v>55</v>
      </c>
      <c r="X55" s="119"/>
      <c r="Y55" s="119"/>
    </row>
    <row r="56" spans="16:25" s="117" customFormat="1" ht="12" x14ac:dyDescent="0.25">
      <c r="P56" s="197"/>
      <c r="Q56" s="197"/>
      <c r="S56" s="119"/>
      <c r="T56" s="197"/>
      <c r="U56" s="197">
        <v>14</v>
      </c>
      <c r="V56" s="197" t="s">
        <v>55</v>
      </c>
      <c r="X56" s="119"/>
      <c r="Y56" s="119"/>
    </row>
    <row r="57" spans="16:25" s="117" customFormat="1" ht="12" x14ac:dyDescent="0.25">
      <c r="P57" s="197"/>
      <c r="Q57" s="197"/>
      <c r="S57" s="119"/>
      <c r="T57" s="197"/>
      <c r="U57" s="197">
        <v>15</v>
      </c>
      <c r="V57" s="197" t="s">
        <v>55</v>
      </c>
      <c r="X57" s="119"/>
      <c r="Y57" s="119"/>
    </row>
    <row r="58" spans="16:25" s="117" customFormat="1" ht="12" x14ac:dyDescent="0.25">
      <c r="P58" s="197"/>
      <c r="Q58" s="197"/>
      <c r="S58" s="119"/>
      <c r="T58" s="197"/>
      <c r="U58" s="197">
        <v>16</v>
      </c>
      <c r="V58" s="197" t="s">
        <v>55</v>
      </c>
      <c r="X58" s="119"/>
      <c r="Y58" s="119"/>
    </row>
    <row r="59" spans="16:25" s="117" customFormat="1" ht="12" x14ac:dyDescent="0.25">
      <c r="P59" s="197"/>
      <c r="Q59" s="197"/>
      <c r="S59" s="119"/>
      <c r="T59" s="197"/>
      <c r="U59" s="197">
        <v>17</v>
      </c>
      <c r="V59" s="197" t="s">
        <v>55</v>
      </c>
      <c r="X59" s="119"/>
      <c r="Y59" s="119"/>
    </row>
    <row r="60" spans="16:25" s="117" customFormat="1" ht="12" x14ac:dyDescent="0.25">
      <c r="P60" s="197"/>
      <c r="Q60" s="197"/>
      <c r="S60" s="119"/>
      <c r="T60" s="197"/>
      <c r="U60" s="197">
        <v>18</v>
      </c>
      <c r="V60" s="197" t="s">
        <v>55</v>
      </c>
      <c r="X60" s="119"/>
      <c r="Y60" s="119"/>
    </row>
    <row r="61" spans="16:25" s="117" customFormat="1" ht="12" x14ac:dyDescent="0.25">
      <c r="P61" s="197"/>
      <c r="Q61" s="197"/>
      <c r="S61" s="119"/>
      <c r="T61" s="197"/>
      <c r="U61" s="197">
        <v>19</v>
      </c>
      <c r="V61" s="197" t="s">
        <v>55</v>
      </c>
      <c r="X61" s="119"/>
      <c r="Y61" s="119"/>
    </row>
    <row r="62" spans="16:25" s="117" customFormat="1" ht="12" x14ac:dyDescent="0.25">
      <c r="P62" s="197"/>
      <c r="Q62" s="197"/>
      <c r="S62" s="119"/>
      <c r="T62" s="197"/>
      <c r="U62" s="197">
        <v>20</v>
      </c>
      <c r="V62" s="197" t="s">
        <v>55</v>
      </c>
      <c r="X62" s="119"/>
      <c r="Y62" s="119"/>
    </row>
    <row r="63" spans="16:25" s="117" customFormat="1" ht="12" x14ac:dyDescent="0.25">
      <c r="P63" s="197"/>
      <c r="Q63" s="197"/>
      <c r="S63" s="119"/>
      <c r="T63" s="197"/>
      <c r="U63" s="197">
        <v>21</v>
      </c>
      <c r="V63" s="197" t="s">
        <v>55</v>
      </c>
      <c r="X63" s="119"/>
      <c r="Y63" s="119"/>
    </row>
    <row r="64" spans="16:25" s="117" customFormat="1" ht="12" x14ac:dyDescent="0.25">
      <c r="P64" s="197"/>
      <c r="Q64" s="197"/>
      <c r="S64" s="119"/>
      <c r="T64" s="197"/>
      <c r="U64" s="197">
        <v>22</v>
      </c>
      <c r="V64" s="197" t="s">
        <v>55</v>
      </c>
      <c r="X64" s="119"/>
      <c r="Y64" s="119"/>
    </row>
    <row r="65" spans="16:25" s="117" customFormat="1" ht="12" x14ac:dyDescent="0.25">
      <c r="P65" s="197"/>
      <c r="Q65" s="197"/>
      <c r="S65" s="119"/>
      <c r="T65" s="197"/>
      <c r="U65" s="197">
        <v>23</v>
      </c>
      <c r="V65" s="197" t="s">
        <v>55</v>
      </c>
      <c r="X65" s="119"/>
      <c r="Y65" s="119"/>
    </row>
    <row r="66" spans="16:25" s="117" customFormat="1" ht="12" x14ac:dyDescent="0.25">
      <c r="P66" s="197"/>
      <c r="Q66" s="197"/>
      <c r="S66" s="119"/>
      <c r="T66" s="197"/>
      <c r="U66" s="197">
        <v>24</v>
      </c>
      <c r="V66" s="197" t="s">
        <v>55</v>
      </c>
      <c r="Y66" s="119"/>
    </row>
    <row r="67" spans="16:25" s="117" customFormat="1" ht="12" x14ac:dyDescent="0.25">
      <c r="U67" s="197">
        <v>25</v>
      </c>
      <c r="V67" s="197" t="s">
        <v>55</v>
      </c>
    </row>
    <row r="68" spans="16:25" s="117" customFormat="1" ht="12" x14ac:dyDescent="0.25">
      <c r="U68" s="197">
        <v>26</v>
      </c>
      <c r="V68" s="197" t="s">
        <v>55</v>
      </c>
    </row>
    <row r="69" spans="16:25" s="117" customFormat="1" ht="12" x14ac:dyDescent="0.25">
      <c r="U69" s="197">
        <v>27</v>
      </c>
      <c r="V69" s="197" t="s">
        <v>55</v>
      </c>
    </row>
    <row r="70" spans="16:25" s="117" customFormat="1" ht="12" x14ac:dyDescent="0.25">
      <c r="U70" s="197">
        <v>28</v>
      </c>
      <c r="V70" s="197" t="s">
        <v>55</v>
      </c>
    </row>
    <row r="71" spans="16:25" s="117" customFormat="1" ht="12" x14ac:dyDescent="0.25">
      <c r="U71" s="197">
        <v>29</v>
      </c>
      <c r="V71" s="197" t="s">
        <v>55</v>
      </c>
    </row>
    <row r="72" spans="16:25" s="117" customFormat="1" ht="12" x14ac:dyDescent="0.25">
      <c r="U72" s="197">
        <v>30</v>
      </c>
      <c r="V72" s="197" t="s">
        <v>55</v>
      </c>
    </row>
    <row r="73" spans="16:25" s="117" customFormat="1" ht="12" x14ac:dyDescent="0.25">
      <c r="U73" s="197">
        <v>31</v>
      </c>
      <c r="V73" s="197" t="s">
        <v>55</v>
      </c>
    </row>
    <row r="74" spans="16:25" s="117" customFormat="1" ht="12" x14ac:dyDescent="0.25">
      <c r="U74" s="197">
        <v>32</v>
      </c>
      <c r="V74" s="197" t="s">
        <v>55</v>
      </c>
    </row>
    <row r="75" spans="16:25" s="117" customFormat="1" ht="12" x14ac:dyDescent="0.25">
      <c r="U75" s="197" t="s">
        <v>55</v>
      </c>
      <c r="V75" s="197" t="s">
        <v>55</v>
      </c>
    </row>
    <row r="76" spans="16:25" s="117" customFormat="1" ht="12" x14ac:dyDescent="0.25">
      <c r="U76" s="118">
        <v>0</v>
      </c>
      <c r="V76" s="197" t="s">
        <v>55</v>
      </c>
    </row>
  </sheetData>
  <mergeCells count="4">
    <mergeCell ref="B2:F5"/>
    <mergeCell ref="B6:L7"/>
    <mergeCell ref="R8:W8"/>
    <mergeCell ref="R25:W25"/>
  </mergeCells>
  <conditionalFormatting sqref="D9:D40">
    <cfRule type="cellIs" dxfId="5" priority="2" stopIfTrue="1" operator="equal">
      <formula>0</formula>
    </cfRule>
  </conditionalFormatting>
  <conditionalFormatting sqref="E9:F9 G9:M10 E13:F13 G13:O14 E17:F17 G17:O18 E21:F21 G21:O22 E25:F25 G25:O26 E29:F29 G29:O30 E33:F33 G33:O34 E37:F37 G37:M38 O38:O39">
    <cfRule type="cellIs" dxfId="4" priority="3" stopIfTrue="1" operator="equal">
      <formula>0</formula>
    </cfRule>
  </conditionalFormatting>
  <conditionalFormatting sqref="E11:F11 G11:O12 E15:F15 G15:O16 E19:F19 G19:O20 E23:F23 G23:O24 E27:F27 G27:O28 E31:F31 G31:O32 E35:F35 G35:O36 E39:F39 G39:M40 N39:N42 O40:O42">
    <cfRule type="cellIs" dxfId="3" priority="1" stopIfTrue="1" operator="equal">
      <formula>0</formula>
    </cfRule>
  </conditionalFormatting>
  <conditionalFormatting sqref="W9:W24 W26:W42 O37 N37:N38">
    <cfRule type="cellIs" dxfId="2" priority="4" stopIfTrue="1" operator="equal">
      <formula>"DO"</formula>
    </cfRule>
    <cfRule type="cellIs" dxfId="1" priority="5" stopIfTrue="1" operator="equal">
      <formula>"UP"</formula>
    </cfRule>
    <cfRule type="cellIs" dxfId="0" priority="6" stopIfTrue="1" operator="equal">
      <formula>0</formula>
    </cfRule>
  </conditionalFormatting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2A71A-59BC-461D-AE00-C30C45685357}">
  <sheetPr codeName="Sheet21">
    <tabColor rgb="FFFFFF00"/>
    <pageSetUpPr fitToPage="1"/>
  </sheetPr>
  <dimension ref="A1:CB174"/>
  <sheetViews>
    <sheetView zoomScale="85" zoomScaleNormal="85" workbookViewId="0">
      <selection activeCell="H143" sqref="H143:H174"/>
    </sheetView>
  </sheetViews>
  <sheetFormatPr defaultColWidth="11.42578125" defaultRowHeight="15" x14ac:dyDescent="0.25"/>
  <cols>
    <col min="1" max="5" width="4.7109375" style="198" customWidth="1"/>
    <col min="6" max="6" width="0" style="198" hidden="1" customWidth="1"/>
    <col min="7" max="7" width="7.5703125" style="198" bestFit="1" customWidth="1"/>
    <col min="8" max="8" width="5.85546875" style="198" bestFit="1" customWidth="1"/>
    <col min="9" max="9" width="28.42578125" style="198" bestFit="1" customWidth="1"/>
    <col min="10" max="10" width="19.42578125" style="198" bestFit="1" customWidth="1"/>
    <col min="11" max="11" width="16.5703125" style="198" bestFit="1" customWidth="1"/>
    <col min="12" max="12" width="16.28515625" style="198" bestFit="1" customWidth="1"/>
    <col min="13" max="26" width="2.7109375" style="198" customWidth="1"/>
    <col min="27" max="45" width="0" style="198" hidden="1" customWidth="1"/>
    <col min="46" max="46" width="0.140625" style="198" customWidth="1"/>
    <col min="47" max="47" width="3.140625" style="198" customWidth="1"/>
    <col min="48" max="48" width="4.42578125" style="198" bestFit="1" customWidth="1"/>
    <col min="49" max="49" width="29.85546875" style="198" bestFit="1" customWidth="1"/>
    <col min="50" max="50" width="14.7109375" style="198" bestFit="1" customWidth="1"/>
    <col min="51" max="51" width="4.28515625" style="198" customWidth="1"/>
    <col min="52" max="52" width="16.5703125" style="198" bestFit="1" customWidth="1"/>
    <col min="53" max="53" width="15.42578125" style="198" bestFit="1" customWidth="1"/>
    <col min="54" max="54" width="4.28515625" style="198" customWidth="1"/>
    <col min="55" max="55" width="16.5703125" style="198" bestFit="1" customWidth="1"/>
    <col min="56" max="56" width="9.85546875" style="198" bestFit="1" customWidth="1"/>
    <col min="57" max="57" width="4.28515625" style="198" customWidth="1"/>
    <col min="58" max="58" width="14.28515625" style="198" bestFit="1" customWidth="1"/>
    <col min="59" max="59" width="8.7109375" style="198" bestFit="1" customWidth="1"/>
    <col min="60" max="60" width="4.28515625" style="198" customWidth="1"/>
    <col min="61" max="61" width="16.42578125" style="198" bestFit="1" customWidth="1"/>
    <col min="62" max="62" width="6.140625" style="198" bestFit="1" customWidth="1"/>
    <col min="63" max="63" width="11.42578125" style="198"/>
    <col min="64" max="64" width="7.85546875" style="198" customWidth="1"/>
    <col min="65" max="65" width="6.7109375" style="198" customWidth="1"/>
    <col min="66" max="66" width="4.42578125" style="198" customWidth="1"/>
    <col min="67" max="67" width="6.42578125" style="198" customWidth="1"/>
    <col min="68" max="68" width="3.85546875" style="198" customWidth="1"/>
    <col min="69" max="69" width="4.140625" style="198" customWidth="1"/>
    <col min="70" max="70" width="4" style="198" customWidth="1"/>
    <col min="71" max="71" width="8.140625" style="198" customWidth="1"/>
    <col min="72" max="72" width="5.7109375" style="198" customWidth="1"/>
    <col min="73" max="73" width="8.140625" style="198" customWidth="1"/>
    <col min="74" max="74" width="5.7109375" style="198" customWidth="1"/>
    <col min="75" max="75" width="8.28515625" style="198" customWidth="1"/>
    <col min="76" max="78" width="11.42578125" style="198"/>
    <col min="79" max="79" width="13.42578125" style="198" bestFit="1" customWidth="1"/>
    <col min="80" max="80" width="12.42578125" style="198" customWidth="1"/>
    <col min="81" max="16384" width="11.42578125" style="198"/>
  </cols>
  <sheetData>
    <row r="1" spans="1:80" ht="40.5" customHeight="1" x14ac:dyDescent="0.25">
      <c r="AV1" s="428" t="e" vm="1">
        <v>#VALUE!</v>
      </c>
      <c r="AW1" s="428"/>
      <c r="AX1" s="428"/>
      <c r="AY1" s="428"/>
      <c r="AZ1" s="428"/>
      <c r="BA1" s="428"/>
      <c r="BB1" s="428"/>
      <c r="BC1" s="428"/>
      <c r="BD1" s="428"/>
      <c r="BE1" s="428"/>
      <c r="BF1" s="428"/>
      <c r="BG1" s="428"/>
      <c r="BH1" s="428"/>
      <c r="BI1" s="428"/>
      <c r="BJ1" s="428"/>
    </row>
    <row r="2" spans="1:80" s="202" customFormat="1" ht="18" x14ac:dyDescent="0.25">
      <c r="A2" s="199"/>
      <c r="B2" s="199"/>
      <c r="C2" s="199"/>
      <c r="D2" s="200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429">
        <v>2</v>
      </c>
      <c r="AB2" s="429"/>
      <c r="AC2" s="201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  <c r="AU2" s="203"/>
      <c r="AV2" s="430" t="str">
        <f>Inscripciones!$B$2</f>
        <v>U19 MASCULINO</v>
      </c>
      <c r="AW2" s="430"/>
      <c r="AX2" s="430"/>
      <c r="AY2" s="430"/>
      <c r="AZ2" s="430"/>
      <c r="BA2" s="430"/>
      <c r="BB2" s="430"/>
      <c r="BC2" s="430"/>
      <c r="BD2" s="430"/>
      <c r="BE2" s="430"/>
      <c r="BF2" s="430"/>
      <c r="BG2" s="430"/>
      <c r="BH2" s="430"/>
      <c r="BI2" s="430"/>
    </row>
    <row r="3" spans="1:80" s="202" customFormat="1" ht="12.75" x14ac:dyDescent="0.25">
      <c r="A3" s="199" t="s">
        <v>56</v>
      </c>
      <c r="B3" s="199" t="s">
        <v>57</v>
      </c>
      <c r="C3" s="199" t="s">
        <v>58</v>
      </c>
      <c r="D3" s="200" t="s">
        <v>59</v>
      </c>
      <c r="E3" s="199" t="s">
        <v>60</v>
      </c>
      <c r="F3" s="199"/>
      <c r="G3" s="199" t="s">
        <v>61</v>
      </c>
      <c r="H3" s="199" t="s">
        <v>62</v>
      </c>
      <c r="I3" s="199" t="s">
        <v>63</v>
      </c>
      <c r="J3" s="199" t="s">
        <v>64</v>
      </c>
      <c r="K3" s="199" t="s">
        <v>65</v>
      </c>
      <c r="L3" s="199" t="s">
        <v>66</v>
      </c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 t="s">
        <v>67</v>
      </c>
      <c r="AB3" s="199" t="s">
        <v>68</v>
      </c>
      <c r="AC3" s="199"/>
      <c r="AD3" s="199" t="s">
        <v>69</v>
      </c>
      <c r="AE3" s="199" t="s">
        <v>70</v>
      </c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  <c r="AU3" s="203"/>
      <c r="AV3" s="204"/>
      <c r="AW3" s="204"/>
      <c r="AX3" s="205"/>
      <c r="AY3" s="204"/>
      <c r="AZ3" s="204"/>
      <c r="BA3" s="204"/>
      <c r="BB3" s="204"/>
      <c r="BC3" s="204"/>
      <c r="BD3" s="204"/>
      <c r="BE3" s="204"/>
    </row>
    <row r="4" spans="1:80" s="202" customFormat="1" ht="12.75" x14ac:dyDescent="0.25">
      <c r="A4" s="440">
        <v>1</v>
      </c>
      <c r="B4" s="447" t="s">
        <v>71</v>
      </c>
      <c r="C4" s="449" t="s">
        <v>72</v>
      </c>
      <c r="D4" s="449"/>
      <c r="E4" s="436"/>
      <c r="F4" s="451" t="str">
        <f>C4&amp;"-"&amp;D4&amp;"- Table"&amp;E4</f>
        <v>28/Sep-- Table</v>
      </c>
      <c r="G4" s="436">
        <f ca="1">'SORTEO 32'!D9</f>
        <v>2515</v>
      </c>
      <c r="H4" s="436">
        <f ca="1">'SORTEO 32'!D10</f>
        <v>3839</v>
      </c>
      <c r="I4" s="436" t="str">
        <f ca="1">IF(G4=0,0,VLOOKUP(G4,Inscripciones!$B$1:$I$464,2,FALSE))</f>
        <v>GABRIEL CHAVEZ QUIROS</v>
      </c>
      <c r="J4" s="436" t="str">
        <f ca="1">IF(G4=0,0,VLOOKUP(G4,Inscripciones!$B$1:$L$364,3,FALSE))</f>
        <v>SANTA ANA</v>
      </c>
      <c r="K4" s="436" t="str">
        <f ca="1">IF(I4=0,0,VLOOKUP(H4,Inscripciones!$B$1:$I$464,2,FALSE))</f>
        <v>ALBERTO BLANCO LEDEZMA</v>
      </c>
      <c r="L4" s="436" t="str">
        <f ca="1">IF(I4=0,0,VLOOKUP(H4,Inscripciones!$B$1:$L$364,3,FALSE))</f>
        <v>PÉREZ ZELEDÓN</v>
      </c>
      <c r="M4" s="426">
        <v>11</v>
      </c>
      <c r="N4" s="436">
        <v>8</v>
      </c>
      <c r="O4" s="436">
        <v>14</v>
      </c>
      <c r="P4" s="436">
        <v>12</v>
      </c>
      <c r="Q4" s="436"/>
      <c r="R4" s="436"/>
      <c r="S4" s="436"/>
      <c r="T4" s="436"/>
      <c r="U4" s="436"/>
      <c r="V4" s="436"/>
      <c r="W4" s="436"/>
      <c r="X4" s="436"/>
      <c r="Y4" s="436"/>
      <c r="Z4" s="433"/>
      <c r="AA4" s="435">
        <f>IF(M4+N4&lt;&gt;0,SUM(AF4:AL4),"")</f>
        <v>2</v>
      </c>
      <c r="AB4" s="435">
        <f>IF(M4+N4&lt;&gt;0,SUM(AF5:AL5),"")</f>
        <v>0</v>
      </c>
      <c r="AC4" s="435" t="str">
        <f>IF(AA4&gt;AB4,AD4&amp;"  "&amp;AE4,IF(AB4&gt;AA4,AD4&amp;"  "&amp;AE5,""))</f>
        <v>2 - 0  (8, 12)</v>
      </c>
      <c r="AD4" s="199" t="str">
        <f>IF(AA4&gt;AB4,AA4&amp;" - "&amp;AB4,IF(AB4&gt;AA4,AB4&amp;" - "&amp;AA4,""))</f>
        <v>2 - 0</v>
      </c>
      <c r="AE4" s="199" t="str">
        <f t="shared" ref="AE4:AE67" si="0">CONCATENATE("(",AM4,AN4,AO4,AP4,AQ4,AR4,AS4,")")</f>
        <v>(8, 12)</v>
      </c>
      <c r="AF4" s="199">
        <f>IF(M4&gt;N4,1,0)</f>
        <v>1</v>
      </c>
      <c r="AG4" s="199">
        <f>IF(O4&gt;P4,1,0)</f>
        <v>1</v>
      </c>
      <c r="AH4" s="199">
        <f>IF(Q4&gt;R4,1,0)</f>
        <v>0</v>
      </c>
      <c r="AI4" s="199">
        <f>IF(S4&gt;T4,1,0)</f>
        <v>0</v>
      </c>
      <c r="AJ4" s="199">
        <f>IF(U4&gt;V4,1,0)</f>
        <v>0</v>
      </c>
      <c r="AK4" s="199">
        <f>IF(W4&gt;X4,1,0)</f>
        <v>0</v>
      </c>
      <c r="AL4" s="199">
        <f>IF(Y4&gt;Z4,1,0)</f>
        <v>0</v>
      </c>
      <c r="AM4" s="199">
        <f>IF(M4&gt;N4,N4,IF(N4&gt;M4,-M4,""))</f>
        <v>8</v>
      </c>
      <c r="AN4" s="199" t="str">
        <f>IF(O4&gt;P4,", "&amp;P4,IF(P4&gt;O4,", "&amp;-O4,""))</f>
        <v>, 12</v>
      </c>
      <c r="AO4" s="199" t="str">
        <f>IF(Q4&gt;R4,", "&amp;R4,IF(R4&gt;Q4,", "&amp;-Q4,""))</f>
        <v/>
      </c>
      <c r="AP4" s="199" t="str">
        <f>IF(S4&gt;T4,", "&amp;T4,IF(T4&gt;S4,", "&amp;-S4,""))</f>
        <v/>
      </c>
      <c r="AQ4" s="199" t="str">
        <f>IF(U4&gt;V4,", "&amp;V4,IF(V4&gt;U4,", "&amp;-U4,""))</f>
        <v/>
      </c>
      <c r="AR4" s="199" t="str">
        <f>IF(W4&gt;X4,", "&amp;X4,IF(X4&gt;W4,", "&amp;-W4,""))</f>
        <v/>
      </c>
      <c r="AS4" s="199" t="str">
        <f>IF(Y4&gt;Z4,", "&amp;Z4,IF(Z4&gt;Y4,", "&amp;-Y4,""))</f>
        <v/>
      </c>
      <c r="AU4" s="206">
        <v>1</v>
      </c>
      <c r="AV4" s="207">
        <f ca="1">VLOOKUP(AV5,$A$4:$L$83,7,FALSE)</f>
        <v>2515</v>
      </c>
      <c r="AW4" s="208" t="str">
        <f ca="1">IF(AV4=0,0,VLOOKUP(AV4,Inscripciones!$B$1:$I$464,2,FALSE))</f>
        <v>GABRIEL CHAVEZ QUIROS</v>
      </c>
      <c r="AX4" s="209" t="str">
        <f ca="1">IF(AV4=0,0,VLOOKUP(AV4,Inscripciones!$B$1:$L$364,3,FALSE))</f>
        <v>SANTA ANA</v>
      </c>
      <c r="AY4" s="210"/>
      <c r="AZ4" s="211" t="str">
        <f>VLOOKUP(AV5,$A$4:$AD$83,29,FALSE)</f>
        <v>2 - 0  (8, 12)</v>
      </c>
      <c r="BA4" s="210"/>
      <c r="BB4" s="204"/>
      <c r="BC4" s="204"/>
      <c r="BD4" s="204"/>
      <c r="BE4" s="204"/>
      <c r="BL4" s="212" t="s">
        <v>73</v>
      </c>
      <c r="BM4" s="212" t="s">
        <v>74</v>
      </c>
      <c r="BN4" s="212" t="s">
        <v>75</v>
      </c>
      <c r="BO4" s="212" t="s">
        <v>76</v>
      </c>
      <c r="BP4" s="212" t="s">
        <v>77</v>
      </c>
      <c r="BQ4" s="212" t="s">
        <v>78</v>
      </c>
      <c r="BR4" s="212" t="s">
        <v>79</v>
      </c>
      <c r="BS4" s="212" t="s">
        <v>80</v>
      </c>
      <c r="BT4" s="212" t="s">
        <v>81</v>
      </c>
      <c r="BU4" s="212" t="s">
        <v>82</v>
      </c>
      <c r="BV4" s="212" t="s">
        <v>83</v>
      </c>
      <c r="BW4" s="212" t="s">
        <v>84</v>
      </c>
      <c r="BX4" s="213"/>
      <c r="BY4" s="214" t="s">
        <v>85</v>
      </c>
      <c r="BZ4" s="215" t="s">
        <v>86</v>
      </c>
      <c r="CA4" s="216" t="s">
        <v>87</v>
      </c>
      <c r="CB4" s="217" t="s">
        <v>88</v>
      </c>
    </row>
    <row r="5" spans="1:80" s="202" customFormat="1" ht="12.75" x14ac:dyDescent="0.25">
      <c r="A5" s="440"/>
      <c r="B5" s="448"/>
      <c r="C5" s="450"/>
      <c r="D5" s="450"/>
      <c r="E5" s="437"/>
      <c r="F5" s="452"/>
      <c r="G5" s="437"/>
      <c r="H5" s="437"/>
      <c r="I5" s="437">
        <v>0</v>
      </c>
      <c r="J5" s="437">
        <v>0</v>
      </c>
      <c r="K5" s="437">
        <v>0</v>
      </c>
      <c r="L5" s="437">
        <v>0</v>
      </c>
      <c r="M5" s="427"/>
      <c r="N5" s="437"/>
      <c r="O5" s="437"/>
      <c r="P5" s="437"/>
      <c r="Q5" s="437"/>
      <c r="R5" s="437"/>
      <c r="S5" s="437"/>
      <c r="T5" s="437"/>
      <c r="U5" s="437"/>
      <c r="V5" s="437"/>
      <c r="W5" s="437"/>
      <c r="X5" s="437"/>
      <c r="Y5" s="437"/>
      <c r="Z5" s="434"/>
      <c r="AA5" s="435"/>
      <c r="AB5" s="435"/>
      <c r="AC5" s="435"/>
      <c r="AD5" s="199" t="str">
        <f>IF(AA4&gt;AB4,AD4&amp;"  "&amp;AE4,IF(AB4&gt;AA4,AD4&amp;"  "&amp;AE5,""))</f>
        <v>2 - 0  (8, 12)</v>
      </c>
      <c r="AE5" s="199" t="str">
        <f t="shared" si="0"/>
        <v>(-8, -12)</v>
      </c>
      <c r="AF5" s="199">
        <f>IF(N4&gt;M4,1,0)</f>
        <v>0</v>
      </c>
      <c r="AG5" s="199">
        <f>IF(P4&gt;O4,1,0)</f>
        <v>0</v>
      </c>
      <c r="AH5" s="199">
        <f>IF(R4&gt;Q4,1,0)</f>
        <v>0</v>
      </c>
      <c r="AI5" s="199">
        <f>IF(T4&gt;S4,1,0)</f>
        <v>0</v>
      </c>
      <c r="AJ5" s="199">
        <f>IF(V4&gt;U4,1,0)</f>
        <v>0</v>
      </c>
      <c r="AK5" s="199">
        <f>IF(X4&gt;W4,1,0)</f>
        <v>0</v>
      </c>
      <c r="AL5" s="199">
        <f>IF(Z4&gt;Y4,1,0)</f>
        <v>0</v>
      </c>
      <c r="AM5" s="199">
        <f>IF(N4&gt;M4,M4,IF(M4&gt;N4,-N4,""))</f>
        <v>-8</v>
      </c>
      <c r="AN5" s="199" t="str">
        <f>IF(P4&gt;O4,", "&amp;O4,IF(O4&gt;P4,", "&amp;-P4,""))</f>
        <v>, -12</v>
      </c>
      <c r="AO5" s="199" t="str">
        <f>IF(R4&gt;Q4,", "&amp;Q4,IF(Q4&gt;R4,", "&amp;-R4,""))</f>
        <v/>
      </c>
      <c r="AP5" s="199" t="str">
        <f>IF(T4&gt;S4,", "&amp;S4,IF(S4&gt;T4,", "&amp;-T4,""))</f>
        <v/>
      </c>
      <c r="AQ5" s="199" t="str">
        <f>IF(V4&gt;U4,", "&amp;U4,IF(U4&gt;V4,", "&amp;-V4,""))</f>
        <v/>
      </c>
      <c r="AR5" s="199" t="str">
        <f>IF(X4&gt;W4,", "&amp;W4,IF(W4&gt;X4,", "&amp;-X4,""))</f>
        <v/>
      </c>
      <c r="AS5" s="199" t="str">
        <f>IF(Z4&gt;Y4,", "&amp;Y4,IF(Y4&gt;Z4,", "&amp;-Z4,""))</f>
        <v/>
      </c>
      <c r="AU5" s="203"/>
      <c r="AV5" s="218">
        <v>1</v>
      </c>
      <c r="AW5" s="219" t="str">
        <f>VLOOKUP(AV5,$A$4:$L$83,6,FALSE)</f>
        <v>28/Sep-- Table</v>
      </c>
      <c r="AX5" s="220"/>
      <c r="AY5" s="207">
        <f ca="1">VLOOKUP(AY7,$A$4:$L$87,7,FALSE)</f>
        <v>2515</v>
      </c>
      <c r="AZ5" s="208" t="str">
        <f ca="1">IF(AY5=0,0,VLOOKUP(AY5,Inscripciones!$B$1:$I$464,2,FALSE))</f>
        <v>GABRIEL CHAVEZ QUIROS</v>
      </c>
      <c r="BA5" s="209" t="str">
        <f ca="1">IF(AY5=0,0,VLOOKUP(AY5,Inscripciones!$B$1:$L$364,3,FALSE))</f>
        <v>SANTA ANA</v>
      </c>
      <c r="BB5" s="204"/>
      <c r="BC5" s="204"/>
      <c r="BD5" s="204"/>
      <c r="BE5" s="204"/>
      <c r="BL5" s="221">
        <v>1</v>
      </c>
      <c r="BM5" s="222" t="str">
        <f>C4</f>
        <v>28/Sep</v>
      </c>
      <c r="BN5" s="222">
        <f>D4</f>
        <v>0</v>
      </c>
      <c r="BO5" s="223">
        <f>E4</f>
        <v>0</v>
      </c>
      <c r="BP5" s="224" t="s">
        <v>89</v>
      </c>
      <c r="BQ5" s="221"/>
      <c r="BR5" s="221">
        <v>1</v>
      </c>
      <c r="BS5" s="225" t="e">
        <f ca="1">VLOOKUP(BY6,Inscripciones!$B$1:$B$364,2,FALSE)</f>
        <v>#REF!</v>
      </c>
      <c r="BT5" s="226"/>
      <c r="BU5" s="225" t="e">
        <f ca="1">VLOOKUP(BZ6,Inscripciones!$B$1:$B$364,2,FALSE)</f>
        <v>#REF!</v>
      </c>
      <c r="BV5" s="226"/>
      <c r="BW5" s="221"/>
      <c r="BX5" s="213"/>
      <c r="BY5" s="227">
        <f ca="1">G4</f>
        <v>2515</v>
      </c>
      <c r="BZ5" s="228">
        <f ca="1">H4</f>
        <v>3839</v>
      </c>
      <c r="CA5" s="216" t="str">
        <f>Inscripciones!$B$2</f>
        <v>U19 MASCULINO</v>
      </c>
      <c r="CB5" s="217" t="s">
        <v>90</v>
      </c>
    </row>
    <row r="6" spans="1:80" s="202" customFormat="1" ht="12.75" x14ac:dyDescent="0.25">
      <c r="A6" s="440">
        <v>2</v>
      </c>
      <c r="B6" s="441" t="s">
        <v>71</v>
      </c>
      <c r="C6" s="443" t="s">
        <v>72</v>
      </c>
      <c r="D6" s="443"/>
      <c r="E6" s="431"/>
      <c r="F6" s="445" t="str">
        <f t="shared" ref="F6" si="1">C6&amp;"-"&amp;D6&amp;"- Table"&amp;E6</f>
        <v>28/Sep-- Table</v>
      </c>
      <c r="G6" s="431">
        <f ca="1">'SORTEO 32'!D11</f>
        <v>2513</v>
      </c>
      <c r="H6" s="431">
        <f ca="1">'SORTEO 32'!D12</f>
        <v>3747</v>
      </c>
      <c r="I6" s="431" t="str">
        <f ca="1">IF(G6=0,0,VLOOKUP(G6,Inscripciones!$B$1:$I$464,2,FALSE))</f>
        <v>SEBASTIAN CHAVEZ QUIROS</v>
      </c>
      <c r="J6" s="431" t="str">
        <f ca="1">IF(G6=0,0,VLOOKUP(G6,Inscripciones!$B$1:$L$364,3,FALSE))</f>
        <v>SANTA ANA</v>
      </c>
      <c r="K6" s="431" t="str">
        <f ca="1">IF(I6=0,0,VLOOKUP(H6,Inscripciones!$B$1:$I$464,2,FALSE))</f>
        <v>LUIS ALONSO VILLALOBOS CAMPOS</v>
      </c>
      <c r="L6" s="431" t="str">
        <f ca="1">IF(I6=0,0,VLOOKUP(H6,Inscripciones!$B$1:$L$364,3,FALSE))</f>
        <v>ESPARZA</v>
      </c>
      <c r="M6" s="453">
        <v>10</v>
      </c>
      <c r="N6" s="431">
        <v>12</v>
      </c>
      <c r="O6" s="431">
        <v>8</v>
      </c>
      <c r="P6" s="431">
        <v>11</v>
      </c>
      <c r="Q6" s="431"/>
      <c r="R6" s="431"/>
      <c r="S6" s="431"/>
      <c r="T6" s="431"/>
      <c r="U6" s="431"/>
      <c r="V6" s="431"/>
      <c r="W6" s="431"/>
      <c r="X6" s="431"/>
      <c r="Y6" s="431"/>
      <c r="Z6" s="438"/>
      <c r="AA6" s="435">
        <f t="shared" ref="AA6" si="2">IF(M6+N6&lt;&gt;0,SUM(AF6:AL6),"")</f>
        <v>0</v>
      </c>
      <c r="AB6" s="435">
        <f t="shared" ref="AB6" si="3">IF(M6+N6&lt;&gt;0,SUM(AF7:AL7),"")</f>
        <v>2</v>
      </c>
      <c r="AC6" s="435" t="str">
        <f t="shared" ref="AC6" si="4">IF(AA6&gt;AB6,AD6&amp;"  "&amp;AE6,IF(AB6&gt;AA6,AD6&amp;"  "&amp;AE7,""))</f>
        <v>2 - 0  (10, 8)</v>
      </c>
      <c r="AD6" s="199" t="str">
        <f t="shared" ref="AD6" si="5">IF(AA6&gt;AB6,AA6&amp;" - "&amp;AB6,IF(AB6&gt;AA6,AB6&amp;" - "&amp;AA6,""))</f>
        <v>2 - 0</v>
      </c>
      <c r="AE6" s="199" t="str">
        <f t="shared" si="0"/>
        <v>(-10, -8)</v>
      </c>
      <c r="AF6" s="199">
        <f t="shared" ref="AF6" si="6">IF(M6&gt;N6,1,0)</f>
        <v>0</v>
      </c>
      <c r="AG6" s="199">
        <f t="shared" ref="AG6" si="7">IF(O6&gt;P6,1,0)</f>
        <v>0</v>
      </c>
      <c r="AH6" s="199">
        <f t="shared" ref="AH6" si="8">IF(Q6&gt;R6,1,0)</f>
        <v>0</v>
      </c>
      <c r="AI6" s="199">
        <f t="shared" ref="AI6" si="9">IF(S6&gt;T6,1,0)</f>
        <v>0</v>
      </c>
      <c r="AJ6" s="199">
        <f t="shared" ref="AJ6" si="10">IF(U6&gt;V6,1,0)</f>
        <v>0</v>
      </c>
      <c r="AK6" s="199">
        <f t="shared" ref="AK6" si="11">IF(W6&gt;X6,1,0)</f>
        <v>0</v>
      </c>
      <c r="AL6" s="199">
        <f t="shared" ref="AL6" si="12">IF(Y6&gt;Z6,1,0)</f>
        <v>0</v>
      </c>
      <c r="AM6" s="199">
        <f t="shared" ref="AM6" si="13">IF(M6&gt;N6,N6,IF(N6&gt;M6,-M6,""))</f>
        <v>-10</v>
      </c>
      <c r="AN6" s="199" t="str">
        <f t="shared" ref="AN6" si="14">IF(O6&gt;P6,", "&amp;P6,IF(P6&gt;O6,", "&amp;-O6,""))</f>
        <v>, -8</v>
      </c>
      <c r="AO6" s="199" t="str">
        <f t="shared" ref="AO6" si="15">IF(Q6&gt;R6,", "&amp;R6,IF(R6&gt;Q6,", "&amp;-Q6,""))</f>
        <v/>
      </c>
      <c r="AP6" s="199" t="str">
        <f t="shared" ref="AP6" si="16">IF(S6&gt;T6,", "&amp;T6,IF(T6&gt;S6,", "&amp;-S6,""))</f>
        <v/>
      </c>
      <c r="AQ6" s="199" t="str">
        <f t="shared" ref="AQ6" si="17">IF(U6&gt;V6,", "&amp;V6,IF(V6&gt;U6,", "&amp;-U6,""))</f>
        <v/>
      </c>
      <c r="AR6" s="199" t="str">
        <f t="shared" ref="AR6" si="18">IF(W6&gt;X6,", "&amp;X6,IF(X6&gt;W6,", "&amp;-W6,""))</f>
        <v/>
      </c>
      <c r="AS6" s="199" t="str">
        <f t="shared" ref="AS6" si="19">IF(Y6&gt;Z6,", "&amp;Z6,IF(Z6&gt;Y6,", "&amp;-Y6,""))</f>
        <v/>
      </c>
      <c r="AU6" s="206">
        <f>1+AU4</f>
        <v>2</v>
      </c>
      <c r="AV6" s="229">
        <f ca="1">VLOOKUP(AV5,$A$4:$L$83,8,FALSE)</f>
        <v>3839</v>
      </c>
      <c r="AW6" s="229" t="str">
        <f ca="1">IF(AV6=0,0,VLOOKUP(AV6,Inscripciones!$B$1:$I$464,2,FALSE))</f>
        <v>ALBERTO BLANCO LEDEZMA</v>
      </c>
      <c r="AX6" s="230" t="str">
        <f ca="1">IF(AV6=0,0,VLOOKUP(AV6,Inscripciones!$B$1:$L$364,3,FALSE))</f>
        <v>PÉREZ ZELEDÓN</v>
      </c>
      <c r="AY6" s="204"/>
      <c r="AZ6" s="204"/>
      <c r="BA6" s="231"/>
      <c r="BB6" s="210"/>
      <c r="BC6" s="211" t="str">
        <f>VLOOKUP(AY7,$A$4:$AD$83,29,FALSE)</f>
        <v>2 - 0  (8, 8)</v>
      </c>
      <c r="BD6" s="210"/>
      <c r="BE6" s="204"/>
      <c r="BL6" s="221">
        <f>1+BL5</f>
        <v>2</v>
      </c>
      <c r="BM6" s="222" t="str">
        <f>C6</f>
        <v>28/Sep</v>
      </c>
      <c r="BN6" s="222">
        <f>D6</f>
        <v>0</v>
      </c>
      <c r="BO6" s="223">
        <f>E6</f>
        <v>0</v>
      </c>
      <c r="BP6" s="224" t="s">
        <v>89</v>
      </c>
      <c r="BQ6" s="221"/>
      <c r="BR6" s="221">
        <v>2</v>
      </c>
      <c r="BS6" s="225" t="e">
        <f ca="1">VLOOKUP(BY7,Inscripciones!$B$1:$B$364,2,FALSE)</f>
        <v>#REF!</v>
      </c>
      <c r="BT6" s="226"/>
      <c r="BU6" s="225" t="e">
        <f ca="1">VLOOKUP(BZ7,Inscripciones!$B$1:$B$364,2,FALSE)</f>
        <v>#REF!</v>
      </c>
      <c r="BV6" s="226"/>
      <c r="BW6" s="221"/>
      <c r="BX6" s="213"/>
      <c r="BY6" s="227">
        <f ca="1">G6</f>
        <v>2513</v>
      </c>
      <c r="BZ6" s="228">
        <f ca="1">H6</f>
        <v>3747</v>
      </c>
      <c r="CA6" s="216" t="str">
        <f>Inscripciones!$B$2</f>
        <v>U19 MASCULINO</v>
      </c>
      <c r="CB6" s="217" t="s">
        <v>91</v>
      </c>
    </row>
    <row r="7" spans="1:80" s="202" customFormat="1" ht="12.75" x14ac:dyDescent="0.25">
      <c r="A7" s="440"/>
      <c r="B7" s="442"/>
      <c r="C7" s="444"/>
      <c r="D7" s="444"/>
      <c r="E7" s="432"/>
      <c r="F7" s="446"/>
      <c r="G7" s="432"/>
      <c r="H7" s="432"/>
      <c r="I7" s="432">
        <v>0</v>
      </c>
      <c r="J7" s="432">
        <v>0</v>
      </c>
      <c r="K7" s="432">
        <v>0</v>
      </c>
      <c r="L7" s="432">
        <v>0</v>
      </c>
      <c r="M7" s="454"/>
      <c r="N7" s="432"/>
      <c r="O7" s="432"/>
      <c r="P7" s="432"/>
      <c r="Q7" s="432"/>
      <c r="R7" s="432"/>
      <c r="S7" s="432"/>
      <c r="T7" s="432"/>
      <c r="U7" s="432"/>
      <c r="V7" s="432"/>
      <c r="W7" s="432"/>
      <c r="X7" s="432"/>
      <c r="Y7" s="432"/>
      <c r="Z7" s="439"/>
      <c r="AA7" s="435"/>
      <c r="AB7" s="435"/>
      <c r="AC7" s="435"/>
      <c r="AD7" s="199" t="str">
        <f t="shared" ref="AD7" si="20">IF(AA6&gt;AB6,AD6&amp;"  "&amp;AE6,IF(AB6&gt;AA6,AD6&amp;"  "&amp;AE7,""))</f>
        <v>2 - 0  (10, 8)</v>
      </c>
      <c r="AE7" s="199" t="str">
        <f t="shared" si="0"/>
        <v>(10, 8)</v>
      </c>
      <c r="AF7" s="199">
        <f t="shared" ref="AF7" si="21">IF(N6&gt;M6,1,0)</f>
        <v>1</v>
      </c>
      <c r="AG7" s="199">
        <f t="shared" ref="AG7" si="22">IF(P6&gt;O6,1,0)</f>
        <v>1</v>
      </c>
      <c r="AH7" s="199">
        <f t="shared" ref="AH7" si="23">IF(R6&gt;Q6,1,0)</f>
        <v>0</v>
      </c>
      <c r="AI7" s="199">
        <f t="shared" ref="AI7" si="24">IF(T6&gt;S6,1,0)</f>
        <v>0</v>
      </c>
      <c r="AJ7" s="199">
        <f t="shared" ref="AJ7" si="25">IF(V6&gt;U6,1,0)</f>
        <v>0</v>
      </c>
      <c r="AK7" s="199">
        <f t="shared" ref="AK7" si="26">IF(X6&gt;W6,1,0)</f>
        <v>0</v>
      </c>
      <c r="AL7" s="199">
        <f t="shared" ref="AL7" si="27">IF(Z6&gt;Y6,1,0)</f>
        <v>0</v>
      </c>
      <c r="AM7" s="199">
        <f t="shared" ref="AM7" si="28">IF(N6&gt;M6,M6,IF(M6&gt;N6,-N6,""))</f>
        <v>10</v>
      </c>
      <c r="AN7" s="199" t="str">
        <f t="shared" ref="AN7" si="29">IF(P6&gt;O6,", "&amp;O6,IF(O6&gt;P6,", "&amp;-P6,""))</f>
        <v>, 8</v>
      </c>
      <c r="AO7" s="199" t="str">
        <f t="shared" ref="AO7" si="30">IF(R6&gt;Q6,", "&amp;Q6,IF(Q6&gt;R6,", "&amp;-R6,""))</f>
        <v/>
      </c>
      <c r="AP7" s="199" t="str">
        <f t="shared" ref="AP7" si="31">IF(T6&gt;S6,", "&amp;S6,IF(S6&gt;T6,", "&amp;-T6,""))</f>
        <v/>
      </c>
      <c r="AQ7" s="199" t="str">
        <f t="shared" ref="AQ7" si="32">IF(V6&gt;U6,", "&amp;U6,IF(U6&gt;V6,", "&amp;-V6,""))</f>
        <v/>
      </c>
      <c r="AR7" s="199" t="str">
        <f t="shared" ref="AR7" si="33">IF(X6&gt;W6,", "&amp;W6,IF(W6&gt;X6,", "&amp;-X6,""))</f>
        <v/>
      </c>
      <c r="AS7" s="199" t="str">
        <f t="shared" ref="AS7" si="34">IF(Z6&gt;Y6,", "&amp;Y6,IF(Y6&gt;Z6,", "&amp;-Z6,""))</f>
        <v/>
      </c>
      <c r="AU7" s="206"/>
      <c r="AV7" s="204"/>
      <c r="AW7" s="204"/>
      <c r="AX7" s="232"/>
      <c r="AY7" s="218">
        <v>17</v>
      </c>
      <c r="AZ7" s="219" t="str">
        <f>VLOOKUP(AY7,$A$4:$L$83,6,FALSE)</f>
        <v>28/Sep-- Table</v>
      </c>
      <c r="BA7" s="233"/>
      <c r="BB7" s="207">
        <f ca="1">VLOOKUP(BB11,$A$4:$L$87,7,FALSE)</f>
        <v>2515</v>
      </c>
      <c r="BC7" s="208" t="str">
        <f ca="1">IF(BB7=0,0,VLOOKUP(BB7,Inscripciones!$B$1:$I$464,2,FALSE))</f>
        <v>GABRIEL CHAVEZ QUIROS</v>
      </c>
      <c r="BD7" s="209" t="str">
        <f ca="1">IF(BB7=0,0,VLOOKUP(BB7,Inscripciones!$B$1:$L$364,3,FALSE))</f>
        <v>SANTA ANA</v>
      </c>
      <c r="BE7" s="204"/>
      <c r="BL7" s="221">
        <f t="shared" ref="BL7:BL36" si="35">1+BL6</f>
        <v>3</v>
      </c>
      <c r="BM7" s="222" t="str">
        <f>C8</f>
        <v>28/Sep</v>
      </c>
      <c r="BN7" s="222">
        <f>D8</f>
        <v>0</v>
      </c>
      <c r="BO7" s="223">
        <f>E8</f>
        <v>0</v>
      </c>
      <c r="BP7" s="224" t="s">
        <v>89</v>
      </c>
      <c r="BQ7" s="221"/>
      <c r="BR7" s="221">
        <v>3</v>
      </c>
      <c r="BS7" s="225" t="e">
        <f ca="1">VLOOKUP(BY8,Inscripciones!$B$1:$B$364,2,FALSE)</f>
        <v>#REF!</v>
      </c>
      <c r="BT7" s="226"/>
      <c r="BU7" s="225" t="e">
        <f ca="1">VLOOKUP(BZ8,Inscripciones!$B$1:$B$364,2,FALSE)</f>
        <v>#REF!</v>
      </c>
      <c r="BV7" s="226"/>
      <c r="BW7" s="221"/>
      <c r="BX7" s="213"/>
      <c r="BY7" s="227">
        <f ca="1">G8</f>
        <v>3468</v>
      </c>
      <c r="BZ7" s="228">
        <f ca="1">H8</f>
        <v>4056</v>
      </c>
      <c r="CA7" s="216" t="str">
        <f>Inscripciones!$B$2</f>
        <v>U19 MASCULINO</v>
      </c>
      <c r="CB7" s="217" t="s">
        <v>92</v>
      </c>
    </row>
    <row r="8" spans="1:80" s="202" customFormat="1" ht="12.75" x14ac:dyDescent="0.25">
      <c r="A8" s="440">
        <v>3</v>
      </c>
      <c r="B8" s="447" t="s">
        <v>93</v>
      </c>
      <c r="C8" s="449" t="s">
        <v>72</v>
      </c>
      <c r="D8" s="449"/>
      <c r="E8" s="436"/>
      <c r="F8" s="451" t="str">
        <f t="shared" ref="F8" si="36">C8&amp;"-"&amp;D8&amp;"- Table"&amp;E8</f>
        <v>28/Sep-- Table</v>
      </c>
      <c r="G8" s="436">
        <f ca="1">'SORTEO 32'!D13</f>
        <v>3468</v>
      </c>
      <c r="H8" s="436">
        <f ca="1">'SORTEO 32'!D14</f>
        <v>4056</v>
      </c>
      <c r="I8" s="436" t="str">
        <f ca="1">IF(G8=0,0,VLOOKUP(G8,Inscripciones!$B$1:$I$464,2,FALSE))</f>
        <v>DANIEL DAVID ALPIZAR VILLALOBOS</v>
      </c>
      <c r="J8" s="436" t="str">
        <f ca="1">IF(G8=0,0,VLOOKUP(G8,Inscripciones!$B$1:$L$364,3,FALSE))</f>
        <v>ASERRÍ</v>
      </c>
      <c r="K8" s="436" t="str">
        <f ca="1">IF(I8=0,0,VLOOKUP(H8,Inscripciones!$B$1:$I$464,2,FALSE))</f>
        <v>JOSEF ARIAS BRAVO</v>
      </c>
      <c r="L8" s="436" t="str">
        <f ca="1">IF(I8=0,0,VLOOKUP(H8,Inscripciones!$B$1:$L$364,3,FALSE))</f>
        <v>ESPARZA</v>
      </c>
      <c r="M8" s="426">
        <v>16</v>
      </c>
      <c r="N8" s="436">
        <v>18</v>
      </c>
      <c r="O8" s="436">
        <v>7</v>
      </c>
      <c r="P8" s="436">
        <v>11</v>
      </c>
      <c r="Q8" s="436"/>
      <c r="R8" s="436"/>
      <c r="S8" s="436"/>
      <c r="T8" s="436"/>
      <c r="U8" s="436"/>
      <c r="V8" s="436"/>
      <c r="W8" s="436"/>
      <c r="X8" s="436"/>
      <c r="Y8" s="436"/>
      <c r="Z8" s="433"/>
      <c r="AA8" s="435">
        <f t="shared" ref="AA8" si="37">IF(M8+N8&lt;&gt;0,SUM(AF8:AL8),"")</f>
        <v>0</v>
      </c>
      <c r="AB8" s="435">
        <f t="shared" ref="AB8" si="38">IF(M8+N8&lt;&gt;0,SUM(AF9:AL9),"")</f>
        <v>2</v>
      </c>
      <c r="AC8" s="435" t="str">
        <f t="shared" ref="AC8" si="39">IF(AA8&gt;AB8,AD8&amp;"  "&amp;AE8,IF(AB8&gt;AA8,AD8&amp;"  "&amp;AE9,""))</f>
        <v>2 - 0  (16, 7)</v>
      </c>
      <c r="AD8" s="199" t="str">
        <f t="shared" ref="AD8" si="40">IF(AA8&gt;AB8,AA8&amp;" - "&amp;AB8,IF(AB8&gt;AA8,AB8&amp;" - "&amp;AA8,""))</f>
        <v>2 - 0</v>
      </c>
      <c r="AE8" s="199" t="str">
        <f t="shared" si="0"/>
        <v>(-16, -7)</v>
      </c>
      <c r="AF8" s="199">
        <f t="shared" ref="AF8" si="41">IF(M8&gt;N8,1,0)</f>
        <v>0</v>
      </c>
      <c r="AG8" s="199">
        <f t="shared" ref="AG8" si="42">IF(O8&gt;P8,1,0)</f>
        <v>0</v>
      </c>
      <c r="AH8" s="199">
        <f t="shared" ref="AH8" si="43">IF(Q8&gt;R8,1,0)</f>
        <v>0</v>
      </c>
      <c r="AI8" s="199">
        <f t="shared" ref="AI8" si="44">IF(S8&gt;T8,1,0)</f>
        <v>0</v>
      </c>
      <c r="AJ8" s="199">
        <f t="shared" ref="AJ8" si="45">IF(U8&gt;V8,1,0)</f>
        <v>0</v>
      </c>
      <c r="AK8" s="199">
        <f t="shared" ref="AK8" si="46">IF(W8&gt;X8,1,0)</f>
        <v>0</v>
      </c>
      <c r="AL8" s="199">
        <f t="shared" ref="AL8" si="47">IF(Y8&gt;Z8,1,0)</f>
        <v>0</v>
      </c>
      <c r="AM8" s="199">
        <f t="shared" ref="AM8" si="48">IF(M8&gt;N8,N8,IF(N8&gt;M8,-M8,""))</f>
        <v>-16</v>
      </c>
      <c r="AN8" s="199" t="str">
        <f t="shared" ref="AN8" si="49">IF(O8&gt;P8,", "&amp;P8,IF(P8&gt;O8,", "&amp;-O8,""))</f>
        <v>, -7</v>
      </c>
      <c r="AO8" s="199" t="str">
        <f t="shared" ref="AO8" si="50">IF(Q8&gt;R8,", "&amp;R8,IF(R8&gt;Q8,", "&amp;-Q8,""))</f>
        <v/>
      </c>
      <c r="AP8" s="199" t="str">
        <f t="shared" ref="AP8" si="51">IF(S8&gt;T8,", "&amp;T8,IF(T8&gt;S8,", "&amp;-S8,""))</f>
        <v/>
      </c>
      <c r="AQ8" s="199" t="str">
        <f t="shared" ref="AQ8" si="52">IF(U8&gt;V8,", "&amp;V8,IF(V8&gt;U8,", "&amp;-U8,""))</f>
        <v/>
      </c>
      <c r="AR8" s="199" t="str">
        <f t="shared" ref="AR8" si="53">IF(W8&gt;X8,", "&amp;X8,IF(X8&gt;W8,", "&amp;-W8,""))</f>
        <v/>
      </c>
      <c r="AS8" s="199" t="str">
        <f t="shared" ref="AS8" si="54">IF(Y8&gt;Z8,", "&amp;Z8,IF(Z8&gt;Y8,", "&amp;-Y8,""))</f>
        <v/>
      </c>
      <c r="AU8" s="206">
        <f>1+AU6</f>
        <v>3</v>
      </c>
      <c r="AV8" s="207">
        <f ca="1">VLOOKUP(AV9,$A$4:$L$83,7,FALSE)</f>
        <v>2513</v>
      </c>
      <c r="AW8" s="208" t="str">
        <f ca="1">IF(AV8=0,0,VLOOKUP(AV8,Inscripciones!$B$1:$I$464,2,FALSE))</f>
        <v>SEBASTIAN CHAVEZ QUIROS</v>
      </c>
      <c r="AX8" s="209" t="str">
        <f ca="1">IF(AV8=0,0,VLOOKUP(AV8,Inscripciones!$B$1:$L$364,3,FALSE))</f>
        <v>SANTA ANA</v>
      </c>
      <c r="AY8" s="234"/>
      <c r="AZ8" s="204"/>
      <c r="BA8" s="231"/>
      <c r="BB8" s="204"/>
      <c r="BC8" s="204"/>
      <c r="BD8" s="231"/>
      <c r="BE8" s="204"/>
      <c r="BL8" s="221">
        <f t="shared" si="35"/>
        <v>4</v>
      </c>
      <c r="BM8" s="222" t="str">
        <f>C10</f>
        <v>28/Sep</v>
      </c>
      <c r="BN8" s="222">
        <f>D10</f>
        <v>0</v>
      </c>
      <c r="BO8" s="223">
        <f>E10</f>
        <v>0</v>
      </c>
      <c r="BP8" s="224" t="s">
        <v>89</v>
      </c>
      <c r="BQ8" s="221"/>
      <c r="BR8" s="221">
        <v>4</v>
      </c>
      <c r="BS8" s="225" t="e">
        <f ca="1">VLOOKUP(BY9,Inscripciones!$B$1:$B$364,2,FALSE)</f>
        <v>#REF!</v>
      </c>
      <c r="BT8" s="226"/>
      <c r="BU8" s="225" t="e">
        <f ca="1">VLOOKUP(BZ9,Inscripciones!$B$1:$B$364,2,FALSE)</f>
        <v>#REF!</v>
      </c>
      <c r="BV8" s="226"/>
      <c r="BW8" s="221"/>
      <c r="BX8" s="213"/>
      <c r="BY8" s="227">
        <f ca="1">G10</f>
        <v>2801</v>
      </c>
      <c r="BZ8" s="228">
        <f ca="1">H10</f>
        <v>2895</v>
      </c>
      <c r="CA8" s="216" t="str">
        <f>Inscripciones!$B$2</f>
        <v>U19 MASCULINO</v>
      </c>
      <c r="CB8" s="217" t="s">
        <v>94</v>
      </c>
    </row>
    <row r="9" spans="1:80" s="202" customFormat="1" ht="12.75" x14ac:dyDescent="0.25">
      <c r="A9" s="440"/>
      <c r="B9" s="448"/>
      <c r="C9" s="450"/>
      <c r="D9" s="450"/>
      <c r="E9" s="437"/>
      <c r="F9" s="452"/>
      <c r="G9" s="437"/>
      <c r="H9" s="437"/>
      <c r="I9" s="437">
        <v>0</v>
      </c>
      <c r="J9" s="437">
        <v>0</v>
      </c>
      <c r="K9" s="437">
        <v>0</v>
      </c>
      <c r="L9" s="437">
        <v>0</v>
      </c>
      <c r="M9" s="427"/>
      <c r="N9" s="437"/>
      <c r="O9" s="437"/>
      <c r="P9" s="437"/>
      <c r="Q9" s="437"/>
      <c r="R9" s="437"/>
      <c r="S9" s="437"/>
      <c r="T9" s="437"/>
      <c r="U9" s="437"/>
      <c r="V9" s="437"/>
      <c r="W9" s="437"/>
      <c r="X9" s="437"/>
      <c r="Y9" s="437"/>
      <c r="Z9" s="434"/>
      <c r="AA9" s="435"/>
      <c r="AB9" s="435"/>
      <c r="AC9" s="435"/>
      <c r="AD9" s="199" t="str">
        <f t="shared" ref="AD9" si="55">IF(AA8&gt;AB8,AD8&amp;"  "&amp;AE8,IF(AB8&gt;AA8,AD8&amp;"  "&amp;AE9,""))</f>
        <v>2 - 0  (16, 7)</v>
      </c>
      <c r="AE9" s="199" t="str">
        <f t="shared" si="0"/>
        <v>(16, 7)</v>
      </c>
      <c r="AF9" s="199">
        <f t="shared" ref="AF9" si="56">IF(N8&gt;M8,1,0)</f>
        <v>1</v>
      </c>
      <c r="AG9" s="199">
        <f t="shared" ref="AG9" si="57">IF(P8&gt;O8,1,0)</f>
        <v>1</v>
      </c>
      <c r="AH9" s="199">
        <f t="shared" ref="AH9" si="58">IF(R8&gt;Q8,1,0)</f>
        <v>0</v>
      </c>
      <c r="AI9" s="199">
        <f t="shared" ref="AI9" si="59">IF(T8&gt;S8,1,0)</f>
        <v>0</v>
      </c>
      <c r="AJ9" s="199">
        <f t="shared" ref="AJ9" si="60">IF(V8&gt;U8,1,0)</f>
        <v>0</v>
      </c>
      <c r="AK9" s="199">
        <f t="shared" ref="AK9" si="61">IF(X8&gt;W8,1,0)</f>
        <v>0</v>
      </c>
      <c r="AL9" s="199">
        <f t="shared" ref="AL9" si="62">IF(Z8&gt;Y8,1,0)</f>
        <v>0</v>
      </c>
      <c r="AM9" s="199">
        <f t="shared" ref="AM9" si="63">IF(N8&gt;M8,M8,IF(M8&gt;N8,-N8,""))</f>
        <v>16</v>
      </c>
      <c r="AN9" s="199" t="str">
        <f t="shared" ref="AN9" si="64">IF(P8&gt;O8,", "&amp;O8,IF(O8&gt;P8,", "&amp;-P8,""))</f>
        <v>, 7</v>
      </c>
      <c r="AO9" s="199" t="str">
        <f t="shared" ref="AO9" si="65">IF(R8&gt;Q8,", "&amp;Q8,IF(Q8&gt;R8,", "&amp;-R8,""))</f>
        <v/>
      </c>
      <c r="AP9" s="199" t="str">
        <f t="shared" ref="AP9" si="66">IF(T8&gt;S8,", "&amp;S8,IF(S8&gt;T8,", "&amp;-T8,""))</f>
        <v/>
      </c>
      <c r="AQ9" s="199" t="str">
        <f t="shared" ref="AQ9" si="67">IF(V8&gt;U8,", "&amp;U8,IF(U8&gt;V8,", "&amp;-V8,""))</f>
        <v/>
      </c>
      <c r="AR9" s="199" t="str">
        <f t="shared" ref="AR9" si="68">IF(X8&gt;W8,", "&amp;W8,IF(W8&gt;X8,", "&amp;-X8,""))</f>
        <v/>
      </c>
      <c r="AS9" s="199" t="str">
        <f t="shared" ref="AS9" si="69">IF(Z8&gt;Y8,", "&amp;Y8,IF(Y8&gt;Z8,", "&amp;-Z8,""))</f>
        <v/>
      </c>
      <c r="AU9" s="203"/>
      <c r="AV9" s="218">
        <v>2</v>
      </c>
      <c r="AW9" s="219" t="str">
        <f>VLOOKUP(AV9,$A$4:$L$83,6,FALSE)</f>
        <v>28/Sep-- Table</v>
      </c>
      <c r="AX9" s="220"/>
      <c r="AY9" s="229">
        <f ca="1">VLOOKUP(AY7,$A$4:$L$87,8,FALSE)</f>
        <v>3747</v>
      </c>
      <c r="AZ9" s="229" t="str">
        <f ca="1">IF(AY9=0,0,VLOOKUP(AY9,Inscripciones!$B$1:$I$464,2,FALSE))</f>
        <v>LUIS ALONSO VILLALOBOS CAMPOS</v>
      </c>
      <c r="BA9" s="230" t="str">
        <f ca="1">IF(AY9=0,0,VLOOKUP(AY9,Inscripciones!$B$1:$L$364,3,FALSE))</f>
        <v>ESPARZA</v>
      </c>
      <c r="BB9" s="204"/>
      <c r="BC9" s="204"/>
      <c r="BD9" s="231"/>
      <c r="BE9" s="204"/>
      <c r="BL9" s="221">
        <f t="shared" si="35"/>
        <v>5</v>
      </c>
      <c r="BM9" s="222" t="str">
        <f>C12</f>
        <v>28/Sep</v>
      </c>
      <c r="BN9" s="222">
        <f>D12</f>
        <v>0</v>
      </c>
      <c r="BO9" s="223">
        <f>E12</f>
        <v>0</v>
      </c>
      <c r="BP9" s="224" t="s">
        <v>89</v>
      </c>
      <c r="BQ9" s="221"/>
      <c r="BR9" s="221">
        <v>5</v>
      </c>
      <c r="BS9" s="225" t="e">
        <f ca="1">VLOOKUP(BY10,Inscripciones!$B$1:$B$364,2,FALSE)</f>
        <v>#REF!</v>
      </c>
      <c r="BT9" s="226"/>
      <c r="BU9" s="225" t="e">
        <f ca="1">VLOOKUP(BZ10,Inscripciones!$B$1:$B$364,2,FALSE)</f>
        <v>#REF!</v>
      </c>
      <c r="BV9" s="226"/>
      <c r="BW9" s="221"/>
      <c r="BX9" s="213"/>
      <c r="BY9" s="227">
        <f ca="1">G12</f>
        <v>3153</v>
      </c>
      <c r="BZ9" s="228">
        <f ca="1">H12</f>
        <v>4463</v>
      </c>
      <c r="CA9" s="216" t="str">
        <f>Inscripciones!$B$2</f>
        <v>U19 MASCULINO</v>
      </c>
      <c r="CB9" s="217" t="s">
        <v>95</v>
      </c>
    </row>
    <row r="10" spans="1:80" s="202" customFormat="1" ht="12.75" x14ac:dyDescent="0.25">
      <c r="A10" s="440">
        <v>4</v>
      </c>
      <c r="B10" s="441" t="s">
        <v>93</v>
      </c>
      <c r="C10" s="443" t="s">
        <v>72</v>
      </c>
      <c r="D10" s="443"/>
      <c r="E10" s="431"/>
      <c r="F10" s="445" t="str">
        <f t="shared" ref="F10" si="70">C10&amp;"-"&amp;D10&amp;"- Table"&amp;E10</f>
        <v>28/Sep-- Table</v>
      </c>
      <c r="G10" s="431">
        <f ca="1">'SORTEO 32'!D15</f>
        <v>2801</v>
      </c>
      <c r="H10" s="431">
        <f ca="1">'SORTEO 32'!D16</f>
        <v>2895</v>
      </c>
      <c r="I10" s="431" t="str">
        <f ca="1">IF(G10=0,0,VLOOKUP(G10,Inscripciones!$B$1:$I$464,2,FALSE))</f>
        <v>IAN VARGAS JIMENEZ</v>
      </c>
      <c r="J10" s="431" t="str">
        <f ca="1">IF(G10=0,0,VLOOKUP(G10,Inscripciones!$B$1:$L$364,3,FALSE))</f>
        <v>CCDR SAN JOSÉ</v>
      </c>
      <c r="K10" s="431" t="str">
        <f ca="1">IF(I10=0,0,VLOOKUP(H10,Inscripciones!$B$1:$I$464,2,FALSE))</f>
        <v>ANDRES JOSE VEGA VALERIO</v>
      </c>
      <c r="L10" s="431" t="str">
        <f ca="1">IF(I10=0,0,VLOOKUP(H10,Inscripciones!$B$1:$L$364,3,FALSE))</f>
        <v>ALAJUELA - UCR</v>
      </c>
      <c r="M10" s="453">
        <v>3</v>
      </c>
      <c r="N10" s="431">
        <v>11</v>
      </c>
      <c r="O10" s="431">
        <v>5</v>
      </c>
      <c r="P10" s="431">
        <v>11</v>
      </c>
      <c r="Q10" s="431"/>
      <c r="R10" s="431"/>
      <c r="S10" s="431"/>
      <c r="T10" s="431"/>
      <c r="U10" s="431"/>
      <c r="V10" s="431"/>
      <c r="W10" s="431"/>
      <c r="X10" s="431"/>
      <c r="Y10" s="431"/>
      <c r="Z10" s="438"/>
      <c r="AA10" s="435">
        <f t="shared" ref="AA10" si="71">IF(M10+N10&lt;&gt;0,SUM(AF10:AL10),"")</f>
        <v>0</v>
      </c>
      <c r="AB10" s="435">
        <f t="shared" ref="AB10" si="72">IF(M10+N10&lt;&gt;0,SUM(AF11:AL11),"")</f>
        <v>2</v>
      </c>
      <c r="AC10" s="435" t="str">
        <f t="shared" ref="AC10" si="73">IF(AA10&gt;AB10,AD10&amp;"  "&amp;AE10,IF(AB10&gt;AA10,AD10&amp;"  "&amp;AE11,""))</f>
        <v>2 - 0  (3, 5)</v>
      </c>
      <c r="AD10" s="199" t="str">
        <f t="shared" ref="AD10" si="74">IF(AA10&gt;AB10,AA10&amp;" - "&amp;AB10,IF(AB10&gt;AA10,AB10&amp;" - "&amp;AA10,""))</f>
        <v>2 - 0</v>
      </c>
      <c r="AE10" s="199" t="str">
        <f t="shared" si="0"/>
        <v>(-3, -5)</v>
      </c>
      <c r="AF10" s="199">
        <f t="shared" ref="AF10" si="75">IF(M10&gt;N10,1,0)</f>
        <v>0</v>
      </c>
      <c r="AG10" s="199">
        <f t="shared" ref="AG10" si="76">IF(O10&gt;P10,1,0)</f>
        <v>0</v>
      </c>
      <c r="AH10" s="199">
        <f t="shared" ref="AH10" si="77">IF(Q10&gt;R10,1,0)</f>
        <v>0</v>
      </c>
      <c r="AI10" s="199">
        <f t="shared" ref="AI10" si="78">IF(S10&gt;T10,1,0)</f>
        <v>0</v>
      </c>
      <c r="AJ10" s="199">
        <f t="shared" ref="AJ10" si="79">IF(U10&gt;V10,1,0)</f>
        <v>0</v>
      </c>
      <c r="AK10" s="199">
        <f t="shared" ref="AK10" si="80">IF(W10&gt;X10,1,0)</f>
        <v>0</v>
      </c>
      <c r="AL10" s="199">
        <f t="shared" ref="AL10" si="81">IF(Y10&gt;Z10,1,0)</f>
        <v>0</v>
      </c>
      <c r="AM10" s="199">
        <f t="shared" ref="AM10" si="82">IF(M10&gt;N10,N10,IF(N10&gt;M10,-M10,""))</f>
        <v>-3</v>
      </c>
      <c r="AN10" s="199" t="str">
        <f t="shared" ref="AN10" si="83">IF(O10&gt;P10,", "&amp;P10,IF(P10&gt;O10,", "&amp;-O10,""))</f>
        <v>, -5</v>
      </c>
      <c r="AO10" s="199" t="str">
        <f t="shared" ref="AO10" si="84">IF(Q10&gt;R10,", "&amp;R10,IF(R10&gt;Q10,", "&amp;-Q10,""))</f>
        <v/>
      </c>
      <c r="AP10" s="199" t="str">
        <f t="shared" ref="AP10" si="85">IF(S10&gt;T10,", "&amp;T10,IF(T10&gt;S10,", "&amp;-S10,""))</f>
        <v/>
      </c>
      <c r="AQ10" s="199" t="str">
        <f t="shared" ref="AQ10" si="86">IF(U10&gt;V10,", "&amp;V10,IF(V10&gt;U10,", "&amp;-U10,""))</f>
        <v/>
      </c>
      <c r="AR10" s="199" t="str">
        <f t="shared" ref="AR10" si="87">IF(W10&gt;X10,", "&amp;X10,IF(X10&gt;W10,", "&amp;-W10,""))</f>
        <v/>
      </c>
      <c r="AS10" s="199" t="str">
        <f t="shared" ref="AS10" si="88">IF(Y10&gt;Z10,", "&amp;Z10,IF(Z10&gt;Y10,", "&amp;-Y10,""))</f>
        <v/>
      </c>
      <c r="AU10" s="206">
        <f>1+AU8</f>
        <v>4</v>
      </c>
      <c r="AV10" s="229">
        <f ca="1">VLOOKUP(AV9,$A$4:$L$83,8,FALSE)</f>
        <v>3747</v>
      </c>
      <c r="AW10" s="229" t="str">
        <f ca="1">IF(AV10=0,0,VLOOKUP(AV10,Inscripciones!$B$1:$I$464,2,FALSE))</f>
        <v>LUIS ALONSO VILLALOBOS CAMPOS</v>
      </c>
      <c r="AX10" s="230" t="str">
        <f ca="1">IF(AV10=0,0,VLOOKUP(AV10,Inscripciones!$B$1:$L$364,3,FALSE))</f>
        <v>ESPARZA</v>
      </c>
      <c r="AY10" s="210"/>
      <c r="AZ10" s="211" t="str">
        <f>VLOOKUP(AV9,$A$4:$AD$87,29,FALSE)</f>
        <v>2 - 0  (10, 8)</v>
      </c>
      <c r="BA10" s="210"/>
      <c r="BB10" s="204"/>
      <c r="BC10" s="204"/>
      <c r="BD10" s="231"/>
      <c r="BE10" s="210"/>
      <c r="BF10" s="211" t="str">
        <f>VLOOKUP(BB11,$A$4:$AD$83,29,FALSE)</f>
        <v>2 - 1  (-9, 11, 5)</v>
      </c>
      <c r="BG10" s="210"/>
      <c r="BL10" s="221">
        <f t="shared" si="35"/>
        <v>6</v>
      </c>
      <c r="BM10" s="222" t="str">
        <f>C14</f>
        <v>28/Sep</v>
      </c>
      <c r="BN10" s="222">
        <f>D14</f>
        <v>0</v>
      </c>
      <c r="BO10" s="223">
        <f>E14</f>
        <v>0</v>
      </c>
      <c r="BP10" s="224" t="s">
        <v>89</v>
      </c>
      <c r="BQ10" s="221"/>
      <c r="BR10" s="221">
        <v>6</v>
      </c>
      <c r="BS10" s="225" t="e">
        <f ca="1">VLOOKUP(BY11,Inscripciones!$B$1:$B$364,2,FALSE)</f>
        <v>#REF!</v>
      </c>
      <c r="BT10" s="226"/>
      <c r="BU10" s="225" t="e">
        <f ca="1">VLOOKUP(BZ11,Inscripciones!$B$1:$B$364,2,FALSE)</f>
        <v>#REF!</v>
      </c>
      <c r="BV10" s="226"/>
      <c r="BW10" s="221"/>
      <c r="BX10" s="213"/>
      <c r="BY10" s="227">
        <f ca="1">G14</f>
        <v>4464</v>
      </c>
      <c r="BZ10" s="228">
        <f ca="1">H14</f>
        <v>3458</v>
      </c>
      <c r="CA10" s="216" t="str">
        <f>Inscripciones!$B$2</f>
        <v>U19 MASCULINO</v>
      </c>
      <c r="CB10" s="217" t="s">
        <v>96</v>
      </c>
    </row>
    <row r="11" spans="1:80" s="202" customFormat="1" ht="12.75" x14ac:dyDescent="0.25">
      <c r="A11" s="440"/>
      <c r="B11" s="442"/>
      <c r="C11" s="444"/>
      <c r="D11" s="444"/>
      <c r="E11" s="432"/>
      <c r="F11" s="446"/>
      <c r="G11" s="432"/>
      <c r="H11" s="432"/>
      <c r="I11" s="432">
        <v>0</v>
      </c>
      <c r="J11" s="432">
        <v>0</v>
      </c>
      <c r="K11" s="432">
        <v>0</v>
      </c>
      <c r="L11" s="432">
        <v>0</v>
      </c>
      <c r="M11" s="454"/>
      <c r="N11" s="432"/>
      <c r="O11" s="432"/>
      <c r="P11" s="432"/>
      <c r="Q11" s="432"/>
      <c r="R11" s="432"/>
      <c r="S11" s="432"/>
      <c r="T11" s="432"/>
      <c r="U11" s="432"/>
      <c r="V11" s="432"/>
      <c r="W11" s="432"/>
      <c r="X11" s="432"/>
      <c r="Y11" s="432"/>
      <c r="Z11" s="439"/>
      <c r="AA11" s="435"/>
      <c r="AB11" s="435"/>
      <c r="AC11" s="435"/>
      <c r="AD11" s="199" t="str">
        <f t="shared" ref="AD11" si="89">IF(AA10&gt;AB10,AD10&amp;"  "&amp;AE10,IF(AB10&gt;AA10,AD10&amp;"  "&amp;AE11,""))</f>
        <v>2 - 0  (3, 5)</v>
      </c>
      <c r="AE11" s="199" t="str">
        <f t="shared" si="0"/>
        <v>(3, 5)</v>
      </c>
      <c r="AF11" s="199">
        <f t="shared" ref="AF11" si="90">IF(N10&gt;M10,1,0)</f>
        <v>1</v>
      </c>
      <c r="AG11" s="199">
        <f t="shared" ref="AG11" si="91">IF(P10&gt;O10,1,0)</f>
        <v>1</v>
      </c>
      <c r="AH11" s="199">
        <f t="shared" ref="AH11" si="92">IF(R10&gt;Q10,1,0)</f>
        <v>0</v>
      </c>
      <c r="AI11" s="199">
        <f t="shared" ref="AI11" si="93">IF(T10&gt;S10,1,0)</f>
        <v>0</v>
      </c>
      <c r="AJ11" s="199">
        <f t="shared" ref="AJ11" si="94">IF(V10&gt;U10,1,0)</f>
        <v>0</v>
      </c>
      <c r="AK11" s="199">
        <f t="shared" ref="AK11" si="95">IF(X10&gt;W10,1,0)</f>
        <v>0</v>
      </c>
      <c r="AL11" s="199">
        <f t="shared" ref="AL11" si="96">IF(Z10&gt;Y10,1,0)</f>
        <v>0</v>
      </c>
      <c r="AM11" s="199">
        <f t="shared" ref="AM11" si="97">IF(N10&gt;M10,M10,IF(M10&gt;N10,-N10,""))</f>
        <v>3</v>
      </c>
      <c r="AN11" s="199" t="str">
        <f t="shared" ref="AN11" si="98">IF(P10&gt;O10,", "&amp;O10,IF(O10&gt;P10,", "&amp;-P10,""))</f>
        <v>, 5</v>
      </c>
      <c r="AO11" s="199" t="str">
        <f t="shared" ref="AO11" si="99">IF(R10&gt;Q10,", "&amp;Q10,IF(Q10&gt;R10,", "&amp;-R10,""))</f>
        <v/>
      </c>
      <c r="AP11" s="199" t="str">
        <f t="shared" ref="AP11" si="100">IF(T10&gt;S10,", "&amp;S10,IF(S10&gt;T10,", "&amp;-T10,""))</f>
        <v/>
      </c>
      <c r="AQ11" s="199" t="str">
        <f t="shared" ref="AQ11" si="101">IF(V10&gt;U10,", "&amp;U10,IF(U10&gt;V10,", "&amp;-V10,""))</f>
        <v/>
      </c>
      <c r="AR11" s="199" t="str">
        <f t="shared" ref="AR11" si="102">IF(X10&gt;W10,", "&amp;W10,IF(W10&gt;X10,", "&amp;-X10,""))</f>
        <v/>
      </c>
      <c r="AS11" s="199" t="str">
        <f t="shared" ref="AS11" si="103">IF(Z10&gt;Y10,", "&amp;Y10,IF(Y10&gt;Z10,", "&amp;-Z10,""))</f>
        <v/>
      </c>
      <c r="AU11" s="203"/>
      <c r="AV11" s="204"/>
      <c r="AW11" s="204"/>
      <c r="AX11" s="232"/>
      <c r="AY11" s="204"/>
      <c r="AZ11" s="204"/>
      <c r="BA11" s="204"/>
      <c r="BB11" s="218">
        <v>25</v>
      </c>
      <c r="BC11" s="219" t="str">
        <f>VLOOKUP(BB11,$A$4:$L$83,6,FALSE)</f>
        <v>28/Sep-- Table</v>
      </c>
      <c r="BD11" s="231"/>
      <c r="BE11" s="207">
        <f ca="1">VLOOKUP(BE19,$A$4:$L$87,7,FALSE)</f>
        <v>2895</v>
      </c>
      <c r="BF11" s="208" t="str">
        <f ca="1">IF(BE11=0,0,VLOOKUP(BE11,Inscripciones!$B$1:$I$464,2,FALSE))</f>
        <v>ANDRES JOSE VEGA VALERIO</v>
      </c>
      <c r="BG11" s="209" t="str">
        <f ca="1">IF(BE11=0,0,VLOOKUP(BE11,Inscripciones!$B$1:$L$364,3,FALSE))</f>
        <v>ALAJUELA - UCR</v>
      </c>
      <c r="BL11" s="221">
        <f t="shared" si="35"/>
        <v>7</v>
      </c>
      <c r="BM11" s="222" t="str">
        <f>C16</f>
        <v>28/Sep</v>
      </c>
      <c r="BN11" s="222">
        <f>D16</f>
        <v>0</v>
      </c>
      <c r="BO11" s="223">
        <f>E16</f>
        <v>0</v>
      </c>
      <c r="BP11" s="224" t="s">
        <v>89</v>
      </c>
      <c r="BQ11" s="221"/>
      <c r="BR11" s="221">
        <v>7</v>
      </c>
      <c r="BS11" s="225" t="e">
        <f ca="1">VLOOKUP(BY12,Inscripciones!$B$1:$B$364,2,FALSE)</f>
        <v>#REF!</v>
      </c>
      <c r="BT11" s="226"/>
      <c r="BU11" s="225" t="e">
        <f ca="1">VLOOKUP(BZ12,Inscripciones!$B$1:$B$364,2,FALSE)</f>
        <v>#REF!</v>
      </c>
      <c r="BV11" s="226"/>
      <c r="BW11" s="221"/>
      <c r="BX11" s="213"/>
      <c r="BY11" s="227">
        <f ca="1">G16</f>
        <v>3671</v>
      </c>
      <c r="BZ11" s="228">
        <f ca="1">H16</f>
        <v>4115</v>
      </c>
      <c r="CA11" s="216" t="str">
        <f>Inscripciones!$B$2</f>
        <v>U19 MASCULINO</v>
      </c>
      <c r="CB11" s="217" t="s">
        <v>97</v>
      </c>
    </row>
    <row r="12" spans="1:80" s="202" customFormat="1" ht="12.75" x14ac:dyDescent="0.25">
      <c r="A12" s="440">
        <v>5</v>
      </c>
      <c r="B12" s="447" t="s">
        <v>93</v>
      </c>
      <c r="C12" s="449" t="s">
        <v>72</v>
      </c>
      <c r="D12" s="449"/>
      <c r="E12" s="436"/>
      <c r="F12" s="451" t="str">
        <f t="shared" ref="F12" si="104">C12&amp;"-"&amp;D12&amp;"- Table"&amp;E12</f>
        <v>28/Sep-- Table</v>
      </c>
      <c r="G12" s="436">
        <f ca="1">'SORTEO 32'!D17</f>
        <v>3153</v>
      </c>
      <c r="H12" s="436">
        <f ca="1">'SORTEO 32'!D18</f>
        <v>4463</v>
      </c>
      <c r="I12" s="436" t="str">
        <f ca="1">IF(G12=0,0,VLOOKUP(G12,Inscripciones!$B$1:$I$464,2,FALSE))</f>
        <v>ARIEL IGNACIO BARTELS BARQUERO</v>
      </c>
      <c r="J12" s="436" t="str">
        <f ca="1">IF(G12=0,0,VLOOKUP(G12,Inscripciones!$B$1:$L$364,3,FALSE))</f>
        <v>PÉREZ ZELEDÓN - UNA</v>
      </c>
      <c r="K12" s="436" t="str">
        <f ca="1">IF(I12=0,0,VLOOKUP(H12,Inscripciones!$B$1:$I$464,2,FALSE))</f>
        <v>ISAAC ANDRÉS LEAL CHACÓN</v>
      </c>
      <c r="L12" s="436" t="str">
        <f ca="1">IF(I12=0,0,VLOOKUP(H12,Inscripciones!$B$1:$L$364,3,FALSE))</f>
        <v>ESPARZA</v>
      </c>
      <c r="M12" s="426">
        <v>11</v>
      </c>
      <c r="N12" s="436">
        <v>5</v>
      </c>
      <c r="O12" s="436">
        <v>11</v>
      </c>
      <c r="P12" s="436">
        <v>4</v>
      </c>
      <c r="Q12" s="436"/>
      <c r="R12" s="436"/>
      <c r="S12" s="436"/>
      <c r="T12" s="436"/>
      <c r="U12" s="436"/>
      <c r="V12" s="436"/>
      <c r="W12" s="436"/>
      <c r="X12" s="436"/>
      <c r="Y12" s="436"/>
      <c r="Z12" s="433"/>
      <c r="AA12" s="435">
        <f t="shared" ref="AA12" si="105">IF(M12+N12&lt;&gt;0,SUM(AF12:AL12),"")</f>
        <v>2</v>
      </c>
      <c r="AB12" s="435">
        <f t="shared" ref="AB12" si="106">IF(M12+N12&lt;&gt;0,SUM(AF13:AL13),"")</f>
        <v>0</v>
      </c>
      <c r="AC12" s="435" t="str">
        <f t="shared" ref="AC12" si="107">IF(AA12&gt;AB12,AD12&amp;"  "&amp;AE12,IF(AB12&gt;AA12,AD12&amp;"  "&amp;AE13,""))</f>
        <v>2 - 0  (5, 4)</v>
      </c>
      <c r="AD12" s="199" t="str">
        <f t="shared" ref="AD12" si="108">IF(AA12&gt;AB12,AA12&amp;" - "&amp;AB12,IF(AB12&gt;AA12,AB12&amp;" - "&amp;AA12,""))</f>
        <v>2 - 0</v>
      </c>
      <c r="AE12" s="199" t="str">
        <f t="shared" si="0"/>
        <v>(5, 4)</v>
      </c>
      <c r="AF12" s="199">
        <f t="shared" ref="AF12" si="109">IF(M12&gt;N12,1,0)</f>
        <v>1</v>
      </c>
      <c r="AG12" s="199">
        <f t="shared" ref="AG12" si="110">IF(O12&gt;P12,1,0)</f>
        <v>1</v>
      </c>
      <c r="AH12" s="199">
        <f t="shared" ref="AH12" si="111">IF(Q12&gt;R12,1,0)</f>
        <v>0</v>
      </c>
      <c r="AI12" s="199">
        <f t="shared" ref="AI12" si="112">IF(S12&gt;T12,1,0)</f>
        <v>0</v>
      </c>
      <c r="AJ12" s="199">
        <f t="shared" ref="AJ12" si="113">IF(U12&gt;V12,1,0)</f>
        <v>0</v>
      </c>
      <c r="AK12" s="199">
        <f t="shared" ref="AK12" si="114">IF(W12&gt;X12,1,0)</f>
        <v>0</v>
      </c>
      <c r="AL12" s="199">
        <f t="shared" ref="AL12" si="115">IF(Y12&gt;Z12,1,0)</f>
        <v>0</v>
      </c>
      <c r="AM12" s="199">
        <f t="shared" ref="AM12" si="116">IF(M12&gt;N12,N12,IF(N12&gt;M12,-M12,""))</f>
        <v>5</v>
      </c>
      <c r="AN12" s="199" t="str">
        <f t="shared" ref="AN12" si="117">IF(O12&gt;P12,", "&amp;P12,IF(P12&gt;O12,", "&amp;-O12,""))</f>
        <v>, 4</v>
      </c>
      <c r="AO12" s="199" t="str">
        <f t="shared" ref="AO12" si="118">IF(Q12&gt;R12,", "&amp;R12,IF(R12&gt;Q12,", "&amp;-Q12,""))</f>
        <v/>
      </c>
      <c r="AP12" s="199" t="str">
        <f t="shared" ref="AP12" si="119">IF(S12&gt;T12,", "&amp;T12,IF(T12&gt;S12,", "&amp;-S12,""))</f>
        <v/>
      </c>
      <c r="AQ12" s="199" t="str">
        <f t="shared" ref="AQ12" si="120">IF(U12&gt;V12,", "&amp;V12,IF(V12&gt;U12,", "&amp;-U12,""))</f>
        <v/>
      </c>
      <c r="AR12" s="199" t="str">
        <f t="shared" ref="AR12" si="121">IF(W12&gt;X12,", "&amp;X12,IF(X12&gt;W12,", "&amp;-W12,""))</f>
        <v/>
      </c>
      <c r="AS12" s="199" t="str">
        <f t="shared" ref="AS12" si="122">IF(Y12&gt;Z12,", "&amp;Z12,IF(Z12&gt;Y12,", "&amp;-Y12,""))</f>
        <v/>
      </c>
      <c r="AU12" s="206">
        <f>1+AU10</f>
        <v>5</v>
      </c>
      <c r="AV12" s="207">
        <f ca="1">VLOOKUP(AV13,$A$4:$L$83,7,FALSE)</f>
        <v>3468</v>
      </c>
      <c r="AW12" s="208" t="str">
        <f ca="1">IF(AV12=0,0,VLOOKUP(AV12,Inscripciones!$B$1:$I$464,2,FALSE))</f>
        <v>DANIEL DAVID ALPIZAR VILLALOBOS</v>
      </c>
      <c r="AX12" s="209" t="str">
        <f ca="1">IF(AV12=0,0,VLOOKUP(AV12,Inscripciones!$B$1:$L$364,3,FALSE))</f>
        <v>ASERRÍ</v>
      </c>
      <c r="AY12" s="210"/>
      <c r="AZ12" s="211" t="str">
        <f>VLOOKUP(AV13,$A$4:$AD$83,29,FALSE)</f>
        <v>2 - 0  (16, 7)</v>
      </c>
      <c r="BA12" s="210"/>
      <c r="BB12" s="204"/>
      <c r="BC12" s="204"/>
      <c r="BD12" s="231"/>
      <c r="BE12" s="204"/>
      <c r="BG12" s="235"/>
      <c r="BL12" s="221">
        <f t="shared" si="35"/>
        <v>8</v>
      </c>
      <c r="BM12" s="222" t="str">
        <f>C18</f>
        <v>28/Sep</v>
      </c>
      <c r="BN12" s="222">
        <f>D18</f>
        <v>0</v>
      </c>
      <c r="BO12" s="223">
        <f>E18</f>
        <v>0</v>
      </c>
      <c r="BP12" s="224" t="s">
        <v>89</v>
      </c>
      <c r="BQ12" s="221"/>
      <c r="BR12" s="221">
        <v>8</v>
      </c>
      <c r="BS12" s="225" t="e">
        <f ca="1">VLOOKUP(BY13,Inscripciones!$B$1:$B$364,2,FALSE)</f>
        <v>#REF!</v>
      </c>
      <c r="BT12" s="226"/>
      <c r="BU12" s="225" t="e">
        <f ca="1">VLOOKUP(BZ13,Inscripciones!$B$1:$B$364,2,FALSE)</f>
        <v>#REF!</v>
      </c>
      <c r="BV12" s="226"/>
      <c r="BW12" s="221"/>
      <c r="BX12" s="213"/>
      <c r="BY12" s="227">
        <f ca="1">G18</f>
        <v>3719</v>
      </c>
      <c r="BZ12" s="228">
        <f ca="1">H18</f>
        <v>4034</v>
      </c>
      <c r="CA12" s="216" t="str">
        <f>Inscripciones!$B$2</f>
        <v>U19 MASCULINO</v>
      </c>
      <c r="CB12" s="217" t="s">
        <v>98</v>
      </c>
    </row>
    <row r="13" spans="1:80" s="202" customFormat="1" ht="12.75" x14ac:dyDescent="0.25">
      <c r="A13" s="440"/>
      <c r="B13" s="448"/>
      <c r="C13" s="450"/>
      <c r="D13" s="450"/>
      <c r="E13" s="437"/>
      <c r="F13" s="452"/>
      <c r="G13" s="437"/>
      <c r="H13" s="437"/>
      <c r="I13" s="437">
        <v>0</v>
      </c>
      <c r="J13" s="437">
        <v>0</v>
      </c>
      <c r="K13" s="437">
        <v>0</v>
      </c>
      <c r="L13" s="437">
        <v>0</v>
      </c>
      <c r="M13" s="427"/>
      <c r="N13" s="437"/>
      <c r="O13" s="437"/>
      <c r="P13" s="437"/>
      <c r="Q13" s="437"/>
      <c r="R13" s="437"/>
      <c r="S13" s="437"/>
      <c r="T13" s="437"/>
      <c r="U13" s="437"/>
      <c r="V13" s="437"/>
      <c r="W13" s="437"/>
      <c r="X13" s="437"/>
      <c r="Y13" s="437"/>
      <c r="Z13" s="434"/>
      <c r="AA13" s="435"/>
      <c r="AB13" s="435"/>
      <c r="AC13" s="435"/>
      <c r="AD13" s="199" t="str">
        <f t="shared" ref="AD13" si="123">IF(AA12&gt;AB12,AD12&amp;"  "&amp;AE12,IF(AB12&gt;AA12,AD12&amp;"  "&amp;AE13,""))</f>
        <v>2 - 0  (5, 4)</v>
      </c>
      <c r="AE13" s="199" t="str">
        <f t="shared" si="0"/>
        <v>(-5, -4)</v>
      </c>
      <c r="AF13" s="199">
        <f t="shared" ref="AF13" si="124">IF(N12&gt;M12,1,0)</f>
        <v>0</v>
      </c>
      <c r="AG13" s="199">
        <f t="shared" ref="AG13" si="125">IF(P12&gt;O12,1,0)</f>
        <v>0</v>
      </c>
      <c r="AH13" s="199">
        <f t="shared" ref="AH13" si="126">IF(R12&gt;Q12,1,0)</f>
        <v>0</v>
      </c>
      <c r="AI13" s="199">
        <f t="shared" ref="AI13" si="127">IF(T12&gt;S12,1,0)</f>
        <v>0</v>
      </c>
      <c r="AJ13" s="199">
        <f t="shared" ref="AJ13" si="128">IF(V12&gt;U12,1,0)</f>
        <v>0</v>
      </c>
      <c r="AK13" s="199">
        <f t="shared" ref="AK13" si="129">IF(X12&gt;W12,1,0)</f>
        <v>0</v>
      </c>
      <c r="AL13" s="199">
        <f t="shared" ref="AL13" si="130">IF(Z12&gt;Y12,1,0)</f>
        <v>0</v>
      </c>
      <c r="AM13" s="199">
        <f t="shared" ref="AM13" si="131">IF(N12&gt;M12,M12,IF(M12&gt;N12,-N12,""))</f>
        <v>-5</v>
      </c>
      <c r="AN13" s="199" t="str">
        <f t="shared" ref="AN13" si="132">IF(P12&gt;O12,", "&amp;O12,IF(O12&gt;P12,", "&amp;-P12,""))</f>
        <v>, -4</v>
      </c>
      <c r="AO13" s="199" t="str">
        <f t="shared" ref="AO13" si="133">IF(R12&gt;Q12,", "&amp;Q12,IF(Q12&gt;R12,", "&amp;-R12,""))</f>
        <v/>
      </c>
      <c r="AP13" s="199" t="str">
        <f t="shared" ref="AP13" si="134">IF(T12&gt;S12,", "&amp;S12,IF(S12&gt;T12,", "&amp;-T12,""))</f>
        <v/>
      </c>
      <c r="AQ13" s="199" t="str">
        <f t="shared" ref="AQ13" si="135">IF(V12&gt;U12,", "&amp;U12,IF(U12&gt;V12,", "&amp;-V12,""))</f>
        <v/>
      </c>
      <c r="AR13" s="199" t="str">
        <f t="shared" ref="AR13" si="136">IF(X12&gt;W12,", "&amp;W12,IF(W12&gt;X12,", "&amp;-X12,""))</f>
        <v/>
      </c>
      <c r="AS13" s="199" t="str">
        <f t="shared" ref="AS13" si="137">IF(Z12&gt;Y12,", "&amp;Y12,IF(Y12&gt;Z12,", "&amp;-Z12,""))</f>
        <v/>
      </c>
      <c r="AU13" s="203"/>
      <c r="AV13" s="218">
        <v>3</v>
      </c>
      <c r="AW13" s="219" t="str">
        <f>VLOOKUP(AV13,$A$4:$L$83,6,FALSE)</f>
        <v>28/Sep-- Table</v>
      </c>
      <c r="AX13" s="220"/>
      <c r="AY13" s="207">
        <f ca="1">VLOOKUP(AY15,$A$4:$L$87,7,FALSE)</f>
        <v>4056</v>
      </c>
      <c r="AZ13" s="208" t="str">
        <f ca="1">IF(AY13=0,0,VLOOKUP(AY13,Inscripciones!$B$1:$I$464,2,FALSE))</f>
        <v>JOSEF ARIAS BRAVO</v>
      </c>
      <c r="BA13" s="209" t="str">
        <f ca="1">IF(AY13=0,0,VLOOKUP(AY13,Inscripciones!$B$1:$L$364,3,FALSE))</f>
        <v>ESPARZA</v>
      </c>
      <c r="BB13" s="204"/>
      <c r="BC13" s="204"/>
      <c r="BD13" s="231"/>
      <c r="BE13" s="204"/>
      <c r="BG13" s="235"/>
      <c r="BL13" s="221">
        <f t="shared" si="35"/>
        <v>9</v>
      </c>
      <c r="BM13" s="222" t="str">
        <f>C20</f>
        <v>28/Sep</v>
      </c>
      <c r="BN13" s="222">
        <f>D20</f>
        <v>0</v>
      </c>
      <c r="BO13" s="223">
        <f>E20</f>
        <v>0</v>
      </c>
      <c r="BP13" s="224" t="s">
        <v>89</v>
      </c>
      <c r="BQ13" s="221"/>
      <c r="BR13" s="221">
        <v>9</v>
      </c>
      <c r="BS13" s="225" t="e">
        <f ca="1">VLOOKUP(BY14,Inscripciones!$B$1:$B$364,2,FALSE)</f>
        <v>#REF!</v>
      </c>
      <c r="BT13" s="226"/>
      <c r="BU13" s="225" t="e">
        <f ca="1">VLOOKUP(BZ14,Inscripciones!$B$1:$B$364,2,FALSE)</f>
        <v>#REF!</v>
      </c>
      <c r="BV13" s="226"/>
      <c r="BW13" s="221"/>
      <c r="BX13" s="213"/>
      <c r="BY13" s="227">
        <f ca="1">G20</f>
        <v>3472</v>
      </c>
      <c r="BZ13" s="228">
        <f ca="1">H20</f>
        <v>3696</v>
      </c>
      <c r="CA13" s="216" t="str">
        <f>Inscripciones!$B$2</f>
        <v>U19 MASCULINO</v>
      </c>
      <c r="CB13" s="217" t="s">
        <v>99</v>
      </c>
    </row>
    <row r="14" spans="1:80" s="202" customFormat="1" ht="12.75" x14ac:dyDescent="0.25">
      <c r="A14" s="440">
        <v>6</v>
      </c>
      <c r="B14" s="441" t="s">
        <v>93</v>
      </c>
      <c r="C14" s="443" t="s">
        <v>72</v>
      </c>
      <c r="D14" s="443"/>
      <c r="E14" s="431"/>
      <c r="F14" s="445" t="str">
        <f t="shared" ref="F14" si="138">C14&amp;"-"&amp;D14&amp;"- Table"&amp;E14</f>
        <v>28/Sep-- Table</v>
      </c>
      <c r="G14" s="431">
        <f ca="1">'SORTEO 32'!D19</f>
        <v>4464</v>
      </c>
      <c r="H14" s="431">
        <f ca="1">'SORTEO 32'!D20</f>
        <v>3458</v>
      </c>
      <c r="I14" s="431" t="str">
        <f ca="1">IF(G14=0,0,VLOOKUP(G14,Inscripciones!$B$1:$I$464,2,FALSE))</f>
        <v>ISAAC GAMBOA MORERA</v>
      </c>
      <c r="J14" s="431" t="str">
        <f ca="1">IF(G14=0,0,VLOOKUP(G14,Inscripciones!$B$1:$L$364,3,FALSE))</f>
        <v>ESPARZA</v>
      </c>
      <c r="K14" s="431" t="str">
        <f ca="1">IF(I14=0,0,VLOOKUP(H14,Inscripciones!$B$1:$I$464,2,FALSE))</f>
        <v>SANTIAGO ALVAREZ LONGHI</v>
      </c>
      <c r="L14" s="431" t="str">
        <f ca="1">IF(I14=0,0,VLOOKUP(H14,Inscripciones!$B$1:$L$364,3,FALSE))</f>
        <v>SANTO DOMINGO</v>
      </c>
      <c r="M14" s="453">
        <v>2</v>
      </c>
      <c r="N14" s="431">
        <v>11</v>
      </c>
      <c r="O14" s="431">
        <v>8</v>
      </c>
      <c r="P14" s="431">
        <v>11</v>
      </c>
      <c r="Q14" s="431"/>
      <c r="R14" s="431"/>
      <c r="S14" s="431"/>
      <c r="T14" s="431"/>
      <c r="U14" s="431"/>
      <c r="V14" s="431"/>
      <c r="W14" s="431"/>
      <c r="X14" s="431"/>
      <c r="Y14" s="431"/>
      <c r="Z14" s="438"/>
      <c r="AA14" s="435">
        <f t="shared" ref="AA14" si="139">IF(M14+N14&lt;&gt;0,SUM(AF14:AL14),"")</f>
        <v>0</v>
      </c>
      <c r="AB14" s="435">
        <f t="shared" ref="AB14" si="140">IF(M14+N14&lt;&gt;0,SUM(AF15:AL15),"")</f>
        <v>2</v>
      </c>
      <c r="AC14" s="435" t="str">
        <f t="shared" ref="AC14" si="141">IF(AA14&gt;AB14,AD14&amp;"  "&amp;AE14,IF(AB14&gt;AA14,AD14&amp;"  "&amp;AE15,""))</f>
        <v>2 - 0  (2, 8)</v>
      </c>
      <c r="AD14" s="199" t="str">
        <f t="shared" ref="AD14" si="142">IF(AA14&gt;AB14,AA14&amp;" - "&amp;AB14,IF(AB14&gt;AA14,AB14&amp;" - "&amp;AA14,""))</f>
        <v>2 - 0</v>
      </c>
      <c r="AE14" s="199" t="str">
        <f t="shared" si="0"/>
        <v>(-2, -8)</v>
      </c>
      <c r="AF14" s="199">
        <f t="shared" ref="AF14" si="143">IF(M14&gt;N14,1,0)</f>
        <v>0</v>
      </c>
      <c r="AG14" s="199">
        <f t="shared" ref="AG14" si="144">IF(O14&gt;P14,1,0)</f>
        <v>0</v>
      </c>
      <c r="AH14" s="199">
        <f t="shared" ref="AH14" si="145">IF(Q14&gt;R14,1,0)</f>
        <v>0</v>
      </c>
      <c r="AI14" s="199">
        <f t="shared" ref="AI14" si="146">IF(S14&gt;T14,1,0)</f>
        <v>0</v>
      </c>
      <c r="AJ14" s="199">
        <f t="shared" ref="AJ14" si="147">IF(U14&gt;V14,1,0)</f>
        <v>0</v>
      </c>
      <c r="AK14" s="199">
        <f t="shared" ref="AK14" si="148">IF(W14&gt;X14,1,0)</f>
        <v>0</v>
      </c>
      <c r="AL14" s="199">
        <f t="shared" ref="AL14" si="149">IF(Y14&gt;Z14,1,0)</f>
        <v>0</v>
      </c>
      <c r="AM14" s="199">
        <f t="shared" ref="AM14" si="150">IF(M14&gt;N14,N14,IF(N14&gt;M14,-M14,""))</f>
        <v>-2</v>
      </c>
      <c r="AN14" s="199" t="str">
        <f t="shared" ref="AN14" si="151">IF(O14&gt;P14,", "&amp;P14,IF(P14&gt;O14,", "&amp;-O14,""))</f>
        <v>, -8</v>
      </c>
      <c r="AO14" s="199" t="str">
        <f t="shared" ref="AO14" si="152">IF(Q14&gt;R14,", "&amp;R14,IF(R14&gt;Q14,", "&amp;-Q14,""))</f>
        <v/>
      </c>
      <c r="AP14" s="199" t="str">
        <f t="shared" ref="AP14" si="153">IF(S14&gt;T14,", "&amp;T14,IF(T14&gt;S14,", "&amp;-S14,""))</f>
        <v/>
      </c>
      <c r="AQ14" s="199" t="str">
        <f t="shared" ref="AQ14" si="154">IF(U14&gt;V14,", "&amp;V14,IF(V14&gt;U14,", "&amp;-U14,""))</f>
        <v/>
      </c>
      <c r="AR14" s="199" t="str">
        <f t="shared" ref="AR14" si="155">IF(W14&gt;X14,", "&amp;X14,IF(X14&gt;W14,", "&amp;-W14,""))</f>
        <v/>
      </c>
      <c r="AS14" s="199" t="str">
        <f t="shared" ref="AS14" si="156">IF(Y14&gt;Z14,", "&amp;Z14,IF(Z14&gt;Y14,", "&amp;-Y14,""))</f>
        <v/>
      </c>
      <c r="AU14" s="206">
        <f>1+AU12</f>
        <v>6</v>
      </c>
      <c r="AV14" s="229">
        <f ca="1">VLOOKUP(AV13,$A$4:$L$83,8,FALSE)</f>
        <v>4056</v>
      </c>
      <c r="AW14" s="229" t="str">
        <f ca="1">IF(AV14=0,0,VLOOKUP(AV14,Inscripciones!$B$1:$I$464,2,FALSE))</f>
        <v>JOSEF ARIAS BRAVO</v>
      </c>
      <c r="AX14" s="230" t="str">
        <f ca="1">IF(AV14=0,0,VLOOKUP(AV14,Inscripciones!$B$1:$L$364,3,FALSE))</f>
        <v>ESPARZA</v>
      </c>
      <c r="AY14" s="204"/>
      <c r="AZ14" s="204"/>
      <c r="BA14" s="231"/>
      <c r="BB14" s="204"/>
      <c r="BC14" s="204"/>
      <c r="BD14" s="231"/>
      <c r="BE14" s="204"/>
      <c r="BG14" s="235"/>
      <c r="BL14" s="221">
        <f t="shared" si="35"/>
        <v>10</v>
      </c>
      <c r="BM14" s="222" t="str">
        <f>C22</f>
        <v>28/Sep</v>
      </c>
      <c r="BN14" s="222">
        <f>D22</f>
        <v>0</v>
      </c>
      <c r="BO14" s="223">
        <f>E22</f>
        <v>0</v>
      </c>
      <c r="BP14" s="224" t="s">
        <v>89</v>
      </c>
      <c r="BQ14" s="221"/>
      <c r="BR14" s="221">
        <v>10</v>
      </c>
      <c r="BS14" s="225" t="e">
        <f ca="1">VLOOKUP(BY15,Inscripciones!$B$1:$B$364,2,FALSE)</f>
        <v>#REF!</v>
      </c>
      <c r="BT14" s="226"/>
      <c r="BU14" s="225" t="e">
        <f ca="1">VLOOKUP(BZ15,Inscripciones!$B$1:$B$364,2,FALSE)</f>
        <v>#REF!</v>
      </c>
      <c r="BV14" s="226"/>
      <c r="BW14" s="221"/>
      <c r="BX14" s="213"/>
      <c r="BY14" s="227">
        <f ca="1">G22</f>
        <v>2847</v>
      </c>
      <c r="BZ14" s="228">
        <f ca="1">H22</f>
        <v>4363</v>
      </c>
      <c r="CA14" s="216" t="str">
        <f>Inscripciones!$B$2</f>
        <v>U19 MASCULINO</v>
      </c>
      <c r="CB14" s="217" t="s">
        <v>100</v>
      </c>
    </row>
    <row r="15" spans="1:80" s="202" customFormat="1" ht="12.75" x14ac:dyDescent="0.25">
      <c r="A15" s="440"/>
      <c r="B15" s="442"/>
      <c r="C15" s="444"/>
      <c r="D15" s="444"/>
      <c r="E15" s="432"/>
      <c r="F15" s="446"/>
      <c r="G15" s="432"/>
      <c r="H15" s="432"/>
      <c r="I15" s="432">
        <v>0</v>
      </c>
      <c r="J15" s="432">
        <v>0</v>
      </c>
      <c r="K15" s="432">
        <v>0</v>
      </c>
      <c r="L15" s="432">
        <v>0</v>
      </c>
      <c r="M15" s="454"/>
      <c r="N15" s="432"/>
      <c r="O15" s="432"/>
      <c r="P15" s="432"/>
      <c r="Q15" s="432"/>
      <c r="R15" s="432"/>
      <c r="S15" s="432"/>
      <c r="T15" s="432"/>
      <c r="U15" s="432"/>
      <c r="V15" s="432"/>
      <c r="W15" s="432"/>
      <c r="X15" s="432"/>
      <c r="Y15" s="432"/>
      <c r="Z15" s="439"/>
      <c r="AA15" s="435"/>
      <c r="AB15" s="435"/>
      <c r="AC15" s="435"/>
      <c r="AD15" s="199" t="str">
        <f t="shared" ref="AD15" si="157">IF(AA14&gt;AB14,AD14&amp;"  "&amp;AE14,IF(AB14&gt;AA14,AD14&amp;"  "&amp;AE15,""))</f>
        <v>2 - 0  (2, 8)</v>
      </c>
      <c r="AE15" s="199" t="str">
        <f t="shared" si="0"/>
        <v>(2, 8)</v>
      </c>
      <c r="AF15" s="199">
        <f t="shared" ref="AF15" si="158">IF(N14&gt;M14,1,0)</f>
        <v>1</v>
      </c>
      <c r="AG15" s="199">
        <f t="shared" ref="AG15" si="159">IF(P14&gt;O14,1,0)</f>
        <v>1</v>
      </c>
      <c r="AH15" s="199">
        <f t="shared" ref="AH15" si="160">IF(R14&gt;Q14,1,0)</f>
        <v>0</v>
      </c>
      <c r="AI15" s="199">
        <f t="shared" ref="AI15" si="161">IF(T14&gt;S14,1,0)</f>
        <v>0</v>
      </c>
      <c r="AJ15" s="199">
        <f t="shared" ref="AJ15" si="162">IF(V14&gt;U14,1,0)</f>
        <v>0</v>
      </c>
      <c r="AK15" s="199">
        <f t="shared" ref="AK15" si="163">IF(X14&gt;W14,1,0)</f>
        <v>0</v>
      </c>
      <c r="AL15" s="199">
        <f t="shared" ref="AL15" si="164">IF(Z14&gt;Y14,1,0)</f>
        <v>0</v>
      </c>
      <c r="AM15" s="199">
        <f t="shared" ref="AM15" si="165">IF(N14&gt;M14,M14,IF(M14&gt;N14,-N14,""))</f>
        <v>2</v>
      </c>
      <c r="AN15" s="199" t="str">
        <f t="shared" ref="AN15" si="166">IF(P14&gt;O14,", "&amp;O14,IF(O14&gt;P14,", "&amp;-P14,""))</f>
        <v>, 8</v>
      </c>
      <c r="AO15" s="199" t="str">
        <f t="shared" ref="AO15" si="167">IF(R14&gt;Q14,", "&amp;Q14,IF(Q14&gt;R14,", "&amp;-R14,""))</f>
        <v/>
      </c>
      <c r="AP15" s="199" t="str">
        <f t="shared" ref="AP15" si="168">IF(T14&gt;S14,", "&amp;S14,IF(S14&gt;T14,", "&amp;-T14,""))</f>
        <v/>
      </c>
      <c r="AQ15" s="199" t="str">
        <f t="shared" ref="AQ15" si="169">IF(V14&gt;U14,", "&amp;U14,IF(U14&gt;V14,", "&amp;-V14,""))</f>
        <v/>
      </c>
      <c r="AR15" s="199" t="str">
        <f t="shared" ref="AR15" si="170">IF(X14&gt;W14,", "&amp;W14,IF(W14&gt;X14,", "&amp;-X14,""))</f>
        <v/>
      </c>
      <c r="AS15" s="199" t="str">
        <f t="shared" ref="AS15" si="171">IF(Z14&gt;Y14,", "&amp;Y14,IF(Y14&gt;Z14,", "&amp;-Z14,""))</f>
        <v/>
      </c>
      <c r="AU15" s="203"/>
      <c r="AV15" s="204"/>
      <c r="AW15" s="204"/>
      <c r="AX15" s="232"/>
      <c r="AY15" s="218">
        <v>18</v>
      </c>
      <c r="AZ15" s="219" t="str">
        <f>VLOOKUP(AY15,$A$4:$L$83,6,FALSE)</f>
        <v>28/Sep-- Table</v>
      </c>
      <c r="BA15" s="233"/>
      <c r="BB15" s="229">
        <f ca="1">VLOOKUP(BB11,$A$4:$L$87,8,FALSE)</f>
        <v>2895</v>
      </c>
      <c r="BC15" s="229" t="str">
        <f ca="1">IF(BB15=0,0,VLOOKUP(BB15,Inscripciones!$B$1:$I$464,2,FALSE))</f>
        <v>ANDRES JOSE VEGA VALERIO</v>
      </c>
      <c r="BD15" s="230" t="str">
        <f ca="1">IF(BB15=0,0,VLOOKUP(BB15,Inscripciones!$B$1:$L$364,3,FALSE))</f>
        <v>ALAJUELA - UCR</v>
      </c>
      <c r="BE15" s="204"/>
      <c r="BG15" s="235"/>
      <c r="BL15" s="221">
        <f t="shared" si="35"/>
        <v>11</v>
      </c>
      <c r="BM15" s="222" t="str">
        <f>C24</f>
        <v>28/Sep</v>
      </c>
      <c r="BN15" s="222">
        <f>D24</f>
        <v>0</v>
      </c>
      <c r="BO15" s="223">
        <f>E24</f>
        <v>0</v>
      </c>
      <c r="BP15" s="224" t="s">
        <v>89</v>
      </c>
      <c r="BQ15" s="221"/>
      <c r="BR15" s="221">
        <v>11</v>
      </c>
      <c r="BS15" s="225" t="e">
        <f ca="1">VLOOKUP(BY16,Inscripciones!$B$1:$B$364,2,FALSE)</f>
        <v>#REF!</v>
      </c>
      <c r="BT15" s="226"/>
      <c r="BU15" s="225" t="e">
        <f ca="1">VLOOKUP(BZ16,Inscripciones!$B$1:$B$364,2,FALSE)</f>
        <v>#REF!</v>
      </c>
      <c r="BV15" s="226"/>
      <c r="BW15" s="221"/>
      <c r="BX15" s="213"/>
      <c r="BY15" s="227">
        <f ca="1">G24</f>
        <v>2368</v>
      </c>
      <c r="BZ15" s="228">
        <f ca="1">H24</f>
        <v>3309</v>
      </c>
      <c r="CA15" s="216" t="str">
        <f>Inscripciones!$B$2</f>
        <v>U19 MASCULINO</v>
      </c>
      <c r="CB15" s="217" t="s">
        <v>101</v>
      </c>
    </row>
    <row r="16" spans="1:80" s="202" customFormat="1" ht="12.75" x14ac:dyDescent="0.25">
      <c r="A16" s="440">
        <v>7</v>
      </c>
      <c r="B16" s="447" t="s">
        <v>93</v>
      </c>
      <c r="C16" s="449" t="s">
        <v>72</v>
      </c>
      <c r="D16" s="449"/>
      <c r="E16" s="436"/>
      <c r="F16" s="451" t="str">
        <f t="shared" ref="F16" si="172">C16&amp;"-"&amp;D16&amp;"- Table"&amp;E16</f>
        <v>28/Sep-- Table</v>
      </c>
      <c r="G16" s="436">
        <f ca="1">'SORTEO 32'!D21</f>
        <v>3671</v>
      </c>
      <c r="H16" s="436">
        <f ca="1">'SORTEO 32'!D22</f>
        <v>4115</v>
      </c>
      <c r="I16" s="436" t="str">
        <f ca="1">IF(G16=0,0,VLOOKUP(G16,Inscripciones!$B$1:$I$464,2,FALSE))</f>
        <v>NICOLAS OVARES CASTRO</v>
      </c>
      <c r="J16" s="436" t="str">
        <f ca="1">IF(G16=0,0,VLOOKUP(G16,Inscripciones!$B$1:$L$364,3,FALSE))</f>
        <v>SANTA ANA</v>
      </c>
      <c r="K16" s="436" t="str">
        <f ca="1">IF(I16=0,0,VLOOKUP(H16,Inscripciones!$B$1:$I$464,2,FALSE))</f>
        <v>JOSEPH ANGEL LOPEZ ARAUZ</v>
      </c>
      <c r="L16" s="436" t="str">
        <f ca="1">IF(I16=0,0,VLOOKUP(H16,Inscripciones!$B$1:$L$364,3,FALSE))</f>
        <v>ATM SANTA CRUZ</v>
      </c>
      <c r="M16" s="426">
        <v>11</v>
      </c>
      <c r="N16" s="436">
        <v>6</v>
      </c>
      <c r="O16" s="436">
        <v>11</v>
      </c>
      <c r="P16" s="436">
        <v>8</v>
      </c>
      <c r="Q16" s="436"/>
      <c r="R16" s="436"/>
      <c r="S16" s="436"/>
      <c r="T16" s="436"/>
      <c r="U16" s="436"/>
      <c r="V16" s="436"/>
      <c r="W16" s="436"/>
      <c r="X16" s="436"/>
      <c r="Y16" s="436"/>
      <c r="Z16" s="433"/>
      <c r="AA16" s="435">
        <f t="shared" ref="AA16" si="173">IF(M16+N16&lt;&gt;0,SUM(AF16:AL16),"")</f>
        <v>2</v>
      </c>
      <c r="AB16" s="435">
        <f t="shared" ref="AB16" si="174">IF(M16+N16&lt;&gt;0,SUM(AF17:AL17),"")</f>
        <v>0</v>
      </c>
      <c r="AC16" s="435" t="str">
        <f t="shared" ref="AC16" si="175">IF(AA16&gt;AB16,AD16&amp;"  "&amp;AE16,IF(AB16&gt;AA16,AD16&amp;"  "&amp;AE17,""))</f>
        <v>2 - 0  (6, 8)</v>
      </c>
      <c r="AD16" s="199" t="str">
        <f t="shared" ref="AD16" si="176">IF(AA16&gt;AB16,AA16&amp;" - "&amp;AB16,IF(AB16&gt;AA16,AB16&amp;" - "&amp;AA16,""))</f>
        <v>2 - 0</v>
      </c>
      <c r="AE16" s="199" t="str">
        <f t="shared" si="0"/>
        <v>(6, 8)</v>
      </c>
      <c r="AF16" s="199">
        <f t="shared" ref="AF16" si="177">IF(M16&gt;N16,1,0)</f>
        <v>1</v>
      </c>
      <c r="AG16" s="199">
        <f t="shared" ref="AG16" si="178">IF(O16&gt;P16,1,0)</f>
        <v>1</v>
      </c>
      <c r="AH16" s="199">
        <f t="shared" ref="AH16" si="179">IF(Q16&gt;R16,1,0)</f>
        <v>0</v>
      </c>
      <c r="AI16" s="199">
        <f t="shared" ref="AI16" si="180">IF(S16&gt;T16,1,0)</f>
        <v>0</v>
      </c>
      <c r="AJ16" s="199">
        <f t="shared" ref="AJ16" si="181">IF(U16&gt;V16,1,0)</f>
        <v>0</v>
      </c>
      <c r="AK16" s="199">
        <f t="shared" ref="AK16" si="182">IF(W16&gt;X16,1,0)</f>
        <v>0</v>
      </c>
      <c r="AL16" s="199">
        <f t="shared" ref="AL16" si="183">IF(Y16&gt;Z16,1,0)</f>
        <v>0</v>
      </c>
      <c r="AM16" s="199">
        <f t="shared" ref="AM16" si="184">IF(M16&gt;N16,N16,IF(N16&gt;M16,-M16,""))</f>
        <v>6</v>
      </c>
      <c r="AN16" s="199" t="str">
        <f t="shared" ref="AN16" si="185">IF(O16&gt;P16,", "&amp;P16,IF(P16&gt;O16,", "&amp;-O16,""))</f>
        <v>, 8</v>
      </c>
      <c r="AO16" s="199" t="str">
        <f t="shared" ref="AO16" si="186">IF(Q16&gt;R16,", "&amp;R16,IF(R16&gt;Q16,", "&amp;-Q16,""))</f>
        <v/>
      </c>
      <c r="AP16" s="199" t="str">
        <f t="shared" ref="AP16" si="187">IF(S16&gt;T16,", "&amp;T16,IF(T16&gt;S16,", "&amp;-S16,""))</f>
        <v/>
      </c>
      <c r="AQ16" s="199" t="str">
        <f t="shared" ref="AQ16" si="188">IF(U16&gt;V16,", "&amp;V16,IF(V16&gt;U16,", "&amp;-U16,""))</f>
        <v/>
      </c>
      <c r="AR16" s="199" t="str">
        <f t="shared" ref="AR16" si="189">IF(W16&gt;X16,", "&amp;X16,IF(X16&gt;W16,", "&amp;-W16,""))</f>
        <v/>
      </c>
      <c r="AS16" s="199" t="str">
        <f t="shared" ref="AS16" si="190">IF(Y16&gt;Z16,", "&amp;Z16,IF(Z16&gt;Y16,", "&amp;-Y16,""))</f>
        <v/>
      </c>
      <c r="AU16" s="206">
        <f>1+AU14</f>
        <v>7</v>
      </c>
      <c r="AV16" s="207">
        <f ca="1">VLOOKUP(AV17,$A$4:$L$83,7,FALSE)</f>
        <v>2801</v>
      </c>
      <c r="AW16" s="208" t="str">
        <f ca="1">IF(AV16=0,0,VLOOKUP(AV16,Inscripciones!$B$1:$I$464,2,FALSE))</f>
        <v>IAN VARGAS JIMENEZ</v>
      </c>
      <c r="AX16" s="209" t="str">
        <f ca="1">IF(AV16=0,0,VLOOKUP(AV16,Inscripciones!$B$1:$L$364,3,FALSE))</f>
        <v>CCDR SAN JOSÉ</v>
      </c>
      <c r="AY16" s="234"/>
      <c r="AZ16" s="204"/>
      <c r="BA16" s="231"/>
      <c r="BB16" s="210"/>
      <c r="BC16" s="211" t="str">
        <f>VLOOKUP(AY15,$A$4:$AD$87,29,FALSE)</f>
        <v>2 - 0  (3, 5)</v>
      </c>
      <c r="BD16" s="210"/>
      <c r="BE16" s="204"/>
      <c r="BG16" s="235"/>
      <c r="BL16" s="221">
        <f t="shared" si="35"/>
        <v>12</v>
      </c>
      <c r="BM16" s="222" t="str">
        <f>C26</f>
        <v>28/Sep</v>
      </c>
      <c r="BN16" s="222">
        <f>D26</f>
        <v>0</v>
      </c>
      <c r="BO16" s="223">
        <f>E26</f>
        <v>0</v>
      </c>
      <c r="BP16" s="224" t="s">
        <v>89</v>
      </c>
      <c r="BQ16" s="221"/>
      <c r="BR16" s="221">
        <v>12</v>
      </c>
      <c r="BS16" s="225" t="e">
        <f ca="1">VLOOKUP(BY17,Inscripciones!$B$1:$B$364,2,FALSE)</f>
        <v>#REF!</v>
      </c>
      <c r="BT16" s="226"/>
      <c r="BU16" s="225" t="e">
        <f ca="1">VLOOKUP(BZ17,Inscripciones!$B$1:$B$364,2,FALSE)</f>
        <v>#REF!</v>
      </c>
      <c r="BV16" s="226"/>
      <c r="BW16" s="221"/>
      <c r="BX16" s="213"/>
      <c r="BY16" s="227">
        <f ca="1">G26</f>
        <v>4513</v>
      </c>
      <c r="BZ16" s="228">
        <f ca="1">H26</f>
        <v>4002</v>
      </c>
      <c r="CA16" s="216" t="str">
        <f>Inscripciones!$B$2</f>
        <v>U19 MASCULINO</v>
      </c>
      <c r="CB16" s="217" t="s">
        <v>102</v>
      </c>
    </row>
    <row r="17" spans="1:80" s="202" customFormat="1" ht="12.75" x14ac:dyDescent="0.25">
      <c r="A17" s="440"/>
      <c r="B17" s="448"/>
      <c r="C17" s="450"/>
      <c r="D17" s="450"/>
      <c r="E17" s="437"/>
      <c r="F17" s="452"/>
      <c r="G17" s="437"/>
      <c r="H17" s="437"/>
      <c r="I17" s="437">
        <v>0</v>
      </c>
      <c r="J17" s="437">
        <v>0</v>
      </c>
      <c r="K17" s="437">
        <v>0</v>
      </c>
      <c r="L17" s="437">
        <v>0</v>
      </c>
      <c r="M17" s="427"/>
      <c r="N17" s="437"/>
      <c r="O17" s="437"/>
      <c r="P17" s="437"/>
      <c r="Q17" s="437"/>
      <c r="R17" s="437"/>
      <c r="S17" s="437"/>
      <c r="T17" s="437"/>
      <c r="U17" s="437"/>
      <c r="V17" s="437"/>
      <c r="W17" s="437"/>
      <c r="X17" s="437"/>
      <c r="Y17" s="437"/>
      <c r="Z17" s="434"/>
      <c r="AA17" s="435"/>
      <c r="AB17" s="435"/>
      <c r="AC17" s="435"/>
      <c r="AD17" s="199" t="str">
        <f t="shared" ref="AD17" si="191">IF(AA16&gt;AB16,AD16&amp;"  "&amp;AE16,IF(AB16&gt;AA16,AD16&amp;"  "&amp;AE17,""))</f>
        <v>2 - 0  (6, 8)</v>
      </c>
      <c r="AE17" s="199" t="str">
        <f t="shared" si="0"/>
        <v>(-6, -8)</v>
      </c>
      <c r="AF17" s="199">
        <f t="shared" ref="AF17" si="192">IF(N16&gt;M16,1,0)</f>
        <v>0</v>
      </c>
      <c r="AG17" s="199">
        <f t="shared" ref="AG17" si="193">IF(P16&gt;O16,1,0)</f>
        <v>0</v>
      </c>
      <c r="AH17" s="199">
        <f t="shared" ref="AH17" si="194">IF(R16&gt;Q16,1,0)</f>
        <v>0</v>
      </c>
      <c r="AI17" s="199">
        <f t="shared" ref="AI17" si="195">IF(T16&gt;S16,1,0)</f>
        <v>0</v>
      </c>
      <c r="AJ17" s="199">
        <f t="shared" ref="AJ17" si="196">IF(V16&gt;U16,1,0)</f>
        <v>0</v>
      </c>
      <c r="AK17" s="199">
        <f t="shared" ref="AK17" si="197">IF(X16&gt;W16,1,0)</f>
        <v>0</v>
      </c>
      <c r="AL17" s="199">
        <f t="shared" ref="AL17" si="198">IF(Z16&gt;Y16,1,0)</f>
        <v>0</v>
      </c>
      <c r="AM17" s="199">
        <f t="shared" ref="AM17" si="199">IF(N16&gt;M16,M16,IF(M16&gt;N16,-N16,""))</f>
        <v>-6</v>
      </c>
      <c r="AN17" s="199" t="str">
        <f t="shared" ref="AN17" si="200">IF(P16&gt;O16,", "&amp;O16,IF(O16&gt;P16,", "&amp;-P16,""))</f>
        <v>, -8</v>
      </c>
      <c r="AO17" s="199" t="str">
        <f t="shared" ref="AO17" si="201">IF(R16&gt;Q16,", "&amp;Q16,IF(Q16&gt;R16,", "&amp;-R16,""))</f>
        <v/>
      </c>
      <c r="AP17" s="199" t="str">
        <f t="shared" ref="AP17" si="202">IF(T16&gt;S16,", "&amp;S16,IF(S16&gt;T16,", "&amp;-T16,""))</f>
        <v/>
      </c>
      <c r="AQ17" s="199" t="str">
        <f t="shared" ref="AQ17" si="203">IF(V16&gt;U16,", "&amp;U16,IF(U16&gt;V16,", "&amp;-V16,""))</f>
        <v/>
      </c>
      <c r="AR17" s="199" t="str">
        <f t="shared" ref="AR17" si="204">IF(X16&gt;W16,", "&amp;W16,IF(W16&gt;X16,", "&amp;-X16,""))</f>
        <v/>
      </c>
      <c r="AS17" s="199" t="str">
        <f t="shared" ref="AS17" si="205">IF(Z16&gt;Y16,", "&amp;Y16,IF(Y16&gt;Z16,", "&amp;-Z16,""))</f>
        <v/>
      </c>
      <c r="AU17" s="203"/>
      <c r="AV17" s="218">
        <v>4</v>
      </c>
      <c r="AW17" s="219" t="str">
        <f>VLOOKUP(AV17,$A$4:$L$83,6,FALSE)</f>
        <v>28/Sep-- Table</v>
      </c>
      <c r="AX17" s="220"/>
      <c r="AY17" s="229">
        <f ca="1">VLOOKUP(AY15,$A$4:$L$87,8,FALSE)</f>
        <v>2895</v>
      </c>
      <c r="AZ17" s="229" t="str">
        <f ca="1">IF(AY17=0,0,VLOOKUP(AY17,Inscripciones!$B$1:$I$464,2,FALSE))</f>
        <v>ANDRES JOSE VEGA VALERIO</v>
      </c>
      <c r="BA17" s="230" t="str">
        <f ca="1">IF(AY17=0,0,VLOOKUP(AY17,Inscripciones!$B$1:$L$364,3,FALSE))</f>
        <v>ALAJUELA - UCR</v>
      </c>
      <c r="BB17" s="204"/>
      <c r="BC17" s="204"/>
      <c r="BD17" s="204"/>
      <c r="BE17" s="204"/>
      <c r="BG17" s="235"/>
      <c r="BL17" s="221">
        <f t="shared" si="35"/>
        <v>13</v>
      </c>
      <c r="BM17" s="222" t="str">
        <f>C28</f>
        <v>28/Sep</v>
      </c>
      <c r="BN17" s="222">
        <f>D28</f>
        <v>0</v>
      </c>
      <c r="BO17" s="223">
        <f>E28</f>
        <v>0</v>
      </c>
      <c r="BP17" s="224" t="s">
        <v>89</v>
      </c>
      <c r="BQ17" s="221"/>
      <c r="BR17" s="221">
        <v>13</v>
      </c>
      <c r="BS17" s="225" t="e">
        <f ca="1">VLOOKUP(BY18,Inscripciones!$B$1:$B$364,2,FALSE)</f>
        <v>#REF!</v>
      </c>
      <c r="BT17" s="226"/>
      <c r="BU17" s="225" t="e">
        <f ca="1">VLOOKUP(BZ18,Inscripciones!$B$1:$B$364,2,FALSE)</f>
        <v>#REF!</v>
      </c>
      <c r="BV17" s="226"/>
      <c r="BW17" s="221"/>
      <c r="BX17" s="213"/>
      <c r="BY17" s="227">
        <f ca="1">G28</f>
        <v>2623</v>
      </c>
      <c r="BZ17" s="228">
        <f ca="1">H28</f>
        <v>4287</v>
      </c>
      <c r="CA17" s="216" t="str">
        <f>Inscripciones!$B$2</f>
        <v>U19 MASCULINO</v>
      </c>
      <c r="CB17" s="217" t="s">
        <v>103</v>
      </c>
    </row>
    <row r="18" spans="1:80" s="202" customFormat="1" ht="12.75" x14ac:dyDescent="0.25">
      <c r="A18" s="440">
        <v>8</v>
      </c>
      <c r="B18" s="441" t="s">
        <v>93</v>
      </c>
      <c r="C18" s="443" t="s">
        <v>72</v>
      </c>
      <c r="D18" s="443"/>
      <c r="E18" s="431"/>
      <c r="F18" s="445" t="str">
        <f t="shared" ref="F18" si="206">C18&amp;"-"&amp;D18&amp;"- Table"&amp;E18</f>
        <v>28/Sep-- Table</v>
      </c>
      <c r="G18" s="431">
        <f ca="1">'SORTEO 32'!D23</f>
        <v>3719</v>
      </c>
      <c r="H18" s="431">
        <f ca="1">'SORTEO 32'!D24</f>
        <v>4034</v>
      </c>
      <c r="I18" s="431" t="str">
        <f ca="1">IF(G18=0,0,VLOOKUP(G18,Inscripciones!$B$1:$I$464,2,FALSE))</f>
        <v>MARCELO MASIS RODRÍGUEZ</v>
      </c>
      <c r="J18" s="431" t="str">
        <f ca="1">IF(G18=0,0,VLOOKUP(G18,Inscripciones!$B$1:$L$364,3,FALSE))</f>
        <v>SANTA ANA</v>
      </c>
      <c r="K18" s="431" t="str">
        <f ca="1">IF(I18=0,0,VLOOKUP(H18,Inscripciones!$B$1:$I$464,2,FALSE))</f>
        <v>IAN DAVID GARRO ALONSO</v>
      </c>
      <c r="L18" s="431" t="str">
        <f ca="1">IF(I18=0,0,VLOOKUP(H18,Inscripciones!$B$1:$L$364,3,FALSE))</f>
        <v>CCDR SAN JOSÉ</v>
      </c>
      <c r="M18" s="453">
        <v>1</v>
      </c>
      <c r="N18" s="431">
        <v>11</v>
      </c>
      <c r="O18" s="431">
        <v>7</v>
      </c>
      <c r="P18" s="431">
        <v>11</v>
      </c>
      <c r="Q18" s="431"/>
      <c r="R18" s="431"/>
      <c r="S18" s="431"/>
      <c r="T18" s="431"/>
      <c r="U18" s="431"/>
      <c r="V18" s="431"/>
      <c r="W18" s="431"/>
      <c r="X18" s="431"/>
      <c r="Y18" s="431"/>
      <c r="Z18" s="438"/>
      <c r="AA18" s="435">
        <f t="shared" ref="AA18" si="207">IF(M18+N18&lt;&gt;0,SUM(AF18:AL18),"")</f>
        <v>0</v>
      </c>
      <c r="AB18" s="435">
        <f t="shared" ref="AB18" si="208">IF(M18+N18&lt;&gt;0,SUM(AF19:AL19),"")</f>
        <v>2</v>
      </c>
      <c r="AC18" s="435" t="str">
        <f t="shared" ref="AC18" si="209">IF(AA18&gt;AB18,AD18&amp;"  "&amp;AE18,IF(AB18&gt;AA18,AD18&amp;"  "&amp;AE19,""))</f>
        <v>2 - 0  (1, 7)</v>
      </c>
      <c r="AD18" s="199" t="str">
        <f t="shared" ref="AD18" si="210">IF(AA18&gt;AB18,AA18&amp;" - "&amp;AB18,IF(AB18&gt;AA18,AB18&amp;" - "&amp;AA18,""))</f>
        <v>2 - 0</v>
      </c>
      <c r="AE18" s="199" t="str">
        <f t="shared" si="0"/>
        <v>(-1, -7)</v>
      </c>
      <c r="AF18" s="199">
        <f t="shared" ref="AF18" si="211">IF(M18&gt;N18,1,0)</f>
        <v>0</v>
      </c>
      <c r="AG18" s="199">
        <f t="shared" ref="AG18" si="212">IF(O18&gt;P18,1,0)</f>
        <v>0</v>
      </c>
      <c r="AH18" s="199">
        <f t="shared" ref="AH18" si="213">IF(Q18&gt;R18,1,0)</f>
        <v>0</v>
      </c>
      <c r="AI18" s="199">
        <f t="shared" ref="AI18" si="214">IF(S18&gt;T18,1,0)</f>
        <v>0</v>
      </c>
      <c r="AJ18" s="199">
        <f t="shared" ref="AJ18" si="215">IF(U18&gt;V18,1,0)</f>
        <v>0</v>
      </c>
      <c r="AK18" s="199">
        <f t="shared" ref="AK18" si="216">IF(W18&gt;X18,1,0)</f>
        <v>0</v>
      </c>
      <c r="AL18" s="199">
        <f t="shared" ref="AL18" si="217">IF(Y18&gt;Z18,1,0)</f>
        <v>0</v>
      </c>
      <c r="AM18" s="199">
        <f t="shared" ref="AM18" si="218">IF(M18&gt;N18,N18,IF(N18&gt;M18,-M18,""))</f>
        <v>-1</v>
      </c>
      <c r="AN18" s="199" t="str">
        <f t="shared" ref="AN18" si="219">IF(O18&gt;P18,", "&amp;P18,IF(P18&gt;O18,", "&amp;-O18,""))</f>
        <v>, -7</v>
      </c>
      <c r="AO18" s="199" t="str">
        <f t="shared" ref="AO18" si="220">IF(Q18&gt;R18,", "&amp;R18,IF(R18&gt;Q18,", "&amp;-Q18,""))</f>
        <v/>
      </c>
      <c r="AP18" s="199" t="str">
        <f t="shared" ref="AP18" si="221">IF(S18&gt;T18,", "&amp;T18,IF(T18&gt;S18,", "&amp;-S18,""))</f>
        <v/>
      </c>
      <c r="AQ18" s="199" t="str">
        <f t="shared" ref="AQ18" si="222">IF(U18&gt;V18,", "&amp;V18,IF(V18&gt;U18,", "&amp;-U18,""))</f>
        <v/>
      </c>
      <c r="AR18" s="199" t="str">
        <f t="shared" ref="AR18" si="223">IF(W18&gt;X18,", "&amp;X18,IF(X18&gt;W18,", "&amp;-W18,""))</f>
        <v/>
      </c>
      <c r="AS18" s="199" t="str">
        <f t="shared" ref="AS18" si="224">IF(Y18&gt;Z18,", "&amp;Z18,IF(Z18&gt;Y18,", "&amp;-Y18,""))</f>
        <v/>
      </c>
      <c r="AU18" s="206">
        <f>1+AU16</f>
        <v>8</v>
      </c>
      <c r="AV18" s="229">
        <f ca="1">VLOOKUP(AV17,$A$4:$L$83,8,FALSE)</f>
        <v>2895</v>
      </c>
      <c r="AW18" s="229" t="str">
        <f ca="1">IF(AV18=0,0,VLOOKUP(AV18,Inscripciones!$B$1:$I$464,2,FALSE))</f>
        <v>ANDRES JOSE VEGA VALERIO</v>
      </c>
      <c r="AX18" s="230" t="str">
        <f ca="1">IF(AV18=0,0,VLOOKUP(AV18,Inscripciones!$B$1:$L$364,3,FALSE))</f>
        <v>ALAJUELA - UCR</v>
      </c>
      <c r="AY18" s="210"/>
      <c r="AZ18" s="211" t="str">
        <f>VLOOKUP(AV17,$A$4:$AD$87,29,FALSE)</f>
        <v>2 - 0  (3, 5)</v>
      </c>
      <c r="BA18" s="210"/>
      <c r="BB18" s="204"/>
      <c r="BC18" s="204"/>
      <c r="BD18" s="204"/>
      <c r="BE18" s="204"/>
      <c r="BF18" s="204"/>
      <c r="BG18" s="231"/>
      <c r="BH18" s="210"/>
      <c r="BI18" s="211" t="str">
        <f>VLOOKUP(BE19,$A$4:$AD$83,29,FALSE)</f>
        <v>3 - 0  (4, 4, 9)</v>
      </c>
      <c r="BJ18" s="210"/>
      <c r="BL18" s="221">
        <f t="shared" si="35"/>
        <v>14</v>
      </c>
      <c r="BM18" s="222" t="str">
        <f>C30</f>
        <v>28/Sep</v>
      </c>
      <c r="BN18" s="222">
        <f>D30</f>
        <v>0</v>
      </c>
      <c r="BO18" s="223">
        <f>E30</f>
        <v>0</v>
      </c>
      <c r="BP18" s="224" t="s">
        <v>89</v>
      </c>
      <c r="BQ18" s="221"/>
      <c r="BR18" s="221">
        <v>14</v>
      </c>
      <c r="BS18" s="225" t="e">
        <f ca="1">VLOOKUP(BY19,Inscripciones!$B$1:$B$364,2,FALSE)</f>
        <v>#REF!</v>
      </c>
      <c r="BT18" s="226"/>
      <c r="BU18" s="225" t="e">
        <f ca="1">VLOOKUP(BZ19,Inscripciones!$B$1:$B$364,2,FALSE)</f>
        <v>#REF!</v>
      </c>
      <c r="BV18" s="226"/>
      <c r="BW18" s="221"/>
      <c r="BX18" s="213"/>
      <c r="BY18" s="227">
        <f ca="1">G30</f>
        <v>3450</v>
      </c>
      <c r="BZ18" s="228">
        <f ca="1">H30</f>
        <v>3836</v>
      </c>
      <c r="CA18" s="216" t="str">
        <f>Inscripciones!$B$2</f>
        <v>U19 MASCULINO</v>
      </c>
      <c r="CB18" s="217" t="s">
        <v>104</v>
      </c>
    </row>
    <row r="19" spans="1:80" s="202" customFormat="1" ht="12.75" x14ac:dyDescent="0.25">
      <c r="A19" s="440"/>
      <c r="B19" s="442"/>
      <c r="C19" s="444"/>
      <c r="D19" s="444"/>
      <c r="E19" s="432"/>
      <c r="F19" s="446"/>
      <c r="G19" s="432"/>
      <c r="H19" s="432"/>
      <c r="I19" s="432">
        <v>0</v>
      </c>
      <c r="J19" s="432">
        <v>0</v>
      </c>
      <c r="K19" s="432">
        <v>0</v>
      </c>
      <c r="L19" s="432">
        <v>0</v>
      </c>
      <c r="M19" s="454"/>
      <c r="N19" s="432"/>
      <c r="O19" s="432"/>
      <c r="P19" s="432"/>
      <c r="Q19" s="432"/>
      <c r="R19" s="432"/>
      <c r="S19" s="432"/>
      <c r="T19" s="432"/>
      <c r="U19" s="432"/>
      <c r="V19" s="432"/>
      <c r="W19" s="432"/>
      <c r="X19" s="432"/>
      <c r="Y19" s="432"/>
      <c r="Z19" s="439"/>
      <c r="AA19" s="435"/>
      <c r="AB19" s="435"/>
      <c r="AC19" s="435"/>
      <c r="AD19" s="199" t="str">
        <f t="shared" ref="AD19" si="225">IF(AA18&gt;AB18,AD18&amp;"  "&amp;AE18,IF(AB18&gt;AA18,AD18&amp;"  "&amp;AE19,""))</f>
        <v>2 - 0  (1, 7)</v>
      </c>
      <c r="AE19" s="199" t="str">
        <f t="shared" si="0"/>
        <v>(1, 7)</v>
      </c>
      <c r="AF19" s="199">
        <f t="shared" ref="AF19" si="226">IF(N18&gt;M18,1,0)</f>
        <v>1</v>
      </c>
      <c r="AG19" s="199">
        <f t="shared" ref="AG19" si="227">IF(P18&gt;O18,1,0)</f>
        <v>1</v>
      </c>
      <c r="AH19" s="199">
        <f t="shared" ref="AH19" si="228">IF(R18&gt;Q18,1,0)</f>
        <v>0</v>
      </c>
      <c r="AI19" s="199">
        <f t="shared" ref="AI19" si="229">IF(T18&gt;S18,1,0)</f>
        <v>0</v>
      </c>
      <c r="AJ19" s="199">
        <f t="shared" ref="AJ19" si="230">IF(V18&gt;U18,1,0)</f>
        <v>0</v>
      </c>
      <c r="AK19" s="199">
        <f t="shared" ref="AK19" si="231">IF(X18&gt;W18,1,0)</f>
        <v>0</v>
      </c>
      <c r="AL19" s="199">
        <f t="shared" ref="AL19" si="232">IF(Z18&gt;Y18,1,0)</f>
        <v>0</v>
      </c>
      <c r="AM19" s="199">
        <f t="shared" ref="AM19" si="233">IF(N18&gt;M18,M18,IF(M18&gt;N18,-N18,""))</f>
        <v>1</v>
      </c>
      <c r="AN19" s="199" t="str">
        <f t="shared" ref="AN19" si="234">IF(P18&gt;O18,", "&amp;O18,IF(O18&gt;P18,", "&amp;-P18,""))</f>
        <v>, 7</v>
      </c>
      <c r="AO19" s="199" t="str">
        <f t="shared" ref="AO19" si="235">IF(R18&gt;Q18,", "&amp;Q18,IF(Q18&gt;R18,", "&amp;-R18,""))</f>
        <v/>
      </c>
      <c r="AP19" s="199" t="str">
        <f t="shared" ref="AP19" si="236">IF(T18&gt;S18,", "&amp;S18,IF(S18&gt;T18,", "&amp;-T18,""))</f>
        <v/>
      </c>
      <c r="AQ19" s="199" t="str">
        <f t="shared" ref="AQ19" si="237">IF(V18&gt;U18,", "&amp;U18,IF(U18&gt;V18,", "&amp;-V18,""))</f>
        <v/>
      </c>
      <c r="AR19" s="199" t="str">
        <f t="shared" ref="AR19" si="238">IF(X18&gt;W18,", "&amp;W18,IF(W18&gt;X18,", "&amp;-X18,""))</f>
        <v/>
      </c>
      <c r="AS19" s="199" t="str">
        <f t="shared" ref="AS19" si="239">IF(Z18&gt;Y18,", "&amp;Y18,IF(Y18&gt;Z18,", "&amp;-Z18,""))</f>
        <v/>
      </c>
      <c r="AU19" s="203"/>
      <c r="AV19" s="204"/>
      <c r="AW19" s="204"/>
      <c r="AX19" s="232"/>
      <c r="AY19" s="204"/>
      <c r="AZ19" s="204"/>
      <c r="BA19" s="204"/>
      <c r="BB19" s="204"/>
      <c r="BC19" s="204"/>
      <c r="BD19" s="204"/>
      <c r="BE19" s="218">
        <v>29</v>
      </c>
      <c r="BF19" s="219" t="str">
        <f>VLOOKUP(BE19,$A$4:$L$83,6,FALSE)</f>
        <v>28/Sep-- Table</v>
      </c>
      <c r="BG19" s="231"/>
      <c r="BH19" s="207">
        <f ca="1">VLOOKUP(BH34,$A$4:$L$87,7,FALSE)</f>
        <v>2895</v>
      </c>
      <c r="BI19" s="208" t="str">
        <f ca="1">IF(BH19=0,0,VLOOKUP(BH19,Inscripciones!$B$1:$I$464,2,FALSE))</f>
        <v>ANDRES JOSE VEGA VALERIO</v>
      </c>
      <c r="BJ19" s="209" t="str">
        <f ca="1">IF(BH19=0,0,VLOOKUP(BH19,Inscripciones!$B$1:$L$364,3,FALSE))</f>
        <v>ALAJUELA - UCR</v>
      </c>
      <c r="BL19" s="221">
        <f t="shared" si="35"/>
        <v>15</v>
      </c>
      <c r="BM19" s="222" t="str">
        <f>C32</f>
        <v>28/Sep</v>
      </c>
      <c r="BN19" s="222">
        <f>D32</f>
        <v>0</v>
      </c>
      <c r="BO19" s="223">
        <f>E32</f>
        <v>0</v>
      </c>
      <c r="BP19" s="224" t="s">
        <v>89</v>
      </c>
      <c r="BQ19" s="221"/>
      <c r="BR19" s="221">
        <v>15</v>
      </c>
      <c r="BS19" s="225" t="e">
        <f ca="1">VLOOKUP(BY20,Inscripciones!$B$1:$B$364,2,FALSE)</f>
        <v>#REF!</v>
      </c>
      <c r="BT19" s="226"/>
      <c r="BU19" s="225" t="e">
        <f ca="1">VLOOKUP(BZ20,Inscripciones!$B$1:$B$364,2,FALSE)</f>
        <v>#REF!</v>
      </c>
      <c r="BV19" s="226"/>
      <c r="BW19" s="221"/>
      <c r="BX19" s="213"/>
      <c r="BY19" s="227">
        <f ca="1">G32</f>
        <v>3499</v>
      </c>
      <c r="BZ19" s="228">
        <f ca="1">H32</f>
        <v>4284</v>
      </c>
      <c r="CA19" s="216" t="str">
        <f>Inscripciones!$B$2</f>
        <v>U19 MASCULINO</v>
      </c>
      <c r="CB19" s="217" t="s">
        <v>105</v>
      </c>
    </row>
    <row r="20" spans="1:80" s="202" customFormat="1" ht="12.75" x14ac:dyDescent="0.25">
      <c r="A20" s="440">
        <v>9</v>
      </c>
      <c r="B20" s="447" t="s">
        <v>93</v>
      </c>
      <c r="C20" s="449" t="s">
        <v>72</v>
      </c>
      <c r="D20" s="449"/>
      <c r="E20" s="436"/>
      <c r="F20" s="451" t="str">
        <f t="shared" ref="F20" si="240">C20&amp;"-"&amp;D20&amp;"- Table"&amp;E20</f>
        <v>28/Sep-- Table</v>
      </c>
      <c r="G20" s="436">
        <f ca="1">'SORTEO 32'!D25</f>
        <v>3472</v>
      </c>
      <c r="H20" s="436">
        <f ca="1">'SORTEO 32'!D26</f>
        <v>3696</v>
      </c>
      <c r="I20" s="436" t="str">
        <f ca="1">IF(G20=0,0,VLOOKUP(G20,Inscripciones!$B$1:$I$464,2,FALSE))</f>
        <v>JAYDRICK SHAMALL BAKER CRAWFORD</v>
      </c>
      <c r="J20" s="436" t="str">
        <f ca="1">IF(G20=0,0,VLOOKUP(G20,Inscripciones!$B$1:$L$364,3,FALSE))</f>
        <v>ASERRÍ - UCR</v>
      </c>
      <c r="K20" s="436" t="str">
        <f ca="1">IF(I20=0,0,VLOOKUP(H20,Inscripciones!$B$1:$I$464,2,FALSE))</f>
        <v>NICOLAS CECILIANO ESQUIVEL</v>
      </c>
      <c r="L20" s="436" t="str">
        <f ca="1">IF(I20=0,0,VLOOKUP(H20,Inscripciones!$B$1:$L$364,3,FALSE))</f>
        <v>PÉREZ ZELEDÓN</v>
      </c>
      <c r="M20" s="426">
        <v>11</v>
      </c>
      <c r="N20" s="436">
        <v>5</v>
      </c>
      <c r="O20" s="436">
        <v>11</v>
      </c>
      <c r="P20" s="436">
        <v>2</v>
      </c>
      <c r="Q20" s="436"/>
      <c r="R20" s="436"/>
      <c r="S20" s="436"/>
      <c r="T20" s="436"/>
      <c r="U20" s="436"/>
      <c r="V20" s="436"/>
      <c r="W20" s="436"/>
      <c r="X20" s="436"/>
      <c r="Y20" s="436"/>
      <c r="Z20" s="433"/>
      <c r="AA20" s="435">
        <f t="shared" ref="AA20" si="241">IF(M20+N20&lt;&gt;0,SUM(AF20:AL20),"")</f>
        <v>2</v>
      </c>
      <c r="AB20" s="435">
        <f t="shared" ref="AB20" si="242">IF(M20+N20&lt;&gt;0,SUM(AF21:AL21),"")</f>
        <v>0</v>
      </c>
      <c r="AC20" s="435" t="str">
        <f t="shared" ref="AC20" si="243">IF(AA20&gt;AB20,AD20&amp;"  "&amp;AE20,IF(AB20&gt;AA20,AD20&amp;"  "&amp;AE21,""))</f>
        <v>2 - 0  (5, 2)</v>
      </c>
      <c r="AD20" s="199" t="str">
        <f t="shared" ref="AD20" si="244">IF(AA20&gt;AB20,AA20&amp;" - "&amp;AB20,IF(AB20&gt;AA20,AB20&amp;" - "&amp;AA20,""))</f>
        <v>2 - 0</v>
      </c>
      <c r="AE20" s="199" t="str">
        <f t="shared" si="0"/>
        <v>(5, 2)</v>
      </c>
      <c r="AF20" s="199">
        <f t="shared" ref="AF20" si="245">IF(M20&gt;N20,1,0)</f>
        <v>1</v>
      </c>
      <c r="AG20" s="199">
        <f t="shared" ref="AG20" si="246">IF(O20&gt;P20,1,0)</f>
        <v>1</v>
      </c>
      <c r="AH20" s="199">
        <f t="shared" ref="AH20" si="247">IF(Q20&gt;R20,1,0)</f>
        <v>0</v>
      </c>
      <c r="AI20" s="199">
        <f t="shared" ref="AI20" si="248">IF(S20&gt;T20,1,0)</f>
        <v>0</v>
      </c>
      <c r="AJ20" s="199">
        <f t="shared" ref="AJ20" si="249">IF(U20&gt;V20,1,0)</f>
        <v>0</v>
      </c>
      <c r="AK20" s="199">
        <f t="shared" ref="AK20" si="250">IF(W20&gt;X20,1,0)</f>
        <v>0</v>
      </c>
      <c r="AL20" s="199">
        <f t="shared" ref="AL20" si="251">IF(Y20&gt;Z20,1,0)</f>
        <v>0</v>
      </c>
      <c r="AM20" s="199">
        <f t="shared" ref="AM20" si="252">IF(M20&gt;N20,N20,IF(N20&gt;M20,-M20,""))</f>
        <v>5</v>
      </c>
      <c r="AN20" s="199" t="str">
        <f t="shared" ref="AN20" si="253">IF(O20&gt;P20,", "&amp;P20,IF(P20&gt;O20,", "&amp;-O20,""))</f>
        <v>, 2</v>
      </c>
      <c r="AO20" s="199" t="str">
        <f t="shared" ref="AO20" si="254">IF(Q20&gt;R20,", "&amp;R20,IF(R20&gt;Q20,", "&amp;-Q20,""))</f>
        <v/>
      </c>
      <c r="AP20" s="199" t="str">
        <f t="shared" ref="AP20" si="255">IF(S20&gt;T20,", "&amp;T20,IF(T20&gt;S20,", "&amp;-S20,""))</f>
        <v/>
      </c>
      <c r="AQ20" s="199" t="str">
        <f t="shared" ref="AQ20" si="256">IF(U20&gt;V20,", "&amp;V20,IF(V20&gt;U20,", "&amp;-U20,""))</f>
        <v/>
      </c>
      <c r="AR20" s="199" t="str">
        <f t="shared" ref="AR20" si="257">IF(W20&gt;X20,", "&amp;X20,IF(X20&gt;W20,", "&amp;-W20,""))</f>
        <v/>
      </c>
      <c r="AS20" s="199" t="str">
        <f t="shared" ref="AS20" si="258">IF(Y20&gt;Z20,", "&amp;Z20,IF(Z20&gt;Y20,", "&amp;-Y20,""))</f>
        <v/>
      </c>
      <c r="AU20" s="206">
        <f>1+AU18</f>
        <v>9</v>
      </c>
      <c r="AV20" s="207">
        <f ca="1">VLOOKUP(AV21,$A$4:$L$83,7,FALSE)</f>
        <v>3153</v>
      </c>
      <c r="AW20" s="208" t="str">
        <f ca="1">IF(AV20=0,0,VLOOKUP(AV20,Inscripciones!$B$1:$I$464,2,FALSE))</f>
        <v>ARIEL IGNACIO BARTELS BARQUERO</v>
      </c>
      <c r="AX20" s="209" t="str">
        <f ca="1">IF(AV20=0,0,VLOOKUP(AV20,Inscripciones!$B$1:$L$364,3,FALSE))</f>
        <v>PÉREZ ZELEDÓN - UNA</v>
      </c>
      <c r="AY20" s="210"/>
      <c r="AZ20" s="211" t="str">
        <f>VLOOKUP(AV21,$A$4:$AD$83,29,FALSE)</f>
        <v>2 - 0  (5, 4)</v>
      </c>
      <c r="BA20" s="210"/>
      <c r="BB20" s="204"/>
      <c r="BC20" s="204"/>
      <c r="BD20" s="204"/>
      <c r="BE20" s="204"/>
      <c r="BF20" s="204"/>
      <c r="BG20" s="231"/>
      <c r="BJ20" s="235"/>
      <c r="BL20" s="221">
        <f t="shared" si="35"/>
        <v>16</v>
      </c>
      <c r="BM20" s="222" t="str">
        <f>C34</f>
        <v>28/Sep</v>
      </c>
      <c r="BN20" s="222">
        <f>D34</f>
        <v>0</v>
      </c>
      <c r="BO20" s="223">
        <f>E34</f>
        <v>0</v>
      </c>
      <c r="BP20" s="224" t="s">
        <v>89</v>
      </c>
      <c r="BQ20" s="221"/>
      <c r="BR20" s="221">
        <v>16</v>
      </c>
      <c r="BS20" s="225" t="e">
        <f>VLOOKUP(#REF!,Inscripciones!$B$1:$B$364,2,FALSE)</f>
        <v>#REF!</v>
      </c>
      <c r="BT20" s="226"/>
      <c r="BU20" s="225" t="e">
        <f>VLOOKUP(#REF!,Inscripciones!$B$1:$B$364,2,FALSE)</f>
        <v>#REF!</v>
      </c>
      <c r="BV20" s="226"/>
      <c r="BW20" s="221"/>
      <c r="BX20" s="213"/>
      <c r="BY20" s="227">
        <f ca="1">G34</f>
        <v>3449</v>
      </c>
      <c r="BZ20" s="228">
        <f ca="1">H34</f>
        <v>4144</v>
      </c>
      <c r="CA20" s="216" t="str">
        <f>Inscripciones!$B$2</f>
        <v>U19 MASCULINO</v>
      </c>
      <c r="CB20" s="217" t="s">
        <v>106</v>
      </c>
    </row>
    <row r="21" spans="1:80" s="202" customFormat="1" ht="12.75" x14ac:dyDescent="0.25">
      <c r="A21" s="440"/>
      <c r="B21" s="448"/>
      <c r="C21" s="450"/>
      <c r="D21" s="450"/>
      <c r="E21" s="437"/>
      <c r="F21" s="452"/>
      <c r="G21" s="437"/>
      <c r="H21" s="437"/>
      <c r="I21" s="437">
        <v>0</v>
      </c>
      <c r="J21" s="437">
        <v>0</v>
      </c>
      <c r="K21" s="437">
        <v>0</v>
      </c>
      <c r="L21" s="437">
        <v>0</v>
      </c>
      <c r="M21" s="427"/>
      <c r="N21" s="437"/>
      <c r="O21" s="437"/>
      <c r="P21" s="437"/>
      <c r="Q21" s="437"/>
      <c r="R21" s="437"/>
      <c r="S21" s="437"/>
      <c r="T21" s="437"/>
      <c r="U21" s="437"/>
      <c r="V21" s="437"/>
      <c r="W21" s="437"/>
      <c r="X21" s="437"/>
      <c r="Y21" s="437"/>
      <c r="Z21" s="434"/>
      <c r="AA21" s="435"/>
      <c r="AB21" s="435"/>
      <c r="AC21" s="435"/>
      <c r="AD21" s="199" t="str">
        <f t="shared" ref="AD21" si="259">IF(AA20&gt;AB20,AD20&amp;"  "&amp;AE20,IF(AB20&gt;AA20,AD20&amp;"  "&amp;AE21,""))</f>
        <v>2 - 0  (5, 2)</v>
      </c>
      <c r="AE21" s="199" t="str">
        <f t="shared" si="0"/>
        <v>(-5, -2)</v>
      </c>
      <c r="AF21" s="199">
        <f t="shared" ref="AF21" si="260">IF(N20&gt;M20,1,0)</f>
        <v>0</v>
      </c>
      <c r="AG21" s="199">
        <f t="shared" ref="AG21" si="261">IF(P20&gt;O20,1,0)</f>
        <v>0</v>
      </c>
      <c r="AH21" s="199">
        <f t="shared" ref="AH21" si="262">IF(R20&gt;Q20,1,0)</f>
        <v>0</v>
      </c>
      <c r="AI21" s="199">
        <f t="shared" ref="AI21" si="263">IF(T20&gt;S20,1,0)</f>
        <v>0</v>
      </c>
      <c r="AJ21" s="199">
        <f t="shared" ref="AJ21" si="264">IF(V20&gt;U20,1,0)</f>
        <v>0</v>
      </c>
      <c r="AK21" s="199">
        <f t="shared" ref="AK21" si="265">IF(X20&gt;W20,1,0)</f>
        <v>0</v>
      </c>
      <c r="AL21" s="199">
        <f t="shared" ref="AL21" si="266">IF(Z20&gt;Y20,1,0)</f>
        <v>0</v>
      </c>
      <c r="AM21" s="199">
        <f t="shared" ref="AM21" si="267">IF(N20&gt;M20,M20,IF(M20&gt;N20,-N20,""))</f>
        <v>-5</v>
      </c>
      <c r="AN21" s="199" t="str">
        <f t="shared" ref="AN21" si="268">IF(P20&gt;O20,", "&amp;O20,IF(O20&gt;P20,", "&amp;-P20,""))</f>
        <v>, -2</v>
      </c>
      <c r="AO21" s="199" t="str">
        <f t="shared" ref="AO21" si="269">IF(R20&gt;Q20,", "&amp;Q20,IF(Q20&gt;R20,", "&amp;-R20,""))</f>
        <v/>
      </c>
      <c r="AP21" s="199" t="str">
        <f t="shared" ref="AP21" si="270">IF(T20&gt;S20,", "&amp;S20,IF(S20&gt;T20,", "&amp;-T20,""))</f>
        <v/>
      </c>
      <c r="AQ21" s="199" t="str">
        <f t="shared" ref="AQ21" si="271">IF(V20&gt;U20,", "&amp;U20,IF(U20&gt;V20,", "&amp;-V20,""))</f>
        <v/>
      </c>
      <c r="AR21" s="199" t="str">
        <f t="shared" ref="AR21" si="272">IF(X20&gt;W20,", "&amp;W20,IF(W20&gt;X20,", "&amp;-X20,""))</f>
        <v/>
      </c>
      <c r="AS21" s="199" t="str">
        <f t="shared" ref="AS21" si="273">IF(Z20&gt;Y20,", "&amp;Y20,IF(Y20&gt;Z20,", "&amp;-Z20,""))</f>
        <v/>
      </c>
      <c r="AU21" s="203"/>
      <c r="AV21" s="218">
        <v>5</v>
      </c>
      <c r="AW21" s="219" t="str">
        <f>VLOOKUP(AV21,$A$4:$L$83,6,FALSE)</f>
        <v>28/Sep-- Table</v>
      </c>
      <c r="AX21" s="220"/>
      <c r="AY21" s="207">
        <f ca="1">VLOOKUP(AY23,$A$4:$L$87,7,FALSE)</f>
        <v>3153</v>
      </c>
      <c r="AZ21" s="208" t="str">
        <f ca="1">IF(AY21=0,0,VLOOKUP(AY21,Inscripciones!$B$1:$I$464,2,FALSE))</f>
        <v>ARIEL IGNACIO BARTELS BARQUERO</v>
      </c>
      <c r="BA21" s="209" t="str">
        <f ca="1">IF(AY21=0,0,VLOOKUP(AY21,Inscripciones!$B$1:$L$364,3,FALSE))</f>
        <v>PÉREZ ZELEDÓN - UNA</v>
      </c>
      <c r="BB21" s="204"/>
      <c r="BC21" s="204"/>
      <c r="BD21" s="204"/>
      <c r="BE21" s="204"/>
      <c r="BG21" s="235"/>
      <c r="BJ21" s="235"/>
      <c r="BL21" s="236">
        <f t="shared" si="35"/>
        <v>17</v>
      </c>
      <c r="BM21" s="237" t="str">
        <f>C36</f>
        <v>28/Sep</v>
      </c>
      <c r="BN21" s="237">
        <f>D36</f>
        <v>0</v>
      </c>
      <c r="BO21" s="238">
        <f>E36</f>
        <v>0</v>
      </c>
      <c r="BP21" s="239" t="s">
        <v>89</v>
      </c>
      <c r="BQ21" s="236"/>
      <c r="BR21" s="236">
        <v>33</v>
      </c>
      <c r="BS21" s="240" t="e">
        <f ca="1">VLOOKUP(BY22,Inscripciones!$B$1:$B$364,2,FALSE)</f>
        <v>#REF!</v>
      </c>
      <c r="BT21" s="236"/>
      <c r="BU21" s="240" t="e">
        <f ca="1">VLOOKUP(BZ22,Inscripciones!$B$1:$B$364,2,FALSE)</f>
        <v>#REF!</v>
      </c>
      <c r="BV21" s="236"/>
      <c r="BW21" s="236"/>
      <c r="BY21" s="227">
        <f ca="1">G36</f>
        <v>2515</v>
      </c>
      <c r="BZ21" s="228">
        <f ca="1">H36</f>
        <v>3747</v>
      </c>
      <c r="CA21" s="216" t="str">
        <f>Inscripciones!$B$2</f>
        <v>U19 MASCULINO</v>
      </c>
      <c r="CB21" s="217" t="s">
        <v>107</v>
      </c>
    </row>
    <row r="22" spans="1:80" s="202" customFormat="1" ht="12.75" x14ac:dyDescent="0.25">
      <c r="A22" s="440">
        <v>10</v>
      </c>
      <c r="B22" s="441" t="s">
        <v>93</v>
      </c>
      <c r="C22" s="443" t="s">
        <v>72</v>
      </c>
      <c r="D22" s="443"/>
      <c r="E22" s="431"/>
      <c r="F22" s="445" t="str">
        <f t="shared" ref="F22" si="274">C22&amp;"-"&amp;D22&amp;"- Table"&amp;E22</f>
        <v>28/Sep-- Table</v>
      </c>
      <c r="G22" s="431">
        <f ca="1">'SORTEO 32'!D27</f>
        <v>2847</v>
      </c>
      <c r="H22" s="431">
        <f ca="1">'SORTEO 32'!D28</f>
        <v>4363</v>
      </c>
      <c r="I22" s="431" t="str">
        <f ca="1">IF(G22=0,0,VLOOKUP(G22,Inscripciones!$B$1:$I$464,2,FALSE))</f>
        <v>LUIS GAEL SILES LOBO</v>
      </c>
      <c r="J22" s="431" t="str">
        <f ca="1">IF(G22=0,0,VLOOKUP(G22,Inscripciones!$B$1:$L$364,3,FALSE))</f>
        <v>ESPARZA</v>
      </c>
      <c r="K22" s="431" t="str">
        <f ca="1">IF(I22=0,0,VLOOKUP(H22,Inscripciones!$B$1:$I$464,2,FALSE))</f>
        <v>CESAR DAM BLANCO</v>
      </c>
      <c r="L22" s="431" t="str">
        <f ca="1">IF(I22=0,0,VLOOKUP(H22,Inscripciones!$B$1:$L$364,3,FALSE))</f>
        <v>CCDR ALAJUELA</v>
      </c>
      <c r="M22" s="453">
        <v>11</v>
      </c>
      <c r="N22" s="431">
        <v>13</v>
      </c>
      <c r="O22" s="431">
        <v>11</v>
      </c>
      <c r="P22" s="431">
        <v>9</v>
      </c>
      <c r="Q22" s="431">
        <v>9</v>
      </c>
      <c r="R22" s="431">
        <v>11</v>
      </c>
      <c r="S22" s="431"/>
      <c r="T22" s="431"/>
      <c r="U22" s="431"/>
      <c r="V22" s="431"/>
      <c r="W22" s="431"/>
      <c r="X22" s="431"/>
      <c r="Y22" s="431"/>
      <c r="Z22" s="438"/>
      <c r="AA22" s="435">
        <f t="shared" ref="AA22" si="275">IF(M22+N22&lt;&gt;0,SUM(AF22:AL22),"")</f>
        <v>1</v>
      </c>
      <c r="AB22" s="435">
        <f t="shared" ref="AB22" si="276">IF(M22+N22&lt;&gt;0,SUM(AF23:AL23),"")</f>
        <v>2</v>
      </c>
      <c r="AC22" s="435" t="str">
        <f t="shared" ref="AC22" si="277">IF(AA22&gt;AB22,AD22&amp;"  "&amp;AE22,IF(AB22&gt;AA22,AD22&amp;"  "&amp;AE23,""))</f>
        <v>2 - 1  (11, -9, 9)</v>
      </c>
      <c r="AD22" s="199" t="str">
        <f t="shared" ref="AD22" si="278">IF(AA22&gt;AB22,AA22&amp;" - "&amp;AB22,IF(AB22&gt;AA22,AB22&amp;" - "&amp;AA22,""))</f>
        <v>2 - 1</v>
      </c>
      <c r="AE22" s="199" t="str">
        <f t="shared" si="0"/>
        <v>(-11, 9, -9)</v>
      </c>
      <c r="AF22" s="199">
        <f t="shared" ref="AF22" si="279">IF(M22&gt;N22,1,0)</f>
        <v>0</v>
      </c>
      <c r="AG22" s="199">
        <f t="shared" ref="AG22" si="280">IF(O22&gt;P22,1,0)</f>
        <v>1</v>
      </c>
      <c r="AH22" s="199">
        <f t="shared" ref="AH22" si="281">IF(Q22&gt;R22,1,0)</f>
        <v>0</v>
      </c>
      <c r="AI22" s="199">
        <f t="shared" ref="AI22" si="282">IF(S22&gt;T22,1,0)</f>
        <v>0</v>
      </c>
      <c r="AJ22" s="199">
        <f t="shared" ref="AJ22" si="283">IF(U22&gt;V22,1,0)</f>
        <v>0</v>
      </c>
      <c r="AK22" s="199">
        <f t="shared" ref="AK22" si="284">IF(W22&gt;X22,1,0)</f>
        <v>0</v>
      </c>
      <c r="AL22" s="199">
        <f t="shared" ref="AL22" si="285">IF(Y22&gt;Z22,1,0)</f>
        <v>0</v>
      </c>
      <c r="AM22" s="199">
        <f t="shared" ref="AM22" si="286">IF(M22&gt;N22,N22,IF(N22&gt;M22,-M22,""))</f>
        <v>-11</v>
      </c>
      <c r="AN22" s="199" t="str">
        <f t="shared" ref="AN22" si="287">IF(O22&gt;P22,", "&amp;P22,IF(P22&gt;O22,", "&amp;-O22,""))</f>
        <v>, 9</v>
      </c>
      <c r="AO22" s="199" t="str">
        <f t="shared" ref="AO22" si="288">IF(Q22&gt;R22,", "&amp;R22,IF(R22&gt;Q22,", "&amp;-Q22,""))</f>
        <v>, -9</v>
      </c>
      <c r="AP22" s="199" t="str">
        <f t="shared" ref="AP22" si="289">IF(S22&gt;T22,", "&amp;T22,IF(T22&gt;S22,", "&amp;-S22,""))</f>
        <v/>
      </c>
      <c r="AQ22" s="199" t="str">
        <f t="shared" ref="AQ22" si="290">IF(U22&gt;V22,", "&amp;V22,IF(V22&gt;U22,", "&amp;-U22,""))</f>
        <v/>
      </c>
      <c r="AR22" s="199" t="str">
        <f t="shared" ref="AR22" si="291">IF(W22&gt;X22,", "&amp;X22,IF(X22&gt;W22,", "&amp;-W22,""))</f>
        <v/>
      </c>
      <c r="AS22" s="199" t="str">
        <f t="shared" ref="AS22" si="292">IF(Y22&gt;Z22,", "&amp;Z22,IF(Z22&gt;Y22,", "&amp;-Y22,""))</f>
        <v/>
      </c>
      <c r="AU22" s="206">
        <f>1+AU20</f>
        <v>10</v>
      </c>
      <c r="AV22" s="229">
        <f ca="1">VLOOKUP(AV21,$A$4:$L$83,8,FALSE)</f>
        <v>4463</v>
      </c>
      <c r="AW22" s="229" t="str">
        <f ca="1">IF(AV22=0,0,VLOOKUP(AV22,Inscripciones!$B$1:$I$464,2,FALSE))</f>
        <v>ISAAC ANDRÉS LEAL CHACÓN</v>
      </c>
      <c r="AX22" s="230" t="str">
        <f ca="1">IF(AV22=0,0,VLOOKUP(AV22,Inscripciones!$B$1:$L$364,3,FALSE))</f>
        <v>ESPARZA</v>
      </c>
      <c r="AY22" s="204"/>
      <c r="AZ22" s="204"/>
      <c r="BA22" s="231"/>
      <c r="BB22" s="210"/>
      <c r="BC22" s="211" t="str">
        <f>VLOOKUP(AY23,$A$4:$AD$83,29,FALSE)</f>
        <v>2 - 1  (8, -6, 10)</v>
      </c>
      <c r="BD22" s="210"/>
      <c r="BE22" s="204"/>
      <c r="BG22" s="235"/>
      <c r="BJ22" s="235"/>
      <c r="BL22" s="236">
        <f t="shared" si="35"/>
        <v>18</v>
      </c>
      <c r="BM22" s="237" t="str">
        <f>C38</f>
        <v>28/Sep</v>
      </c>
      <c r="BN22" s="237">
        <f>D38</f>
        <v>0</v>
      </c>
      <c r="BO22" s="238">
        <f>E38</f>
        <v>0</v>
      </c>
      <c r="BP22" s="239" t="s">
        <v>89</v>
      </c>
      <c r="BQ22" s="236"/>
      <c r="BR22" s="236">
        <v>34</v>
      </c>
      <c r="BS22" s="240" t="e">
        <f ca="1">VLOOKUP(BY23,Inscripciones!$B$1:$B$364,2,FALSE)</f>
        <v>#REF!</v>
      </c>
      <c r="BT22" s="236"/>
      <c r="BU22" s="240" t="e">
        <f ca="1">VLOOKUP(BZ23,Inscripciones!$B$1:$B$364,2,FALSE)</f>
        <v>#REF!</v>
      </c>
      <c r="BV22" s="236"/>
      <c r="BW22" s="236"/>
      <c r="BY22" s="227">
        <f ca="1">G38</f>
        <v>4056</v>
      </c>
      <c r="BZ22" s="228">
        <f ca="1">H38</f>
        <v>2895</v>
      </c>
      <c r="CA22" s="216" t="str">
        <f>Inscripciones!$B$2</f>
        <v>U19 MASCULINO</v>
      </c>
      <c r="CB22" s="217" t="s">
        <v>108</v>
      </c>
    </row>
    <row r="23" spans="1:80" s="202" customFormat="1" ht="12.75" x14ac:dyDescent="0.25">
      <c r="A23" s="440"/>
      <c r="B23" s="442"/>
      <c r="C23" s="444"/>
      <c r="D23" s="444"/>
      <c r="E23" s="432"/>
      <c r="F23" s="446"/>
      <c r="G23" s="432"/>
      <c r="H23" s="432"/>
      <c r="I23" s="432">
        <v>0</v>
      </c>
      <c r="J23" s="432">
        <v>0</v>
      </c>
      <c r="K23" s="432">
        <v>0</v>
      </c>
      <c r="L23" s="432">
        <v>0</v>
      </c>
      <c r="M23" s="454"/>
      <c r="N23" s="432"/>
      <c r="O23" s="432"/>
      <c r="P23" s="432"/>
      <c r="Q23" s="432"/>
      <c r="R23" s="432"/>
      <c r="S23" s="432"/>
      <c r="T23" s="432"/>
      <c r="U23" s="432"/>
      <c r="V23" s="432"/>
      <c r="W23" s="432"/>
      <c r="X23" s="432"/>
      <c r="Y23" s="432"/>
      <c r="Z23" s="439"/>
      <c r="AA23" s="435"/>
      <c r="AB23" s="435"/>
      <c r="AC23" s="435"/>
      <c r="AD23" s="199" t="str">
        <f t="shared" ref="AD23" si="293">IF(AA22&gt;AB22,AD22&amp;"  "&amp;AE22,IF(AB22&gt;AA22,AD22&amp;"  "&amp;AE23,""))</f>
        <v>2 - 1  (11, -9, 9)</v>
      </c>
      <c r="AE23" s="199" t="str">
        <f t="shared" si="0"/>
        <v>(11, -9, 9)</v>
      </c>
      <c r="AF23" s="199">
        <f t="shared" ref="AF23" si="294">IF(N22&gt;M22,1,0)</f>
        <v>1</v>
      </c>
      <c r="AG23" s="199">
        <f t="shared" ref="AG23" si="295">IF(P22&gt;O22,1,0)</f>
        <v>0</v>
      </c>
      <c r="AH23" s="199">
        <f t="shared" ref="AH23" si="296">IF(R22&gt;Q22,1,0)</f>
        <v>1</v>
      </c>
      <c r="AI23" s="199">
        <f t="shared" ref="AI23" si="297">IF(T22&gt;S22,1,0)</f>
        <v>0</v>
      </c>
      <c r="AJ23" s="199">
        <f t="shared" ref="AJ23" si="298">IF(V22&gt;U22,1,0)</f>
        <v>0</v>
      </c>
      <c r="AK23" s="199">
        <f t="shared" ref="AK23" si="299">IF(X22&gt;W22,1,0)</f>
        <v>0</v>
      </c>
      <c r="AL23" s="199">
        <f t="shared" ref="AL23" si="300">IF(Z22&gt;Y22,1,0)</f>
        <v>0</v>
      </c>
      <c r="AM23" s="199">
        <f t="shared" ref="AM23" si="301">IF(N22&gt;M22,M22,IF(M22&gt;N22,-N22,""))</f>
        <v>11</v>
      </c>
      <c r="AN23" s="199" t="str">
        <f t="shared" ref="AN23" si="302">IF(P22&gt;O22,", "&amp;O22,IF(O22&gt;P22,", "&amp;-P22,""))</f>
        <v>, -9</v>
      </c>
      <c r="AO23" s="199" t="str">
        <f t="shared" ref="AO23" si="303">IF(R22&gt;Q22,", "&amp;Q22,IF(Q22&gt;R22,", "&amp;-R22,""))</f>
        <v>, 9</v>
      </c>
      <c r="AP23" s="199" t="str">
        <f t="shared" ref="AP23" si="304">IF(T22&gt;S22,", "&amp;S22,IF(S22&gt;T22,", "&amp;-T22,""))</f>
        <v/>
      </c>
      <c r="AQ23" s="199" t="str">
        <f t="shared" ref="AQ23" si="305">IF(V22&gt;U22,", "&amp;U22,IF(U22&gt;V22,", "&amp;-V22,""))</f>
        <v/>
      </c>
      <c r="AR23" s="199" t="str">
        <f t="shared" ref="AR23" si="306">IF(X22&gt;W22,", "&amp;W22,IF(W22&gt;X22,", "&amp;-X22,""))</f>
        <v/>
      </c>
      <c r="AS23" s="199" t="str">
        <f t="shared" ref="AS23" si="307">IF(Z22&gt;Y22,", "&amp;Y22,IF(Y22&gt;Z22,", "&amp;-Z22,""))</f>
        <v/>
      </c>
      <c r="AU23" s="203"/>
      <c r="AV23" s="204"/>
      <c r="AW23" s="204"/>
      <c r="AX23" s="232"/>
      <c r="AY23" s="218">
        <v>19</v>
      </c>
      <c r="AZ23" s="219" t="str">
        <f>VLOOKUP(AY23,$A$4:$L$83,6,FALSE)</f>
        <v>28/Sep-- Table</v>
      </c>
      <c r="BA23" s="233"/>
      <c r="BB23" s="207">
        <f ca="1">VLOOKUP(BB27,$A$4:$L$87,7,FALSE)</f>
        <v>3458</v>
      </c>
      <c r="BC23" s="208" t="str">
        <f ca="1">IF(BB23=0,0,VLOOKUP(BB23,Inscripciones!$B$1:$I$464,2,FALSE))</f>
        <v>SANTIAGO ALVAREZ LONGHI</v>
      </c>
      <c r="BD23" s="209" t="str">
        <f ca="1">IF(BB23=0,0,VLOOKUP(BB23,Inscripciones!$B$1:$L$364,3,FALSE))</f>
        <v>SANTO DOMINGO</v>
      </c>
      <c r="BE23" s="204"/>
      <c r="BG23" s="235"/>
      <c r="BJ23" s="235"/>
      <c r="BL23" s="236">
        <f t="shared" si="35"/>
        <v>19</v>
      </c>
      <c r="BM23" s="237" t="str">
        <f>C40</f>
        <v>28/Sep</v>
      </c>
      <c r="BN23" s="237">
        <f>D40</f>
        <v>0</v>
      </c>
      <c r="BO23" s="238">
        <f>E40</f>
        <v>0</v>
      </c>
      <c r="BP23" s="239" t="s">
        <v>89</v>
      </c>
      <c r="BQ23" s="236"/>
      <c r="BR23" s="236">
        <v>35</v>
      </c>
      <c r="BS23" s="240" t="e">
        <f ca="1">VLOOKUP(BY24,Inscripciones!$B$1:$B$364,2,FALSE)</f>
        <v>#REF!</v>
      </c>
      <c r="BT23" s="236"/>
      <c r="BU23" s="240" t="e">
        <f ca="1">VLOOKUP(BZ24,Inscripciones!$B$1:$B$364,2,FALSE)</f>
        <v>#REF!</v>
      </c>
      <c r="BV23" s="236"/>
      <c r="BW23" s="236"/>
      <c r="BY23" s="227">
        <f ca="1">G40</f>
        <v>3153</v>
      </c>
      <c r="BZ23" s="228">
        <f ca="1">H40</f>
        <v>3458</v>
      </c>
      <c r="CA23" s="216" t="str">
        <f>Inscripciones!$B$2</f>
        <v>U19 MASCULINO</v>
      </c>
      <c r="CB23" s="217" t="s">
        <v>109</v>
      </c>
    </row>
    <row r="24" spans="1:80" s="202" customFormat="1" ht="12.75" x14ac:dyDescent="0.25">
      <c r="A24" s="440">
        <v>11</v>
      </c>
      <c r="B24" s="447" t="s">
        <v>93</v>
      </c>
      <c r="C24" s="449" t="s">
        <v>72</v>
      </c>
      <c r="D24" s="449"/>
      <c r="E24" s="436"/>
      <c r="F24" s="451" t="str">
        <f t="shared" ref="F24" si="308">C24&amp;"-"&amp;D24&amp;"- Table"&amp;E24</f>
        <v>28/Sep-- Table</v>
      </c>
      <c r="G24" s="436">
        <f ca="1">'SORTEO 32'!D29</f>
        <v>2368</v>
      </c>
      <c r="H24" s="436">
        <f ca="1">'SORTEO 32'!D30</f>
        <v>3309</v>
      </c>
      <c r="I24" s="436" t="str">
        <f ca="1">IF(G24=0,0,VLOOKUP(G24,Inscripciones!$B$1:$I$464,2,FALSE))</f>
        <v>EMANUEL RIVERA TORRES</v>
      </c>
      <c r="J24" s="436" t="str">
        <f ca="1">IF(G24=0,0,VLOOKUP(G24,Inscripciones!$B$1:$L$364,3,FALSE))</f>
        <v>ASERRÍ</v>
      </c>
      <c r="K24" s="436" t="str">
        <f ca="1">IF(I24=0,0,VLOOKUP(H24,Inscripciones!$B$1:$I$464,2,FALSE))</f>
        <v>SEBASTIAN MASIS MURILLO</v>
      </c>
      <c r="L24" s="436" t="str">
        <f ca="1">IF(I24=0,0,VLOOKUP(H24,Inscripciones!$B$1:$L$364,3,FALSE))</f>
        <v>GUARCO</v>
      </c>
      <c r="M24" s="426">
        <v>11</v>
      </c>
      <c r="N24" s="436">
        <v>6</v>
      </c>
      <c r="O24" s="436">
        <v>11</v>
      </c>
      <c r="P24" s="436">
        <v>7</v>
      </c>
      <c r="Q24" s="436"/>
      <c r="R24" s="436"/>
      <c r="S24" s="436"/>
      <c r="T24" s="436"/>
      <c r="U24" s="436"/>
      <c r="V24" s="436"/>
      <c r="W24" s="436"/>
      <c r="X24" s="436"/>
      <c r="Y24" s="436"/>
      <c r="Z24" s="433"/>
      <c r="AA24" s="435">
        <f t="shared" ref="AA24" si="309">IF(M24+N24&lt;&gt;0,SUM(AF24:AL24),"")</f>
        <v>2</v>
      </c>
      <c r="AB24" s="435">
        <f t="shared" ref="AB24" si="310">IF(M24+N24&lt;&gt;0,SUM(AF25:AL25),"")</f>
        <v>0</v>
      </c>
      <c r="AC24" s="435" t="str">
        <f t="shared" ref="AC24" si="311">IF(AA24&gt;AB24,AD24&amp;"  "&amp;AE24,IF(AB24&gt;AA24,AD24&amp;"  "&amp;AE25,""))</f>
        <v>2 - 0  (6, 7)</v>
      </c>
      <c r="AD24" s="199" t="str">
        <f t="shared" ref="AD24" si="312">IF(AA24&gt;AB24,AA24&amp;" - "&amp;AB24,IF(AB24&gt;AA24,AB24&amp;" - "&amp;AA24,""))</f>
        <v>2 - 0</v>
      </c>
      <c r="AE24" s="199" t="str">
        <f t="shared" si="0"/>
        <v>(6, 7)</v>
      </c>
      <c r="AF24" s="199">
        <f t="shared" ref="AF24" si="313">IF(M24&gt;N24,1,0)</f>
        <v>1</v>
      </c>
      <c r="AG24" s="199">
        <f t="shared" ref="AG24" si="314">IF(O24&gt;P24,1,0)</f>
        <v>1</v>
      </c>
      <c r="AH24" s="199">
        <f t="shared" ref="AH24" si="315">IF(Q24&gt;R24,1,0)</f>
        <v>0</v>
      </c>
      <c r="AI24" s="199">
        <f t="shared" ref="AI24" si="316">IF(S24&gt;T24,1,0)</f>
        <v>0</v>
      </c>
      <c r="AJ24" s="199">
        <f t="shared" ref="AJ24" si="317">IF(U24&gt;V24,1,0)</f>
        <v>0</v>
      </c>
      <c r="AK24" s="199">
        <f t="shared" ref="AK24" si="318">IF(W24&gt;X24,1,0)</f>
        <v>0</v>
      </c>
      <c r="AL24" s="199">
        <f t="shared" ref="AL24" si="319">IF(Y24&gt;Z24,1,0)</f>
        <v>0</v>
      </c>
      <c r="AM24" s="199">
        <f t="shared" ref="AM24" si="320">IF(M24&gt;N24,N24,IF(N24&gt;M24,-M24,""))</f>
        <v>6</v>
      </c>
      <c r="AN24" s="199" t="str">
        <f t="shared" ref="AN24" si="321">IF(O24&gt;P24,", "&amp;P24,IF(P24&gt;O24,", "&amp;-O24,""))</f>
        <v>, 7</v>
      </c>
      <c r="AO24" s="199" t="str">
        <f t="shared" ref="AO24" si="322">IF(Q24&gt;R24,", "&amp;R24,IF(R24&gt;Q24,", "&amp;-Q24,""))</f>
        <v/>
      </c>
      <c r="AP24" s="199" t="str">
        <f t="shared" ref="AP24" si="323">IF(S24&gt;T24,", "&amp;T24,IF(T24&gt;S24,", "&amp;-S24,""))</f>
        <v/>
      </c>
      <c r="AQ24" s="199" t="str">
        <f t="shared" ref="AQ24" si="324">IF(U24&gt;V24,", "&amp;V24,IF(V24&gt;U24,", "&amp;-U24,""))</f>
        <v/>
      </c>
      <c r="AR24" s="199" t="str">
        <f t="shared" ref="AR24" si="325">IF(W24&gt;X24,", "&amp;X24,IF(X24&gt;W24,", "&amp;-W24,""))</f>
        <v/>
      </c>
      <c r="AS24" s="199" t="str">
        <f t="shared" ref="AS24" si="326">IF(Y24&gt;Z24,", "&amp;Z24,IF(Z24&gt;Y24,", "&amp;-Y24,""))</f>
        <v/>
      </c>
      <c r="AU24" s="206">
        <f>1+AU22</f>
        <v>11</v>
      </c>
      <c r="AV24" s="207">
        <f ca="1">VLOOKUP(AV25,$A$4:$L$83,7,FALSE)</f>
        <v>4464</v>
      </c>
      <c r="AW24" s="208" t="str">
        <f ca="1">IF(AV24=0,0,VLOOKUP(AV24,Inscripciones!$B$1:$I$464,2,FALSE))</f>
        <v>ISAAC GAMBOA MORERA</v>
      </c>
      <c r="AX24" s="209" t="str">
        <f ca="1">IF(AV24=0,0,VLOOKUP(AV24,Inscripciones!$B$1:$L$364,3,FALSE))</f>
        <v>ESPARZA</v>
      </c>
      <c r="AY24" s="234"/>
      <c r="AZ24" s="204"/>
      <c r="BA24" s="231"/>
      <c r="BB24" s="204"/>
      <c r="BC24" s="204"/>
      <c r="BD24" s="231"/>
      <c r="BE24" s="204"/>
      <c r="BG24" s="235"/>
      <c r="BJ24" s="235"/>
      <c r="BL24" s="236">
        <f t="shared" si="35"/>
        <v>20</v>
      </c>
      <c r="BM24" s="237" t="str">
        <f>C42</f>
        <v>28/Sep</v>
      </c>
      <c r="BN24" s="237">
        <f>D42</f>
        <v>0</v>
      </c>
      <c r="BO24" s="238">
        <f>E42</f>
        <v>0</v>
      </c>
      <c r="BP24" s="239" t="s">
        <v>89</v>
      </c>
      <c r="BQ24" s="236"/>
      <c r="BR24" s="236">
        <v>36</v>
      </c>
      <c r="BS24" s="240" t="e">
        <f ca="1">VLOOKUP(BY25,Inscripciones!$B$1:$B$364,2,FALSE)</f>
        <v>#REF!</v>
      </c>
      <c r="BT24" s="236"/>
      <c r="BU24" s="240" t="e">
        <f ca="1">VLOOKUP(BZ25,Inscripciones!$B$1:$B$364,2,FALSE)</f>
        <v>#REF!</v>
      </c>
      <c r="BV24" s="236"/>
      <c r="BW24" s="236"/>
      <c r="BY24" s="227">
        <f ca="1">G42</f>
        <v>3671</v>
      </c>
      <c r="BZ24" s="228">
        <f ca="1">H42</f>
        <v>4034</v>
      </c>
      <c r="CA24" s="216" t="str">
        <f>Inscripciones!$B$2</f>
        <v>U19 MASCULINO</v>
      </c>
      <c r="CB24" s="217" t="s">
        <v>110</v>
      </c>
    </row>
    <row r="25" spans="1:80" s="202" customFormat="1" ht="12.75" x14ac:dyDescent="0.25">
      <c r="A25" s="440"/>
      <c r="B25" s="448"/>
      <c r="C25" s="450"/>
      <c r="D25" s="450"/>
      <c r="E25" s="437"/>
      <c r="F25" s="452"/>
      <c r="G25" s="437"/>
      <c r="H25" s="437"/>
      <c r="I25" s="437">
        <v>0</v>
      </c>
      <c r="J25" s="437">
        <v>0</v>
      </c>
      <c r="K25" s="437">
        <v>0</v>
      </c>
      <c r="L25" s="437">
        <v>0</v>
      </c>
      <c r="M25" s="427"/>
      <c r="N25" s="437"/>
      <c r="O25" s="437"/>
      <c r="P25" s="437"/>
      <c r="Q25" s="437"/>
      <c r="R25" s="437"/>
      <c r="S25" s="437"/>
      <c r="T25" s="437"/>
      <c r="U25" s="437"/>
      <c r="V25" s="437"/>
      <c r="W25" s="437"/>
      <c r="X25" s="437"/>
      <c r="Y25" s="437"/>
      <c r="Z25" s="434"/>
      <c r="AA25" s="435"/>
      <c r="AB25" s="435"/>
      <c r="AC25" s="435"/>
      <c r="AD25" s="199" t="str">
        <f t="shared" ref="AD25" si="327">IF(AA24&gt;AB24,AD24&amp;"  "&amp;AE24,IF(AB24&gt;AA24,AD24&amp;"  "&amp;AE25,""))</f>
        <v>2 - 0  (6, 7)</v>
      </c>
      <c r="AE25" s="199" t="str">
        <f t="shared" si="0"/>
        <v>(-6, -7)</v>
      </c>
      <c r="AF25" s="199">
        <f t="shared" ref="AF25" si="328">IF(N24&gt;M24,1,0)</f>
        <v>0</v>
      </c>
      <c r="AG25" s="199">
        <f t="shared" ref="AG25" si="329">IF(P24&gt;O24,1,0)</f>
        <v>0</v>
      </c>
      <c r="AH25" s="199">
        <f t="shared" ref="AH25" si="330">IF(R24&gt;Q24,1,0)</f>
        <v>0</v>
      </c>
      <c r="AI25" s="199">
        <f t="shared" ref="AI25" si="331">IF(T24&gt;S24,1,0)</f>
        <v>0</v>
      </c>
      <c r="AJ25" s="199">
        <f t="shared" ref="AJ25" si="332">IF(V24&gt;U24,1,0)</f>
        <v>0</v>
      </c>
      <c r="AK25" s="199">
        <f t="shared" ref="AK25" si="333">IF(X24&gt;W24,1,0)</f>
        <v>0</v>
      </c>
      <c r="AL25" s="199">
        <f t="shared" ref="AL25" si="334">IF(Z24&gt;Y24,1,0)</f>
        <v>0</v>
      </c>
      <c r="AM25" s="199">
        <f t="shared" ref="AM25" si="335">IF(N24&gt;M24,M24,IF(M24&gt;N24,-N24,""))</f>
        <v>-6</v>
      </c>
      <c r="AN25" s="199" t="str">
        <f t="shared" ref="AN25" si="336">IF(P24&gt;O24,", "&amp;O24,IF(O24&gt;P24,", "&amp;-P24,""))</f>
        <v>, -7</v>
      </c>
      <c r="AO25" s="199" t="str">
        <f t="shared" ref="AO25" si="337">IF(R24&gt;Q24,", "&amp;Q24,IF(Q24&gt;R24,", "&amp;-R24,""))</f>
        <v/>
      </c>
      <c r="AP25" s="199" t="str">
        <f t="shared" ref="AP25" si="338">IF(T24&gt;S24,", "&amp;S24,IF(S24&gt;T24,", "&amp;-T24,""))</f>
        <v/>
      </c>
      <c r="AQ25" s="199" t="str">
        <f t="shared" ref="AQ25" si="339">IF(V24&gt;U24,", "&amp;U24,IF(U24&gt;V24,", "&amp;-V24,""))</f>
        <v/>
      </c>
      <c r="AR25" s="199" t="str">
        <f t="shared" ref="AR25" si="340">IF(X24&gt;W24,", "&amp;W24,IF(W24&gt;X24,", "&amp;-X24,""))</f>
        <v/>
      </c>
      <c r="AS25" s="199" t="str">
        <f t="shared" ref="AS25" si="341">IF(Z24&gt;Y24,", "&amp;Y24,IF(Y24&gt;Z24,", "&amp;-Z24,""))</f>
        <v/>
      </c>
      <c r="AU25" s="203"/>
      <c r="AV25" s="218">
        <v>6</v>
      </c>
      <c r="AW25" s="219" t="str">
        <f>VLOOKUP(AV25,$A$4:$L$83,6,FALSE)</f>
        <v>28/Sep-- Table</v>
      </c>
      <c r="AX25" s="220"/>
      <c r="AY25" s="229">
        <f ca="1">VLOOKUP(AY23,$A$4:$L$87,8,FALSE)</f>
        <v>3458</v>
      </c>
      <c r="AZ25" s="229" t="str">
        <f ca="1">IF(AY25=0,0,VLOOKUP(AY25,Inscripciones!$B$1:$I$464,2,FALSE))</f>
        <v>SANTIAGO ALVAREZ LONGHI</v>
      </c>
      <c r="BA25" s="230" t="str">
        <f ca="1">IF(AY25=0,0,VLOOKUP(AY25,Inscripciones!$B$1:$L$364,3,FALSE))</f>
        <v>SANTO DOMINGO</v>
      </c>
      <c r="BB25" s="204"/>
      <c r="BC25" s="204"/>
      <c r="BD25" s="231"/>
      <c r="BE25" s="204"/>
      <c r="BG25" s="235"/>
      <c r="BJ25" s="235"/>
      <c r="BL25" s="236">
        <f t="shared" si="35"/>
        <v>21</v>
      </c>
      <c r="BM25" s="237" t="str">
        <f>C44</f>
        <v>28/Sep</v>
      </c>
      <c r="BN25" s="237">
        <f>D44</f>
        <v>0</v>
      </c>
      <c r="BO25" s="238">
        <f>E44</f>
        <v>0</v>
      </c>
      <c r="BP25" s="239" t="s">
        <v>89</v>
      </c>
      <c r="BQ25" s="236"/>
      <c r="BR25" s="236">
        <v>37</v>
      </c>
      <c r="BS25" s="240" t="e">
        <f ca="1">VLOOKUP(BY26,Inscripciones!$B$1:$B$364,2,FALSE)</f>
        <v>#REF!</v>
      </c>
      <c r="BT25" s="236"/>
      <c r="BU25" s="240" t="e">
        <f ca="1">VLOOKUP(BZ26,Inscripciones!$B$1:$B$364,2,FALSE)</f>
        <v>#REF!</v>
      </c>
      <c r="BV25" s="236"/>
      <c r="BW25" s="236"/>
      <c r="BY25" s="227">
        <f ca="1">G44</f>
        <v>3472</v>
      </c>
      <c r="BZ25" s="228">
        <f ca="1">H44</f>
        <v>4363</v>
      </c>
      <c r="CA25" s="216" t="str">
        <f>Inscripciones!$B$2</f>
        <v>U19 MASCULINO</v>
      </c>
      <c r="CB25" s="217" t="s">
        <v>111</v>
      </c>
    </row>
    <row r="26" spans="1:80" s="202" customFormat="1" ht="12.75" x14ac:dyDescent="0.25">
      <c r="A26" s="440">
        <v>12</v>
      </c>
      <c r="B26" s="441" t="s">
        <v>93</v>
      </c>
      <c r="C26" s="443" t="s">
        <v>72</v>
      </c>
      <c r="D26" s="443"/>
      <c r="E26" s="431"/>
      <c r="F26" s="445" t="str">
        <f t="shared" ref="F26" si="342">C26&amp;"-"&amp;D26&amp;"- Table"&amp;E26</f>
        <v>28/Sep-- Table</v>
      </c>
      <c r="G26" s="431">
        <f ca="1">'SORTEO 32'!D31</f>
        <v>4513</v>
      </c>
      <c r="H26" s="431">
        <f ca="1">'SORTEO 32'!D32</f>
        <v>4002</v>
      </c>
      <c r="I26" s="431" t="str">
        <f ca="1">IF(G26=0,0,VLOOKUP(G26,Inscripciones!$B$1:$I$464,2,FALSE))</f>
        <v>GABRIEL ANTONIO AMADOR GARITA</v>
      </c>
      <c r="J26" s="431" t="str">
        <f ca="1">IF(G26=0,0,VLOOKUP(G26,Inscripciones!$B$1:$L$364,3,FALSE))</f>
        <v>CCDR SANTA CRUZ</v>
      </c>
      <c r="K26" s="431" t="str">
        <f ca="1">IF(I26=0,0,VLOOKUP(H26,Inscripciones!$B$1:$I$464,2,FALSE))</f>
        <v>ISMAEL CÁRDENAS ACOSTA</v>
      </c>
      <c r="L26" s="431" t="str">
        <f ca="1">IF(I26=0,0,VLOOKUP(H26,Inscripciones!$B$1:$L$364,3,FALSE))</f>
        <v>CCDR SAN JOSÉ</v>
      </c>
      <c r="M26" s="453">
        <v>6</v>
      </c>
      <c r="N26" s="431">
        <v>11</v>
      </c>
      <c r="O26" s="431">
        <v>8</v>
      </c>
      <c r="P26" s="431">
        <v>11</v>
      </c>
      <c r="Q26" s="431"/>
      <c r="R26" s="431"/>
      <c r="S26" s="431"/>
      <c r="T26" s="431"/>
      <c r="U26" s="431"/>
      <c r="V26" s="431"/>
      <c r="W26" s="431"/>
      <c r="X26" s="431"/>
      <c r="Y26" s="431"/>
      <c r="Z26" s="438"/>
      <c r="AA26" s="435">
        <f t="shared" ref="AA26" si="343">IF(M26+N26&lt;&gt;0,SUM(AF26:AL26),"")</f>
        <v>0</v>
      </c>
      <c r="AB26" s="435">
        <f t="shared" ref="AB26" si="344">IF(M26+N26&lt;&gt;0,SUM(AF27:AL27),"")</f>
        <v>2</v>
      </c>
      <c r="AC26" s="435" t="str">
        <f t="shared" ref="AC26" si="345">IF(AA26&gt;AB26,AD26&amp;"  "&amp;AE26,IF(AB26&gt;AA26,AD26&amp;"  "&amp;AE27,""))</f>
        <v>2 - 0  (6, 8)</v>
      </c>
      <c r="AD26" s="199" t="str">
        <f t="shared" ref="AD26" si="346">IF(AA26&gt;AB26,AA26&amp;" - "&amp;AB26,IF(AB26&gt;AA26,AB26&amp;" - "&amp;AA26,""))</f>
        <v>2 - 0</v>
      </c>
      <c r="AE26" s="199" t="str">
        <f t="shared" si="0"/>
        <v>(-6, -8)</v>
      </c>
      <c r="AF26" s="199">
        <f t="shared" ref="AF26" si="347">IF(M26&gt;N26,1,0)</f>
        <v>0</v>
      </c>
      <c r="AG26" s="199">
        <f t="shared" ref="AG26" si="348">IF(O26&gt;P26,1,0)</f>
        <v>0</v>
      </c>
      <c r="AH26" s="199">
        <f t="shared" ref="AH26" si="349">IF(Q26&gt;R26,1,0)</f>
        <v>0</v>
      </c>
      <c r="AI26" s="199">
        <f t="shared" ref="AI26" si="350">IF(S26&gt;T26,1,0)</f>
        <v>0</v>
      </c>
      <c r="AJ26" s="199">
        <f t="shared" ref="AJ26" si="351">IF(U26&gt;V26,1,0)</f>
        <v>0</v>
      </c>
      <c r="AK26" s="199">
        <f t="shared" ref="AK26" si="352">IF(W26&gt;X26,1,0)</f>
        <v>0</v>
      </c>
      <c r="AL26" s="199">
        <f t="shared" ref="AL26" si="353">IF(Y26&gt;Z26,1,0)</f>
        <v>0</v>
      </c>
      <c r="AM26" s="199">
        <f t="shared" ref="AM26" si="354">IF(M26&gt;N26,N26,IF(N26&gt;M26,-M26,""))</f>
        <v>-6</v>
      </c>
      <c r="AN26" s="199" t="str">
        <f t="shared" ref="AN26" si="355">IF(O26&gt;P26,", "&amp;P26,IF(P26&gt;O26,", "&amp;-O26,""))</f>
        <v>, -8</v>
      </c>
      <c r="AO26" s="199" t="str">
        <f t="shared" ref="AO26" si="356">IF(Q26&gt;R26,", "&amp;R26,IF(R26&gt;Q26,", "&amp;-Q26,""))</f>
        <v/>
      </c>
      <c r="AP26" s="199" t="str">
        <f t="shared" ref="AP26" si="357">IF(S26&gt;T26,", "&amp;T26,IF(T26&gt;S26,", "&amp;-S26,""))</f>
        <v/>
      </c>
      <c r="AQ26" s="199" t="str">
        <f t="shared" ref="AQ26" si="358">IF(U26&gt;V26,", "&amp;V26,IF(V26&gt;U26,", "&amp;-U26,""))</f>
        <v/>
      </c>
      <c r="AR26" s="199" t="str">
        <f t="shared" ref="AR26" si="359">IF(W26&gt;X26,", "&amp;X26,IF(X26&gt;W26,", "&amp;-W26,""))</f>
        <v/>
      </c>
      <c r="AS26" s="199" t="str">
        <f t="shared" ref="AS26" si="360">IF(Y26&gt;Z26,", "&amp;Z26,IF(Z26&gt;Y26,", "&amp;-Y26,""))</f>
        <v/>
      </c>
      <c r="AU26" s="206">
        <f>1+AU24</f>
        <v>12</v>
      </c>
      <c r="AV26" s="229">
        <f ca="1">VLOOKUP(AV25,$A$4:$L$83,8,FALSE)</f>
        <v>3458</v>
      </c>
      <c r="AW26" s="229" t="str">
        <f ca="1">IF(AV26=0,0,VLOOKUP(AV26,Inscripciones!$B$1:$I$464,2,FALSE))</f>
        <v>SANTIAGO ALVAREZ LONGHI</v>
      </c>
      <c r="AX26" s="230" t="str">
        <f ca="1">IF(AV26=0,0,VLOOKUP(AV26,Inscripciones!$B$1:$L$364,3,FALSE))</f>
        <v>SANTO DOMINGO</v>
      </c>
      <c r="AY26" s="210"/>
      <c r="AZ26" s="211" t="str">
        <f>VLOOKUP(AV25,$A$4:$AD$87,29,FALSE)</f>
        <v>2 - 0  (2, 8)</v>
      </c>
      <c r="BA26" s="210"/>
      <c r="BB26" s="204"/>
      <c r="BC26" s="204"/>
      <c r="BD26" s="231"/>
      <c r="BE26" s="204"/>
      <c r="BG26" s="235"/>
      <c r="BJ26" s="235"/>
      <c r="BL26" s="236">
        <f t="shared" si="35"/>
        <v>22</v>
      </c>
      <c r="BM26" s="237" t="str">
        <f>C46</f>
        <v>28/Sep</v>
      </c>
      <c r="BN26" s="237">
        <f>D46</f>
        <v>0</v>
      </c>
      <c r="BO26" s="238">
        <f>E46</f>
        <v>0</v>
      </c>
      <c r="BP26" s="239" t="s">
        <v>89</v>
      </c>
      <c r="BQ26" s="236"/>
      <c r="BR26" s="236">
        <v>38</v>
      </c>
      <c r="BS26" s="240" t="e">
        <f ca="1">VLOOKUP(BY27,Inscripciones!$B$1:$B$364,2,FALSE)</f>
        <v>#REF!</v>
      </c>
      <c r="BT26" s="236"/>
      <c r="BU26" s="240" t="e">
        <f ca="1">VLOOKUP(BZ27,Inscripciones!$B$1:$B$364,2,FALSE)</f>
        <v>#REF!</v>
      </c>
      <c r="BV26" s="236"/>
      <c r="BW26" s="236"/>
      <c r="BY26" s="227">
        <f ca="1">G46</f>
        <v>2368</v>
      </c>
      <c r="BZ26" s="228">
        <f ca="1">H46</f>
        <v>4002</v>
      </c>
      <c r="CA26" s="216" t="str">
        <f>Inscripciones!$B$2</f>
        <v>U19 MASCULINO</v>
      </c>
      <c r="CB26" s="217" t="s">
        <v>112</v>
      </c>
    </row>
    <row r="27" spans="1:80" s="202" customFormat="1" ht="12.75" x14ac:dyDescent="0.25">
      <c r="A27" s="440"/>
      <c r="B27" s="442"/>
      <c r="C27" s="444"/>
      <c r="D27" s="444"/>
      <c r="E27" s="432"/>
      <c r="F27" s="446"/>
      <c r="G27" s="432"/>
      <c r="H27" s="432"/>
      <c r="I27" s="432">
        <v>0</v>
      </c>
      <c r="J27" s="432">
        <v>0</v>
      </c>
      <c r="K27" s="432">
        <v>0</v>
      </c>
      <c r="L27" s="432">
        <v>0</v>
      </c>
      <c r="M27" s="454"/>
      <c r="N27" s="432"/>
      <c r="O27" s="432"/>
      <c r="P27" s="432"/>
      <c r="Q27" s="432"/>
      <c r="R27" s="432"/>
      <c r="S27" s="432"/>
      <c r="T27" s="432"/>
      <c r="U27" s="432"/>
      <c r="V27" s="432"/>
      <c r="W27" s="432"/>
      <c r="X27" s="432"/>
      <c r="Y27" s="432"/>
      <c r="Z27" s="439"/>
      <c r="AA27" s="435"/>
      <c r="AB27" s="435"/>
      <c r="AC27" s="435"/>
      <c r="AD27" s="199" t="str">
        <f t="shared" ref="AD27" si="361">IF(AA26&gt;AB26,AD26&amp;"  "&amp;AE26,IF(AB26&gt;AA26,AD26&amp;"  "&amp;AE27,""))</f>
        <v>2 - 0  (6, 8)</v>
      </c>
      <c r="AE27" s="199" t="str">
        <f t="shared" si="0"/>
        <v>(6, 8)</v>
      </c>
      <c r="AF27" s="199">
        <f t="shared" ref="AF27" si="362">IF(N26&gt;M26,1,0)</f>
        <v>1</v>
      </c>
      <c r="AG27" s="199">
        <f t="shared" ref="AG27" si="363">IF(P26&gt;O26,1,0)</f>
        <v>1</v>
      </c>
      <c r="AH27" s="199">
        <f t="shared" ref="AH27" si="364">IF(R26&gt;Q26,1,0)</f>
        <v>0</v>
      </c>
      <c r="AI27" s="199">
        <f t="shared" ref="AI27" si="365">IF(T26&gt;S26,1,0)</f>
        <v>0</v>
      </c>
      <c r="AJ27" s="199">
        <f t="shared" ref="AJ27" si="366">IF(V26&gt;U26,1,0)</f>
        <v>0</v>
      </c>
      <c r="AK27" s="199">
        <f t="shared" ref="AK27" si="367">IF(X26&gt;W26,1,0)</f>
        <v>0</v>
      </c>
      <c r="AL27" s="199">
        <f t="shared" ref="AL27" si="368">IF(Z26&gt;Y26,1,0)</f>
        <v>0</v>
      </c>
      <c r="AM27" s="199">
        <f t="shared" ref="AM27" si="369">IF(N26&gt;M26,M26,IF(M26&gt;N26,-N26,""))</f>
        <v>6</v>
      </c>
      <c r="AN27" s="199" t="str">
        <f t="shared" ref="AN27" si="370">IF(P26&gt;O26,", "&amp;O26,IF(O26&gt;P26,", "&amp;-P26,""))</f>
        <v>, 8</v>
      </c>
      <c r="AO27" s="199" t="str">
        <f t="shared" ref="AO27" si="371">IF(R26&gt;Q26,", "&amp;Q26,IF(Q26&gt;R26,", "&amp;-R26,""))</f>
        <v/>
      </c>
      <c r="AP27" s="199" t="str">
        <f t="shared" ref="AP27" si="372">IF(T26&gt;S26,", "&amp;S26,IF(S26&gt;T26,", "&amp;-T26,""))</f>
        <v/>
      </c>
      <c r="AQ27" s="199" t="str">
        <f t="shared" ref="AQ27" si="373">IF(V26&gt;U26,", "&amp;U26,IF(U26&gt;V26,", "&amp;-V26,""))</f>
        <v/>
      </c>
      <c r="AR27" s="199" t="str">
        <f t="shared" ref="AR27" si="374">IF(X26&gt;W26,", "&amp;W26,IF(W26&gt;X26,", "&amp;-X26,""))</f>
        <v/>
      </c>
      <c r="AS27" s="199" t="str">
        <f t="shared" ref="AS27" si="375">IF(Z26&gt;Y26,", "&amp;Y26,IF(Y26&gt;Z26,", "&amp;-Z26,""))</f>
        <v/>
      </c>
      <c r="AU27" s="203"/>
      <c r="AV27" s="204"/>
      <c r="AW27" s="204"/>
      <c r="AX27" s="232"/>
      <c r="AY27" s="204"/>
      <c r="AZ27" s="204"/>
      <c r="BA27" s="204"/>
      <c r="BB27" s="218">
        <v>26</v>
      </c>
      <c r="BC27" s="219" t="str">
        <f>VLOOKUP(BB27,$A$4:$L$83,6,FALSE)</f>
        <v>28/Sep-- Table</v>
      </c>
      <c r="BD27" s="231"/>
      <c r="BE27" s="229">
        <f ca="1">VLOOKUP(BE19,$A$4:$L$87,8,FALSE)</f>
        <v>3671</v>
      </c>
      <c r="BF27" s="229" t="str">
        <f ca="1">IF(BE27=0,0,VLOOKUP(BE27,Inscripciones!$B$1:$I$464,2,FALSE))</f>
        <v>NICOLAS OVARES CASTRO</v>
      </c>
      <c r="BG27" s="230" t="str">
        <f ca="1">IF(BE27=0,0,VLOOKUP(BE27,Inscripciones!$B$1:$L$364,3,FALSE))</f>
        <v>SANTA ANA</v>
      </c>
      <c r="BJ27" s="235"/>
      <c r="BL27" s="236">
        <f t="shared" si="35"/>
        <v>23</v>
      </c>
      <c r="BM27" s="237" t="str">
        <f>C48</f>
        <v>28/Sep</v>
      </c>
      <c r="BN27" s="237">
        <f>D48</f>
        <v>0</v>
      </c>
      <c r="BO27" s="238">
        <f>E48</f>
        <v>0</v>
      </c>
      <c r="BP27" s="239" t="s">
        <v>89</v>
      </c>
      <c r="BQ27" s="236"/>
      <c r="BR27" s="236">
        <v>39</v>
      </c>
      <c r="BS27" s="240" t="e">
        <f ca="1">VLOOKUP(BY28,Inscripciones!$B$1:$B$364,2,FALSE)</f>
        <v>#REF!</v>
      </c>
      <c r="BT27" s="236"/>
      <c r="BU27" s="240" t="e">
        <f ca="1">VLOOKUP(BZ28,Inscripciones!$B$1:$B$364,2,FALSE)</f>
        <v>#REF!</v>
      </c>
      <c r="BV27" s="236"/>
      <c r="BW27" s="236"/>
      <c r="BY27" s="227">
        <f ca="1">G48</f>
        <v>2623</v>
      </c>
      <c r="BZ27" s="228">
        <f ca="1">H48</f>
        <v>3836</v>
      </c>
      <c r="CA27" s="216" t="str">
        <f>Inscripciones!$B$2</f>
        <v>U19 MASCULINO</v>
      </c>
      <c r="CB27" s="217" t="s">
        <v>113</v>
      </c>
    </row>
    <row r="28" spans="1:80" s="202" customFormat="1" ht="12.75" x14ac:dyDescent="0.25">
      <c r="A28" s="440">
        <v>13</v>
      </c>
      <c r="B28" s="447" t="s">
        <v>93</v>
      </c>
      <c r="C28" s="449" t="s">
        <v>72</v>
      </c>
      <c r="D28" s="449"/>
      <c r="E28" s="436"/>
      <c r="F28" s="451" t="str">
        <f t="shared" ref="F28" si="376">C28&amp;"-"&amp;D28&amp;"- Table"&amp;E28</f>
        <v>28/Sep-- Table</v>
      </c>
      <c r="G28" s="436">
        <f ca="1">'SORTEO 32'!D33</f>
        <v>2623</v>
      </c>
      <c r="H28" s="436">
        <f ca="1">'SORTEO 32'!D34</f>
        <v>4287</v>
      </c>
      <c r="I28" s="436" t="str">
        <f ca="1">IF(G28=0,0,VLOOKUP(G28,Inscripciones!$B$1:$I$464,2,FALSE))</f>
        <v>MATEO MONGE ARROYO</v>
      </c>
      <c r="J28" s="436" t="str">
        <f ca="1">IF(G28=0,0,VLOOKUP(G28,Inscripciones!$B$1:$L$364,3,FALSE))</f>
        <v>SANTA ANA</v>
      </c>
      <c r="K28" s="436" t="str">
        <f ca="1">IF(I28=0,0,VLOOKUP(H28,Inscripciones!$B$1:$I$464,2,FALSE))</f>
        <v>MATÍAS RAMÍREZ MARÍN</v>
      </c>
      <c r="L28" s="436" t="str">
        <f ca="1">IF(I28=0,0,VLOOKUP(H28,Inscripciones!$B$1:$L$364,3,FALSE))</f>
        <v>ESCAZÚ</v>
      </c>
      <c r="M28" s="426">
        <v>11</v>
      </c>
      <c r="N28" s="436">
        <v>2</v>
      </c>
      <c r="O28" s="436">
        <v>11</v>
      </c>
      <c r="P28" s="436">
        <v>6</v>
      </c>
      <c r="Q28" s="436"/>
      <c r="R28" s="436"/>
      <c r="S28" s="436"/>
      <c r="T28" s="436"/>
      <c r="U28" s="436"/>
      <c r="V28" s="436"/>
      <c r="W28" s="436"/>
      <c r="X28" s="436"/>
      <c r="Y28" s="436"/>
      <c r="Z28" s="433"/>
      <c r="AA28" s="435">
        <f t="shared" ref="AA28" si="377">IF(M28+N28&lt;&gt;0,SUM(AF28:AL28),"")</f>
        <v>2</v>
      </c>
      <c r="AB28" s="435">
        <f t="shared" ref="AB28" si="378">IF(M28+N28&lt;&gt;0,SUM(AF29:AL29),"")</f>
        <v>0</v>
      </c>
      <c r="AC28" s="435" t="str">
        <f t="shared" ref="AC28" si="379">IF(AA28&gt;AB28,AD28&amp;"  "&amp;AE28,IF(AB28&gt;AA28,AD28&amp;"  "&amp;AE29,""))</f>
        <v>2 - 0  (2, 6)</v>
      </c>
      <c r="AD28" s="199" t="str">
        <f t="shared" ref="AD28" si="380">IF(AA28&gt;AB28,AA28&amp;" - "&amp;AB28,IF(AB28&gt;AA28,AB28&amp;" - "&amp;AA28,""))</f>
        <v>2 - 0</v>
      </c>
      <c r="AE28" s="199" t="str">
        <f t="shared" si="0"/>
        <v>(2, 6)</v>
      </c>
      <c r="AF28" s="199">
        <f t="shared" ref="AF28" si="381">IF(M28&gt;N28,1,0)</f>
        <v>1</v>
      </c>
      <c r="AG28" s="199">
        <f t="shared" ref="AG28" si="382">IF(O28&gt;P28,1,0)</f>
        <v>1</v>
      </c>
      <c r="AH28" s="199">
        <f t="shared" ref="AH28" si="383">IF(Q28&gt;R28,1,0)</f>
        <v>0</v>
      </c>
      <c r="AI28" s="199">
        <f t="shared" ref="AI28" si="384">IF(S28&gt;T28,1,0)</f>
        <v>0</v>
      </c>
      <c r="AJ28" s="199">
        <f t="shared" ref="AJ28" si="385">IF(U28&gt;V28,1,0)</f>
        <v>0</v>
      </c>
      <c r="AK28" s="199">
        <f t="shared" ref="AK28" si="386">IF(W28&gt;X28,1,0)</f>
        <v>0</v>
      </c>
      <c r="AL28" s="199">
        <f t="shared" ref="AL28" si="387">IF(Y28&gt;Z28,1,0)</f>
        <v>0</v>
      </c>
      <c r="AM28" s="199">
        <f t="shared" ref="AM28" si="388">IF(M28&gt;N28,N28,IF(N28&gt;M28,-M28,""))</f>
        <v>2</v>
      </c>
      <c r="AN28" s="199" t="str">
        <f t="shared" ref="AN28" si="389">IF(O28&gt;P28,", "&amp;P28,IF(P28&gt;O28,", "&amp;-O28,""))</f>
        <v>, 6</v>
      </c>
      <c r="AO28" s="199" t="str">
        <f t="shared" ref="AO28" si="390">IF(Q28&gt;R28,", "&amp;R28,IF(R28&gt;Q28,", "&amp;-Q28,""))</f>
        <v/>
      </c>
      <c r="AP28" s="199" t="str">
        <f t="shared" ref="AP28" si="391">IF(S28&gt;T28,", "&amp;T28,IF(T28&gt;S28,", "&amp;-S28,""))</f>
        <v/>
      </c>
      <c r="AQ28" s="199" t="str">
        <f t="shared" ref="AQ28" si="392">IF(U28&gt;V28,", "&amp;V28,IF(V28&gt;U28,", "&amp;-U28,""))</f>
        <v/>
      </c>
      <c r="AR28" s="199" t="str">
        <f t="shared" ref="AR28" si="393">IF(W28&gt;X28,", "&amp;X28,IF(X28&gt;W28,", "&amp;-W28,""))</f>
        <v/>
      </c>
      <c r="AS28" s="199" t="str">
        <f t="shared" ref="AS28" si="394">IF(Y28&gt;Z28,", "&amp;Z28,IF(Z28&gt;Y28,", "&amp;-Y28,""))</f>
        <v/>
      </c>
      <c r="AU28" s="206">
        <f>1+AU26</f>
        <v>13</v>
      </c>
      <c r="AV28" s="207">
        <f ca="1">VLOOKUP(AV29,$A$4:$L$83,7,FALSE)</f>
        <v>3671</v>
      </c>
      <c r="AW28" s="208" t="str">
        <f ca="1">IF(AV28=0,0,VLOOKUP(AV28,Inscripciones!$B$1:$I$464,2,FALSE))</f>
        <v>NICOLAS OVARES CASTRO</v>
      </c>
      <c r="AX28" s="209" t="str">
        <f ca="1">IF(AV28=0,0,VLOOKUP(AV28,Inscripciones!$B$1:$L$364,3,FALSE))</f>
        <v>SANTA ANA</v>
      </c>
      <c r="AY28" s="210"/>
      <c r="AZ28" s="211" t="str">
        <f>VLOOKUP(AV29,$A$4:$AD$83,29,FALSE)</f>
        <v>2 - 0  (6, 8)</v>
      </c>
      <c r="BA28" s="210"/>
      <c r="BB28" s="204"/>
      <c r="BC28" s="204"/>
      <c r="BD28" s="231"/>
      <c r="BE28" s="210"/>
      <c r="BF28" s="211" t="str">
        <f>VLOOKUP(BB27,$A$4:$AD$87,29,FALSE)</f>
        <v>2 - 0  (9, 6)</v>
      </c>
      <c r="BG28" s="210"/>
      <c r="BJ28" s="235"/>
      <c r="BL28" s="236">
        <f t="shared" si="35"/>
        <v>24</v>
      </c>
      <c r="BM28" s="237" t="str">
        <f>C50</f>
        <v>28/Sep</v>
      </c>
      <c r="BN28" s="237">
        <f>D50</f>
        <v>0</v>
      </c>
      <c r="BO28" s="238">
        <f>E50</f>
        <v>0</v>
      </c>
      <c r="BP28" s="239" t="s">
        <v>89</v>
      </c>
      <c r="BQ28" s="236"/>
      <c r="BR28" s="236">
        <v>40</v>
      </c>
      <c r="BS28" s="240" t="e">
        <f>VLOOKUP(#REF!,Inscripciones!$B$1:$B$364,2,FALSE)</f>
        <v>#REF!</v>
      </c>
      <c r="BT28" s="236"/>
      <c r="BU28" s="240" t="e">
        <f>VLOOKUP(#REF!,Inscripciones!$B$1:$B$364,2,FALSE)</f>
        <v>#REF!</v>
      </c>
      <c r="BV28" s="236"/>
      <c r="BW28" s="236"/>
      <c r="BY28" s="227">
        <f ca="1">G50</f>
        <v>3499</v>
      </c>
      <c r="BZ28" s="228">
        <f ca="1">H50</f>
        <v>3449</v>
      </c>
      <c r="CA28" s="216" t="str">
        <f>Inscripciones!$B$2</f>
        <v>U19 MASCULINO</v>
      </c>
      <c r="CB28" s="217" t="s">
        <v>114</v>
      </c>
    </row>
    <row r="29" spans="1:80" s="202" customFormat="1" ht="12.75" x14ac:dyDescent="0.25">
      <c r="A29" s="440"/>
      <c r="B29" s="448"/>
      <c r="C29" s="450"/>
      <c r="D29" s="450"/>
      <c r="E29" s="437"/>
      <c r="F29" s="452"/>
      <c r="G29" s="437"/>
      <c r="H29" s="437"/>
      <c r="I29" s="437">
        <v>0</v>
      </c>
      <c r="J29" s="437">
        <v>0</v>
      </c>
      <c r="K29" s="437">
        <v>0</v>
      </c>
      <c r="L29" s="437">
        <v>0</v>
      </c>
      <c r="M29" s="427"/>
      <c r="N29" s="437"/>
      <c r="O29" s="437"/>
      <c r="P29" s="437"/>
      <c r="Q29" s="437"/>
      <c r="R29" s="437"/>
      <c r="S29" s="437"/>
      <c r="T29" s="437"/>
      <c r="U29" s="437"/>
      <c r="V29" s="437"/>
      <c r="W29" s="437"/>
      <c r="X29" s="437"/>
      <c r="Y29" s="437"/>
      <c r="Z29" s="434"/>
      <c r="AA29" s="435"/>
      <c r="AB29" s="435"/>
      <c r="AC29" s="435"/>
      <c r="AD29" s="199" t="str">
        <f t="shared" ref="AD29" si="395">IF(AA28&gt;AB28,AD28&amp;"  "&amp;AE28,IF(AB28&gt;AA28,AD28&amp;"  "&amp;AE29,""))</f>
        <v>2 - 0  (2, 6)</v>
      </c>
      <c r="AE29" s="199" t="str">
        <f t="shared" si="0"/>
        <v>(-2, -6)</v>
      </c>
      <c r="AF29" s="199">
        <f t="shared" ref="AF29" si="396">IF(N28&gt;M28,1,0)</f>
        <v>0</v>
      </c>
      <c r="AG29" s="199">
        <f t="shared" ref="AG29" si="397">IF(P28&gt;O28,1,0)</f>
        <v>0</v>
      </c>
      <c r="AH29" s="199">
        <f t="shared" ref="AH29" si="398">IF(R28&gt;Q28,1,0)</f>
        <v>0</v>
      </c>
      <c r="AI29" s="199">
        <f t="shared" ref="AI29" si="399">IF(T28&gt;S28,1,0)</f>
        <v>0</v>
      </c>
      <c r="AJ29" s="199">
        <f t="shared" ref="AJ29" si="400">IF(V28&gt;U28,1,0)</f>
        <v>0</v>
      </c>
      <c r="AK29" s="199">
        <f t="shared" ref="AK29" si="401">IF(X28&gt;W28,1,0)</f>
        <v>0</v>
      </c>
      <c r="AL29" s="199">
        <f t="shared" ref="AL29" si="402">IF(Z28&gt;Y28,1,0)</f>
        <v>0</v>
      </c>
      <c r="AM29" s="199">
        <f t="shared" ref="AM29" si="403">IF(N28&gt;M28,M28,IF(M28&gt;N28,-N28,""))</f>
        <v>-2</v>
      </c>
      <c r="AN29" s="199" t="str">
        <f t="shared" ref="AN29" si="404">IF(P28&gt;O28,", "&amp;O28,IF(O28&gt;P28,", "&amp;-P28,""))</f>
        <v>, -6</v>
      </c>
      <c r="AO29" s="199" t="str">
        <f t="shared" ref="AO29" si="405">IF(R28&gt;Q28,", "&amp;Q28,IF(Q28&gt;R28,", "&amp;-R28,""))</f>
        <v/>
      </c>
      <c r="AP29" s="199" t="str">
        <f t="shared" ref="AP29" si="406">IF(T28&gt;S28,", "&amp;S28,IF(S28&gt;T28,", "&amp;-T28,""))</f>
        <v/>
      </c>
      <c r="AQ29" s="199" t="str">
        <f t="shared" ref="AQ29" si="407">IF(V28&gt;U28,", "&amp;U28,IF(U28&gt;V28,", "&amp;-V28,""))</f>
        <v/>
      </c>
      <c r="AR29" s="199" t="str">
        <f t="shared" ref="AR29" si="408">IF(X28&gt;W28,", "&amp;W28,IF(W28&gt;X28,", "&amp;-X28,""))</f>
        <v/>
      </c>
      <c r="AS29" s="199" t="str">
        <f t="shared" ref="AS29" si="409">IF(Z28&gt;Y28,", "&amp;Y28,IF(Y28&gt;Z28,", "&amp;-Z28,""))</f>
        <v/>
      </c>
      <c r="AU29" s="203"/>
      <c r="AV29" s="218">
        <v>7</v>
      </c>
      <c r="AW29" s="219" t="str">
        <f>VLOOKUP(AV29,$A$4:$L$83,6,FALSE)</f>
        <v>28/Sep-- Table</v>
      </c>
      <c r="AX29" s="220"/>
      <c r="AY29" s="207">
        <f ca="1">VLOOKUP(AY31,$A$4:$L$87,7,FALSE)</f>
        <v>3671</v>
      </c>
      <c r="AZ29" s="208" t="str">
        <f ca="1">IF(AY29=0,0,VLOOKUP(AY29,Inscripciones!$B$1:$I$464,2,FALSE))</f>
        <v>NICOLAS OVARES CASTRO</v>
      </c>
      <c r="BA29" s="209" t="str">
        <f ca="1">IF(AY29=0,0,VLOOKUP(AY29,Inscripciones!$B$1:$L$364,3,FALSE))</f>
        <v>SANTA ANA</v>
      </c>
      <c r="BB29" s="204"/>
      <c r="BC29" s="204"/>
      <c r="BD29" s="231"/>
      <c r="BE29" s="204"/>
      <c r="BJ29" s="235"/>
      <c r="BL29" s="241">
        <f t="shared" si="35"/>
        <v>25</v>
      </c>
      <c r="BM29" s="242" t="str">
        <f>C52</f>
        <v>28/Sep</v>
      </c>
      <c r="BN29" s="242">
        <f>D52</f>
        <v>0</v>
      </c>
      <c r="BO29" s="243">
        <f>E52</f>
        <v>0</v>
      </c>
      <c r="BP29" s="244" t="s">
        <v>89</v>
      </c>
      <c r="BQ29" s="241"/>
      <c r="BR29" s="241">
        <v>49</v>
      </c>
      <c r="BS29" s="245" t="e">
        <f ca="1">VLOOKUP(BY30,Inscripciones!$B$1:$B$364,2,FALSE)</f>
        <v>#REF!</v>
      </c>
      <c r="BT29" s="241"/>
      <c r="BU29" s="245" t="e">
        <f ca="1">VLOOKUP(BZ30,Inscripciones!$B$1:$B$364,2,FALSE)</f>
        <v>#REF!</v>
      </c>
      <c r="BV29" s="241"/>
      <c r="BW29" s="241"/>
      <c r="BY29" s="227">
        <f ca="1">G52</f>
        <v>2515</v>
      </c>
      <c r="BZ29" s="228">
        <f ca="1">H52</f>
        <v>2895</v>
      </c>
      <c r="CA29" s="216" t="str">
        <f>Inscripciones!$B$2</f>
        <v>U19 MASCULINO</v>
      </c>
      <c r="CB29" s="217" t="s">
        <v>115</v>
      </c>
    </row>
    <row r="30" spans="1:80" s="202" customFormat="1" ht="12.75" x14ac:dyDescent="0.25">
      <c r="A30" s="440">
        <v>14</v>
      </c>
      <c r="B30" s="441" t="s">
        <v>93</v>
      </c>
      <c r="C30" s="443" t="s">
        <v>72</v>
      </c>
      <c r="D30" s="443"/>
      <c r="E30" s="431"/>
      <c r="F30" s="445" t="str">
        <f t="shared" ref="F30" si="410">C30&amp;"-"&amp;D30&amp;"- Table"&amp;E30</f>
        <v>28/Sep-- Table</v>
      </c>
      <c r="G30" s="431">
        <f ca="1">'SORTEO 32'!D35</f>
        <v>3450</v>
      </c>
      <c r="H30" s="431">
        <f ca="1">'SORTEO 32'!D36</f>
        <v>3836</v>
      </c>
      <c r="I30" s="431" t="str">
        <f ca="1">IF(G30=0,0,VLOOKUP(G30,Inscripciones!$B$1:$I$464,2,FALSE))</f>
        <v>OSWALDO IGNACIO SILVA NOVOA</v>
      </c>
      <c r="J30" s="431" t="str">
        <f ca="1">IF(G30=0,0,VLOOKUP(G30,Inscripciones!$B$1:$L$364,3,FALSE))</f>
        <v>SANTA ANA</v>
      </c>
      <c r="K30" s="431" t="str">
        <f ca="1">IF(I30=0,0,VLOOKUP(H30,Inscripciones!$B$1:$I$464,2,FALSE))</f>
        <v>LUCIANO QUIROS AVILA</v>
      </c>
      <c r="L30" s="431" t="str">
        <f ca="1">IF(I30=0,0,VLOOKUP(H30,Inscripciones!$B$1:$L$364,3,FALSE))</f>
        <v>ESCAZÚ</v>
      </c>
      <c r="M30" s="453">
        <v>11</v>
      </c>
      <c r="N30" s="431">
        <v>8</v>
      </c>
      <c r="O30" s="431">
        <v>6</v>
      </c>
      <c r="P30" s="431">
        <v>11</v>
      </c>
      <c r="Q30" s="431">
        <v>8</v>
      </c>
      <c r="R30" s="431">
        <v>11</v>
      </c>
      <c r="S30" s="431"/>
      <c r="T30" s="431"/>
      <c r="U30" s="431"/>
      <c r="V30" s="431"/>
      <c r="W30" s="431"/>
      <c r="X30" s="431"/>
      <c r="Y30" s="431"/>
      <c r="Z30" s="438"/>
      <c r="AA30" s="435">
        <f t="shared" ref="AA30" si="411">IF(M30+N30&lt;&gt;0,SUM(AF30:AL30),"")</f>
        <v>1</v>
      </c>
      <c r="AB30" s="435">
        <f t="shared" ref="AB30" si="412">IF(M30+N30&lt;&gt;0,SUM(AF31:AL31),"")</f>
        <v>2</v>
      </c>
      <c r="AC30" s="435" t="str">
        <f t="shared" ref="AC30" si="413">IF(AA30&gt;AB30,AD30&amp;"  "&amp;AE30,IF(AB30&gt;AA30,AD30&amp;"  "&amp;AE31,""))</f>
        <v>2 - 1  (-8, 6, 8)</v>
      </c>
      <c r="AD30" s="199" t="str">
        <f t="shared" ref="AD30" si="414">IF(AA30&gt;AB30,AA30&amp;" - "&amp;AB30,IF(AB30&gt;AA30,AB30&amp;" - "&amp;AA30,""))</f>
        <v>2 - 1</v>
      </c>
      <c r="AE30" s="199" t="str">
        <f t="shared" si="0"/>
        <v>(8, -6, -8)</v>
      </c>
      <c r="AF30" s="199">
        <f t="shared" ref="AF30" si="415">IF(M30&gt;N30,1,0)</f>
        <v>1</v>
      </c>
      <c r="AG30" s="199">
        <f t="shared" ref="AG30" si="416">IF(O30&gt;P30,1,0)</f>
        <v>0</v>
      </c>
      <c r="AH30" s="199">
        <f t="shared" ref="AH30" si="417">IF(Q30&gt;R30,1,0)</f>
        <v>0</v>
      </c>
      <c r="AI30" s="199">
        <f t="shared" ref="AI30" si="418">IF(S30&gt;T30,1,0)</f>
        <v>0</v>
      </c>
      <c r="AJ30" s="199">
        <f t="shared" ref="AJ30" si="419">IF(U30&gt;V30,1,0)</f>
        <v>0</v>
      </c>
      <c r="AK30" s="199">
        <f t="shared" ref="AK30" si="420">IF(W30&gt;X30,1,0)</f>
        <v>0</v>
      </c>
      <c r="AL30" s="199">
        <f t="shared" ref="AL30" si="421">IF(Y30&gt;Z30,1,0)</f>
        <v>0</v>
      </c>
      <c r="AM30" s="199">
        <f t="shared" ref="AM30" si="422">IF(M30&gt;N30,N30,IF(N30&gt;M30,-M30,""))</f>
        <v>8</v>
      </c>
      <c r="AN30" s="199" t="str">
        <f t="shared" ref="AN30" si="423">IF(O30&gt;P30,", "&amp;P30,IF(P30&gt;O30,", "&amp;-O30,""))</f>
        <v>, -6</v>
      </c>
      <c r="AO30" s="199" t="str">
        <f t="shared" ref="AO30" si="424">IF(Q30&gt;R30,", "&amp;R30,IF(R30&gt;Q30,", "&amp;-Q30,""))</f>
        <v>, -8</v>
      </c>
      <c r="AP30" s="199" t="str">
        <f t="shared" ref="AP30" si="425">IF(S30&gt;T30,", "&amp;T30,IF(T30&gt;S30,", "&amp;-S30,""))</f>
        <v/>
      </c>
      <c r="AQ30" s="199" t="str">
        <f t="shared" ref="AQ30" si="426">IF(U30&gt;V30,", "&amp;V30,IF(V30&gt;U30,", "&amp;-U30,""))</f>
        <v/>
      </c>
      <c r="AR30" s="199" t="str">
        <f t="shared" ref="AR30" si="427">IF(W30&gt;X30,", "&amp;X30,IF(X30&gt;W30,", "&amp;-W30,""))</f>
        <v/>
      </c>
      <c r="AS30" s="199" t="str">
        <f t="shared" ref="AS30" si="428">IF(Y30&gt;Z30,", "&amp;Z30,IF(Z30&gt;Y30,", "&amp;-Y30,""))</f>
        <v/>
      </c>
      <c r="AU30" s="206">
        <f>1+AU28</f>
        <v>14</v>
      </c>
      <c r="AV30" s="229">
        <f ca="1">VLOOKUP(AV29,$A$4:$L$83,8,FALSE)</f>
        <v>4115</v>
      </c>
      <c r="AW30" s="229" t="str">
        <f ca="1">IF(AV30=0,0,VLOOKUP(AV30,Inscripciones!$B$1:$I$464,2,FALSE))</f>
        <v>JOSEPH ANGEL LOPEZ ARAUZ</v>
      </c>
      <c r="AX30" s="230" t="str">
        <f ca="1">IF(AV30=0,0,VLOOKUP(AV30,Inscripciones!$B$1:$L$364,3,FALSE))</f>
        <v>ATM SANTA CRUZ</v>
      </c>
      <c r="AY30" s="204"/>
      <c r="AZ30" s="204"/>
      <c r="BA30" s="231"/>
      <c r="BB30" s="204"/>
      <c r="BC30" s="204"/>
      <c r="BD30" s="231"/>
      <c r="BE30" s="204"/>
      <c r="BJ30" s="235"/>
      <c r="BL30" s="241">
        <f t="shared" si="35"/>
        <v>26</v>
      </c>
      <c r="BM30" s="242" t="str">
        <f>C54</f>
        <v>28/Sep</v>
      </c>
      <c r="BN30" s="242">
        <f>D54</f>
        <v>0</v>
      </c>
      <c r="BO30" s="243">
        <f>E54</f>
        <v>0</v>
      </c>
      <c r="BP30" s="244" t="s">
        <v>89</v>
      </c>
      <c r="BQ30" s="241"/>
      <c r="BR30" s="241">
        <v>50</v>
      </c>
      <c r="BS30" s="245" t="e">
        <f ca="1">VLOOKUP(BY31,Inscripciones!$B$1:$B$364,2,FALSE)</f>
        <v>#REF!</v>
      </c>
      <c r="BT30" s="241"/>
      <c r="BU30" s="245" t="e">
        <f ca="1">VLOOKUP(BZ31,Inscripciones!$B$1:$B$364,2,FALSE)</f>
        <v>#REF!</v>
      </c>
      <c r="BV30" s="241"/>
      <c r="BW30" s="241"/>
      <c r="BY30" s="227">
        <f ca="1">G54</f>
        <v>3458</v>
      </c>
      <c r="BZ30" s="228">
        <f ca="1">H54</f>
        <v>3671</v>
      </c>
      <c r="CA30" s="216" t="str">
        <f>Inscripciones!$B$2</f>
        <v>U19 MASCULINO</v>
      </c>
      <c r="CB30" s="217" t="s">
        <v>115</v>
      </c>
    </row>
    <row r="31" spans="1:80" s="202" customFormat="1" ht="12.75" x14ac:dyDescent="0.25">
      <c r="A31" s="440"/>
      <c r="B31" s="442"/>
      <c r="C31" s="444"/>
      <c r="D31" s="444"/>
      <c r="E31" s="432"/>
      <c r="F31" s="446"/>
      <c r="G31" s="432"/>
      <c r="H31" s="432"/>
      <c r="I31" s="432">
        <v>0</v>
      </c>
      <c r="J31" s="432">
        <v>0</v>
      </c>
      <c r="K31" s="432">
        <v>0</v>
      </c>
      <c r="L31" s="432">
        <v>0</v>
      </c>
      <c r="M31" s="454"/>
      <c r="N31" s="432"/>
      <c r="O31" s="432"/>
      <c r="P31" s="432"/>
      <c r="Q31" s="432"/>
      <c r="R31" s="432"/>
      <c r="S31" s="432"/>
      <c r="T31" s="432"/>
      <c r="U31" s="432"/>
      <c r="V31" s="432"/>
      <c r="W31" s="432"/>
      <c r="X31" s="432"/>
      <c r="Y31" s="432"/>
      <c r="Z31" s="439"/>
      <c r="AA31" s="435"/>
      <c r="AB31" s="435"/>
      <c r="AC31" s="435"/>
      <c r="AD31" s="199" t="str">
        <f t="shared" ref="AD31" si="429">IF(AA30&gt;AB30,AD30&amp;"  "&amp;AE30,IF(AB30&gt;AA30,AD30&amp;"  "&amp;AE31,""))</f>
        <v>2 - 1  (-8, 6, 8)</v>
      </c>
      <c r="AE31" s="199" t="str">
        <f t="shared" si="0"/>
        <v>(-8, 6, 8)</v>
      </c>
      <c r="AF31" s="199">
        <f t="shared" ref="AF31" si="430">IF(N30&gt;M30,1,0)</f>
        <v>0</v>
      </c>
      <c r="AG31" s="199">
        <f t="shared" ref="AG31" si="431">IF(P30&gt;O30,1,0)</f>
        <v>1</v>
      </c>
      <c r="AH31" s="199">
        <f t="shared" ref="AH31" si="432">IF(R30&gt;Q30,1,0)</f>
        <v>1</v>
      </c>
      <c r="AI31" s="199">
        <f t="shared" ref="AI31" si="433">IF(T30&gt;S30,1,0)</f>
        <v>0</v>
      </c>
      <c r="AJ31" s="199">
        <f t="shared" ref="AJ31" si="434">IF(V30&gt;U30,1,0)</f>
        <v>0</v>
      </c>
      <c r="AK31" s="199">
        <f t="shared" ref="AK31" si="435">IF(X30&gt;W30,1,0)</f>
        <v>0</v>
      </c>
      <c r="AL31" s="199">
        <f t="shared" ref="AL31" si="436">IF(Z30&gt;Y30,1,0)</f>
        <v>0</v>
      </c>
      <c r="AM31" s="199">
        <f t="shared" ref="AM31" si="437">IF(N30&gt;M30,M30,IF(M30&gt;N30,-N30,""))</f>
        <v>-8</v>
      </c>
      <c r="AN31" s="199" t="str">
        <f t="shared" ref="AN31" si="438">IF(P30&gt;O30,", "&amp;O30,IF(O30&gt;P30,", "&amp;-P30,""))</f>
        <v>, 6</v>
      </c>
      <c r="AO31" s="199" t="str">
        <f t="shared" ref="AO31" si="439">IF(R30&gt;Q30,", "&amp;Q30,IF(Q30&gt;R30,", "&amp;-R30,""))</f>
        <v>, 8</v>
      </c>
      <c r="AP31" s="199" t="str">
        <f t="shared" ref="AP31" si="440">IF(T30&gt;S30,", "&amp;S30,IF(S30&gt;T30,", "&amp;-T30,""))</f>
        <v/>
      </c>
      <c r="AQ31" s="199" t="str">
        <f t="shared" ref="AQ31" si="441">IF(V30&gt;U30,", "&amp;U30,IF(U30&gt;V30,", "&amp;-V30,""))</f>
        <v/>
      </c>
      <c r="AR31" s="199" t="str">
        <f t="shared" ref="AR31" si="442">IF(X30&gt;W30,", "&amp;W30,IF(W30&gt;X30,", "&amp;-X30,""))</f>
        <v/>
      </c>
      <c r="AS31" s="199" t="str">
        <f t="shared" ref="AS31" si="443">IF(Z30&gt;Y30,", "&amp;Y30,IF(Y30&gt;Z30,", "&amp;-Z30,""))</f>
        <v/>
      </c>
      <c r="AU31" s="203"/>
      <c r="AV31" s="204"/>
      <c r="AW31" s="204"/>
      <c r="AX31" s="232"/>
      <c r="AY31" s="218">
        <v>20</v>
      </c>
      <c r="AZ31" s="219" t="str">
        <f>VLOOKUP(AY31,$A$4:$L$83,6,FALSE)</f>
        <v>28/Sep-- Table</v>
      </c>
      <c r="BA31" s="233"/>
      <c r="BB31" s="229">
        <f ca="1">VLOOKUP(BB27,$A$4:$L$87,8,FALSE)</f>
        <v>3671</v>
      </c>
      <c r="BC31" s="229" t="str">
        <f ca="1">IF(BB31=0,0,VLOOKUP(BB31,Inscripciones!$B$1:$I$464,2,FALSE))</f>
        <v>NICOLAS OVARES CASTRO</v>
      </c>
      <c r="BD31" s="230" t="str">
        <f ca="1">IF(BB31=0,0,VLOOKUP(BB31,Inscripciones!$B$1:$L$364,3,FALSE))</f>
        <v>SANTA ANA</v>
      </c>
      <c r="BE31" s="204"/>
      <c r="BJ31" s="235"/>
      <c r="BL31" s="241">
        <f t="shared" si="35"/>
        <v>27</v>
      </c>
      <c r="BM31" s="242" t="str">
        <f>C56</f>
        <v>28/Sep</v>
      </c>
      <c r="BN31" s="242">
        <f>D56</f>
        <v>0</v>
      </c>
      <c r="BO31" s="243">
        <f>E56</f>
        <v>0</v>
      </c>
      <c r="BP31" s="244" t="s">
        <v>89</v>
      </c>
      <c r="BQ31" s="241"/>
      <c r="BR31" s="241">
        <v>51</v>
      </c>
      <c r="BS31" s="245" t="e">
        <f ca="1">VLOOKUP(BY32,Inscripciones!$B$1:$B$364,2,FALSE)</f>
        <v>#REF!</v>
      </c>
      <c r="BT31" s="241"/>
      <c r="BU31" s="245" t="e">
        <f ca="1">VLOOKUP(BZ32,Inscripciones!$B$1:$B$364,2,FALSE)</f>
        <v>#REF!</v>
      </c>
      <c r="BV31" s="241"/>
      <c r="BW31" s="241"/>
      <c r="BY31" s="227">
        <f ca="1">G56</f>
        <v>3472</v>
      </c>
      <c r="BZ31" s="228">
        <f ca="1">H56</f>
        <v>4002</v>
      </c>
      <c r="CA31" s="216" t="str">
        <f>Inscripciones!$B$2</f>
        <v>U19 MASCULINO</v>
      </c>
      <c r="CB31" s="217" t="s">
        <v>115</v>
      </c>
    </row>
    <row r="32" spans="1:80" s="202" customFormat="1" ht="12.75" x14ac:dyDescent="0.25">
      <c r="A32" s="440">
        <v>15</v>
      </c>
      <c r="B32" s="447" t="s">
        <v>93</v>
      </c>
      <c r="C32" s="449" t="s">
        <v>72</v>
      </c>
      <c r="D32" s="449"/>
      <c r="E32" s="436"/>
      <c r="F32" s="451" t="str">
        <f t="shared" ref="F32" si="444">C32&amp;"-"&amp;D32&amp;"- Table"&amp;E32</f>
        <v>28/Sep-- Table</v>
      </c>
      <c r="G32" s="436">
        <f ca="1">'SORTEO 32'!D37</f>
        <v>3499</v>
      </c>
      <c r="H32" s="436">
        <f ca="1">'SORTEO 32'!D38</f>
        <v>4284</v>
      </c>
      <c r="I32" s="436" t="str">
        <f ca="1">IF(G32=0,0,VLOOKUP(G32,Inscripciones!$B$1:$I$464,2,FALSE))</f>
        <v>ESTEBAN MURILLO CHAVES</v>
      </c>
      <c r="J32" s="436" t="str">
        <f ca="1">IF(G32=0,0,VLOOKUP(G32,Inscripciones!$B$1:$L$364,3,FALSE))</f>
        <v>UCR-PÉREZ ZELEDÓN</v>
      </c>
      <c r="K32" s="436" t="str">
        <f ca="1">IF(I32=0,0,VLOOKUP(H32,Inscripciones!$B$1:$I$464,2,FALSE))</f>
        <v>IAN SOLÍS CARRANZA</v>
      </c>
      <c r="L32" s="436" t="str">
        <f ca="1">IF(I32=0,0,VLOOKUP(H32,Inscripciones!$B$1:$L$364,3,FALSE))</f>
        <v>SANTO DOMINGO</v>
      </c>
      <c r="M32" s="426">
        <v>11</v>
      </c>
      <c r="N32" s="436">
        <v>5</v>
      </c>
      <c r="O32" s="436">
        <v>11</v>
      </c>
      <c r="P32" s="436">
        <v>6</v>
      </c>
      <c r="Q32" s="436"/>
      <c r="R32" s="436"/>
      <c r="S32" s="436"/>
      <c r="T32" s="436"/>
      <c r="U32" s="436"/>
      <c r="V32" s="436"/>
      <c r="W32" s="436"/>
      <c r="X32" s="436"/>
      <c r="Y32" s="436"/>
      <c r="Z32" s="433"/>
      <c r="AA32" s="435">
        <f t="shared" ref="AA32" si="445">IF(M32+N32&lt;&gt;0,SUM(AF32:AL32),"")</f>
        <v>2</v>
      </c>
      <c r="AB32" s="435">
        <f t="shared" ref="AB32" si="446">IF(M32+N32&lt;&gt;0,SUM(AF33:AL33),"")</f>
        <v>0</v>
      </c>
      <c r="AC32" s="435" t="str">
        <f t="shared" ref="AC32" si="447">IF(AA32&gt;AB32,AD32&amp;"  "&amp;AE32,IF(AB32&gt;AA32,AD32&amp;"  "&amp;AE33,""))</f>
        <v>2 - 0  (5, 6)</v>
      </c>
      <c r="AD32" s="199" t="str">
        <f t="shared" ref="AD32" si="448">IF(AA32&gt;AB32,AA32&amp;" - "&amp;AB32,IF(AB32&gt;AA32,AB32&amp;" - "&amp;AA32,""))</f>
        <v>2 - 0</v>
      </c>
      <c r="AE32" s="199" t="str">
        <f t="shared" si="0"/>
        <v>(5, 6)</v>
      </c>
      <c r="AF32" s="199">
        <f t="shared" ref="AF32" si="449">IF(M32&gt;N32,1,0)</f>
        <v>1</v>
      </c>
      <c r="AG32" s="199">
        <f t="shared" ref="AG32" si="450">IF(O32&gt;P32,1,0)</f>
        <v>1</v>
      </c>
      <c r="AH32" s="199">
        <f t="shared" ref="AH32" si="451">IF(Q32&gt;R32,1,0)</f>
        <v>0</v>
      </c>
      <c r="AI32" s="199">
        <f t="shared" ref="AI32" si="452">IF(S32&gt;T32,1,0)</f>
        <v>0</v>
      </c>
      <c r="AJ32" s="199">
        <f t="shared" ref="AJ32" si="453">IF(U32&gt;V32,1,0)</f>
        <v>0</v>
      </c>
      <c r="AK32" s="199">
        <f t="shared" ref="AK32" si="454">IF(W32&gt;X32,1,0)</f>
        <v>0</v>
      </c>
      <c r="AL32" s="199">
        <f t="shared" ref="AL32" si="455">IF(Y32&gt;Z32,1,0)</f>
        <v>0</v>
      </c>
      <c r="AM32" s="199">
        <f t="shared" ref="AM32" si="456">IF(M32&gt;N32,N32,IF(N32&gt;M32,-M32,""))</f>
        <v>5</v>
      </c>
      <c r="AN32" s="199" t="str">
        <f t="shared" ref="AN32" si="457">IF(O32&gt;P32,", "&amp;P32,IF(P32&gt;O32,", "&amp;-O32,""))</f>
        <v>, 6</v>
      </c>
      <c r="AO32" s="199" t="str">
        <f t="shared" ref="AO32" si="458">IF(Q32&gt;R32,", "&amp;R32,IF(R32&gt;Q32,", "&amp;-Q32,""))</f>
        <v/>
      </c>
      <c r="AP32" s="199" t="str">
        <f t="shared" ref="AP32" si="459">IF(S32&gt;T32,", "&amp;T32,IF(T32&gt;S32,", "&amp;-S32,""))</f>
        <v/>
      </c>
      <c r="AQ32" s="199" t="str">
        <f t="shared" ref="AQ32" si="460">IF(U32&gt;V32,", "&amp;V32,IF(V32&gt;U32,", "&amp;-U32,""))</f>
        <v/>
      </c>
      <c r="AR32" s="199" t="str">
        <f t="shared" ref="AR32" si="461">IF(W32&gt;X32,", "&amp;X32,IF(X32&gt;W32,", "&amp;-W32,""))</f>
        <v/>
      </c>
      <c r="AS32" s="199" t="str">
        <f t="shared" ref="AS32" si="462">IF(Y32&gt;Z32,", "&amp;Z32,IF(Z32&gt;Y32,", "&amp;-Y32,""))</f>
        <v/>
      </c>
      <c r="AU32" s="206">
        <f>1+AU30</f>
        <v>15</v>
      </c>
      <c r="AV32" s="207">
        <f ca="1">VLOOKUP(AV33,$A$4:$L$83,7,FALSE)</f>
        <v>3719</v>
      </c>
      <c r="AW32" s="208" t="str">
        <f ca="1">IF(AV32=0,0,VLOOKUP(AV32,Inscripciones!$B$1:$I$464,2,FALSE))</f>
        <v>MARCELO MASIS RODRÍGUEZ</v>
      </c>
      <c r="AX32" s="209" t="str">
        <f ca="1">IF(AV32=0,0,VLOOKUP(AV32,Inscripciones!$B$1:$L$364,3,FALSE))</f>
        <v>SANTA ANA</v>
      </c>
      <c r="AY32" s="234"/>
      <c r="AZ32" s="204"/>
      <c r="BA32" s="231"/>
      <c r="BB32" s="210"/>
      <c r="BC32" s="211" t="str">
        <f>VLOOKUP(AY31,$A$4:$AD$87,29,FALSE)</f>
        <v>2 - 1  (-5, 6, 11)</v>
      </c>
      <c r="BD32" s="210"/>
      <c r="BE32" s="204"/>
      <c r="BJ32" s="235"/>
      <c r="BL32" s="241">
        <f t="shared" si="35"/>
        <v>28</v>
      </c>
      <c r="BM32" s="242" t="str">
        <f>C58</f>
        <v>28/Sep</v>
      </c>
      <c r="BN32" s="242">
        <f>D58</f>
        <v>0</v>
      </c>
      <c r="BO32" s="243">
        <f>E58</f>
        <v>0</v>
      </c>
      <c r="BP32" s="244" t="s">
        <v>89</v>
      </c>
      <c r="BQ32" s="241"/>
      <c r="BR32" s="241">
        <v>52</v>
      </c>
      <c r="BS32" s="245" t="e">
        <f>VLOOKUP(#REF!,Inscripciones!$B$1:$B$364,2,FALSE)</f>
        <v>#REF!</v>
      </c>
      <c r="BT32" s="241"/>
      <c r="BU32" s="245" t="e">
        <f>VLOOKUP(#REF!,Inscripciones!$B$1:$B$364,2,FALSE)</f>
        <v>#REF!</v>
      </c>
      <c r="BV32" s="241"/>
      <c r="BW32" s="241"/>
      <c r="BY32" s="227">
        <f ca="1">G58</f>
        <v>2623</v>
      </c>
      <c r="BZ32" s="228">
        <f ca="1">H58</f>
        <v>3499</v>
      </c>
      <c r="CA32" s="216" t="str">
        <f>Inscripciones!$B$2</f>
        <v>U19 MASCULINO</v>
      </c>
      <c r="CB32" s="217" t="s">
        <v>115</v>
      </c>
    </row>
    <row r="33" spans="1:80" s="202" customFormat="1" ht="12.75" x14ac:dyDescent="0.25">
      <c r="A33" s="440"/>
      <c r="B33" s="448"/>
      <c r="C33" s="450"/>
      <c r="D33" s="450"/>
      <c r="E33" s="437"/>
      <c r="F33" s="452"/>
      <c r="G33" s="437"/>
      <c r="H33" s="437"/>
      <c r="I33" s="437">
        <v>0</v>
      </c>
      <c r="J33" s="437">
        <v>0</v>
      </c>
      <c r="K33" s="437">
        <v>0</v>
      </c>
      <c r="L33" s="437">
        <v>0</v>
      </c>
      <c r="M33" s="427"/>
      <c r="N33" s="437"/>
      <c r="O33" s="437"/>
      <c r="P33" s="437"/>
      <c r="Q33" s="437"/>
      <c r="R33" s="437"/>
      <c r="S33" s="437"/>
      <c r="T33" s="437"/>
      <c r="U33" s="437"/>
      <c r="V33" s="437"/>
      <c r="W33" s="437"/>
      <c r="X33" s="437"/>
      <c r="Y33" s="437"/>
      <c r="Z33" s="434"/>
      <c r="AA33" s="435"/>
      <c r="AB33" s="435"/>
      <c r="AC33" s="435"/>
      <c r="AD33" s="199" t="str">
        <f t="shared" ref="AD33" si="463">IF(AA32&gt;AB32,AD32&amp;"  "&amp;AE32,IF(AB32&gt;AA32,AD32&amp;"  "&amp;AE33,""))</f>
        <v>2 - 0  (5, 6)</v>
      </c>
      <c r="AE33" s="199" t="str">
        <f t="shared" si="0"/>
        <v>(-5, -6)</v>
      </c>
      <c r="AF33" s="199">
        <f t="shared" ref="AF33" si="464">IF(N32&gt;M32,1,0)</f>
        <v>0</v>
      </c>
      <c r="AG33" s="199">
        <f t="shared" ref="AG33" si="465">IF(P32&gt;O32,1,0)</f>
        <v>0</v>
      </c>
      <c r="AH33" s="199">
        <f t="shared" ref="AH33" si="466">IF(R32&gt;Q32,1,0)</f>
        <v>0</v>
      </c>
      <c r="AI33" s="199">
        <f t="shared" ref="AI33" si="467">IF(T32&gt;S32,1,0)</f>
        <v>0</v>
      </c>
      <c r="AJ33" s="199">
        <f t="shared" ref="AJ33" si="468">IF(V32&gt;U32,1,0)</f>
        <v>0</v>
      </c>
      <c r="AK33" s="199">
        <f t="shared" ref="AK33" si="469">IF(X32&gt;W32,1,0)</f>
        <v>0</v>
      </c>
      <c r="AL33" s="199">
        <f t="shared" ref="AL33" si="470">IF(Z32&gt;Y32,1,0)</f>
        <v>0</v>
      </c>
      <c r="AM33" s="199">
        <f t="shared" ref="AM33" si="471">IF(N32&gt;M32,M32,IF(M32&gt;N32,-N32,""))</f>
        <v>-5</v>
      </c>
      <c r="AN33" s="199" t="str">
        <f t="shared" ref="AN33" si="472">IF(P32&gt;O32,", "&amp;O32,IF(O32&gt;P32,", "&amp;-P32,""))</f>
        <v>, -6</v>
      </c>
      <c r="AO33" s="199" t="str">
        <f t="shared" ref="AO33" si="473">IF(R32&gt;Q32,", "&amp;Q32,IF(Q32&gt;R32,", "&amp;-R32,""))</f>
        <v/>
      </c>
      <c r="AP33" s="199" t="str">
        <f t="shared" ref="AP33" si="474">IF(T32&gt;S32,", "&amp;S32,IF(S32&gt;T32,", "&amp;-T32,""))</f>
        <v/>
      </c>
      <c r="AQ33" s="199" t="str">
        <f t="shared" ref="AQ33" si="475">IF(V32&gt;U32,", "&amp;U32,IF(U32&gt;V32,", "&amp;-V32,""))</f>
        <v/>
      </c>
      <c r="AR33" s="199" t="str">
        <f t="shared" ref="AR33" si="476">IF(X32&gt;W32,", "&amp;W32,IF(W32&gt;X32,", "&amp;-X32,""))</f>
        <v/>
      </c>
      <c r="AS33" s="199" t="str">
        <f t="shared" ref="AS33" si="477">IF(Z32&gt;Y32,", "&amp;Y32,IF(Y32&gt;Z32,", "&amp;-Z32,""))</f>
        <v/>
      </c>
      <c r="AU33" s="203"/>
      <c r="AV33" s="218">
        <v>8</v>
      </c>
      <c r="AW33" s="219" t="str">
        <f>VLOOKUP(AV33,$A$4:$L$83,6,FALSE)</f>
        <v>28/Sep-- Table</v>
      </c>
      <c r="AX33" s="220"/>
      <c r="AY33" s="229">
        <f ca="1">VLOOKUP(AY31,$A$4:$L$87,8,FALSE)</f>
        <v>4034</v>
      </c>
      <c r="AZ33" s="229" t="str">
        <f ca="1">IF(AY33=0,0,VLOOKUP(AY33,Inscripciones!$B$1:$I$464,2,FALSE))</f>
        <v>IAN DAVID GARRO ALONSO</v>
      </c>
      <c r="BA33" s="230" t="str">
        <f ca="1">IF(AY33=0,0,VLOOKUP(AY33,Inscripciones!$B$1:$L$364,3,FALSE))</f>
        <v>CCDR SAN JOSÉ</v>
      </c>
      <c r="BB33" s="204"/>
      <c r="BC33" s="204"/>
      <c r="BD33" s="204"/>
      <c r="BE33" s="204"/>
      <c r="BJ33" s="235"/>
      <c r="BL33" s="246">
        <f t="shared" si="35"/>
        <v>29</v>
      </c>
      <c r="BM33" s="247" t="str">
        <f>C60</f>
        <v>28/Sep</v>
      </c>
      <c r="BN33" s="247">
        <f>D60</f>
        <v>0</v>
      </c>
      <c r="BO33" s="248">
        <f>E60</f>
        <v>0</v>
      </c>
      <c r="BP33" s="249" t="s">
        <v>89</v>
      </c>
      <c r="BQ33" s="246"/>
      <c r="BR33" s="246">
        <v>57</v>
      </c>
      <c r="BS33" s="250" t="e">
        <f ca="1">VLOOKUP(BY34,Inscripciones!$B$1:$B$364,2,FALSE)</f>
        <v>#REF!</v>
      </c>
      <c r="BT33" s="246"/>
      <c r="BU33" s="250" t="e">
        <f ca="1">VLOOKUP(BZ34,Inscripciones!$B$1:$B$364,2,FALSE)</f>
        <v>#REF!</v>
      </c>
      <c r="BV33" s="246"/>
      <c r="BW33" s="246"/>
      <c r="BY33" s="227">
        <f ca="1">G60</f>
        <v>2895</v>
      </c>
      <c r="BZ33" s="228">
        <f ca="1">H60</f>
        <v>3671</v>
      </c>
      <c r="CA33" s="216" t="str">
        <f>Inscripciones!$B$2</f>
        <v>U19 MASCULINO</v>
      </c>
      <c r="CB33" s="217" t="s">
        <v>116</v>
      </c>
    </row>
    <row r="34" spans="1:80" s="202" customFormat="1" ht="12.75" x14ac:dyDescent="0.25">
      <c r="A34" s="440">
        <v>16</v>
      </c>
      <c r="B34" s="441" t="s">
        <v>93</v>
      </c>
      <c r="C34" s="443" t="s">
        <v>72</v>
      </c>
      <c r="D34" s="443"/>
      <c r="E34" s="431"/>
      <c r="F34" s="445" t="str">
        <f t="shared" ref="F34" si="478">C34&amp;"-"&amp;D34&amp;"- Table"&amp;E34</f>
        <v>28/Sep-- Table</v>
      </c>
      <c r="G34" s="431">
        <f ca="1">'SORTEO 32'!D39</f>
        <v>3449</v>
      </c>
      <c r="H34" s="431">
        <f ca="1">'SORTEO 32'!D40</f>
        <v>4144</v>
      </c>
      <c r="I34" s="431" t="str">
        <f ca="1">IF(G34=0,0,VLOOKUP(G34,Inscripciones!$B$1:$I$464,2,FALSE))</f>
        <v>REINEL ANTONIO VANEGAS LACAYO</v>
      </c>
      <c r="J34" s="431" t="str">
        <f ca="1">IF(G34=0,0,VLOOKUP(G34,Inscripciones!$B$1:$L$364,3,FALSE))</f>
        <v>ALAJUELA</v>
      </c>
      <c r="K34" s="431" t="str">
        <f ca="1">IF(I34=0,0,VLOOKUP(H34,Inscripciones!$B$1:$I$464,2,FALSE))</f>
        <v>ANDRÉS PARRA CHACÓN</v>
      </c>
      <c r="L34" s="431" t="str">
        <f ca="1">IF(I34=0,0,VLOOKUP(H34,Inscripciones!$B$1:$L$364,3,FALSE))</f>
        <v>SANTO DOMINGO</v>
      </c>
      <c r="M34" s="453">
        <v>11</v>
      </c>
      <c r="N34" s="431">
        <v>6</v>
      </c>
      <c r="O34" s="431">
        <v>7</v>
      </c>
      <c r="P34" s="431">
        <v>11</v>
      </c>
      <c r="Q34" s="431">
        <v>11</v>
      </c>
      <c r="R34" s="431">
        <v>4</v>
      </c>
      <c r="S34" s="431"/>
      <c r="T34" s="431"/>
      <c r="U34" s="431"/>
      <c r="V34" s="431"/>
      <c r="W34" s="431"/>
      <c r="X34" s="431"/>
      <c r="Y34" s="431"/>
      <c r="Z34" s="438"/>
      <c r="AA34" s="435">
        <f t="shared" ref="AA34" si="479">IF(M34+N34&lt;&gt;0,SUM(AF34:AL34),"")</f>
        <v>2</v>
      </c>
      <c r="AB34" s="435">
        <f t="shared" ref="AB34" si="480">IF(M34+N34&lt;&gt;0,SUM(AF35:AL35),"")</f>
        <v>1</v>
      </c>
      <c r="AC34" s="435" t="str">
        <f t="shared" ref="AC34" si="481">IF(AA34&gt;AB34,AD34&amp;"  "&amp;AE34,IF(AB34&gt;AA34,AD34&amp;"  "&amp;AE35,""))</f>
        <v>2 - 1  (6, -7, 4)</v>
      </c>
      <c r="AD34" s="199" t="str">
        <f t="shared" ref="AD34" si="482">IF(AA34&gt;AB34,AA34&amp;" - "&amp;AB34,IF(AB34&gt;AA34,AB34&amp;" - "&amp;AA34,""))</f>
        <v>2 - 1</v>
      </c>
      <c r="AE34" s="199" t="str">
        <f t="shared" si="0"/>
        <v>(6, -7, 4)</v>
      </c>
      <c r="AF34" s="199">
        <f t="shared" ref="AF34" si="483">IF(M34&gt;N34,1,0)</f>
        <v>1</v>
      </c>
      <c r="AG34" s="199">
        <f t="shared" ref="AG34" si="484">IF(O34&gt;P34,1,0)</f>
        <v>0</v>
      </c>
      <c r="AH34" s="199">
        <f t="shared" ref="AH34" si="485">IF(Q34&gt;R34,1,0)</f>
        <v>1</v>
      </c>
      <c r="AI34" s="199">
        <f t="shared" ref="AI34" si="486">IF(S34&gt;T34,1,0)</f>
        <v>0</v>
      </c>
      <c r="AJ34" s="199">
        <f t="shared" ref="AJ34" si="487">IF(U34&gt;V34,1,0)</f>
        <v>0</v>
      </c>
      <c r="AK34" s="199">
        <f t="shared" ref="AK34" si="488">IF(W34&gt;X34,1,0)</f>
        <v>0</v>
      </c>
      <c r="AL34" s="199">
        <f t="shared" ref="AL34" si="489">IF(Y34&gt;Z34,1,0)</f>
        <v>0</v>
      </c>
      <c r="AM34" s="199">
        <f t="shared" ref="AM34" si="490">IF(M34&gt;N34,N34,IF(N34&gt;M34,-M34,""))</f>
        <v>6</v>
      </c>
      <c r="AN34" s="199" t="str">
        <f t="shared" ref="AN34" si="491">IF(O34&gt;P34,", "&amp;P34,IF(P34&gt;O34,", "&amp;-O34,""))</f>
        <v>, -7</v>
      </c>
      <c r="AO34" s="199" t="str">
        <f t="shared" ref="AO34" si="492">IF(Q34&gt;R34,", "&amp;R34,IF(R34&gt;Q34,", "&amp;-Q34,""))</f>
        <v>, 4</v>
      </c>
      <c r="AP34" s="199" t="str">
        <f t="shared" ref="AP34" si="493">IF(S34&gt;T34,", "&amp;T34,IF(T34&gt;S34,", "&amp;-S34,""))</f>
        <v/>
      </c>
      <c r="AQ34" s="199" t="str">
        <f t="shared" ref="AQ34" si="494">IF(U34&gt;V34,", "&amp;V34,IF(V34&gt;U34,", "&amp;-U34,""))</f>
        <v/>
      </c>
      <c r="AR34" s="199" t="str">
        <f t="shared" ref="AR34" si="495">IF(W34&gt;X34,", "&amp;X34,IF(X34&gt;W34,", "&amp;-W34,""))</f>
        <v/>
      </c>
      <c r="AS34" s="199" t="str">
        <f t="shared" ref="AS34" si="496">IF(Y34&gt;Z34,", "&amp;Z34,IF(Z34&gt;Y34,", "&amp;-Y34,""))</f>
        <v/>
      </c>
      <c r="AU34" s="206">
        <f>1+AU32</f>
        <v>16</v>
      </c>
      <c r="AV34" s="229">
        <f ca="1">VLOOKUP(AV33,$A$4:$L$83,8,FALSE)</f>
        <v>4034</v>
      </c>
      <c r="AW34" s="229" t="str">
        <f ca="1">IF(AV34=0,0,VLOOKUP(AV34,Inscripciones!$B$1:$I$464,2,FALSE))</f>
        <v>IAN DAVID GARRO ALONSO</v>
      </c>
      <c r="AX34" s="230" t="str">
        <f ca="1">IF(AV34=0,0,VLOOKUP(AV34,Inscripciones!$B$1:$L$364,3,FALSE))</f>
        <v>CCDR SAN JOSÉ</v>
      </c>
      <c r="AY34" s="210"/>
      <c r="AZ34" s="211" t="str">
        <f>VLOOKUP(AV33,$A$4:$AD$87,29,FALSE)</f>
        <v>2 - 0  (1, 7)</v>
      </c>
      <c r="BA34" s="210"/>
      <c r="BB34" s="204"/>
      <c r="BC34" s="204"/>
      <c r="BD34" s="204"/>
      <c r="BE34" s="204"/>
      <c r="BH34" s="218">
        <v>32</v>
      </c>
      <c r="BI34" s="219" t="str">
        <f>VLOOKUP(BH34,$A$4:$L$83,6,FALSE)</f>
        <v>28/Sep-- Table</v>
      </c>
      <c r="BJ34" s="235"/>
      <c r="BL34" s="246">
        <f t="shared" si="35"/>
        <v>30</v>
      </c>
      <c r="BM34" s="247" t="str">
        <f>C62</f>
        <v>28/Sep</v>
      </c>
      <c r="BN34" s="247">
        <f>D62</f>
        <v>0</v>
      </c>
      <c r="BO34" s="248">
        <f>E62</f>
        <v>0</v>
      </c>
      <c r="BP34" s="249" t="s">
        <v>89</v>
      </c>
      <c r="BQ34" s="246"/>
      <c r="BR34" s="246">
        <v>58</v>
      </c>
      <c r="BS34" s="250" t="e">
        <f>VLOOKUP(#REF!,Inscripciones!$B$1:$B$364,2,FALSE)</f>
        <v>#REF!</v>
      </c>
      <c r="BT34" s="246"/>
      <c r="BU34" s="250" t="e">
        <f>VLOOKUP(#REF!,Inscripciones!$B$1:$B$364,2,FALSE)</f>
        <v>#REF!</v>
      </c>
      <c r="BV34" s="246"/>
      <c r="BW34" s="246"/>
      <c r="BY34" s="227">
        <f ca="1">G62</f>
        <v>3472</v>
      </c>
      <c r="BZ34" s="228">
        <f ca="1">H62</f>
        <v>2623</v>
      </c>
      <c r="CA34" s="216" t="str">
        <f>Inscripciones!$B$2</f>
        <v>U19 MASCULINO</v>
      </c>
      <c r="CB34" s="217" t="s">
        <v>116</v>
      </c>
    </row>
    <row r="35" spans="1:80" s="202" customFormat="1" ht="13.5" x14ac:dyDescent="0.25">
      <c r="A35" s="440"/>
      <c r="B35" s="442"/>
      <c r="C35" s="444"/>
      <c r="D35" s="444"/>
      <c r="E35" s="432"/>
      <c r="F35" s="446"/>
      <c r="G35" s="432"/>
      <c r="H35" s="432"/>
      <c r="I35" s="432">
        <v>0</v>
      </c>
      <c r="J35" s="432">
        <v>0</v>
      </c>
      <c r="K35" s="432">
        <v>0</v>
      </c>
      <c r="L35" s="432">
        <v>0</v>
      </c>
      <c r="M35" s="454"/>
      <c r="N35" s="432"/>
      <c r="O35" s="432"/>
      <c r="P35" s="432"/>
      <c r="Q35" s="432"/>
      <c r="R35" s="432"/>
      <c r="S35" s="432"/>
      <c r="T35" s="432"/>
      <c r="U35" s="432"/>
      <c r="V35" s="432"/>
      <c r="W35" s="432"/>
      <c r="X35" s="432"/>
      <c r="Y35" s="432"/>
      <c r="Z35" s="439"/>
      <c r="AA35" s="435"/>
      <c r="AB35" s="435"/>
      <c r="AC35" s="435"/>
      <c r="AD35" s="199" t="str">
        <f t="shared" ref="AD35" si="497">IF(AA34&gt;AB34,AD34&amp;"  "&amp;AE34,IF(AB34&gt;AA34,AD34&amp;"  "&amp;AE35,""))</f>
        <v>2 - 1  (6, -7, 4)</v>
      </c>
      <c r="AE35" s="199" t="str">
        <f t="shared" si="0"/>
        <v>(-6, 7, -4)</v>
      </c>
      <c r="AF35" s="199">
        <f t="shared" ref="AF35" si="498">IF(N34&gt;M34,1,0)</f>
        <v>0</v>
      </c>
      <c r="AG35" s="199">
        <f t="shared" ref="AG35" si="499">IF(P34&gt;O34,1,0)</f>
        <v>1</v>
      </c>
      <c r="AH35" s="199">
        <f t="shared" ref="AH35" si="500">IF(R34&gt;Q34,1,0)</f>
        <v>0</v>
      </c>
      <c r="AI35" s="199">
        <f t="shared" ref="AI35" si="501">IF(T34&gt;S34,1,0)</f>
        <v>0</v>
      </c>
      <c r="AJ35" s="199">
        <f t="shared" ref="AJ35" si="502">IF(V34&gt;U34,1,0)</f>
        <v>0</v>
      </c>
      <c r="AK35" s="199">
        <f t="shared" ref="AK35" si="503">IF(X34&gt;W34,1,0)</f>
        <v>0</v>
      </c>
      <c r="AL35" s="199">
        <f t="shared" ref="AL35" si="504">IF(Z34&gt;Y34,1,0)</f>
        <v>0</v>
      </c>
      <c r="AM35" s="199">
        <f t="shared" ref="AM35" si="505">IF(N34&gt;M34,M34,IF(M34&gt;N34,-N34,""))</f>
        <v>-6</v>
      </c>
      <c r="AN35" s="199" t="str">
        <f t="shared" ref="AN35" si="506">IF(P34&gt;O34,", "&amp;O34,IF(O34&gt;P34,", "&amp;-P34,""))</f>
        <v>, 7</v>
      </c>
      <c r="AO35" s="199" t="str">
        <f t="shared" ref="AO35" si="507">IF(R34&gt;Q34,", "&amp;Q34,IF(Q34&gt;R34,", "&amp;-R34,""))</f>
        <v>, -4</v>
      </c>
      <c r="AP35" s="199" t="str">
        <f t="shared" ref="AP35" si="508">IF(T34&gt;S34,", "&amp;S34,IF(S34&gt;T34,", "&amp;-T34,""))</f>
        <v/>
      </c>
      <c r="AQ35" s="199" t="str">
        <f t="shared" ref="AQ35" si="509">IF(V34&gt;U34,", "&amp;U34,IF(U34&gt;V34,", "&amp;-V34,""))</f>
        <v/>
      </c>
      <c r="AR35" s="199" t="str">
        <f t="shared" ref="AR35" si="510">IF(X34&gt;W34,", "&amp;W34,IF(W34&gt;X34,", "&amp;-X34,""))</f>
        <v/>
      </c>
      <c r="AS35" s="199" t="str">
        <f t="shared" ref="AS35" si="511">IF(Z34&gt;Y34,", "&amp;Y34,IF(Y34&gt;Z34,", "&amp;-Z34,""))</f>
        <v/>
      </c>
      <c r="AU35" s="206"/>
      <c r="AV35" s="204"/>
      <c r="AW35" s="204"/>
      <c r="AX35" s="204"/>
      <c r="AY35" s="204"/>
      <c r="AZ35" s="204"/>
      <c r="BA35" s="204"/>
      <c r="BB35" s="204"/>
      <c r="BC35" s="204"/>
      <c r="BD35" s="204"/>
      <c r="BG35" s="251" t="s">
        <v>117</v>
      </c>
      <c r="BH35" s="252">
        <f ca="1">G70</f>
        <v>2623</v>
      </c>
      <c r="BI35" s="253" t="str">
        <f ca="1">IF(BH35=0,0,VLOOKUP(BH35,Inscripciones!$B$1:$I$464,2,FALSE))</f>
        <v>MATEO MONGE ARROYO</v>
      </c>
      <c r="BJ35" s="254" t="str">
        <f ca="1">IF(BH35=0,0,VLOOKUP(BH35,Inscripciones!$B$1:$L$364,3,FALSE))</f>
        <v>SANTA ANA</v>
      </c>
      <c r="BL35" s="255">
        <f t="shared" si="35"/>
        <v>31</v>
      </c>
      <c r="BM35" s="256" t="str">
        <f>C64</f>
        <v>28/Sep</v>
      </c>
      <c r="BN35" s="256">
        <f>D64</f>
        <v>0</v>
      </c>
      <c r="BO35" s="257">
        <f>E64</f>
        <v>0</v>
      </c>
      <c r="BP35" s="258" t="s">
        <v>89</v>
      </c>
      <c r="BQ35" s="255"/>
      <c r="BR35" s="255">
        <v>63</v>
      </c>
      <c r="BS35" s="259" t="e">
        <f ca="1">VLOOKUP(BY36,Inscripciones!$B$1:$B$364,2,FALSE)</f>
        <v>#REF!</v>
      </c>
      <c r="BT35" s="255"/>
      <c r="BU35" s="259" t="e">
        <f ca="1">VLOOKUP(BZ36,Inscripciones!$B$1:$B$364,2,FALSE)</f>
        <v>#REF!</v>
      </c>
      <c r="BV35" s="255"/>
      <c r="BW35" s="255"/>
      <c r="BY35" s="227">
        <f ca="1">G64</f>
        <v>3671</v>
      </c>
      <c r="BZ35" s="228">
        <f ca="1">H64</f>
        <v>3472</v>
      </c>
      <c r="CA35" s="216" t="str">
        <f>Inscripciones!$B$2</f>
        <v>U19 MASCULINO</v>
      </c>
      <c r="CB35" s="217" t="s">
        <v>118</v>
      </c>
    </row>
    <row r="36" spans="1:80" s="202" customFormat="1" ht="12.75" x14ac:dyDescent="0.25">
      <c r="A36" s="440">
        <v>17</v>
      </c>
      <c r="B36" s="457" t="s">
        <v>119</v>
      </c>
      <c r="C36" s="459" t="s">
        <v>72</v>
      </c>
      <c r="D36" s="459"/>
      <c r="E36" s="455"/>
      <c r="F36" s="471" t="str">
        <f t="shared" ref="F36:F48" si="512">C36&amp;"-"&amp;D36&amp;"- Table"&amp;E36</f>
        <v>28/Sep-- Table</v>
      </c>
      <c r="G36" s="455">
        <f ca="1">IF(M4="",0,IF(AA4&gt;AB4,G4,H4))</f>
        <v>2515</v>
      </c>
      <c r="H36" s="455">
        <f ca="1">IF(M6="",0,IF(AA6&gt;AB6,G6,H6))</f>
        <v>3747</v>
      </c>
      <c r="I36" s="455" t="str">
        <f ca="1">IF(G36=0,0,VLOOKUP(G36,Inscripciones!$B$1:$I$464,2,FALSE))</f>
        <v>GABRIEL CHAVEZ QUIROS</v>
      </c>
      <c r="J36" s="455" t="str">
        <f ca="1">IF(G36=0,0,VLOOKUP(G36,Inscripciones!$B$1:$L$364,3,FALSE))</f>
        <v>SANTA ANA</v>
      </c>
      <c r="K36" s="455" t="str">
        <f ca="1">IF(I36=0,0,VLOOKUP(H36,Inscripciones!$B$1:$I$464,2,FALSE))</f>
        <v>LUIS ALONSO VILLALOBOS CAMPOS</v>
      </c>
      <c r="L36" s="455" t="str">
        <f ca="1">IF(I36=0,0,VLOOKUP(H36,Inscripciones!$B$1:$L$364,3,FALSE))</f>
        <v>ESPARZA</v>
      </c>
      <c r="M36" s="469">
        <v>11</v>
      </c>
      <c r="N36" s="455">
        <v>8</v>
      </c>
      <c r="O36" s="455">
        <v>11</v>
      </c>
      <c r="P36" s="455">
        <v>8</v>
      </c>
      <c r="Q36" s="455"/>
      <c r="R36" s="455"/>
      <c r="S36" s="455"/>
      <c r="T36" s="455"/>
      <c r="U36" s="455"/>
      <c r="V36" s="455"/>
      <c r="W36" s="455"/>
      <c r="X36" s="455"/>
      <c r="Y36" s="455"/>
      <c r="Z36" s="461"/>
      <c r="AA36" s="435">
        <f t="shared" ref="AA36" si="513">IF(M36+N36&lt;&gt;0,SUM(AF36:AL36),"")</f>
        <v>2</v>
      </c>
      <c r="AB36" s="435">
        <f t="shared" ref="AB36" si="514">IF(M36+N36&lt;&gt;0,SUM(AF37:AL37),"")</f>
        <v>0</v>
      </c>
      <c r="AC36" s="199" t="str">
        <f t="shared" ref="AC36" si="515">IF(AA36&gt;AB36,AD36&amp;"  "&amp;AE36,IF(AB36&gt;AA36,AD36&amp;"  "&amp;AE37,""))</f>
        <v>2 - 0  (8, 8)</v>
      </c>
      <c r="AD36" s="199" t="str">
        <f t="shared" ref="AD36" si="516">IF(AA36&gt;AB36,AA36&amp;" - "&amp;AB36,IF(AB36&gt;AA36,AB36&amp;" - "&amp;AA36,""))</f>
        <v>2 - 0</v>
      </c>
      <c r="AE36" s="199" t="str">
        <f t="shared" si="0"/>
        <v>(8, 8)</v>
      </c>
      <c r="AF36" s="199">
        <f t="shared" ref="AF36" si="517">IF(M36&gt;N36,1,0)</f>
        <v>1</v>
      </c>
      <c r="AG36" s="199">
        <f t="shared" ref="AG36" si="518">IF(O36&gt;P36,1,0)</f>
        <v>1</v>
      </c>
      <c r="AH36" s="199">
        <f t="shared" ref="AH36" si="519">IF(Q36&gt;R36,1,0)</f>
        <v>0</v>
      </c>
      <c r="AI36" s="199">
        <f t="shared" ref="AI36" si="520">IF(S36&gt;T36,1,0)</f>
        <v>0</v>
      </c>
      <c r="AJ36" s="199">
        <f t="shared" ref="AJ36" si="521">IF(U36&gt;V36,1,0)</f>
        <v>0</v>
      </c>
      <c r="AK36" s="199">
        <f t="shared" ref="AK36" si="522">IF(W36&gt;X36,1,0)</f>
        <v>0</v>
      </c>
      <c r="AL36" s="199">
        <f t="shared" ref="AL36" si="523">IF(Y36&gt;Z36,1,0)</f>
        <v>0</v>
      </c>
      <c r="AM36" s="199">
        <f t="shared" ref="AM36" si="524">IF(M36&gt;N36,N36,IF(N36&gt;M36,-M36,""))</f>
        <v>8</v>
      </c>
      <c r="AN36" s="199" t="str">
        <f t="shared" ref="AN36" si="525">IF(O36&gt;P36,", "&amp;P36,IF(P36&gt;O36,", "&amp;-O36,""))</f>
        <v>, 8</v>
      </c>
      <c r="AO36" s="199" t="str">
        <f t="shared" ref="AO36" si="526">IF(Q36&gt;R36,", "&amp;R36,IF(R36&gt;Q36,", "&amp;-Q36,""))</f>
        <v/>
      </c>
      <c r="AP36" s="199" t="str">
        <f t="shared" ref="AP36" si="527">IF(S36&gt;T36,", "&amp;T36,IF(T36&gt;S36,", "&amp;-S36,""))</f>
        <v/>
      </c>
      <c r="AQ36" s="199" t="str">
        <f t="shared" ref="AQ36" si="528">IF(U36&gt;V36,", "&amp;V36,IF(V36&gt;U36,", "&amp;-U36,""))</f>
        <v/>
      </c>
      <c r="AR36" s="199" t="str">
        <f t="shared" ref="AR36" si="529">IF(W36&gt;X36,", "&amp;X36,IF(X36&gt;W36,", "&amp;-W36,""))</f>
        <v/>
      </c>
      <c r="AS36" s="199" t="str">
        <f t="shared" ref="AS36" si="530">IF(Y36&gt;Z36,", "&amp;Z36,IF(Z36&gt;Y36,", "&amp;-Y36,""))</f>
        <v/>
      </c>
      <c r="AU36" s="206">
        <f>1+AU34</f>
        <v>17</v>
      </c>
      <c r="AV36" s="207">
        <f ca="1">VLOOKUP(AV37,$A$4:$L$83,7,FALSE)</f>
        <v>3472</v>
      </c>
      <c r="AW36" s="208" t="str">
        <f ca="1">IF(AV36=0,0,VLOOKUP(AV36,Inscripciones!$B$1:$I$464,2,FALSE))</f>
        <v>JAYDRICK SHAMALL BAKER CRAWFORD</v>
      </c>
      <c r="AX36" s="209" t="str">
        <f ca="1">IF(AV36=0,0,VLOOKUP(AV36,Inscripciones!$B$1:$L$364,3,FALSE))</f>
        <v>ASERRÍ - UCR</v>
      </c>
      <c r="AY36" s="210"/>
      <c r="AZ36" s="211" t="str">
        <f>VLOOKUP(AV37,$A$4:$AD$83,29,FALSE)</f>
        <v>2 - 0  (5, 2)</v>
      </c>
      <c r="BA36" s="210"/>
      <c r="BB36" s="204"/>
      <c r="BC36" s="204"/>
      <c r="BD36" s="204"/>
      <c r="BE36" s="204"/>
      <c r="BH36" s="210"/>
      <c r="BI36" s="211" t="str">
        <f>VLOOKUP(BH34,$A$4:$AD$87,29,FALSE)</f>
        <v>3 - 0  (7, 8, 6)</v>
      </c>
      <c r="BJ36" s="260"/>
      <c r="BL36" s="255">
        <f t="shared" si="35"/>
        <v>32</v>
      </c>
      <c r="BM36" s="256" t="str">
        <f>C66</f>
        <v>28/Sep</v>
      </c>
      <c r="BN36" s="256">
        <f>D66</f>
        <v>0</v>
      </c>
      <c r="BO36" s="257">
        <f>E66</f>
        <v>0</v>
      </c>
      <c r="BP36" s="258" t="s">
        <v>89</v>
      </c>
      <c r="BQ36" s="255"/>
      <c r="BR36" s="255">
        <v>64</v>
      </c>
      <c r="BS36" s="259" t="e">
        <f>VLOOKUP(#REF!,Inscripciones!$B$1:$B$364,2,FALSE)</f>
        <v>#REF!</v>
      </c>
      <c r="BT36" s="255"/>
      <c r="BU36" s="259" t="e">
        <f>VLOOKUP(#REF!,Inscripciones!$B$1:$B$364,2,FALSE)</f>
        <v>#REF!</v>
      </c>
      <c r="BV36" s="255"/>
      <c r="BW36" s="255"/>
      <c r="BY36" s="227">
        <f ca="1">G66</f>
        <v>2895</v>
      </c>
      <c r="BZ36" s="228">
        <f ca="1">H66</f>
        <v>2623</v>
      </c>
      <c r="CA36" s="216" t="str">
        <f>Inscripciones!$B$2</f>
        <v>U19 MASCULINO</v>
      </c>
      <c r="CB36" s="217" t="s">
        <v>120</v>
      </c>
    </row>
    <row r="37" spans="1:80" s="202" customFormat="1" ht="12.75" x14ac:dyDescent="0.25">
      <c r="A37" s="440"/>
      <c r="B37" s="458"/>
      <c r="C37" s="460"/>
      <c r="D37" s="460"/>
      <c r="E37" s="456"/>
      <c r="F37" s="472"/>
      <c r="G37" s="456" t="s">
        <v>55</v>
      </c>
      <c r="H37" s="456" t="s">
        <v>55</v>
      </c>
      <c r="I37" s="456"/>
      <c r="J37" s="456"/>
      <c r="K37" s="456">
        <v>0</v>
      </c>
      <c r="L37" s="456">
        <v>0</v>
      </c>
      <c r="M37" s="470"/>
      <c r="N37" s="456"/>
      <c r="O37" s="456"/>
      <c r="P37" s="456"/>
      <c r="Q37" s="456"/>
      <c r="R37" s="456"/>
      <c r="S37" s="456"/>
      <c r="T37" s="456"/>
      <c r="U37" s="456"/>
      <c r="V37" s="456"/>
      <c r="W37" s="456"/>
      <c r="X37" s="456"/>
      <c r="Y37" s="456"/>
      <c r="Z37" s="462"/>
      <c r="AA37" s="435"/>
      <c r="AB37" s="435"/>
      <c r="AC37" s="199"/>
      <c r="AD37" s="199" t="str">
        <f t="shared" ref="AD37" si="531">IF(AA36&gt;AB36,AD36&amp;"  "&amp;AE36,IF(AB36&gt;AA36,AD36&amp;"  "&amp;AE37,""))</f>
        <v>2 - 0  (8, 8)</v>
      </c>
      <c r="AE37" s="199" t="str">
        <f t="shared" si="0"/>
        <v>(-8, -8)</v>
      </c>
      <c r="AF37" s="199">
        <f t="shared" ref="AF37" si="532">IF(N36&gt;M36,1,0)</f>
        <v>0</v>
      </c>
      <c r="AG37" s="199">
        <f t="shared" ref="AG37" si="533">IF(P36&gt;O36,1,0)</f>
        <v>0</v>
      </c>
      <c r="AH37" s="199">
        <f t="shared" ref="AH37" si="534">IF(R36&gt;Q36,1,0)</f>
        <v>0</v>
      </c>
      <c r="AI37" s="199">
        <f t="shared" ref="AI37" si="535">IF(T36&gt;S36,1,0)</f>
        <v>0</v>
      </c>
      <c r="AJ37" s="199">
        <f t="shared" ref="AJ37" si="536">IF(V36&gt;U36,1,0)</f>
        <v>0</v>
      </c>
      <c r="AK37" s="199">
        <f t="shared" ref="AK37" si="537">IF(X36&gt;W36,1,0)</f>
        <v>0</v>
      </c>
      <c r="AL37" s="199">
        <f t="shared" ref="AL37" si="538">IF(Z36&gt;Y36,1,0)</f>
        <v>0</v>
      </c>
      <c r="AM37" s="199">
        <f t="shared" ref="AM37" si="539">IF(N36&gt;M36,M36,IF(M36&gt;N36,-N36,""))</f>
        <v>-8</v>
      </c>
      <c r="AN37" s="199" t="str">
        <f t="shared" ref="AN37" si="540">IF(P36&gt;O36,", "&amp;O36,IF(O36&gt;P36,", "&amp;-P36,""))</f>
        <v>, -8</v>
      </c>
      <c r="AO37" s="199" t="str">
        <f t="shared" ref="AO37" si="541">IF(R36&gt;Q36,", "&amp;Q36,IF(Q36&gt;R36,", "&amp;-R36,""))</f>
        <v/>
      </c>
      <c r="AP37" s="199" t="str">
        <f t="shared" ref="AP37" si="542">IF(T36&gt;S36,", "&amp;S36,IF(S36&gt;T36,", "&amp;-T36,""))</f>
        <v/>
      </c>
      <c r="AQ37" s="199" t="str">
        <f t="shared" ref="AQ37" si="543">IF(V36&gt;U36,", "&amp;U36,IF(U36&gt;V36,", "&amp;-V36,""))</f>
        <v/>
      </c>
      <c r="AR37" s="199" t="str">
        <f t="shared" ref="AR37" si="544">IF(X36&gt;W36,", "&amp;W36,IF(W36&gt;X36,", "&amp;-X36,""))</f>
        <v/>
      </c>
      <c r="AS37" s="199" t="str">
        <f t="shared" ref="AS37" si="545">IF(Z36&gt;Y36,", "&amp;Y36,IF(Y36&gt;Z36,", "&amp;-Z36,""))</f>
        <v/>
      </c>
      <c r="AU37" s="203"/>
      <c r="AV37" s="218">
        <v>9</v>
      </c>
      <c r="AW37" s="219" t="str">
        <f>VLOOKUP(AV37,$A$4:$L$83,6,FALSE)</f>
        <v>28/Sep-- Table</v>
      </c>
      <c r="AX37" s="220"/>
      <c r="AY37" s="207">
        <f ca="1">VLOOKUP(AY39,$A$4:$L$87,7,FALSE)</f>
        <v>3472</v>
      </c>
      <c r="AZ37" s="208" t="str">
        <f ca="1">IF(AY37=0,0,VLOOKUP(AY37,Inscripciones!$B$1:$I$464,2,FALSE))</f>
        <v>JAYDRICK SHAMALL BAKER CRAWFORD</v>
      </c>
      <c r="BA37" s="209" t="str">
        <f ca="1">IF(AY37=0,0,VLOOKUP(AY37,Inscripciones!$B$1:$L$364,3,FALSE))</f>
        <v>ASERRÍ - UCR</v>
      </c>
      <c r="BB37" s="204"/>
      <c r="BC37" s="204"/>
      <c r="BD37" s="204"/>
      <c r="BE37" s="204"/>
      <c r="BJ37" s="235"/>
    </row>
    <row r="38" spans="1:80" s="202" customFormat="1" ht="12.75" x14ac:dyDescent="0.25">
      <c r="A38" s="440">
        <v>18</v>
      </c>
      <c r="B38" s="463" t="s">
        <v>119</v>
      </c>
      <c r="C38" s="465" t="s">
        <v>72</v>
      </c>
      <c r="D38" s="465"/>
      <c r="E38" s="467"/>
      <c r="F38" s="473" t="str">
        <f t="shared" ref="F38:F50" si="546">C38&amp;"-"&amp;D38&amp;"- Table"&amp;E38</f>
        <v>28/Sep-- Table</v>
      </c>
      <c r="G38" s="467">
        <f ca="1">IF(M8="",0,IF(AA8&gt;AB8,G8,H8))</f>
        <v>4056</v>
      </c>
      <c r="H38" s="467">
        <f ca="1">IF(M10="",0,IF(AA10&gt;AB10,G10,H10))</f>
        <v>2895</v>
      </c>
      <c r="I38" s="467" t="str">
        <f ca="1">IF(G38=0,0,VLOOKUP(G38,Inscripciones!$B$1:$I$464,2,FALSE))</f>
        <v>JOSEF ARIAS BRAVO</v>
      </c>
      <c r="J38" s="467" t="str">
        <f ca="1">IF(G38=0,0,VLOOKUP(G38,Inscripciones!$B$1:$L$364,3,FALSE))</f>
        <v>ESPARZA</v>
      </c>
      <c r="K38" s="467" t="str">
        <f ca="1">IF(I38=0,0,VLOOKUP(H38,Inscripciones!$B$1:$I$464,2,FALSE))</f>
        <v>ANDRES JOSE VEGA VALERIO</v>
      </c>
      <c r="L38" s="467" t="str">
        <f ca="1">IF(I38=0,0,VLOOKUP(H38,Inscripciones!$B$1:$L$364,3,FALSE))</f>
        <v>ALAJUELA - UCR</v>
      </c>
      <c r="M38" s="475">
        <v>3</v>
      </c>
      <c r="N38" s="467">
        <v>11</v>
      </c>
      <c r="O38" s="467">
        <v>5</v>
      </c>
      <c r="P38" s="467">
        <v>11</v>
      </c>
      <c r="Q38" s="467"/>
      <c r="R38" s="467"/>
      <c r="S38" s="467"/>
      <c r="T38" s="467"/>
      <c r="U38" s="467"/>
      <c r="V38" s="467"/>
      <c r="W38" s="467"/>
      <c r="X38" s="467"/>
      <c r="Y38" s="467"/>
      <c r="Z38" s="477"/>
      <c r="AA38" s="435">
        <f t="shared" ref="AA38" si="547">IF(M38+N38&lt;&gt;0,SUM(AF38:AL38),"")</f>
        <v>0</v>
      </c>
      <c r="AB38" s="435">
        <f t="shared" ref="AB38" si="548">IF(M38+N38&lt;&gt;0,SUM(AF39:AL39),"")</f>
        <v>2</v>
      </c>
      <c r="AC38" s="199" t="str">
        <f t="shared" ref="AC38" si="549">IF(AA38&gt;AB38,AD38&amp;"  "&amp;AE38,IF(AB38&gt;AA38,AD38&amp;"  "&amp;AE39,""))</f>
        <v>2 - 0  (3, 5)</v>
      </c>
      <c r="AD38" s="199" t="str">
        <f t="shared" ref="AD38" si="550">IF(AA38&gt;AB38,AA38&amp;" - "&amp;AB38,IF(AB38&gt;AA38,AB38&amp;" - "&amp;AA38,""))</f>
        <v>2 - 0</v>
      </c>
      <c r="AE38" s="199" t="str">
        <f t="shared" si="0"/>
        <v>(-3, -5)</v>
      </c>
      <c r="AF38" s="199">
        <f t="shared" ref="AF38" si="551">IF(M38&gt;N38,1,0)</f>
        <v>0</v>
      </c>
      <c r="AG38" s="199">
        <f t="shared" ref="AG38" si="552">IF(O38&gt;P38,1,0)</f>
        <v>0</v>
      </c>
      <c r="AH38" s="199">
        <f t="shared" ref="AH38" si="553">IF(Q38&gt;R38,1,0)</f>
        <v>0</v>
      </c>
      <c r="AI38" s="199">
        <f t="shared" ref="AI38" si="554">IF(S38&gt;T38,1,0)</f>
        <v>0</v>
      </c>
      <c r="AJ38" s="199">
        <f t="shared" ref="AJ38" si="555">IF(U38&gt;V38,1,0)</f>
        <v>0</v>
      </c>
      <c r="AK38" s="199">
        <f t="shared" ref="AK38" si="556">IF(W38&gt;X38,1,0)</f>
        <v>0</v>
      </c>
      <c r="AL38" s="199">
        <f t="shared" ref="AL38" si="557">IF(Y38&gt;Z38,1,0)</f>
        <v>0</v>
      </c>
      <c r="AM38" s="199">
        <f t="shared" ref="AM38" si="558">IF(M38&gt;N38,N38,IF(N38&gt;M38,-M38,""))</f>
        <v>-3</v>
      </c>
      <c r="AN38" s="199" t="str">
        <f t="shared" ref="AN38" si="559">IF(O38&gt;P38,", "&amp;P38,IF(P38&gt;O38,", "&amp;-O38,""))</f>
        <v>, -5</v>
      </c>
      <c r="AO38" s="199" t="str">
        <f t="shared" ref="AO38" si="560">IF(Q38&gt;R38,", "&amp;R38,IF(R38&gt;Q38,", "&amp;-Q38,""))</f>
        <v/>
      </c>
      <c r="AP38" s="199" t="str">
        <f t="shared" ref="AP38" si="561">IF(S38&gt;T38,", "&amp;T38,IF(T38&gt;S38,", "&amp;-S38,""))</f>
        <v/>
      </c>
      <c r="AQ38" s="199" t="str">
        <f t="shared" ref="AQ38" si="562">IF(U38&gt;V38,", "&amp;V38,IF(V38&gt;U38,", "&amp;-U38,""))</f>
        <v/>
      </c>
      <c r="AR38" s="199" t="str">
        <f t="shared" ref="AR38" si="563">IF(W38&gt;X38,", "&amp;X38,IF(X38&gt;W38,", "&amp;-W38,""))</f>
        <v/>
      </c>
      <c r="AS38" s="199" t="str">
        <f t="shared" ref="AS38" si="564">IF(Y38&gt;Z38,", "&amp;Z38,IF(Z38&gt;Y38,", "&amp;-Y38,""))</f>
        <v/>
      </c>
      <c r="AU38" s="206">
        <f>1+AU36</f>
        <v>18</v>
      </c>
      <c r="AV38" s="229">
        <f ca="1">VLOOKUP(AV37,$A$4:$L$83,8,FALSE)</f>
        <v>3696</v>
      </c>
      <c r="AW38" s="229" t="str">
        <f ca="1">IF(AV38=0,0,VLOOKUP(AV38,Inscripciones!$B$1:$I$464,2,FALSE))</f>
        <v>NICOLAS CECILIANO ESQUIVEL</v>
      </c>
      <c r="AX38" s="230" t="str">
        <f ca="1">IF(AV38=0,0,VLOOKUP(AV38,Inscripciones!$B$1:$L$364,3,FALSE))</f>
        <v>PÉREZ ZELEDÓN</v>
      </c>
      <c r="AY38" s="204"/>
      <c r="AZ38" s="204"/>
      <c r="BA38" s="231"/>
      <c r="BB38" s="210"/>
      <c r="BC38" s="211" t="str">
        <f>VLOOKUP(AY39,$A$4:$AD$83,29,FALSE)</f>
        <v>2 - 0  (5, 7)</v>
      </c>
      <c r="BD38" s="210"/>
      <c r="BE38" s="204"/>
      <c r="BJ38" s="235"/>
    </row>
    <row r="39" spans="1:80" s="202" customFormat="1" ht="12.75" x14ac:dyDescent="0.25">
      <c r="A39" s="440"/>
      <c r="B39" s="464"/>
      <c r="C39" s="466"/>
      <c r="D39" s="466"/>
      <c r="E39" s="468"/>
      <c r="F39" s="474"/>
      <c r="G39" s="468" t="s">
        <v>55</v>
      </c>
      <c r="H39" s="468" t="s">
        <v>55</v>
      </c>
      <c r="I39" s="468"/>
      <c r="J39" s="468"/>
      <c r="K39" s="468">
        <v>0</v>
      </c>
      <c r="L39" s="468">
        <v>0</v>
      </c>
      <c r="M39" s="476"/>
      <c r="N39" s="468"/>
      <c r="O39" s="468"/>
      <c r="P39" s="468"/>
      <c r="Q39" s="468"/>
      <c r="R39" s="468"/>
      <c r="S39" s="468"/>
      <c r="T39" s="468"/>
      <c r="U39" s="468"/>
      <c r="V39" s="468"/>
      <c r="W39" s="468"/>
      <c r="X39" s="468"/>
      <c r="Y39" s="468"/>
      <c r="Z39" s="478"/>
      <c r="AA39" s="435"/>
      <c r="AB39" s="435"/>
      <c r="AC39" s="199"/>
      <c r="AD39" s="199" t="str">
        <f t="shared" ref="AD39" si="565">IF(AA38&gt;AB38,AD38&amp;"  "&amp;AE38,IF(AB38&gt;AA38,AD38&amp;"  "&amp;AE39,""))</f>
        <v>2 - 0  (3, 5)</v>
      </c>
      <c r="AE39" s="199" t="str">
        <f t="shared" si="0"/>
        <v>(3, 5)</v>
      </c>
      <c r="AF39" s="199">
        <f t="shared" ref="AF39" si="566">IF(N38&gt;M38,1,0)</f>
        <v>1</v>
      </c>
      <c r="AG39" s="199">
        <f t="shared" ref="AG39" si="567">IF(P38&gt;O38,1,0)</f>
        <v>1</v>
      </c>
      <c r="AH39" s="199">
        <f t="shared" ref="AH39" si="568">IF(R38&gt;Q38,1,0)</f>
        <v>0</v>
      </c>
      <c r="AI39" s="199">
        <f t="shared" ref="AI39" si="569">IF(T38&gt;S38,1,0)</f>
        <v>0</v>
      </c>
      <c r="AJ39" s="199">
        <f t="shared" ref="AJ39" si="570">IF(V38&gt;U38,1,0)</f>
        <v>0</v>
      </c>
      <c r="AK39" s="199">
        <f t="shared" ref="AK39" si="571">IF(X38&gt;W38,1,0)</f>
        <v>0</v>
      </c>
      <c r="AL39" s="199">
        <f t="shared" ref="AL39" si="572">IF(Z38&gt;Y38,1,0)</f>
        <v>0</v>
      </c>
      <c r="AM39" s="199">
        <f t="shared" ref="AM39" si="573">IF(N38&gt;M38,M38,IF(M38&gt;N38,-N38,""))</f>
        <v>3</v>
      </c>
      <c r="AN39" s="199" t="str">
        <f t="shared" ref="AN39" si="574">IF(P38&gt;O38,", "&amp;O38,IF(O38&gt;P38,", "&amp;-P38,""))</f>
        <v>, 5</v>
      </c>
      <c r="AO39" s="199" t="str">
        <f t="shared" ref="AO39" si="575">IF(R38&gt;Q38,", "&amp;Q38,IF(Q38&gt;R38,", "&amp;-R38,""))</f>
        <v/>
      </c>
      <c r="AP39" s="199" t="str">
        <f t="shared" ref="AP39" si="576">IF(T38&gt;S38,", "&amp;S38,IF(S38&gt;T38,", "&amp;-T38,""))</f>
        <v/>
      </c>
      <c r="AQ39" s="199" t="str">
        <f t="shared" ref="AQ39" si="577">IF(V38&gt;U38,", "&amp;U38,IF(U38&gt;V38,", "&amp;-V38,""))</f>
        <v/>
      </c>
      <c r="AR39" s="199" t="str">
        <f t="shared" ref="AR39" si="578">IF(X38&gt;W38,", "&amp;W38,IF(W38&gt;X38,", "&amp;-X38,""))</f>
        <v/>
      </c>
      <c r="AS39" s="199" t="str">
        <f t="shared" ref="AS39" si="579">IF(Z38&gt;Y38,", "&amp;Y38,IF(Y38&gt;Z38,", "&amp;-Z38,""))</f>
        <v/>
      </c>
      <c r="AU39" s="206"/>
      <c r="AV39" s="204"/>
      <c r="AW39" s="204"/>
      <c r="AX39" s="232"/>
      <c r="AY39" s="218">
        <v>21</v>
      </c>
      <c r="AZ39" s="219" t="str">
        <f>VLOOKUP(AY39,$A$4:$L$83,6,FALSE)</f>
        <v>28/Sep-- Table</v>
      </c>
      <c r="BA39" s="233"/>
      <c r="BB39" s="207">
        <f ca="1">VLOOKUP(BB43,$A$4:$L$87,7,FALSE)</f>
        <v>3472</v>
      </c>
      <c r="BC39" s="208" t="str">
        <f ca="1">IF(BB39=0,0,VLOOKUP(BB39,Inscripciones!$B$1:$I$464,2,FALSE))</f>
        <v>JAYDRICK SHAMALL BAKER CRAWFORD</v>
      </c>
      <c r="BD39" s="209" t="str">
        <f ca="1">IF(BB39=0,0,VLOOKUP(BB39,Inscripciones!$B$1:$L$364,3,FALSE))</f>
        <v>ASERRÍ - UCR</v>
      </c>
      <c r="BE39" s="204"/>
      <c r="BJ39" s="235"/>
    </row>
    <row r="40" spans="1:80" s="202" customFormat="1" ht="12.75" x14ac:dyDescent="0.25">
      <c r="A40" s="440">
        <v>19</v>
      </c>
      <c r="B40" s="457" t="s">
        <v>121</v>
      </c>
      <c r="C40" s="459" t="s">
        <v>72</v>
      </c>
      <c r="D40" s="459"/>
      <c r="E40" s="455"/>
      <c r="F40" s="471" t="str">
        <f t="shared" si="512"/>
        <v>28/Sep-- Table</v>
      </c>
      <c r="G40" s="455">
        <f ca="1">IF(M12="",0,IF(AA12&gt;AB12,G12,H12))</f>
        <v>3153</v>
      </c>
      <c r="H40" s="455">
        <f ca="1">IF(M14="",0,IF(AA14&gt;AB14,G14,H14))</f>
        <v>3458</v>
      </c>
      <c r="I40" s="455" t="str">
        <f ca="1">IF(G40=0,0,VLOOKUP(G40,Inscripciones!$B$1:$I$464,2,FALSE))</f>
        <v>ARIEL IGNACIO BARTELS BARQUERO</v>
      </c>
      <c r="J40" s="455" t="str">
        <f ca="1">IF(G40=0,0,VLOOKUP(G40,Inscripciones!$B$1:$L$364,3,FALSE))</f>
        <v>PÉREZ ZELEDÓN - UNA</v>
      </c>
      <c r="K40" s="455" t="str">
        <f ca="1">IF(I40=0,0,VLOOKUP(H40,Inscripciones!$B$1:$I$464,2,FALSE))</f>
        <v>SANTIAGO ALVAREZ LONGHI</v>
      </c>
      <c r="L40" s="455" t="str">
        <f ca="1">IF(I40=0,0,VLOOKUP(H40,Inscripciones!$B$1:$L$364,3,FALSE))</f>
        <v>SANTO DOMINGO</v>
      </c>
      <c r="M40" s="469">
        <v>8</v>
      </c>
      <c r="N40" s="455">
        <v>11</v>
      </c>
      <c r="O40" s="455">
        <v>11</v>
      </c>
      <c r="P40" s="455">
        <v>6</v>
      </c>
      <c r="Q40" s="455">
        <v>10</v>
      </c>
      <c r="R40" s="455">
        <v>12</v>
      </c>
      <c r="S40" s="455"/>
      <c r="T40" s="455"/>
      <c r="U40" s="455"/>
      <c r="V40" s="455"/>
      <c r="W40" s="455"/>
      <c r="X40" s="455"/>
      <c r="Y40" s="455"/>
      <c r="Z40" s="461"/>
      <c r="AA40" s="435">
        <f t="shared" ref="AA40" si="580">IF(M40+N40&lt;&gt;0,SUM(AF40:AL40),"")</f>
        <v>1</v>
      </c>
      <c r="AB40" s="435">
        <f t="shared" ref="AB40" si="581">IF(M40+N40&lt;&gt;0,SUM(AF41:AL41),"")</f>
        <v>2</v>
      </c>
      <c r="AC40" s="199" t="str">
        <f t="shared" ref="AC40" si="582">IF(AA40&gt;AB40,AD40&amp;"  "&amp;AE40,IF(AB40&gt;AA40,AD40&amp;"  "&amp;AE41,""))</f>
        <v>2 - 1  (8, -6, 10)</v>
      </c>
      <c r="AD40" s="199" t="str">
        <f t="shared" ref="AD40" si="583">IF(AA40&gt;AB40,AA40&amp;" - "&amp;AB40,IF(AB40&gt;AA40,AB40&amp;" - "&amp;AA40,""))</f>
        <v>2 - 1</v>
      </c>
      <c r="AE40" s="199" t="str">
        <f t="shared" si="0"/>
        <v>(-8, 6, -10)</v>
      </c>
      <c r="AF40" s="199">
        <f t="shared" ref="AF40" si="584">IF(M40&gt;N40,1,0)</f>
        <v>0</v>
      </c>
      <c r="AG40" s="199">
        <f t="shared" ref="AG40" si="585">IF(O40&gt;P40,1,0)</f>
        <v>1</v>
      </c>
      <c r="AH40" s="199">
        <f t="shared" ref="AH40" si="586">IF(Q40&gt;R40,1,0)</f>
        <v>0</v>
      </c>
      <c r="AI40" s="199">
        <f t="shared" ref="AI40" si="587">IF(S40&gt;T40,1,0)</f>
        <v>0</v>
      </c>
      <c r="AJ40" s="199">
        <f t="shared" ref="AJ40" si="588">IF(U40&gt;V40,1,0)</f>
        <v>0</v>
      </c>
      <c r="AK40" s="199">
        <f t="shared" ref="AK40" si="589">IF(W40&gt;X40,1,0)</f>
        <v>0</v>
      </c>
      <c r="AL40" s="199">
        <f t="shared" ref="AL40" si="590">IF(Y40&gt;Z40,1,0)</f>
        <v>0</v>
      </c>
      <c r="AM40" s="199">
        <f t="shared" ref="AM40" si="591">IF(M40&gt;N40,N40,IF(N40&gt;M40,-M40,""))</f>
        <v>-8</v>
      </c>
      <c r="AN40" s="199" t="str">
        <f t="shared" ref="AN40" si="592">IF(O40&gt;P40,", "&amp;P40,IF(P40&gt;O40,", "&amp;-O40,""))</f>
        <v>, 6</v>
      </c>
      <c r="AO40" s="199" t="str">
        <f t="shared" ref="AO40" si="593">IF(Q40&gt;R40,", "&amp;R40,IF(R40&gt;Q40,", "&amp;-Q40,""))</f>
        <v>, -10</v>
      </c>
      <c r="AP40" s="199" t="str">
        <f t="shared" ref="AP40" si="594">IF(S40&gt;T40,", "&amp;T40,IF(T40&gt;S40,", "&amp;-S40,""))</f>
        <v/>
      </c>
      <c r="AQ40" s="199" t="str">
        <f t="shared" ref="AQ40" si="595">IF(U40&gt;V40,", "&amp;V40,IF(V40&gt;U40,", "&amp;-U40,""))</f>
        <v/>
      </c>
      <c r="AR40" s="199" t="str">
        <f t="shared" ref="AR40" si="596">IF(W40&gt;X40,", "&amp;X40,IF(X40&gt;W40,", "&amp;-W40,""))</f>
        <v/>
      </c>
      <c r="AS40" s="199" t="str">
        <f t="shared" ref="AS40" si="597">IF(Y40&gt;Z40,", "&amp;Z40,IF(Z40&gt;Y40,", "&amp;-Y40,""))</f>
        <v/>
      </c>
      <c r="AU40" s="206">
        <f>1+AU38</f>
        <v>19</v>
      </c>
      <c r="AV40" s="207">
        <f ca="1">VLOOKUP(AV41,$A$4:$L$83,7,FALSE)</f>
        <v>2847</v>
      </c>
      <c r="AW40" s="208" t="str">
        <f ca="1">IF(AV40=0,0,VLOOKUP(AV40,Inscripciones!$B$1:$I$464,2,FALSE))</f>
        <v>LUIS GAEL SILES LOBO</v>
      </c>
      <c r="AX40" s="209" t="str">
        <f ca="1">IF(AV40=0,0,VLOOKUP(AV40,Inscripciones!$B$1:$L$364,3,FALSE))</f>
        <v>ESPARZA</v>
      </c>
      <c r="AY40" s="234"/>
      <c r="AZ40" s="204"/>
      <c r="BA40" s="231"/>
      <c r="BB40" s="204"/>
      <c r="BC40" s="204"/>
      <c r="BD40" s="231"/>
      <c r="BE40" s="204"/>
      <c r="BJ40" s="235"/>
    </row>
    <row r="41" spans="1:80" s="202" customFormat="1" ht="12.75" x14ac:dyDescent="0.25">
      <c r="A41" s="440"/>
      <c r="B41" s="458"/>
      <c r="C41" s="460"/>
      <c r="D41" s="460"/>
      <c r="E41" s="456"/>
      <c r="F41" s="472"/>
      <c r="G41" s="456" t="s">
        <v>55</v>
      </c>
      <c r="H41" s="456" t="s">
        <v>55</v>
      </c>
      <c r="I41" s="456"/>
      <c r="J41" s="456"/>
      <c r="K41" s="456">
        <v>0</v>
      </c>
      <c r="L41" s="456">
        <v>0</v>
      </c>
      <c r="M41" s="470"/>
      <c r="N41" s="456"/>
      <c r="O41" s="456"/>
      <c r="P41" s="456"/>
      <c r="Q41" s="456"/>
      <c r="R41" s="456"/>
      <c r="S41" s="456"/>
      <c r="T41" s="456"/>
      <c r="U41" s="456"/>
      <c r="V41" s="456"/>
      <c r="W41" s="456"/>
      <c r="X41" s="456"/>
      <c r="Y41" s="456"/>
      <c r="Z41" s="462"/>
      <c r="AA41" s="435"/>
      <c r="AB41" s="435"/>
      <c r="AC41" s="199"/>
      <c r="AD41" s="199" t="str">
        <f t="shared" ref="AD41" si="598">IF(AA40&gt;AB40,AD40&amp;"  "&amp;AE40,IF(AB40&gt;AA40,AD40&amp;"  "&amp;AE41,""))</f>
        <v>2 - 1  (8, -6, 10)</v>
      </c>
      <c r="AE41" s="199" t="str">
        <f t="shared" si="0"/>
        <v>(8, -6, 10)</v>
      </c>
      <c r="AF41" s="199">
        <f t="shared" ref="AF41" si="599">IF(N40&gt;M40,1,0)</f>
        <v>1</v>
      </c>
      <c r="AG41" s="199">
        <f t="shared" ref="AG41" si="600">IF(P40&gt;O40,1,0)</f>
        <v>0</v>
      </c>
      <c r="AH41" s="199">
        <f t="shared" ref="AH41" si="601">IF(R40&gt;Q40,1,0)</f>
        <v>1</v>
      </c>
      <c r="AI41" s="199">
        <f t="shared" ref="AI41" si="602">IF(T40&gt;S40,1,0)</f>
        <v>0</v>
      </c>
      <c r="AJ41" s="199">
        <f t="shared" ref="AJ41" si="603">IF(V40&gt;U40,1,0)</f>
        <v>0</v>
      </c>
      <c r="AK41" s="199">
        <f t="shared" ref="AK41" si="604">IF(X40&gt;W40,1,0)</f>
        <v>0</v>
      </c>
      <c r="AL41" s="199">
        <f t="shared" ref="AL41" si="605">IF(Z40&gt;Y40,1,0)</f>
        <v>0</v>
      </c>
      <c r="AM41" s="199">
        <f t="shared" ref="AM41" si="606">IF(N40&gt;M40,M40,IF(M40&gt;N40,-N40,""))</f>
        <v>8</v>
      </c>
      <c r="AN41" s="199" t="str">
        <f t="shared" ref="AN41" si="607">IF(P40&gt;O40,", "&amp;O40,IF(O40&gt;P40,", "&amp;-P40,""))</f>
        <v>, -6</v>
      </c>
      <c r="AO41" s="199" t="str">
        <f t="shared" ref="AO41" si="608">IF(R40&gt;Q40,", "&amp;Q40,IF(Q40&gt;R40,", "&amp;-R40,""))</f>
        <v>, 10</v>
      </c>
      <c r="AP41" s="199" t="str">
        <f t="shared" ref="AP41" si="609">IF(T40&gt;S40,", "&amp;S40,IF(S40&gt;T40,", "&amp;-T40,""))</f>
        <v/>
      </c>
      <c r="AQ41" s="199" t="str">
        <f t="shared" ref="AQ41" si="610">IF(V40&gt;U40,", "&amp;U40,IF(U40&gt;V40,", "&amp;-V40,""))</f>
        <v/>
      </c>
      <c r="AR41" s="199" t="str">
        <f t="shared" ref="AR41" si="611">IF(X40&gt;W40,", "&amp;W40,IF(W40&gt;X40,", "&amp;-X40,""))</f>
        <v/>
      </c>
      <c r="AS41" s="199" t="str">
        <f t="shared" ref="AS41" si="612">IF(Z40&gt;Y40,", "&amp;Y40,IF(Y40&gt;Z40,", "&amp;-Z40,""))</f>
        <v/>
      </c>
      <c r="AU41" s="203"/>
      <c r="AV41" s="218">
        <v>10</v>
      </c>
      <c r="AW41" s="219" t="str">
        <f>VLOOKUP(AV41,$A$4:$L$83,6,FALSE)</f>
        <v>28/Sep-- Table</v>
      </c>
      <c r="AX41" s="220"/>
      <c r="AY41" s="229">
        <f ca="1">VLOOKUP(AY39,$A$4:$L$87,8,FALSE)</f>
        <v>4363</v>
      </c>
      <c r="AZ41" s="229" t="str">
        <f ca="1">IF(AY41=0,0,VLOOKUP(AY41,Inscripciones!$B$1:$I$464,2,FALSE))</f>
        <v>CESAR DAM BLANCO</v>
      </c>
      <c r="BA41" s="230" t="str">
        <f ca="1">IF(AY41=0,0,VLOOKUP(AY41,Inscripciones!$B$1:$L$364,3,FALSE))</f>
        <v>CCDR ALAJUELA</v>
      </c>
      <c r="BB41" s="204"/>
      <c r="BC41" s="204"/>
      <c r="BD41" s="231"/>
      <c r="BE41" s="204"/>
      <c r="BJ41" s="235"/>
    </row>
    <row r="42" spans="1:80" s="202" customFormat="1" ht="12.75" x14ac:dyDescent="0.25">
      <c r="A42" s="440">
        <v>20</v>
      </c>
      <c r="B42" s="463" t="s">
        <v>121</v>
      </c>
      <c r="C42" s="465" t="s">
        <v>72</v>
      </c>
      <c r="D42" s="465"/>
      <c r="E42" s="467"/>
      <c r="F42" s="473" t="str">
        <f t="shared" si="546"/>
        <v>28/Sep-- Table</v>
      </c>
      <c r="G42" s="467">
        <f ca="1">IF(M16="",0,IF(AA16&gt;AB16,G16,H16))</f>
        <v>3671</v>
      </c>
      <c r="H42" s="467">
        <f ca="1">IF(M18="",0,IF(AA18&gt;AB18,G18,H18))</f>
        <v>4034</v>
      </c>
      <c r="I42" s="467" t="str">
        <f ca="1">IF(G42=0,0,VLOOKUP(G42,Inscripciones!$B$1:$I$464,2,FALSE))</f>
        <v>NICOLAS OVARES CASTRO</v>
      </c>
      <c r="J42" s="467" t="str">
        <f ca="1">IF(G42=0,0,VLOOKUP(G42,Inscripciones!$B$1:$L$364,3,FALSE))</f>
        <v>SANTA ANA</v>
      </c>
      <c r="K42" s="467" t="str">
        <f ca="1">IF(I42=0,0,VLOOKUP(H42,Inscripciones!$B$1:$I$464,2,FALSE))</f>
        <v>IAN DAVID GARRO ALONSO</v>
      </c>
      <c r="L42" s="467" t="str">
        <f ca="1">IF(I42=0,0,VLOOKUP(H42,Inscripciones!$B$1:$L$364,3,FALSE))</f>
        <v>CCDR SAN JOSÉ</v>
      </c>
      <c r="M42" s="475">
        <v>5</v>
      </c>
      <c r="N42" s="467">
        <v>11</v>
      </c>
      <c r="O42" s="467">
        <v>11</v>
      </c>
      <c r="P42" s="467">
        <v>6</v>
      </c>
      <c r="Q42" s="467">
        <v>13</v>
      </c>
      <c r="R42" s="467">
        <v>11</v>
      </c>
      <c r="S42" s="467"/>
      <c r="T42" s="467"/>
      <c r="U42" s="467"/>
      <c r="V42" s="467"/>
      <c r="W42" s="467"/>
      <c r="X42" s="467"/>
      <c r="Y42" s="467"/>
      <c r="Z42" s="477"/>
      <c r="AA42" s="435">
        <f t="shared" ref="AA42" si="613">IF(M42+N42&lt;&gt;0,SUM(AF42:AL42),"")</f>
        <v>2</v>
      </c>
      <c r="AB42" s="435">
        <f t="shared" ref="AB42" si="614">IF(M42+N42&lt;&gt;0,SUM(AF43:AL43),"")</f>
        <v>1</v>
      </c>
      <c r="AC42" s="199" t="str">
        <f t="shared" ref="AC42" si="615">IF(AA42&gt;AB42,AD42&amp;"  "&amp;AE42,IF(AB42&gt;AA42,AD42&amp;"  "&amp;AE43,""))</f>
        <v>2 - 1  (-5, 6, 11)</v>
      </c>
      <c r="AD42" s="199" t="str">
        <f t="shared" ref="AD42" si="616">IF(AA42&gt;AB42,AA42&amp;" - "&amp;AB42,IF(AB42&gt;AA42,AB42&amp;" - "&amp;AA42,""))</f>
        <v>2 - 1</v>
      </c>
      <c r="AE42" s="199" t="str">
        <f t="shared" si="0"/>
        <v>(-5, 6, 11)</v>
      </c>
      <c r="AF42" s="199">
        <f t="shared" ref="AF42" si="617">IF(M42&gt;N42,1,0)</f>
        <v>0</v>
      </c>
      <c r="AG42" s="199">
        <f t="shared" ref="AG42" si="618">IF(O42&gt;P42,1,0)</f>
        <v>1</v>
      </c>
      <c r="AH42" s="199">
        <f t="shared" ref="AH42" si="619">IF(Q42&gt;R42,1,0)</f>
        <v>1</v>
      </c>
      <c r="AI42" s="199">
        <f t="shared" ref="AI42" si="620">IF(S42&gt;T42,1,0)</f>
        <v>0</v>
      </c>
      <c r="AJ42" s="199">
        <f t="shared" ref="AJ42" si="621">IF(U42&gt;V42,1,0)</f>
        <v>0</v>
      </c>
      <c r="AK42" s="199">
        <f t="shared" ref="AK42" si="622">IF(W42&gt;X42,1,0)</f>
        <v>0</v>
      </c>
      <c r="AL42" s="199">
        <f t="shared" ref="AL42" si="623">IF(Y42&gt;Z42,1,0)</f>
        <v>0</v>
      </c>
      <c r="AM42" s="199">
        <f t="shared" ref="AM42" si="624">IF(M42&gt;N42,N42,IF(N42&gt;M42,-M42,""))</f>
        <v>-5</v>
      </c>
      <c r="AN42" s="199" t="str">
        <f t="shared" ref="AN42" si="625">IF(O42&gt;P42,", "&amp;P42,IF(P42&gt;O42,", "&amp;-O42,""))</f>
        <v>, 6</v>
      </c>
      <c r="AO42" s="199" t="str">
        <f t="shared" ref="AO42" si="626">IF(Q42&gt;R42,", "&amp;R42,IF(R42&gt;Q42,", "&amp;-Q42,""))</f>
        <v>, 11</v>
      </c>
      <c r="AP42" s="199" t="str">
        <f t="shared" ref="AP42" si="627">IF(S42&gt;T42,", "&amp;T42,IF(T42&gt;S42,", "&amp;-S42,""))</f>
        <v/>
      </c>
      <c r="AQ42" s="199" t="str">
        <f t="shared" ref="AQ42" si="628">IF(U42&gt;V42,", "&amp;V42,IF(V42&gt;U42,", "&amp;-U42,""))</f>
        <v/>
      </c>
      <c r="AR42" s="199" t="str">
        <f t="shared" ref="AR42" si="629">IF(W42&gt;X42,", "&amp;X42,IF(X42&gt;W42,", "&amp;-W42,""))</f>
        <v/>
      </c>
      <c r="AS42" s="199" t="str">
        <f t="shared" ref="AS42" si="630">IF(Y42&gt;Z42,", "&amp;Z42,IF(Z42&gt;Y42,", "&amp;-Y42,""))</f>
        <v/>
      </c>
      <c r="AU42" s="206">
        <f>1+AU40</f>
        <v>20</v>
      </c>
      <c r="AV42" s="229">
        <f ca="1">VLOOKUP(AV41,$A$4:$L$83,8,FALSE)</f>
        <v>4363</v>
      </c>
      <c r="AW42" s="229" t="str">
        <f ca="1">IF(AV42=0,0,VLOOKUP(AV42,Inscripciones!$B$1:$I$464,2,FALSE))</f>
        <v>CESAR DAM BLANCO</v>
      </c>
      <c r="AX42" s="230" t="str">
        <f ca="1">IF(AV42=0,0,VLOOKUP(AV42,Inscripciones!$B$1:$L$364,3,FALSE))</f>
        <v>CCDR ALAJUELA</v>
      </c>
      <c r="AY42" s="210"/>
      <c r="AZ42" s="211" t="str">
        <f>VLOOKUP(AV41,$A$4:$AD$87,29,FALSE)</f>
        <v>2 - 1  (11, -9, 9)</v>
      </c>
      <c r="BA42" s="210"/>
      <c r="BB42" s="204"/>
      <c r="BC42" s="204"/>
      <c r="BD42" s="231"/>
      <c r="BE42" s="210"/>
      <c r="BF42" s="211" t="str">
        <f>VLOOKUP(BB43,$A$4:$AD$83,29,FALSE)</f>
        <v>2 - 0  (6, 2)</v>
      </c>
      <c r="BG42" s="210"/>
      <c r="BJ42" s="235"/>
    </row>
    <row r="43" spans="1:80" s="202" customFormat="1" ht="12.75" x14ac:dyDescent="0.25">
      <c r="A43" s="440"/>
      <c r="B43" s="464"/>
      <c r="C43" s="466"/>
      <c r="D43" s="466"/>
      <c r="E43" s="468"/>
      <c r="F43" s="474"/>
      <c r="G43" s="468" t="s">
        <v>55</v>
      </c>
      <c r="H43" s="468" t="s">
        <v>55</v>
      </c>
      <c r="I43" s="468"/>
      <c r="J43" s="468"/>
      <c r="K43" s="468">
        <v>0</v>
      </c>
      <c r="L43" s="468">
        <v>0</v>
      </c>
      <c r="M43" s="476"/>
      <c r="N43" s="468"/>
      <c r="O43" s="468"/>
      <c r="P43" s="468"/>
      <c r="Q43" s="468"/>
      <c r="R43" s="468"/>
      <c r="S43" s="468"/>
      <c r="T43" s="468"/>
      <c r="U43" s="468"/>
      <c r="V43" s="468"/>
      <c r="W43" s="468"/>
      <c r="X43" s="468"/>
      <c r="Y43" s="468"/>
      <c r="Z43" s="478"/>
      <c r="AA43" s="435"/>
      <c r="AB43" s="435"/>
      <c r="AC43" s="199"/>
      <c r="AD43" s="199" t="str">
        <f t="shared" ref="AD43" si="631">IF(AA42&gt;AB42,AD42&amp;"  "&amp;AE42,IF(AB42&gt;AA42,AD42&amp;"  "&amp;AE43,""))</f>
        <v>2 - 1  (-5, 6, 11)</v>
      </c>
      <c r="AE43" s="199" t="str">
        <f t="shared" si="0"/>
        <v>(5, -6, -11)</v>
      </c>
      <c r="AF43" s="199">
        <f t="shared" ref="AF43" si="632">IF(N42&gt;M42,1,0)</f>
        <v>1</v>
      </c>
      <c r="AG43" s="199">
        <f t="shared" ref="AG43" si="633">IF(P42&gt;O42,1,0)</f>
        <v>0</v>
      </c>
      <c r="AH43" s="199">
        <f t="shared" ref="AH43" si="634">IF(R42&gt;Q42,1,0)</f>
        <v>0</v>
      </c>
      <c r="AI43" s="199">
        <f t="shared" ref="AI43" si="635">IF(T42&gt;S42,1,0)</f>
        <v>0</v>
      </c>
      <c r="AJ43" s="199">
        <f t="shared" ref="AJ43" si="636">IF(V42&gt;U42,1,0)</f>
        <v>0</v>
      </c>
      <c r="AK43" s="199">
        <f t="shared" ref="AK43" si="637">IF(X42&gt;W42,1,0)</f>
        <v>0</v>
      </c>
      <c r="AL43" s="199">
        <f t="shared" ref="AL43" si="638">IF(Z42&gt;Y42,1,0)</f>
        <v>0</v>
      </c>
      <c r="AM43" s="199">
        <f t="shared" ref="AM43" si="639">IF(N42&gt;M42,M42,IF(M42&gt;N42,-N42,""))</f>
        <v>5</v>
      </c>
      <c r="AN43" s="199" t="str">
        <f t="shared" ref="AN43" si="640">IF(P42&gt;O42,", "&amp;O42,IF(O42&gt;P42,", "&amp;-P42,""))</f>
        <v>, -6</v>
      </c>
      <c r="AO43" s="199" t="str">
        <f t="shared" ref="AO43" si="641">IF(R42&gt;Q42,", "&amp;Q42,IF(Q42&gt;R42,", "&amp;-R42,""))</f>
        <v>, -11</v>
      </c>
      <c r="AP43" s="199" t="str">
        <f t="shared" ref="AP43" si="642">IF(T42&gt;S42,", "&amp;S42,IF(S42&gt;T42,", "&amp;-T42,""))</f>
        <v/>
      </c>
      <c r="AQ43" s="199" t="str">
        <f t="shared" ref="AQ43" si="643">IF(V42&gt;U42,", "&amp;U42,IF(U42&gt;V42,", "&amp;-V42,""))</f>
        <v/>
      </c>
      <c r="AR43" s="199" t="str">
        <f t="shared" ref="AR43" si="644">IF(X42&gt;W42,", "&amp;W42,IF(W42&gt;X42,", "&amp;-X42,""))</f>
        <v/>
      </c>
      <c r="AS43" s="199" t="str">
        <f t="shared" ref="AS43" si="645">IF(Z42&gt;Y42,", "&amp;Y42,IF(Y42&gt;Z42,", "&amp;-Z42,""))</f>
        <v/>
      </c>
      <c r="AU43" s="203"/>
      <c r="AV43" s="204"/>
      <c r="AW43" s="204"/>
      <c r="AX43" s="232"/>
      <c r="AY43" s="204"/>
      <c r="AZ43" s="204"/>
      <c r="BA43" s="204"/>
      <c r="BB43" s="218">
        <v>27</v>
      </c>
      <c r="BC43" s="219" t="str">
        <f>VLOOKUP(BB43,$A$4:$L$83,6,FALSE)</f>
        <v>28/Sep-- Table</v>
      </c>
      <c r="BD43" s="231"/>
      <c r="BE43" s="207">
        <f ca="1">VLOOKUP(BE51,$A$4:$L$87,7,FALSE)</f>
        <v>3472</v>
      </c>
      <c r="BF43" s="208" t="str">
        <f ca="1">IF(BE43=0,0,VLOOKUP(BE43,Inscripciones!$B$1:$I$464,2,FALSE))</f>
        <v>JAYDRICK SHAMALL BAKER CRAWFORD</v>
      </c>
      <c r="BG43" s="209" t="str">
        <f ca="1">IF(BE43=0,0,VLOOKUP(BE43,Inscripciones!$B$1:$L$364,3,FALSE))</f>
        <v>ASERRÍ - UCR</v>
      </c>
      <c r="BJ43" s="235"/>
    </row>
    <row r="44" spans="1:80" s="202" customFormat="1" ht="12.75" x14ac:dyDescent="0.25">
      <c r="A44" s="440">
        <v>21</v>
      </c>
      <c r="B44" s="457" t="s">
        <v>121</v>
      </c>
      <c r="C44" s="459" t="s">
        <v>72</v>
      </c>
      <c r="D44" s="459"/>
      <c r="E44" s="455"/>
      <c r="F44" s="471" t="str">
        <f t="shared" si="512"/>
        <v>28/Sep-- Table</v>
      </c>
      <c r="G44" s="455">
        <f ca="1">IF(M20="",0,IF(AA20&gt;AB20,G20,H20))</f>
        <v>3472</v>
      </c>
      <c r="H44" s="455">
        <f ca="1">IF(M22="",0,IF(AA22&gt;AB22,G22,H22))</f>
        <v>4363</v>
      </c>
      <c r="I44" s="455" t="str">
        <f ca="1">IF(G44=0,0,VLOOKUP(G44,Inscripciones!$B$1:$I$464,2,FALSE))</f>
        <v>JAYDRICK SHAMALL BAKER CRAWFORD</v>
      </c>
      <c r="J44" s="455" t="str">
        <f ca="1">IF(G44=0,0,VLOOKUP(G44,Inscripciones!$B$1:$L$364,3,FALSE))</f>
        <v>ASERRÍ - UCR</v>
      </c>
      <c r="K44" s="455" t="str">
        <f ca="1">IF(I44=0,0,VLOOKUP(H44,Inscripciones!$B$1:$I$464,2,FALSE))</f>
        <v>CESAR DAM BLANCO</v>
      </c>
      <c r="L44" s="455" t="str">
        <f ca="1">IF(I44=0,0,VLOOKUP(H44,Inscripciones!$B$1:$L$364,3,FALSE))</f>
        <v>CCDR ALAJUELA</v>
      </c>
      <c r="M44" s="469">
        <v>11</v>
      </c>
      <c r="N44" s="455">
        <v>5</v>
      </c>
      <c r="O44" s="455">
        <v>11</v>
      </c>
      <c r="P44" s="455">
        <v>7</v>
      </c>
      <c r="Q44" s="455"/>
      <c r="R44" s="455"/>
      <c r="S44" s="455"/>
      <c r="T44" s="455"/>
      <c r="U44" s="455"/>
      <c r="V44" s="455"/>
      <c r="W44" s="455"/>
      <c r="X44" s="455"/>
      <c r="Y44" s="455"/>
      <c r="Z44" s="461"/>
      <c r="AA44" s="435">
        <f t="shared" ref="AA44" si="646">IF(M44+N44&lt;&gt;0,SUM(AF44:AL44),"")</f>
        <v>2</v>
      </c>
      <c r="AB44" s="435">
        <f t="shared" ref="AB44" si="647">IF(M44+N44&lt;&gt;0,SUM(AF45:AL45),"")</f>
        <v>0</v>
      </c>
      <c r="AC44" s="199" t="str">
        <f t="shared" ref="AC44" si="648">IF(AA44&gt;AB44,AD44&amp;"  "&amp;AE44,IF(AB44&gt;AA44,AD44&amp;"  "&amp;AE45,""))</f>
        <v>2 - 0  (5, 7)</v>
      </c>
      <c r="AD44" s="199" t="str">
        <f t="shared" ref="AD44" si="649">IF(AA44&gt;AB44,AA44&amp;" - "&amp;AB44,IF(AB44&gt;AA44,AB44&amp;" - "&amp;AA44,""))</f>
        <v>2 - 0</v>
      </c>
      <c r="AE44" s="199" t="str">
        <f t="shared" si="0"/>
        <v>(5, 7)</v>
      </c>
      <c r="AF44" s="199">
        <f t="shared" ref="AF44" si="650">IF(M44&gt;N44,1,0)</f>
        <v>1</v>
      </c>
      <c r="AG44" s="199">
        <f t="shared" ref="AG44" si="651">IF(O44&gt;P44,1,0)</f>
        <v>1</v>
      </c>
      <c r="AH44" s="199">
        <f t="shared" ref="AH44" si="652">IF(Q44&gt;R44,1,0)</f>
        <v>0</v>
      </c>
      <c r="AI44" s="199">
        <f t="shared" ref="AI44" si="653">IF(S44&gt;T44,1,0)</f>
        <v>0</v>
      </c>
      <c r="AJ44" s="199">
        <f t="shared" ref="AJ44" si="654">IF(U44&gt;V44,1,0)</f>
        <v>0</v>
      </c>
      <c r="AK44" s="199">
        <f t="shared" ref="AK44" si="655">IF(W44&gt;X44,1,0)</f>
        <v>0</v>
      </c>
      <c r="AL44" s="199">
        <f t="shared" ref="AL44" si="656">IF(Y44&gt;Z44,1,0)</f>
        <v>0</v>
      </c>
      <c r="AM44" s="199">
        <f t="shared" ref="AM44" si="657">IF(M44&gt;N44,N44,IF(N44&gt;M44,-M44,""))</f>
        <v>5</v>
      </c>
      <c r="AN44" s="199" t="str">
        <f t="shared" ref="AN44" si="658">IF(O44&gt;P44,", "&amp;P44,IF(P44&gt;O44,", "&amp;-O44,""))</f>
        <v>, 7</v>
      </c>
      <c r="AO44" s="199" t="str">
        <f t="shared" ref="AO44" si="659">IF(Q44&gt;R44,", "&amp;R44,IF(R44&gt;Q44,", "&amp;-Q44,""))</f>
        <v/>
      </c>
      <c r="AP44" s="199" t="str">
        <f t="shared" ref="AP44" si="660">IF(S44&gt;T44,", "&amp;T44,IF(T44&gt;S44,", "&amp;-S44,""))</f>
        <v/>
      </c>
      <c r="AQ44" s="199" t="str">
        <f t="shared" ref="AQ44" si="661">IF(U44&gt;V44,", "&amp;V44,IF(V44&gt;U44,", "&amp;-U44,""))</f>
        <v/>
      </c>
      <c r="AR44" s="199" t="str">
        <f t="shared" ref="AR44" si="662">IF(W44&gt;X44,", "&amp;X44,IF(X44&gt;W44,", "&amp;-W44,""))</f>
        <v/>
      </c>
      <c r="AS44" s="199" t="str">
        <f t="shared" ref="AS44" si="663">IF(Y44&gt;Z44,", "&amp;Z44,IF(Z44&gt;Y44,", "&amp;-Y44,""))</f>
        <v/>
      </c>
      <c r="AU44" s="206">
        <f>1+AU42</f>
        <v>21</v>
      </c>
      <c r="AV44" s="207">
        <f ca="1">VLOOKUP(AV45,$A$4:$L$83,7,FALSE)</f>
        <v>2368</v>
      </c>
      <c r="AW44" s="208" t="str">
        <f ca="1">IF(AV44=0,0,VLOOKUP(AV44,Inscripciones!$B$1:$I$464,2,FALSE))</f>
        <v>EMANUEL RIVERA TORRES</v>
      </c>
      <c r="AX44" s="209" t="str">
        <f ca="1">IF(AV44=0,0,VLOOKUP(AV44,Inscripciones!$B$1:$L$364,3,FALSE))</f>
        <v>ASERRÍ</v>
      </c>
      <c r="AY44" s="210"/>
      <c r="AZ44" s="211" t="str">
        <f>VLOOKUP(AV45,$A$4:$AD$83,29,FALSE)</f>
        <v>2 - 0  (6, 7)</v>
      </c>
      <c r="BA44" s="210"/>
      <c r="BB44" s="204"/>
      <c r="BC44" s="204"/>
      <c r="BD44" s="231"/>
      <c r="BE44" s="204"/>
      <c r="BG44" s="235"/>
      <c r="BJ44" s="235"/>
    </row>
    <row r="45" spans="1:80" s="202" customFormat="1" ht="12.75" x14ac:dyDescent="0.25">
      <c r="A45" s="440"/>
      <c r="B45" s="458"/>
      <c r="C45" s="460"/>
      <c r="D45" s="460"/>
      <c r="E45" s="456"/>
      <c r="F45" s="472"/>
      <c r="G45" s="456" t="s">
        <v>55</v>
      </c>
      <c r="H45" s="456" t="s">
        <v>55</v>
      </c>
      <c r="I45" s="456"/>
      <c r="J45" s="456"/>
      <c r="K45" s="456">
        <v>0</v>
      </c>
      <c r="L45" s="456">
        <v>0</v>
      </c>
      <c r="M45" s="470"/>
      <c r="N45" s="456"/>
      <c r="O45" s="456"/>
      <c r="P45" s="456"/>
      <c r="Q45" s="456"/>
      <c r="R45" s="456"/>
      <c r="S45" s="456"/>
      <c r="T45" s="456"/>
      <c r="U45" s="456"/>
      <c r="V45" s="456"/>
      <c r="W45" s="456"/>
      <c r="X45" s="456"/>
      <c r="Y45" s="456"/>
      <c r="Z45" s="462"/>
      <c r="AA45" s="435"/>
      <c r="AB45" s="435"/>
      <c r="AC45" s="199"/>
      <c r="AD45" s="199" t="str">
        <f t="shared" ref="AD45" si="664">IF(AA44&gt;AB44,AD44&amp;"  "&amp;AE44,IF(AB44&gt;AA44,AD44&amp;"  "&amp;AE45,""))</f>
        <v>2 - 0  (5, 7)</v>
      </c>
      <c r="AE45" s="199" t="str">
        <f t="shared" si="0"/>
        <v>(-5, -7)</v>
      </c>
      <c r="AF45" s="199">
        <f t="shared" ref="AF45" si="665">IF(N44&gt;M44,1,0)</f>
        <v>0</v>
      </c>
      <c r="AG45" s="199">
        <f t="shared" ref="AG45" si="666">IF(P44&gt;O44,1,0)</f>
        <v>0</v>
      </c>
      <c r="AH45" s="199">
        <f t="shared" ref="AH45" si="667">IF(R44&gt;Q44,1,0)</f>
        <v>0</v>
      </c>
      <c r="AI45" s="199">
        <f t="shared" ref="AI45" si="668">IF(T44&gt;S44,1,0)</f>
        <v>0</v>
      </c>
      <c r="AJ45" s="199">
        <f t="shared" ref="AJ45" si="669">IF(V44&gt;U44,1,0)</f>
        <v>0</v>
      </c>
      <c r="AK45" s="199">
        <f t="shared" ref="AK45" si="670">IF(X44&gt;W44,1,0)</f>
        <v>0</v>
      </c>
      <c r="AL45" s="199">
        <f t="shared" ref="AL45" si="671">IF(Z44&gt;Y44,1,0)</f>
        <v>0</v>
      </c>
      <c r="AM45" s="199">
        <f t="shared" ref="AM45" si="672">IF(N44&gt;M44,M44,IF(M44&gt;N44,-N44,""))</f>
        <v>-5</v>
      </c>
      <c r="AN45" s="199" t="str">
        <f t="shared" ref="AN45" si="673">IF(P44&gt;O44,", "&amp;O44,IF(O44&gt;P44,", "&amp;-P44,""))</f>
        <v>, -7</v>
      </c>
      <c r="AO45" s="199" t="str">
        <f t="shared" ref="AO45" si="674">IF(R44&gt;Q44,", "&amp;Q44,IF(Q44&gt;R44,", "&amp;-R44,""))</f>
        <v/>
      </c>
      <c r="AP45" s="199" t="str">
        <f t="shared" ref="AP45" si="675">IF(T44&gt;S44,", "&amp;S44,IF(S44&gt;T44,", "&amp;-T44,""))</f>
        <v/>
      </c>
      <c r="AQ45" s="199" t="str">
        <f t="shared" ref="AQ45" si="676">IF(V44&gt;U44,", "&amp;U44,IF(U44&gt;V44,", "&amp;-V44,""))</f>
        <v/>
      </c>
      <c r="AR45" s="199" t="str">
        <f t="shared" ref="AR45" si="677">IF(X44&gt;W44,", "&amp;W44,IF(W44&gt;X44,", "&amp;-X44,""))</f>
        <v/>
      </c>
      <c r="AS45" s="199" t="str">
        <f t="shared" ref="AS45" si="678">IF(Z44&gt;Y44,", "&amp;Y44,IF(Y44&gt;Z44,", "&amp;-Z44,""))</f>
        <v/>
      </c>
      <c r="AU45" s="203"/>
      <c r="AV45" s="218">
        <v>11</v>
      </c>
      <c r="AW45" s="219" t="str">
        <f>VLOOKUP(AV45,$A$4:$L$83,6,FALSE)</f>
        <v>28/Sep-- Table</v>
      </c>
      <c r="AX45" s="220"/>
      <c r="AY45" s="207">
        <f ca="1">VLOOKUP(AY47,$A$4:$L$87,7,FALSE)</f>
        <v>2368</v>
      </c>
      <c r="AZ45" s="208" t="str">
        <f ca="1">IF(AY45=0,0,VLOOKUP(AY45,Inscripciones!$B$1:$I$464,2,FALSE))</f>
        <v>EMANUEL RIVERA TORRES</v>
      </c>
      <c r="BA45" s="209" t="str">
        <f ca="1">IF(AY45=0,0,VLOOKUP(AY45,Inscripciones!$B$1:$L$364,3,FALSE))</f>
        <v>ASERRÍ</v>
      </c>
      <c r="BB45" s="204"/>
      <c r="BC45" s="204"/>
      <c r="BD45" s="231"/>
      <c r="BE45" s="204"/>
      <c r="BG45" s="235"/>
      <c r="BJ45" s="235"/>
    </row>
    <row r="46" spans="1:80" s="202" customFormat="1" ht="12.75" x14ac:dyDescent="0.25">
      <c r="A46" s="440">
        <v>22</v>
      </c>
      <c r="B46" s="463" t="s">
        <v>121</v>
      </c>
      <c r="C46" s="465" t="s">
        <v>72</v>
      </c>
      <c r="D46" s="465"/>
      <c r="E46" s="467"/>
      <c r="F46" s="473" t="str">
        <f t="shared" si="546"/>
        <v>28/Sep-- Table</v>
      </c>
      <c r="G46" s="467">
        <f ca="1">IF(M24="",0,IF(AA24&gt;AB24,G24,H24))</f>
        <v>2368</v>
      </c>
      <c r="H46" s="467">
        <f ca="1">IF(M26="",0,IF(AA26&gt;AB26,G26,H26))</f>
        <v>4002</v>
      </c>
      <c r="I46" s="467" t="str">
        <f ca="1">IF(G46=0,0,VLOOKUP(G46,Inscripciones!$B$1:$I$464,2,FALSE))</f>
        <v>EMANUEL RIVERA TORRES</v>
      </c>
      <c r="J46" s="467" t="str">
        <f ca="1">IF(G46=0,0,VLOOKUP(G46,Inscripciones!$B$1:$L$364,3,FALSE))</f>
        <v>ASERRÍ</v>
      </c>
      <c r="K46" s="467" t="str">
        <f ca="1">IF(I46=0,0,VLOOKUP(H46,Inscripciones!$B$1:$I$464,2,FALSE))</f>
        <v>ISMAEL CÁRDENAS ACOSTA</v>
      </c>
      <c r="L46" s="467" t="str">
        <f ca="1">IF(I46=0,0,VLOOKUP(H46,Inscripciones!$B$1:$L$364,3,FALSE))</f>
        <v>CCDR SAN JOSÉ</v>
      </c>
      <c r="M46" s="475">
        <v>10</v>
      </c>
      <c r="N46" s="467">
        <v>12</v>
      </c>
      <c r="O46" s="467">
        <v>6</v>
      </c>
      <c r="P46" s="467">
        <v>11</v>
      </c>
      <c r="Q46" s="467"/>
      <c r="R46" s="467"/>
      <c r="S46" s="467"/>
      <c r="T46" s="467"/>
      <c r="U46" s="467"/>
      <c r="V46" s="467"/>
      <c r="W46" s="467"/>
      <c r="X46" s="467"/>
      <c r="Y46" s="467"/>
      <c r="Z46" s="477"/>
      <c r="AA46" s="435">
        <f t="shared" ref="AA46" si="679">IF(M46+N46&lt;&gt;0,SUM(AF46:AL46),"")</f>
        <v>0</v>
      </c>
      <c r="AB46" s="435">
        <f t="shared" ref="AB46" si="680">IF(M46+N46&lt;&gt;0,SUM(AF47:AL47),"")</f>
        <v>2</v>
      </c>
      <c r="AC46" s="199" t="str">
        <f t="shared" ref="AC46" si="681">IF(AA46&gt;AB46,AD46&amp;"  "&amp;AE46,IF(AB46&gt;AA46,AD46&amp;"  "&amp;AE47,""))</f>
        <v>2 - 0  (10, 6)</v>
      </c>
      <c r="AD46" s="199" t="str">
        <f t="shared" ref="AD46" si="682">IF(AA46&gt;AB46,AA46&amp;" - "&amp;AB46,IF(AB46&gt;AA46,AB46&amp;" - "&amp;AA46,""))</f>
        <v>2 - 0</v>
      </c>
      <c r="AE46" s="199" t="str">
        <f t="shared" si="0"/>
        <v>(-10, -6)</v>
      </c>
      <c r="AF46" s="199">
        <f t="shared" ref="AF46" si="683">IF(M46&gt;N46,1,0)</f>
        <v>0</v>
      </c>
      <c r="AG46" s="199">
        <f t="shared" ref="AG46" si="684">IF(O46&gt;P46,1,0)</f>
        <v>0</v>
      </c>
      <c r="AH46" s="199">
        <f t="shared" ref="AH46" si="685">IF(Q46&gt;R46,1,0)</f>
        <v>0</v>
      </c>
      <c r="AI46" s="199">
        <f t="shared" ref="AI46" si="686">IF(S46&gt;T46,1,0)</f>
        <v>0</v>
      </c>
      <c r="AJ46" s="199">
        <f t="shared" ref="AJ46" si="687">IF(U46&gt;V46,1,0)</f>
        <v>0</v>
      </c>
      <c r="AK46" s="199">
        <f t="shared" ref="AK46" si="688">IF(W46&gt;X46,1,0)</f>
        <v>0</v>
      </c>
      <c r="AL46" s="199">
        <f t="shared" ref="AL46" si="689">IF(Y46&gt;Z46,1,0)</f>
        <v>0</v>
      </c>
      <c r="AM46" s="199">
        <f t="shared" ref="AM46" si="690">IF(M46&gt;N46,N46,IF(N46&gt;M46,-M46,""))</f>
        <v>-10</v>
      </c>
      <c r="AN46" s="199" t="str">
        <f t="shared" ref="AN46" si="691">IF(O46&gt;P46,", "&amp;P46,IF(P46&gt;O46,", "&amp;-O46,""))</f>
        <v>, -6</v>
      </c>
      <c r="AO46" s="199" t="str">
        <f t="shared" ref="AO46" si="692">IF(Q46&gt;R46,", "&amp;R46,IF(R46&gt;Q46,", "&amp;-Q46,""))</f>
        <v/>
      </c>
      <c r="AP46" s="199" t="str">
        <f t="shared" ref="AP46" si="693">IF(S46&gt;T46,", "&amp;T46,IF(T46&gt;S46,", "&amp;-S46,""))</f>
        <v/>
      </c>
      <c r="AQ46" s="199" t="str">
        <f t="shared" ref="AQ46" si="694">IF(U46&gt;V46,", "&amp;V46,IF(V46&gt;U46,", "&amp;-U46,""))</f>
        <v/>
      </c>
      <c r="AR46" s="199" t="str">
        <f t="shared" ref="AR46" si="695">IF(W46&gt;X46,", "&amp;X46,IF(X46&gt;W46,", "&amp;-W46,""))</f>
        <v/>
      </c>
      <c r="AS46" s="199" t="str">
        <f t="shared" ref="AS46" si="696">IF(Y46&gt;Z46,", "&amp;Z46,IF(Z46&gt;Y46,", "&amp;-Y46,""))</f>
        <v/>
      </c>
      <c r="AU46" s="206">
        <f>1+AU44</f>
        <v>22</v>
      </c>
      <c r="AV46" s="229">
        <f ca="1">VLOOKUP(AV45,$A$4:$L$83,8,FALSE)</f>
        <v>3309</v>
      </c>
      <c r="AW46" s="229" t="str">
        <f ca="1">IF(AV46=0,0,VLOOKUP(AV46,Inscripciones!$B$1:$I$464,2,FALSE))</f>
        <v>SEBASTIAN MASIS MURILLO</v>
      </c>
      <c r="AX46" s="230" t="str">
        <f ca="1">IF(AV46=0,0,VLOOKUP(AV46,Inscripciones!$B$1:$L$364,3,FALSE))</f>
        <v>GUARCO</v>
      </c>
      <c r="AY46" s="204"/>
      <c r="AZ46" s="204"/>
      <c r="BA46" s="231"/>
      <c r="BB46" s="204"/>
      <c r="BC46" s="204"/>
      <c r="BD46" s="231"/>
      <c r="BE46" s="204"/>
      <c r="BG46" s="235"/>
      <c r="BJ46" s="235"/>
    </row>
    <row r="47" spans="1:80" s="202" customFormat="1" ht="12.75" x14ac:dyDescent="0.25">
      <c r="A47" s="440"/>
      <c r="B47" s="464"/>
      <c r="C47" s="466"/>
      <c r="D47" s="466"/>
      <c r="E47" s="468"/>
      <c r="F47" s="474"/>
      <c r="G47" s="468" t="s">
        <v>55</v>
      </c>
      <c r="H47" s="468" t="s">
        <v>55</v>
      </c>
      <c r="I47" s="468"/>
      <c r="J47" s="468"/>
      <c r="K47" s="468">
        <v>0</v>
      </c>
      <c r="L47" s="468">
        <v>0</v>
      </c>
      <c r="M47" s="476"/>
      <c r="N47" s="468"/>
      <c r="O47" s="468"/>
      <c r="P47" s="468"/>
      <c r="Q47" s="468"/>
      <c r="R47" s="468"/>
      <c r="S47" s="468"/>
      <c r="T47" s="468"/>
      <c r="U47" s="468"/>
      <c r="V47" s="468"/>
      <c r="W47" s="468"/>
      <c r="X47" s="468"/>
      <c r="Y47" s="468"/>
      <c r="Z47" s="478"/>
      <c r="AA47" s="435"/>
      <c r="AB47" s="435"/>
      <c r="AC47" s="199"/>
      <c r="AD47" s="199" t="str">
        <f t="shared" ref="AD47" si="697">IF(AA46&gt;AB46,AD46&amp;"  "&amp;AE46,IF(AB46&gt;AA46,AD46&amp;"  "&amp;AE47,""))</f>
        <v>2 - 0  (10, 6)</v>
      </c>
      <c r="AE47" s="199" t="str">
        <f t="shared" si="0"/>
        <v>(10, 6)</v>
      </c>
      <c r="AF47" s="199">
        <f t="shared" ref="AF47" si="698">IF(N46&gt;M46,1,0)</f>
        <v>1</v>
      </c>
      <c r="AG47" s="199">
        <f t="shared" ref="AG47" si="699">IF(P46&gt;O46,1,0)</f>
        <v>1</v>
      </c>
      <c r="AH47" s="199">
        <f t="shared" ref="AH47" si="700">IF(R46&gt;Q46,1,0)</f>
        <v>0</v>
      </c>
      <c r="AI47" s="199">
        <f t="shared" ref="AI47" si="701">IF(T46&gt;S46,1,0)</f>
        <v>0</v>
      </c>
      <c r="AJ47" s="199">
        <f t="shared" ref="AJ47" si="702">IF(V46&gt;U46,1,0)</f>
        <v>0</v>
      </c>
      <c r="AK47" s="199">
        <f t="shared" ref="AK47" si="703">IF(X46&gt;W46,1,0)</f>
        <v>0</v>
      </c>
      <c r="AL47" s="199">
        <f t="shared" ref="AL47" si="704">IF(Z46&gt;Y46,1,0)</f>
        <v>0</v>
      </c>
      <c r="AM47" s="199">
        <f t="shared" ref="AM47" si="705">IF(N46&gt;M46,M46,IF(M46&gt;N46,-N46,""))</f>
        <v>10</v>
      </c>
      <c r="AN47" s="199" t="str">
        <f t="shared" ref="AN47" si="706">IF(P46&gt;O46,", "&amp;O46,IF(O46&gt;P46,", "&amp;-P46,""))</f>
        <v>, 6</v>
      </c>
      <c r="AO47" s="199" t="str">
        <f t="shared" ref="AO47" si="707">IF(R46&gt;Q46,", "&amp;Q46,IF(Q46&gt;R46,", "&amp;-R46,""))</f>
        <v/>
      </c>
      <c r="AP47" s="199" t="str">
        <f t="shared" ref="AP47" si="708">IF(T46&gt;S46,", "&amp;S46,IF(S46&gt;T46,", "&amp;-T46,""))</f>
        <v/>
      </c>
      <c r="AQ47" s="199" t="str">
        <f t="shared" ref="AQ47" si="709">IF(V46&gt;U46,", "&amp;U46,IF(U46&gt;V46,", "&amp;-V46,""))</f>
        <v/>
      </c>
      <c r="AR47" s="199" t="str">
        <f t="shared" ref="AR47" si="710">IF(X46&gt;W46,", "&amp;W46,IF(W46&gt;X46,", "&amp;-X46,""))</f>
        <v/>
      </c>
      <c r="AS47" s="199" t="str">
        <f t="shared" ref="AS47" si="711">IF(Z46&gt;Y46,", "&amp;Y46,IF(Y46&gt;Z46,", "&amp;-Z46,""))</f>
        <v/>
      </c>
      <c r="AU47" s="203"/>
      <c r="AV47" s="204"/>
      <c r="AW47" s="204"/>
      <c r="AX47" s="232"/>
      <c r="AY47" s="218">
        <v>22</v>
      </c>
      <c r="AZ47" s="219" t="str">
        <f>VLOOKUP(AY47,$A$4:$L$83,6,FALSE)</f>
        <v>28/Sep-- Table</v>
      </c>
      <c r="BA47" s="233"/>
      <c r="BB47" s="229">
        <f ca="1">VLOOKUP(BB43,$A$4:$L$87,8,FALSE)</f>
        <v>4002</v>
      </c>
      <c r="BC47" s="229" t="str">
        <f ca="1">IF(BB47=0,0,VLOOKUP(BB47,Inscripciones!$B$1:$I$464,2,FALSE))</f>
        <v>ISMAEL CÁRDENAS ACOSTA</v>
      </c>
      <c r="BD47" s="230" t="str">
        <f ca="1">IF(BB47=0,0,VLOOKUP(BB47,Inscripciones!$B$1:$L$364,3,FALSE))</f>
        <v>CCDR SAN JOSÉ</v>
      </c>
      <c r="BE47" s="204"/>
      <c r="BG47" s="235"/>
      <c r="BJ47" s="235"/>
    </row>
    <row r="48" spans="1:80" s="202" customFormat="1" ht="12.75" x14ac:dyDescent="0.25">
      <c r="A48" s="440">
        <v>23</v>
      </c>
      <c r="B48" s="457" t="s">
        <v>121</v>
      </c>
      <c r="C48" s="459" t="s">
        <v>72</v>
      </c>
      <c r="D48" s="459"/>
      <c r="E48" s="455"/>
      <c r="F48" s="471" t="str">
        <f t="shared" si="512"/>
        <v>28/Sep-- Table</v>
      </c>
      <c r="G48" s="455">
        <f ca="1">IF(M28="",0,IF(AA28&gt;AB28,G28,H28))</f>
        <v>2623</v>
      </c>
      <c r="H48" s="455">
        <f ca="1">IF(M30="",0,IF(AA30&gt;AB30,G30,H30))</f>
        <v>3836</v>
      </c>
      <c r="I48" s="455" t="str">
        <f ca="1">IF(G48=0,0,VLOOKUP(G48,Inscripciones!$B$1:$I$464,2,FALSE))</f>
        <v>MATEO MONGE ARROYO</v>
      </c>
      <c r="J48" s="455" t="str">
        <f ca="1">IF(G48=0,0,VLOOKUP(G48,Inscripciones!$B$1:$L$364,3,FALSE))</f>
        <v>SANTA ANA</v>
      </c>
      <c r="K48" s="455" t="str">
        <f ca="1">IF(I48=0,0,VLOOKUP(H48,Inscripciones!$B$1:$I$464,2,FALSE))</f>
        <v>LUCIANO QUIROS AVILA</v>
      </c>
      <c r="L48" s="455" t="str">
        <f ca="1">IF(I48=0,0,VLOOKUP(H48,Inscripciones!$B$1:$L$364,3,FALSE))</f>
        <v>ESCAZÚ</v>
      </c>
      <c r="M48" s="469">
        <v>11</v>
      </c>
      <c r="N48" s="455">
        <v>5</v>
      </c>
      <c r="O48" s="455">
        <v>9</v>
      </c>
      <c r="P48" s="455">
        <v>11</v>
      </c>
      <c r="Q48" s="455">
        <v>11</v>
      </c>
      <c r="R48" s="455">
        <v>9</v>
      </c>
      <c r="S48" s="455"/>
      <c r="T48" s="455"/>
      <c r="U48" s="455"/>
      <c r="V48" s="455"/>
      <c r="W48" s="455"/>
      <c r="X48" s="455"/>
      <c r="Y48" s="455"/>
      <c r="Z48" s="461"/>
      <c r="AA48" s="435">
        <f t="shared" ref="AA48" si="712">IF(M48+N48&lt;&gt;0,SUM(AF48:AL48),"")</f>
        <v>2</v>
      </c>
      <c r="AB48" s="435">
        <f t="shared" ref="AB48" si="713">IF(M48+N48&lt;&gt;0,SUM(AF49:AL49),"")</f>
        <v>1</v>
      </c>
      <c r="AC48" s="199" t="str">
        <f t="shared" ref="AC48" si="714">IF(AA48&gt;AB48,AD48&amp;"  "&amp;AE48,IF(AB48&gt;AA48,AD48&amp;"  "&amp;AE49,""))</f>
        <v>2 - 1  (5, -9, 9)</v>
      </c>
      <c r="AD48" s="199" t="str">
        <f t="shared" ref="AD48" si="715">IF(AA48&gt;AB48,AA48&amp;" - "&amp;AB48,IF(AB48&gt;AA48,AB48&amp;" - "&amp;AA48,""))</f>
        <v>2 - 1</v>
      </c>
      <c r="AE48" s="199" t="str">
        <f t="shared" si="0"/>
        <v>(5, -9, 9)</v>
      </c>
      <c r="AF48" s="199">
        <f t="shared" ref="AF48" si="716">IF(M48&gt;N48,1,0)</f>
        <v>1</v>
      </c>
      <c r="AG48" s="199">
        <f t="shared" ref="AG48" si="717">IF(O48&gt;P48,1,0)</f>
        <v>0</v>
      </c>
      <c r="AH48" s="199">
        <f t="shared" ref="AH48" si="718">IF(Q48&gt;R48,1,0)</f>
        <v>1</v>
      </c>
      <c r="AI48" s="199">
        <f t="shared" ref="AI48" si="719">IF(S48&gt;T48,1,0)</f>
        <v>0</v>
      </c>
      <c r="AJ48" s="199">
        <f t="shared" ref="AJ48" si="720">IF(U48&gt;V48,1,0)</f>
        <v>0</v>
      </c>
      <c r="AK48" s="199">
        <f t="shared" ref="AK48" si="721">IF(W48&gt;X48,1,0)</f>
        <v>0</v>
      </c>
      <c r="AL48" s="199">
        <f t="shared" ref="AL48" si="722">IF(Y48&gt;Z48,1,0)</f>
        <v>0</v>
      </c>
      <c r="AM48" s="199">
        <f t="shared" ref="AM48" si="723">IF(M48&gt;N48,N48,IF(N48&gt;M48,-M48,""))</f>
        <v>5</v>
      </c>
      <c r="AN48" s="199" t="str">
        <f t="shared" ref="AN48" si="724">IF(O48&gt;P48,", "&amp;P48,IF(P48&gt;O48,", "&amp;-O48,""))</f>
        <v>, -9</v>
      </c>
      <c r="AO48" s="199" t="str">
        <f t="shared" ref="AO48" si="725">IF(Q48&gt;R48,", "&amp;R48,IF(R48&gt;Q48,", "&amp;-Q48,""))</f>
        <v>, 9</v>
      </c>
      <c r="AP48" s="199" t="str">
        <f t="shared" ref="AP48" si="726">IF(S48&gt;T48,", "&amp;T48,IF(T48&gt;S48,", "&amp;-S48,""))</f>
        <v/>
      </c>
      <c r="AQ48" s="199" t="str">
        <f t="shared" ref="AQ48" si="727">IF(U48&gt;V48,", "&amp;V48,IF(V48&gt;U48,", "&amp;-U48,""))</f>
        <v/>
      </c>
      <c r="AR48" s="199" t="str">
        <f t="shared" ref="AR48" si="728">IF(W48&gt;X48,", "&amp;X48,IF(X48&gt;W48,", "&amp;-W48,""))</f>
        <v/>
      </c>
      <c r="AS48" s="199" t="str">
        <f t="shared" ref="AS48" si="729">IF(Y48&gt;Z48,", "&amp;Z48,IF(Z48&gt;Y48,", "&amp;-Y48,""))</f>
        <v/>
      </c>
      <c r="AU48" s="206">
        <f>1+AU46</f>
        <v>23</v>
      </c>
      <c r="AV48" s="207">
        <f ca="1">VLOOKUP(AV49,$A$4:$L$83,7,FALSE)</f>
        <v>4513</v>
      </c>
      <c r="AW48" s="208" t="str">
        <f ca="1">IF(AV48=0,0,VLOOKUP(AV48,Inscripciones!$B$1:$I$464,2,FALSE))</f>
        <v>GABRIEL ANTONIO AMADOR GARITA</v>
      </c>
      <c r="AX48" s="209" t="str">
        <f ca="1">IF(AV48=0,0,VLOOKUP(AV48,Inscripciones!$B$1:$L$364,3,FALSE))</f>
        <v>CCDR SANTA CRUZ</v>
      </c>
      <c r="AY48" s="234"/>
      <c r="AZ48" s="204"/>
      <c r="BA48" s="231"/>
      <c r="BB48" s="210"/>
      <c r="BC48" s="211" t="str">
        <f>VLOOKUP(AY47,$A$4:$AD$87,29,FALSE)</f>
        <v>2 - 0  (10, 6)</v>
      </c>
      <c r="BD48" s="210"/>
      <c r="BE48" s="204"/>
      <c r="BG48" s="235"/>
      <c r="BJ48" s="235"/>
    </row>
    <row r="49" spans="1:62" s="202" customFormat="1" ht="12.75" x14ac:dyDescent="0.25">
      <c r="A49" s="440"/>
      <c r="B49" s="458"/>
      <c r="C49" s="460"/>
      <c r="D49" s="460"/>
      <c r="E49" s="456"/>
      <c r="F49" s="472"/>
      <c r="G49" s="456" t="s">
        <v>55</v>
      </c>
      <c r="H49" s="456" t="s">
        <v>55</v>
      </c>
      <c r="I49" s="456"/>
      <c r="J49" s="456"/>
      <c r="K49" s="456">
        <v>0</v>
      </c>
      <c r="L49" s="456">
        <v>0</v>
      </c>
      <c r="M49" s="470"/>
      <c r="N49" s="456"/>
      <c r="O49" s="456"/>
      <c r="P49" s="456"/>
      <c r="Q49" s="456"/>
      <c r="R49" s="456"/>
      <c r="S49" s="456"/>
      <c r="T49" s="456"/>
      <c r="U49" s="456"/>
      <c r="V49" s="456"/>
      <c r="W49" s="456"/>
      <c r="X49" s="456"/>
      <c r="Y49" s="456"/>
      <c r="Z49" s="462"/>
      <c r="AA49" s="435"/>
      <c r="AB49" s="435"/>
      <c r="AC49" s="199"/>
      <c r="AD49" s="199" t="str">
        <f t="shared" ref="AD49" si="730">IF(AA48&gt;AB48,AD48&amp;"  "&amp;AE48,IF(AB48&gt;AA48,AD48&amp;"  "&amp;AE49,""))</f>
        <v>2 - 1  (5, -9, 9)</v>
      </c>
      <c r="AE49" s="199" t="str">
        <f t="shared" si="0"/>
        <v>(-5, 9, -9)</v>
      </c>
      <c r="AF49" s="199">
        <f t="shared" ref="AF49" si="731">IF(N48&gt;M48,1,0)</f>
        <v>0</v>
      </c>
      <c r="AG49" s="199">
        <f t="shared" ref="AG49" si="732">IF(P48&gt;O48,1,0)</f>
        <v>1</v>
      </c>
      <c r="AH49" s="199">
        <f t="shared" ref="AH49" si="733">IF(R48&gt;Q48,1,0)</f>
        <v>0</v>
      </c>
      <c r="AI49" s="199">
        <f t="shared" ref="AI49" si="734">IF(T48&gt;S48,1,0)</f>
        <v>0</v>
      </c>
      <c r="AJ49" s="199">
        <f t="shared" ref="AJ49" si="735">IF(V48&gt;U48,1,0)</f>
        <v>0</v>
      </c>
      <c r="AK49" s="199">
        <f t="shared" ref="AK49" si="736">IF(X48&gt;W48,1,0)</f>
        <v>0</v>
      </c>
      <c r="AL49" s="199">
        <f t="shared" ref="AL49" si="737">IF(Z48&gt;Y48,1,0)</f>
        <v>0</v>
      </c>
      <c r="AM49" s="199">
        <f t="shared" ref="AM49" si="738">IF(N48&gt;M48,M48,IF(M48&gt;N48,-N48,""))</f>
        <v>-5</v>
      </c>
      <c r="AN49" s="199" t="str">
        <f t="shared" ref="AN49" si="739">IF(P48&gt;O48,", "&amp;O48,IF(O48&gt;P48,", "&amp;-P48,""))</f>
        <v>, 9</v>
      </c>
      <c r="AO49" s="199" t="str">
        <f t="shared" ref="AO49" si="740">IF(R48&gt;Q48,", "&amp;Q48,IF(Q48&gt;R48,", "&amp;-R48,""))</f>
        <v>, -9</v>
      </c>
      <c r="AP49" s="199" t="str">
        <f t="shared" ref="AP49" si="741">IF(T48&gt;S48,", "&amp;S48,IF(S48&gt;T48,", "&amp;-T48,""))</f>
        <v/>
      </c>
      <c r="AQ49" s="199" t="str">
        <f t="shared" ref="AQ49" si="742">IF(V48&gt;U48,", "&amp;U48,IF(U48&gt;V48,", "&amp;-V48,""))</f>
        <v/>
      </c>
      <c r="AR49" s="199" t="str">
        <f t="shared" ref="AR49" si="743">IF(X48&gt;W48,", "&amp;W48,IF(W48&gt;X48,", "&amp;-X48,""))</f>
        <v/>
      </c>
      <c r="AS49" s="199" t="str">
        <f t="shared" ref="AS49" si="744">IF(Z48&gt;Y48,", "&amp;Y48,IF(Y48&gt;Z48,", "&amp;-Z48,""))</f>
        <v/>
      </c>
      <c r="AU49" s="203"/>
      <c r="AV49" s="218">
        <v>12</v>
      </c>
      <c r="AW49" s="219" t="str">
        <f>VLOOKUP(AV49,$A$4:$L$83,6,FALSE)</f>
        <v>28/Sep-- Table</v>
      </c>
      <c r="AX49" s="220"/>
      <c r="AY49" s="229">
        <f ca="1">VLOOKUP(AY47,$A$4:$L$87,8,FALSE)</f>
        <v>4002</v>
      </c>
      <c r="AZ49" s="229" t="str">
        <f ca="1">IF(AY49=0,0,VLOOKUP(AY49,Inscripciones!$B$1:$I$464,2,FALSE))</f>
        <v>ISMAEL CÁRDENAS ACOSTA</v>
      </c>
      <c r="BA49" s="230" t="str">
        <f ca="1">IF(AY49=0,0,VLOOKUP(AY49,Inscripciones!$B$1:$L$364,3,FALSE))</f>
        <v>CCDR SAN JOSÉ</v>
      </c>
      <c r="BB49" s="204"/>
      <c r="BC49" s="204"/>
      <c r="BD49" s="204"/>
      <c r="BE49" s="204"/>
      <c r="BG49" s="235"/>
      <c r="BJ49" s="235"/>
    </row>
    <row r="50" spans="1:62" s="202" customFormat="1" ht="12.75" x14ac:dyDescent="0.25">
      <c r="A50" s="440">
        <v>24</v>
      </c>
      <c r="B50" s="463" t="s">
        <v>121</v>
      </c>
      <c r="C50" s="465" t="s">
        <v>72</v>
      </c>
      <c r="D50" s="465"/>
      <c r="E50" s="467"/>
      <c r="F50" s="473" t="str">
        <f t="shared" si="546"/>
        <v>28/Sep-- Table</v>
      </c>
      <c r="G50" s="467">
        <f ca="1">IF(M32="",0,IF(AA32&gt;AB32,G32,H32))</f>
        <v>3499</v>
      </c>
      <c r="H50" s="467">
        <f ca="1">IF(M34="",0,IF(AA34&gt;AB34,G34,H34))</f>
        <v>3449</v>
      </c>
      <c r="I50" s="467" t="str">
        <f ca="1">IF(G50=0,0,VLOOKUP(G50,Inscripciones!$B$1:$I$464,2,FALSE))</f>
        <v>ESTEBAN MURILLO CHAVES</v>
      </c>
      <c r="J50" s="467" t="str">
        <f ca="1">IF(G50=0,0,VLOOKUP(G50,Inscripciones!$B$1:$L$364,3,FALSE))</f>
        <v>UCR-PÉREZ ZELEDÓN</v>
      </c>
      <c r="K50" s="467" t="str">
        <f ca="1">IF(I50=0,0,VLOOKUP(H50,Inscripciones!$B$1:$I$464,2,FALSE))</f>
        <v>REINEL ANTONIO VANEGAS LACAYO</v>
      </c>
      <c r="L50" s="467" t="str">
        <f ca="1">IF(I50=0,0,VLOOKUP(H50,Inscripciones!$B$1:$L$364,3,FALSE))</f>
        <v>ALAJUELA</v>
      </c>
      <c r="M50" s="475">
        <v>12</v>
      </c>
      <c r="N50" s="467">
        <v>10</v>
      </c>
      <c r="O50" s="467">
        <v>11</v>
      </c>
      <c r="P50" s="467">
        <v>6</v>
      </c>
      <c r="Q50" s="467"/>
      <c r="R50" s="467"/>
      <c r="S50" s="467"/>
      <c r="T50" s="467"/>
      <c r="U50" s="467"/>
      <c r="V50" s="467"/>
      <c r="W50" s="467"/>
      <c r="X50" s="467"/>
      <c r="Y50" s="467"/>
      <c r="Z50" s="477"/>
      <c r="AA50" s="435">
        <f t="shared" ref="AA50" si="745">IF(M50+N50&lt;&gt;0,SUM(AF50:AL50),"")</f>
        <v>2</v>
      </c>
      <c r="AB50" s="435">
        <f t="shared" ref="AB50" si="746">IF(M50+N50&lt;&gt;0,SUM(AF51:AL51),"")</f>
        <v>0</v>
      </c>
      <c r="AC50" s="199" t="str">
        <f t="shared" ref="AC50" si="747">IF(AA50&gt;AB50,AD50&amp;"  "&amp;AE50,IF(AB50&gt;AA50,AD50&amp;"  "&amp;AE51,""))</f>
        <v>2 - 0  (10, 6)</v>
      </c>
      <c r="AD50" s="199" t="str">
        <f t="shared" ref="AD50" si="748">IF(AA50&gt;AB50,AA50&amp;" - "&amp;AB50,IF(AB50&gt;AA50,AB50&amp;" - "&amp;AA50,""))</f>
        <v>2 - 0</v>
      </c>
      <c r="AE50" s="199" t="str">
        <f t="shared" si="0"/>
        <v>(10, 6)</v>
      </c>
      <c r="AF50" s="199">
        <f t="shared" ref="AF50" si="749">IF(M50&gt;N50,1,0)</f>
        <v>1</v>
      </c>
      <c r="AG50" s="199">
        <f t="shared" ref="AG50" si="750">IF(O50&gt;P50,1,0)</f>
        <v>1</v>
      </c>
      <c r="AH50" s="199">
        <f t="shared" ref="AH50" si="751">IF(Q50&gt;R50,1,0)</f>
        <v>0</v>
      </c>
      <c r="AI50" s="199">
        <f t="shared" ref="AI50" si="752">IF(S50&gt;T50,1,0)</f>
        <v>0</v>
      </c>
      <c r="AJ50" s="199">
        <f t="shared" ref="AJ50" si="753">IF(U50&gt;V50,1,0)</f>
        <v>0</v>
      </c>
      <c r="AK50" s="199">
        <f t="shared" ref="AK50" si="754">IF(W50&gt;X50,1,0)</f>
        <v>0</v>
      </c>
      <c r="AL50" s="199">
        <f t="shared" ref="AL50" si="755">IF(Y50&gt;Z50,1,0)</f>
        <v>0</v>
      </c>
      <c r="AM50" s="199">
        <f t="shared" ref="AM50" si="756">IF(M50&gt;N50,N50,IF(N50&gt;M50,-M50,""))</f>
        <v>10</v>
      </c>
      <c r="AN50" s="199" t="str">
        <f t="shared" ref="AN50" si="757">IF(O50&gt;P50,", "&amp;P50,IF(P50&gt;O50,", "&amp;-O50,""))</f>
        <v>, 6</v>
      </c>
      <c r="AO50" s="199" t="str">
        <f t="shared" ref="AO50" si="758">IF(Q50&gt;R50,", "&amp;R50,IF(R50&gt;Q50,", "&amp;-Q50,""))</f>
        <v/>
      </c>
      <c r="AP50" s="199" t="str">
        <f t="shared" ref="AP50" si="759">IF(S50&gt;T50,", "&amp;T50,IF(T50&gt;S50,", "&amp;-S50,""))</f>
        <v/>
      </c>
      <c r="AQ50" s="199" t="str">
        <f t="shared" ref="AQ50" si="760">IF(U50&gt;V50,", "&amp;V50,IF(V50&gt;U50,", "&amp;-U50,""))</f>
        <v/>
      </c>
      <c r="AR50" s="199" t="str">
        <f t="shared" ref="AR50" si="761">IF(W50&gt;X50,", "&amp;X50,IF(X50&gt;W50,", "&amp;-W50,""))</f>
        <v/>
      </c>
      <c r="AS50" s="199" t="str">
        <f t="shared" ref="AS50" si="762">IF(Y50&gt;Z50,", "&amp;Z50,IF(Z50&gt;Y50,", "&amp;-Y50,""))</f>
        <v/>
      </c>
      <c r="AU50" s="206">
        <f>1+AU48</f>
        <v>24</v>
      </c>
      <c r="AV50" s="229">
        <f ca="1">VLOOKUP(AV49,$A$4:$L$83,8,FALSE)</f>
        <v>4002</v>
      </c>
      <c r="AW50" s="229" t="str">
        <f ca="1">IF(AV50=0,0,VLOOKUP(AV50,Inscripciones!$B$1:$I$464,2,FALSE))</f>
        <v>ISMAEL CÁRDENAS ACOSTA</v>
      </c>
      <c r="AX50" s="230" t="str">
        <f ca="1">IF(AV50=0,0,VLOOKUP(AV50,Inscripciones!$B$1:$L$364,3,FALSE))</f>
        <v>CCDR SAN JOSÉ</v>
      </c>
      <c r="AY50" s="210"/>
      <c r="AZ50" s="211" t="str">
        <f>VLOOKUP(AV49,$A$4:$AD$87,29,FALSE)</f>
        <v>2 - 0  (6, 8)</v>
      </c>
      <c r="BA50" s="210"/>
      <c r="BB50" s="204"/>
      <c r="BC50" s="204"/>
      <c r="BD50" s="204"/>
      <c r="BE50" s="204"/>
      <c r="BF50" s="204"/>
      <c r="BG50" s="231"/>
      <c r="BJ50" s="235"/>
    </row>
    <row r="51" spans="1:62" s="202" customFormat="1" ht="12.75" x14ac:dyDescent="0.25">
      <c r="A51" s="440"/>
      <c r="B51" s="464"/>
      <c r="C51" s="466"/>
      <c r="D51" s="466"/>
      <c r="E51" s="468"/>
      <c r="F51" s="474"/>
      <c r="G51" s="468" t="s">
        <v>55</v>
      </c>
      <c r="H51" s="468" t="s">
        <v>55</v>
      </c>
      <c r="I51" s="468"/>
      <c r="J51" s="468"/>
      <c r="K51" s="468">
        <v>0</v>
      </c>
      <c r="L51" s="468">
        <v>0</v>
      </c>
      <c r="M51" s="476"/>
      <c r="N51" s="468"/>
      <c r="O51" s="468"/>
      <c r="P51" s="468"/>
      <c r="Q51" s="468"/>
      <c r="R51" s="468"/>
      <c r="S51" s="468"/>
      <c r="T51" s="468"/>
      <c r="U51" s="468"/>
      <c r="V51" s="468"/>
      <c r="W51" s="468"/>
      <c r="X51" s="468"/>
      <c r="Y51" s="468"/>
      <c r="Z51" s="478"/>
      <c r="AA51" s="435"/>
      <c r="AB51" s="435"/>
      <c r="AC51" s="199"/>
      <c r="AD51" s="199" t="str">
        <f t="shared" ref="AD51" si="763">IF(AA50&gt;AB50,AD50&amp;"  "&amp;AE50,IF(AB50&gt;AA50,AD50&amp;"  "&amp;AE51,""))</f>
        <v>2 - 0  (10, 6)</v>
      </c>
      <c r="AE51" s="199" t="str">
        <f t="shared" si="0"/>
        <v>(-10, -6)</v>
      </c>
      <c r="AF51" s="199">
        <f t="shared" ref="AF51" si="764">IF(N50&gt;M50,1,0)</f>
        <v>0</v>
      </c>
      <c r="AG51" s="199">
        <f t="shared" ref="AG51" si="765">IF(P50&gt;O50,1,0)</f>
        <v>0</v>
      </c>
      <c r="AH51" s="199">
        <f t="shared" ref="AH51" si="766">IF(R50&gt;Q50,1,0)</f>
        <v>0</v>
      </c>
      <c r="AI51" s="199">
        <f t="shared" ref="AI51" si="767">IF(T50&gt;S50,1,0)</f>
        <v>0</v>
      </c>
      <c r="AJ51" s="199">
        <f t="shared" ref="AJ51" si="768">IF(V50&gt;U50,1,0)</f>
        <v>0</v>
      </c>
      <c r="AK51" s="199">
        <f t="shared" ref="AK51" si="769">IF(X50&gt;W50,1,0)</f>
        <v>0</v>
      </c>
      <c r="AL51" s="199">
        <f t="shared" ref="AL51" si="770">IF(Z50&gt;Y50,1,0)</f>
        <v>0</v>
      </c>
      <c r="AM51" s="199">
        <f t="shared" ref="AM51" si="771">IF(N50&gt;M50,M50,IF(M50&gt;N50,-N50,""))</f>
        <v>-10</v>
      </c>
      <c r="AN51" s="199" t="str">
        <f t="shared" ref="AN51" si="772">IF(P50&gt;O50,", "&amp;O50,IF(O50&gt;P50,", "&amp;-P50,""))</f>
        <v>, -6</v>
      </c>
      <c r="AO51" s="199" t="str">
        <f t="shared" ref="AO51" si="773">IF(R50&gt;Q50,", "&amp;Q50,IF(Q50&gt;R50,", "&amp;-R50,""))</f>
        <v/>
      </c>
      <c r="AP51" s="199" t="str">
        <f t="shared" ref="AP51" si="774">IF(T50&gt;S50,", "&amp;S50,IF(S50&gt;T50,", "&amp;-T50,""))</f>
        <v/>
      </c>
      <c r="AQ51" s="199" t="str">
        <f t="shared" ref="AQ51" si="775">IF(V50&gt;U50,", "&amp;U50,IF(U50&gt;V50,", "&amp;-V50,""))</f>
        <v/>
      </c>
      <c r="AR51" s="199" t="str">
        <f t="shared" ref="AR51" si="776">IF(X50&gt;W50,", "&amp;W50,IF(W50&gt;X50,", "&amp;-X50,""))</f>
        <v/>
      </c>
      <c r="AS51" s="199" t="str">
        <f t="shared" ref="AS51" si="777">IF(Z50&gt;Y50,", "&amp;Y50,IF(Y50&gt;Z50,", "&amp;-Z50,""))</f>
        <v/>
      </c>
      <c r="AU51" s="203"/>
      <c r="AV51" s="204"/>
      <c r="AW51" s="204"/>
      <c r="AX51" s="232"/>
      <c r="AY51" s="204"/>
      <c r="AZ51" s="204"/>
      <c r="BA51" s="204"/>
      <c r="BB51" s="204"/>
      <c r="BC51" s="204"/>
      <c r="BD51" s="204"/>
      <c r="BE51" s="218">
        <v>30</v>
      </c>
      <c r="BF51" s="219" t="str">
        <f>VLOOKUP(BE51,$A$4:$L$83,6,FALSE)</f>
        <v>28/Sep-- Table</v>
      </c>
      <c r="BG51" s="231"/>
      <c r="BH51" s="229">
        <f ca="1">VLOOKUP(BH34,$A$4:$L$87,8,FALSE)</f>
        <v>2623</v>
      </c>
      <c r="BI51" s="229" t="str">
        <f ca="1">IF(BH51=0,0,VLOOKUP(BH51,Inscripciones!$B$1:$I$464,2,FALSE))</f>
        <v>MATEO MONGE ARROYO</v>
      </c>
      <c r="BJ51" s="230" t="str">
        <f ca="1">IF(BH51=0,0,VLOOKUP(BH51,Inscripciones!$B$1:$L$364,3,FALSE))</f>
        <v>SANTA ANA</v>
      </c>
    </row>
    <row r="52" spans="1:62" s="202" customFormat="1" ht="12.75" x14ac:dyDescent="0.25">
      <c r="A52" s="440">
        <v>25</v>
      </c>
      <c r="B52" s="493" t="s">
        <v>122</v>
      </c>
      <c r="C52" s="495" t="s">
        <v>72</v>
      </c>
      <c r="D52" s="495"/>
      <c r="E52" s="479"/>
      <c r="F52" s="491" t="str">
        <f t="shared" ref="F52:F64" si="778">C52&amp;"-"&amp;D52&amp;"- Table"&amp;E52</f>
        <v>28/Sep-- Table</v>
      </c>
      <c r="G52" s="479">
        <f ca="1">IF(M36="",0,IF(AA36&gt;AB36,G36,H36))</f>
        <v>2515</v>
      </c>
      <c r="H52" s="479">
        <f ca="1">IF(M38="",0,IF(AA38&gt;AB38,G38,H38))</f>
        <v>2895</v>
      </c>
      <c r="I52" s="479" t="str">
        <f ca="1">IF(G52=0,0,VLOOKUP(G52,Inscripciones!$B$1:$I$464,2,FALSE))</f>
        <v>GABRIEL CHAVEZ QUIROS</v>
      </c>
      <c r="J52" s="479" t="str">
        <f ca="1">IF(G52=0,0,VLOOKUP(G52,Inscripciones!$B$1:$L$364,3,FALSE))</f>
        <v>SANTA ANA</v>
      </c>
      <c r="K52" s="479" t="str">
        <f ca="1">IF(I52=0,0,VLOOKUP(H52,Inscripciones!$B$1:$I$464,2,FALSE))</f>
        <v>ANDRES JOSE VEGA VALERIO</v>
      </c>
      <c r="L52" s="479" t="str">
        <f ca="1">IF(I52=0,0,VLOOKUP(H52,Inscripciones!$B$1:$L$364,3,FALSE))</f>
        <v>ALAJUELA - UCR</v>
      </c>
      <c r="M52" s="489">
        <v>11</v>
      </c>
      <c r="N52" s="479">
        <v>9</v>
      </c>
      <c r="O52" s="479">
        <v>11</v>
      </c>
      <c r="P52" s="479">
        <v>13</v>
      </c>
      <c r="Q52" s="479">
        <v>5</v>
      </c>
      <c r="R52" s="479">
        <v>11</v>
      </c>
      <c r="S52" s="479"/>
      <c r="T52" s="479"/>
      <c r="U52" s="479"/>
      <c r="V52" s="479"/>
      <c r="W52" s="479"/>
      <c r="X52" s="479"/>
      <c r="Y52" s="479"/>
      <c r="Z52" s="481"/>
      <c r="AA52" s="435">
        <f t="shared" ref="AA52" si="779">IF(M52+N52&lt;&gt;0,SUM(AF52:AL52),"")</f>
        <v>1</v>
      </c>
      <c r="AB52" s="435">
        <f t="shared" ref="AB52" si="780">IF(M52+N52&lt;&gt;0,SUM(AF53:AL53),"")</f>
        <v>2</v>
      </c>
      <c r="AC52" s="199" t="str">
        <f t="shared" ref="AC52" si="781">IF(AA52&gt;AB52,AD52&amp;"  "&amp;AE52,IF(AB52&gt;AA52,AD52&amp;"  "&amp;AE53,""))</f>
        <v>2 - 1  (-9, 11, 5)</v>
      </c>
      <c r="AD52" s="199" t="str">
        <f t="shared" ref="AD52" si="782">IF(AA52&gt;AB52,AA52&amp;" - "&amp;AB52,IF(AB52&gt;AA52,AB52&amp;" - "&amp;AA52,""))</f>
        <v>2 - 1</v>
      </c>
      <c r="AE52" s="199" t="str">
        <f t="shared" si="0"/>
        <v>(9, -11, -5)</v>
      </c>
      <c r="AF52" s="199">
        <f t="shared" ref="AF52" si="783">IF(M52&gt;N52,1,0)</f>
        <v>1</v>
      </c>
      <c r="AG52" s="199">
        <f t="shared" ref="AG52" si="784">IF(O52&gt;P52,1,0)</f>
        <v>0</v>
      </c>
      <c r="AH52" s="199">
        <f t="shared" ref="AH52" si="785">IF(Q52&gt;R52,1,0)</f>
        <v>0</v>
      </c>
      <c r="AI52" s="199">
        <f t="shared" ref="AI52" si="786">IF(S52&gt;T52,1,0)</f>
        <v>0</v>
      </c>
      <c r="AJ52" s="199">
        <f t="shared" ref="AJ52" si="787">IF(U52&gt;V52,1,0)</f>
        <v>0</v>
      </c>
      <c r="AK52" s="199">
        <f t="shared" ref="AK52" si="788">IF(W52&gt;X52,1,0)</f>
        <v>0</v>
      </c>
      <c r="AL52" s="199">
        <f t="shared" ref="AL52" si="789">IF(Y52&gt;Z52,1,0)</f>
        <v>0</v>
      </c>
      <c r="AM52" s="199">
        <f t="shared" ref="AM52" si="790">IF(M52&gt;N52,N52,IF(N52&gt;M52,-M52,""))</f>
        <v>9</v>
      </c>
      <c r="AN52" s="199" t="str">
        <f t="shared" ref="AN52" si="791">IF(O52&gt;P52,", "&amp;P52,IF(P52&gt;O52,", "&amp;-O52,""))</f>
        <v>, -11</v>
      </c>
      <c r="AO52" s="199" t="str">
        <f t="shared" ref="AO52" si="792">IF(Q52&gt;R52,", "&amp;R52,IF(R52&gt;Q52,", "&amp;-Q52,""))</f>
        <v>, -5</v>
      </c>
      <c r="AP52" s="199" t="str">
        <f t="shared" ref="AP52" si="793">IF(S52&gt;T52,", "&amp;T52,IF(T52&gt;S52,", "&amp;-S52,""))</f>
        <v/>
      </c>
      <c r="AQ52" s="199" t="str">
        <f t="shared" ref="AQ52" si="794">IF(U52&gt;V52,", "&amp;V52,IF(V52&gt;U52,", "&amp;-U52,""))</f>
        <v/>
      </c>
      <c r="AR52" s="199" t="str">
        <f t="shared" ref="AR52" si="795">IF(W52&gt;X52,", "&amp;X52,IF(X52&gt;W52,", "&amp;-W52,""))</f>
        <v/>
      </c>
      <c r="AS52" s="199" t="str">
        <f t="shared" ref="AS52" si="796">IF(Y52&gt;Z52,", "&amp;Z52,IF(Z52&gt;Y52,", "&amp;-Y52,""))</f>
        <v/>
      </c>
      <c r="AU52" s="206">
        <f>1+AU50</f>
        <v>25</v>
      </c>
      <c r="AV52" s="207">
        <f ca="1">VLOOKUP(AV53,$A$4:$L$83,7,FALSE)</f>
        <v>2623</v>
      </c>
      <c r="AW52" s="208" t="str">
        <f ca="1">IF(AV52=0,0,VLOOKUP(AV52,Inscripciones!$B$1:$I$464,2,FALSE))</f>
        <v>MATEO MONGE ARROYO</v>
      </c>
      <c r="AX52" s="209" t="str">
        <f ca="1">IF(AV52=0,0,VLOOKUP(AV52,Inscripciones!$B$1:$L$364,3,FALSE))</f>
        <v>SANTA ANA</v>
      </c>
      <c r="AY52" s="210"/>
      <c r="AZ52" s="211" t="str">
        <f>VLOOKUP(AV53,$A$4:$AD$83,29,FALSE)</f>
        <v>2 - 0  (2, 6)</v>
      </c>
      <c r="BA52" s="210"/>
      <c r="BB52" s="204"/>
      <c r="BC52" s="204"/>
      <c r="BD52" s="204"/>
      <c r="BE52" s="204"/>
      <c r="BF52" s="204"/>
      <c r="BG52" s="231"/>
      <c r="BH52" s="210"/>
      <c r="BI52" s="211" t="str">
        <f>VLOOKUP(BE51,$A$4:$AD$87,29,FALSE)</f>
        <v>3 - 0  (5, 13, 12)</v>
      </c>
      <c r="BJ52" s="210"/>
    </row>
    <row r="53" spans="1:62" s="202" customFormat="1" ht="12.75" x14ac:dyDescent="0.25">
      <c r="A53" s="440"/>
      <c r="B53" s="494"/>
      <c r="C53" s="496"/>
      <c r="D53" s="496"/>
      <c r="E53" s="480"/>
      <c r="F53" s="492"/>
      <c r="G53" s="480" t="s">
        <v>55</v>
      </c>
      <c r="H53" s="480" t="s">
        <v>55</v>
      </c>
      <c r="I53" s="480"/>
      <c r="J53" s="480"/>
      <c r="K53" s="480">
        <v>0</v>
      </c>
      <c r="L53" s="480">
        <v>0</v>
      </c>
      <c r="M53" s="490"/>
      <c r="N53" s="480"/>
      <c r="O53" s="480"/>
      <c r="P53" s="480"/>
      <c r="Q53" s="480"/>
      <c r="R53" s="480"/>
      <c r="S53" s="480"/>
      <c r="T53" s="480"/>
      <c r="U53" s="480"/>
      <c r="V53" s="480"/>
      <c r="W53" s="480"/>
      <c r="X53" s="480"/>
      <c r="Y53" s="480"/>
      <c r="Z53" s="482"/>
      <c r="AA53" s="435"/>
      <c r="AB53" s="435"/>
      <c r="AC53" s="199"/>
      <c r="AD53" s="199" t="str">
        <f t="shared" ref="AD53" si="797">IF(AA52&gt;AB52,AD52&amp;"  "&amp;AE52,IF(AB52&gt;AA52,AD52&amp;"  "&amp;AE53,""))</f>
        <v>2 - 1  (-9, 11, 5)</v>
      </c>
      <c r="AE53" s="199" t="str">
        <f t="shared" si="0"/>
        <v>(-9, 11, 5)</v>
      </c>
      <c r="AF53" s="199">
        <f t="shared" ref="AF53" si="798">IF(N52&gt;M52,1,0)</f>
        <v>0</v>
      </c>
      <c r="AG53" s="199">
        <f t="shared" ref="AG53" si="799">IF(P52&gt;O52,1,0)</f>
        <v>1</v>
      </c>
      <c r="AH53" s="199">
        <f t="shared" ref="AH53" si="800">IF(R52&gt;Q52,1,0)</f>
        <v>1</v>
      </c>
      <c r="AI53" s="199">
        <f t="shared" ref="AI53" si="801">IF(T52&gt;S52,1,0)</f>
        <v>0</v>
      </c>
      <c r="AJ53" s="199">
        <f t="shared" ref="AJ53" si="802">IF(V52&gt;U52,1,0)</f>
        <v>0</v>
      </c>
      <c r="AK53" s="199">
        <f t="shared" ref="AK53" si="803">IF(X52&gt;W52,1,0)</f>
        <v>0</v>
      </c>
      <c r="AL53" s="199">
        <f t="shared" ref="AL53" si="804">IF(Z52&gt;Y52,1,0)</f>
        <v>0</v>
      </c>
      <c r="AM53" s="199">
        <f t="shared" ref="AM53" si="805">IF(N52&gt;M52,M52,IF(M52&gt;N52,-N52,""))</f>
        <v>-9</v>
      </c>
      <c r="AN53" s="199" t="str">
        <f t="shared" ref="AN53" si="806">IF(P52&gt;O52,", "&amp;O52,IF(O52&gt;P52,", "&amp;-P52,""))</f>
        <v>, 11</v>
      </c>
      <c r="AO53" s="199" t="str">
        <f t="shared" ref="AO53" si="807">IF(R52&gt;Q52,", "&amp;Q52,IF(Q52&gt;R52,", "&amp;-R52,""))</f>
        <v>, 5</v>
      </c>
      <c r="AP53" s="199" t="str">
        <f t="shared" ref="AP53" si="808">IF(T52&gt;S52,", "&amp;S52,IF(S52&gt;T52,", "&amp;-T52,""))</f>
        <v/>
      </c>
      <c r="AQ53" s="199" t="str">
        <f t="shared" ref="AQ53" si="809">IF(V52&gt;U52,", "&amp;U52,IF(U52&gt;V52,", "&amp;-V52,""))</f>
        <v/>
      </c>
      <c r="AR53" s="199" t="str">
        <f t="shared" ref="AR53" si="810">IF(X52&gt;W52,", "&amp;W52,IF(W52&gt;X52,", "&amp;-X52,""))</f>
        <v/>
      </c>
      <c r="AS53" s="199" t="str">
        <f t="shared" ref="AS53" si="811">IF(Z52&gt;Y52,", "&amp;Y52,IF(Y52&gt;Z52,", "&amp;-Z52,""))</f>
        <v/>
      </c>
      <c r="AU53" s="203"/>
      <c r="AV53" s="218">
        <v>13</v>
      </c>
      <c r="AW53" s="219" t="str">
        <f>VLOOKUP(AV53,$A$4:$L$83,6,FALSE)</f>
        <v>28/Sep-- Table</v>
      </c>
      <c r="AX53" s="220"/>
      <c r="AY53" s="207">
        <f ca="1">VLOOKUP(AY55,$A$4:$L$87,7,FALSE)</f>
        <v>2623</v>
      </c>
      <c r="AZ53" s="208" t="str">
        <f ca="1">IF(AY53=0,0,VLOOKUP(AY53,Inscripciones!$B$1:$I$464,2,FALSE))</f>
        <v>MATEO MONGE ARROYO</v>
      </c>
      <c r="BA53" s="209" t="str">
        <f ca="1">IF(AY53=0,0,VLOOKUP(AY53,Inscripciones!$B$1:$L$364,3,FALSE))</f>
        <v>SANTA ANA</v>
      </c>
      <c r="BB53" s="204"/>
      <c r="BC53" s="204"/>
      <c r="BD53" s="204"/>
      <c r="BE53" s="204"/>
      <c r="BG53" s="235"/>
    </row>
    <row r="54" spans="1:62" s="202" customFormat="1" ht="12.75" x14ac:dyDescent="0.25">
      <c r="A54" s="440">
        <v>26</v>
      </c>
      <c r="B54" s="483" t="s">
        <v>122</v>
      </c>
      <c r="C54" s="485" t="s">
        <v>72</v>
      </c>
      <c r="D54" s="485"/>
      <c r="E54" s="487"/>
      <c r="F54" s="497" t="str">
        <f t="shared" ref="F54:F66" si="812">C54&amp;"-"&amp;D54&amp;"- Table"&amp;E54</f>
        <v>28/Sep-- Table</v>
      </c>
      <c r="G54" s="487">
        <f ca="1">IF(M40="",0,IF(AA40&gt;AB40,G40,H40))</f>
        <v>3458</v>
      </c>
      <c r="H54" s="487">
        <f ca="1">IF(M42="",0,IF(AA42&gt;AB42,G42,H42))</f>
        <v>3671</v>
      </c>
      <c r="I54" s="487" t="str">
        <f ca="1">IF(G54=0,0,VLOOKUP(G54,Inscripciones!$B$1:$I$464,2,FALSE))</f>
        <v>SANTIAGO ALVAREZ LONGHI</v>
      </c>
      <c r="J54" s="487" t="str">
        <f ca="1">IF(G54=0,0,VLOOKUP(G54,Inscripciones!$B$1:$L$364,3,FALSE))</f>
        <v>SANTO DOMINGO</v>
      </c>
      <c r="K54" s="487" t="str">
        <f ca="1">IF(I54=0,0,VLOOKUP(H54,Inscripciones!$B$1:$I$464,2,FALSE))</f>
        <v>NICOLAS OVARES CASTRO</v>
      </c>
      <c r="L54" s="487" t="str">
        <f ca="1">IF(I54=0,0,VLOOKUP(H54,Inscripciones!$B$1:$L$364,3,FALSE))</f>
        <v>SANTA ANA</v>
      </c>
      <c r="M54" s="499">
        <v>9</v>
      </c>
      <c r="N54" s="487">
        <v>11</v>
      </c>
      <c r="O54" s="487">
        <v>6</v>
      </c>
      <c r="P54" s="487">
        <v>11</v>
      </c>
      <c r="Q54" s="487"/>
      <c r="R54" s="487"/>
      <c r="S54" s="487"/>
      <c r="T54" s="487"/>
      <c r="U54" s="487"/>
      <c r="V54" s="487"/>
      <c r="W54" s="487"/>
      <c r="X54" s="487"/>
      <c r="Y54" s="487"/>
      <c r="Z54" s="501"/>
      <c r="AA54" s="435">
        <f t="shared" ref="AA54" si="813">IF(M54+N54&lt;&gt;0,SUM(AF54:AL54),"")</f>
        <v>0</v>
      </c>
      <c r="AB54" s="435">
        <f t="shared" ref="AB54" si="814">IF(M54+N54&lt;&gt;0,SUM(AF55:AL55),"")</f>
        <v>2</v>
      </c>
      <c r="AC54" s="199" t="str">
        <f t="shared" ref="AC54" si="815">IF(AA54&gt;AB54,AD54&amp;"  "&amp;AE54,IF(AB54&gt;AA54,AD54&amp;"  "&amp;AE55,""))</f>
        <v>2 - 0  (9, 6)</v>
      </c>
      <c r="AD54" s="199" t="str">
        <f t="shared" ref="AD54" si="816">IF(AA54&gt;AB54,AA54&amp;" - "&amp;AB54,IF(AB54&gt;AA54,AB54&amp;" - "&amp;AA54,""))</f>
        <v>2 - 0</v>
      </c>
      <c r="AE54" s="199" t="str">
        <f t="shared" si="0"/>
        <v>(-9, -6)</v>
      </c>
      <c r="AF54" s="199">
        <f t="shared" ref="AF54" si="817">IF(M54&gt;N54,1,0)</f>
        <v>0</v>
      </c>
      <c r="AG54" s="199">
        <f t="shared" ref="AG54" si="818">IF(O54&gt;P54,1,0)</f>
        <v>0</v>
      </c>
      <c r="AH54" s="199">
        <f t="shared" ref="AH54" si="819">IF(Q54&gt;R54,1,0)</f>
        <v>0</v>
      </c>
      <c r="AI54" s="199">
        <f t="shared" ref="AI54" si="820">IF(S54&gt;T54,1,0)</f>
        <v>0</v>
      </c>
      <c r="AJ54" s="199">
        <f t="shared" ref="AJ54" si="821">IF(U54&gt;V54,1,0)</f>
        <v>0</v>
      </c>
      <c r="AK54" s="199">
        <f t="shared" ref="AK54" si="822">IF(W54&gt;X54,1,0)</f>
        <v>0</v>
      </c>
      <c r="AL54" s="199">
        <f t="shared" ref="AL54" si="823">IF(Y54&gt;Z54,1,0)</f>
        <v>0</v>
      </c>
      <c r="AM54" s="199">
        <f t="shared" ref="AM54" si="824">IF(M54&gt;N54,N54,IF(N54&gt;M54,-M54,""))</f>
        <v>-9</v>
      </c>
      <c r="AN54" s="199" t="str">
        <f t="shared" ref="AN54" si="825">IF(O54&gt;P54,", "&amp;P54,IF(P54&gt;O54,", "&amp;-O54,""))</f>
        <v>, -6</v>
      </c>
      <c r="AO54" s="199" t="str">
        <f t="shared" ref="AO54" si="826">IF(Q54&gt;R54,", "&amp;R54,IF(R54&gt;Q54,", "&amp;-Q54,""))</f>
        <v/>
      </c>
      <c r="AP54" s="199" t="str">
        <f t="shared" ref="AP54" si="827">IF(S54&gt;T54,", "&amp;T54,IF(T54&gt;S54,", "&amp;-S54,""))</f>
        <v/>
      </c>
      <c r="AQ54" s="199" t="str">
        <f t="shared" ref="AQ54" si="828">IF(U54&gt;V54,", "&amp;V54,IF(V54&gt;U54,", "&amp;-U54,""))</f>
        <v/>
      </c>
      <c r="AR54" s="199" t="str">
        <f t="shared" ref="AR54" si="829">IF(W54&gt;X54,", "&amp;X54,IF(X54&gt;W54,", "&amp;-W54,""))</f>
        <v/>
      </c>
      <c r="AS54" s="199" t="str">
        <f t="shared" ref="AS54" si="830">IF(Y54&gt;Z54,", "&amp;Z54,IF(Z54&gt;Y54,", "&amp;-Y54,""))</f>
        <v/>
      </c>
      <c r="AU54" s="206">
        <f>1+AU52</f>
        <v>26</v>
      </c>
      <c r="AV54" s="229">
        <f ca="1">VLOOKUP(AV53,$A$4:$L$83,8,FALSE)</f>
        <v>4287</v>
      </c>
      <c r="AW54" s="229" t="str">
        <f ca="1">IF(AV54=0,0,VLOOKUP(AV54,Inscripciones!$B$1:$I$464,2,FALSE))</f>
        <v>MATÍAS RAMÍREZ MARÍN</v>
      </c>
      <c r="AX54" s="230" t="str">
        <f ca="1">IF(AV54=0,0,VLOOKUP(AV54,Inscripciones!$B$1:$L$364,3,FALSE))</f>
        <v>ESCAZÚ</v>
      </c>
      <c r="AY54" s="204"/>
      <c r="AZ54" s="204"/>
      <c r="BA54" s="231"/>
      <c r="BB54" s="210"/>
      <c r="BC54" s="211" t="str">
        <f>VLOOKUP(AY55,$A$4:$AD$83,29,FALSE)</f>
        <v>2 - 1  (5, -9, 9)</v>
      </c>
      <c r="BD54" s="210"/>
      <c r="BE54" s="204"/>
      <c r="BG54" s="235"/>
    </row>
    <row r="55" spans="1:62" s="202" customFormat="1" ht="12.75" x14ac:dyDescent="0.25">
      <c r="A55" s="440"/>
      <c r="B55" s="484"/>
      <c r="C55" s="486"/>
      <c r="D55" s="486"/>
      <c r="E55" s="488"/>
      <c r="F55" s="498"/>
      <c r="G55" s="488" t="s">
        <v>55</v>
      </c>
      <c r="H55" s="488" t="s">
        <v>55</v>
      </c>
      <c r="I55" s="488"/>
      <c r="J55" s="488"/>
      <c r="K55" s="488">
        <v>0</v>
      </c>
      <c r="L55" s="488">
        <v>0</v>
      </c>
      <c r="M55" s="500"/>
      <c r="N55" s="488"/>
      <c r="O55" s="488"/>
      <c r="P55" s="488"/>
      <c r="Q55" s="488"/>
      <c r="R55" s="488"/>
      <c r="S55" s="488"/>
      <c r="T55" s="488"/>
      <c r="U55" s="488"/>
      <c r="V55" s="488"/>
      <c r="W55" s="488"/>
      <c r="X55" s="488"/>
      <c r="Y55" s="488"/>
      <c r="Z55" s="502"/>
      <c r="AA55" s="435"/>
      <c r="AB55" s="435"/>
      <c r="AC55" s="199"/>
      <c r="AD55" s="199" t="str">
        <f t="shared" ref="AD55" si="831">IF(AA54&gt;AB54,AD54&amp;"  "&amp;AE54,IF(AB54&gt;AA54,AD54&amp;"  "&amp;AE55,""))</f>
        <v>2 - 0  (9, 6)</v>
      </c>
      <c r="AE55" s="199" t="str">
        <f t="shared" si="0"/>
        <v>(9, 6)</v>
      </c>
      <c r="AF55" s="199">
        <f t="shared" ref="AF55" si="832">IF(N54&gt;M54,1,0)</f>
        <v>1</v>
      </c>
      <c r="AG55" s="199">
        <f t="shared" ref="AG55" si="833">IF(P54&gt;O54,1,0)</f>
        <v>1</v>
      </c>
      <c r="AH55" s="199">
        <f t="shared" ref="AH55" si="834">IF(R54&gt;Q54,1,0)</f>
        <v>0</v>
      </c>
      <c r="AI55" s="199">
        <f t="shared" ref="AI55" si="835">IF(T54&gt;S54,1,0)</f>
        <v>0</v>
      </c>
      <c r="AJ55" s="199">
        <f t="shared" ref="AJ55" si="836">IF(V54&gt;U54,1,0)</f>
        <v>0</v>
      </c>
      <c r="AK55" s="199">
        <f t="shared" ref="AK55" si="837">IF(X54&gt;W54,1,0)</f>
        <v>0</v>
      </c>
      <c r="AL55" s="199">
        <f t="shared" ref="AL55" si="838">IF(Z54&gt;Y54,1,0)</f>
        <v>0</v>
      </c>
      <c r="AM55" s="199">
        <f t="shared" ref="AM55" si="839">IF(N54&gt;M54,M54,IF(M54&gt;N54,-N54,""))</f>
        <v>9</v>
      </c>
      <c r="AN55" s="199" t="str">
        <f t="shared" ref="AN55" si="840">IF(P54&gt;O54,", "&amp;O54,IF(O54&gt;P54,", "&amp;-P54,""))</f>
        <v>, 6</v>
      </c>
      <c r="AO55" s="199" t="str">
        <f t="shared" ref="AO55" si="841">IF(R54&gt;Q54,", "&amp;Q54,IF(Q54&gt;R54,", "&amp;-R54,""))</f>
        <v/>
      </c>
      <c r="AP55" s="199" t="str">
        <f t="shared" ref="AP55" si="842">IF(T54&gt;S54,", "&amp;S54,IF(S54&gt;T54,", "&amp;-T54,""))</f>
        <v/>
      </c>
      <c r="AQ55" s="199" t="str">
        <f t="shared" ref="AQ55" si="843">IF(V54&gt;U54,", "&amp;U54,IF(U54&gt;V54,", "&amp;-V54,""))</f>
        <v/>
      </c>
      <c r="AR55" s="199" t="str">
        <f t="shared" ref="AR55" si="844">IF(X54&gt;W54,", "&amp;W54,IF(W54&gt;X54,", "&amp;-X54,""))</f>
        <v/>
      </c>
      <c r="AS55" s="199" t="str">
        <f t="shared" ref="AS55" si="845">IF(Z54&gt;Y54,", "&amp;Y54,IF(Y54&gt;Z54,", "&amp;-Z54,""))</f>
        <v/>
      </c>
      <c r="AU55" s="203"/>
      <c r="AV55" s="204"/>
      <c r="AW55" s="204"/>
      <c r="AX55" s="232"/>
      <c r="AY55" s="218">
        <v>23</v>
      </c>
      <c r="AZ55" s="219" t="str">
        <f>VLOOKUP(AY55,$A$4:$L$83,6,FALSE)</f>
        <v>28/Sep-- Table</v>
      </c>
      <c r="BA55" s="233"/>
      <c r="BB55" s="207">
        <f ca="1">VLOOKUP(BB59,$A$4:$L$87,7,FALSE)</f>
        <v>2623</v>
      </c>
      <c r="BC55" s="208" t="str">
        <f ca="1">IF(BB55=0,0,VLOOKUP(BB55,Inscripciones!$B$1:$I$464,2,FALSE))</f>
        <v>MATEO MONGE ARROYO</v>
      </c>
      <c r="BD55" s="209" t="str">
        <f ca="1">IF(BB55=0,0,VLOOKUP(BB55,Inscripciones!$B$1:$L$364,3,FALSE))</f>
        <v>SANTA ANA</v>
      </c>
      <c r="BE55" s="204"/>
      <c r="BG55" s="235"/>
    </row>
    <row r="56" spans="1:62" s="202" customFormat="1" ht="12.75" x14ac:dyDescent="0.25">
      <c r="A56" s="440">
        <v>27</v>
      </c>
      <c r="B56" s="493" t="s">
        <v>122</v>
      </c>
      <c r="C56" s="495" t="s">
        <v>72</v>
      </c>
      <c r="D56" s="495"/>
      <c r="E56" s="479"/>
      <c r="F56" s="491" t="str">
        <f t="shared" si="778"/>
        <v>28/Sep-- Table</v>
      </c>
      <c r="G56" s="479">
        <f ca="1">IF(M44="",0,IF(AA44&gt;AB44,G44,H44))</f>
        <v>3472</v>
      </c>
      <c r="H56" s="479">
        <f ca="1">IF(M46="",0,IF(AA46&gt;AB46,G46,H46))</f>
        <v>4002</v>
      </c>
      <c r="I56" s="479" t="str">
        <f ca="1">IF(G56=0,0,VLOOKUP(G56,Inscripciones!$B$1:$I$464,2,FALSE))</f>
        <v>JAYDRICK SHAMALL BAKER CRAWFORD</v>
      </c>
      <c r="J56" s="479" t="str">
        <f ca="1">IF(G56=0,0,VLOOKUP(G56,Inscripciones!$B$1:$L$364,3,FALSE))</f>
        <v>ASERRÍ - UCR</v>
      </c>
      <c r="K56" s="479" t="str">
        <f ca="1">IF(I56=0,0,VLOOKUP(H56,Inscripciones!$B$1:$I$464,2,FALSE))</f>
        <v>ISMAEL CÁRDENAS ACOSTA</v>
      </c>
      <c r="L56" s="479" t="str">
        <f ca="1">IF(I56=0,0,VLOOKUP(H56,Inscripciones!$B$1:$L$364,3,FALSE))</f>
        <v>CCDR SAN JOSÉ</v>
      </c>
      <c r="M56" s="489">
        <v>11</v>
      </c>
      <c r="N56" s="479">
        <v>6</v>
      </c>
      <c r="O56" s="479">
        <v>11</v>
      </c>
      <c r="P56" s="479">
        <v>2</v>
      </c>
      <c r="Q56" s="479"/>
      <c r="R56" s="479"/>
      <c r="S56" s="479"/>
      <c r="T56" s="479"/>
      <c r="U56" s="479"/>
      <c r="V56" s="479"/>
      <c r="W56" s="479"/>
      <c r="X56" s="479"/>
      <c r="Y56" s="479"/>
      <c r="Z56" s="481"/>
      <c r="AA56" s="435">
        <f t="shared" ref="AA56" si="846">IF(M56+N56&lt;&gt;0,SUM(AF56:AL56),"")</f>
        <v>2</v>
      </c>
      <c r="AB56" s="435">
        <f t="shared" ref="AB56" si="847">IF(M56+N56&lt;&gt;0,SUM(AF57:AL57),"")</f>
        <v>0</v>
      </c>
      <c r="AC56" s="199" t="str">
        <f t="shared" ref="AC56" si="848">IF(AA56&gt;AB56,AD56&amp;"  "&amp;AE56,IF(AB56&gt;AA56,AD56&amp;"  "&amp;AE57,""))</f>
        <v>2 - 0  (6, 2)</v>
      </c>
      <c r="AD56" s="199" t="str">
        <f t="shared" ref="AD56" si="849">IF(AA56&gt;AB56,AA56&amp;" - "&amp;AB56,IF(AB56&gt;AA56,AB56&amp;" - "&amp;AA56,""))</f>
        <v>2 - 0</v>
      </c>
      <c r="AE56" s="199" t="str">
        <f t="shared" si="0"/>
        <v>(6, 2)</v>
      </c>
      <c r="AF56" s="199">
        <f t="shared" ref="AF56" si="850">IF(M56&gt;N56,1,0)</f>
        <v>1</v>
      </c>
      <c r="AG56" s="199">
        <f t="shared" ref="AG56" si="851">IF(O56&gt;P56,1,0)</f>
        <v>1</v>
      </c>
      <c r="AH56" s="199">
        <f t="shared" ref="AH56" si="852">IF(Q56&gt;R56,1,0)</f>
        <v>0</v>
      </c>
      <c r="AI56" s="199">
        <f t="shared" ref="AI56" si="853">IF(S56&gt;T56,1,0)</f>
        <v>0</v>
      </c>
      <c r="AJ56" s="199">
        <f t="shared" ref="AJ56" si="854">IF(U56&gt;V56,1,0)</f>
        <v>0</v>
      </c>
      <c r="AK56" s="199">
        <f t="shared" ref="AK56" si="855">IF(W56&gt;X56,1,0)</f>
        <v>0</v>
      </c>
      <c r="AL56" s="199">
        <f t="shared" ref="AL56" si="856">IF(Y56&gt;Z56,1,0)</f>
        <v>0</v>
      </c>
      <c r="AM56" s="199">
        <f t="shared" ref="AM56" si="857">IF(M56&gt;N56,N56,IF(N56&gt;M56,-M56,""))</f>
        <v>6</v>
      </c>
      <c r="AN56" s="199" t="str">
        <f t="shared" ref="AN56" si="858">IF(O56&gt;P56,", "&amp;P56,IF(P56&gt;O56,", "&amp;-O56,""))</f>
        <v>, 2</v>
      </c>
      <c r="AO56" s="199" t="str">
        <f t="shared" ref="AO56" si="859">IF(Q56&gt;R56,", "&amp;R56,IF(R56&gt;Q56,", "&amp;-Q56,""))</f>
        <v/>
      </c>
      <c r="AP56" s="199" t="str">
        <f t="shared" ref="AP56" si="860">IF(S56&gt;T56,", "&amp;T56,IF(T56&gt;S56,", "&amp;-S56,""))</f>
        <v/>
      </c>
      <c r="AQ56" s="199" t="str">
        <f t="shared" ref="AQ56" si="861">IF(U56&gt;V56,", "&amp;V56,IF(V56&gt;U56,", "&amp;-U56,""))</f>
        <v/>
      </c>
      <c r="AR56" s="199" t="str">
        <f t="shared" ref="AR56" si="862">IF(W56&gt;X56,", "&amp;X56,IF(X56&gt;W56,", "&amp;-W56,""))</f>
        <v/>
      </c>
      <c r="AS56" s="199" t="str">
        <f t="shared" ref="AS56" si="863">IF(Y56&gt;Z56,", "&amp;Z56,IF(Z56&gt;Y56,", "&amp;-Y56,""))</f>
        <v/>
      </c>
      <c r="AU56" s="206">
        <f>1+AU54</f>
        <v>27</v>
      </c>
      <c r="AV56" s="207">
        <f ca="1">VLOOKUP(AV57,$A$4:$L$83,7,FALSE)</f>
        <v>3450</v>
      </c>
      <c r="AW56" s="208" t="str">
        <f ca="1">IF(AV56=0,0,VLOOKUP(AV56,Inscripciones!$B$1:$I$464,2,FALSE))</f>
        <v>OSWALDO IGNACIO SILVA NOVOA</v>
      </c>
      <c r="AX56" s="209" t="str">
        <f ca="1">IF(AV56=0,0,VLOOKUP(AV56,Inscripciones!$B$1:$L$364,3,FALSE))</f>
        <v>SANTA ANA</v>
      </c>
      <c r="AY56" s="234"/>
      <c r="AZ56" s="204"/>
      <c r="BA56" s="231"/>
      <c r="BB56" s="204"/>
      <c r="BC56" s="204"/>
      <c r="BD56" s="231"/>
      <c r="BE56" s="204"/>
      <c r="BG56" s="235"/>
    </row>
    <row r="57" spans="1:62" s="202" customFormat="1" ht="12.75" x14ac:dyDescent="0.25">
      <c r="A57" s="440"/>
      <c r="B57" s="494"/>
      <c r="C57" s="496"/>
      <c r="D57" s="496"/>
      <c r="E57" s="480"/>
      <c r="F57" s="492"/>
      <c r="G57" s="480" t="s">
        <v>55</v>
      </c>
      <c r="H57" s="480" t="s">
        <v>55</v>
      </c>
      <c r="I57" s="480"/>
      <c r="J57" s="480"/>
      <c r="K57" s="480">
        <v>0</v>
      </c>
      <c r="L57" s="480">
        <v>0</v>
      </c>
      <c r="M57" s="490"/>
      <c r="N57" s="480"/>
      <c r="O57" s="480"/>
      <c r="P57" s="480"/>
      <c r="Q57" s="480"/>
      <c r="R57" s="480"/>
      <c r="S57" s="480"/>
      <c r="T57" s="480"/>
      <c r="U57" s="480"/>
      <c r="V57" s="480"/>
      <c r="W57" s="480"/>
      <c r="X57" s="480"/>
      <c r="Y57" s="480"/>
      <c r="Z57" s="482"/>
      <c r="AA57" s="435"/>
      <c r="AB57" s="435"/>
      <c r="AC57" s="199"/>
      <c r="AD57" s="199" t="str">
        <f t="shared" ref="AD57" si="864">IF(AA56&gt;AB56,AD56&amp;"  "&amp;AE56,IF(AB56&gt;AA56,AD56&amp;"  "&amp;AE57,""))</f>
        <v>2 - 0  (6, 2)</v>
      </c>
      <c r="AE57" s="199" t="str">
        <f t="shared" si="0"/>
        <v>(-6, -2)</v>
      </c>
      <c r="AF57" s="199">
        <f t="shared" ref="AF57" si="865">IF(N56&gt;M56,1,0)</f>
        <v>0</v>
      </c>
      <c r="AG57" s="199">
        <f t="shared" ref="AG57" si="866">IF(P56&gt;O56,1,0)</f>
        <v>0</v>
      </c>
      <c r="AH57" s="199">
        <f t="shared" ref="AH57" si="867">IF(R56&gt;Q56,1,0)</f>
        <v>0</v>
      </c>
      <c r="AI57" s="199">
        <f t="shared" ref="AI57" si="868">IF(T56&gt;S56,1,0)</f>
        <v>0</v>
      </c>
      <c r="AJ57" s="199">
        <f t="shared" ref="AJ57" si="869">IF(V56&gt;U56,1,0)</f>
        <v>0</v>
      </c>
      <c r="AK57" s="199">
        <f t="shared" ref="AK57" si="870">IF(X56&gt;W56,1,0)</f>
        <v>0</v>
      </c>
      <c r="AL57" s="199">
        <f t="shared" ref="AL57" si="871">IF(Z56&gt;Y56,1,0)</f>
        <v>0</v>
      </c>
      <c r="AM57" s="199">
        <f t="shared" ref="AM57" si="872">IF(N56&gt;M56,M56,IF(M56&gt;N56,-N56,""))</f>
        <v>-6</v>
      </c>
      <c r="AN57" s="199" t="str">
        <f t="shared" ref="AN57" si="873">IF(P56&gt;O56,", "&amp;O56,IF(O56&gt;P56,", "&amp;-P56,""))</f>
        <v>, -2</v>
      </c>
      <c r="AO57" s="199" t="str">
        <f t="shared" ref="AO57" si="874">IF(R56&gt;Q56,", "&amp;Q56,IF(Q56&gt;R56,", "&amp;-R56,""))</f>
        <v/>
      </c>
      <c r="AP57" s="199" t="str">
        <f t="shared" ref="AP57" si="875">IF(T56&gt;S56,", "&amp;S56,IF(S56&gt;T56,", "&amp;-T56,""))</f>
        <v/>
      </c>
      <c r="AQ57" s="199" t="str">
        <f t="shared" ref="AQ57" si="876">IF(V56&gt;U56,", "&amp;U56,IF(U56&gt;V56,", "&amp;-V56,""))</f>
        <v/>
      </c>
      <c r="AR57" s="199" t="str">
        <f t="shared" ref="AR57" si="877">IF(X56&gt;W56,", "&amp;W56,IF(W56&gt;X56,", "&amp;-X56,""))</f>
        <v/>
      </c>
      <c r="AS57" s="199" t="str">
        <f t="shared" ref="AS57" si="878">IF(Z56&gt;Y56,", "&amp;Y56,IF(Y56&gt;Z56,", "&amp;-Z56,""))</f>
        <v/>
      </c>
      <c r="AU57" s="203"/>
      <c r="AV57" s="218">
        <v>14</v>
      </c>
      <c r="AW57" s="219" t="str">
        <f>VLOOKUP(AV57,$A$4:$L$83,6,FALSE)</f>
        <v>28/Sep-- Table</v>
      </c>
      <c r="AX57" s="220"/>
      <c r="AY57" s="229">
        <f ca="1">VLOOKUP(AY55,$A$4:$L$87,8,FALSE)</f>
        <v>3836</v>
      </c>
      <c r="AZ57" s="229" t="str">
        <f ca="1">IF(AY57=0,0,VLOOKUP(AY57,Inscripciones!$B$1:$I$464,2,FALSE))</f>
        <v>LUCIANO QUIROS AVILA</v>
      </c>
      <c r="BA57" s="230" t="str">
        <f ca="1">IF(AY57=0,0,VLOOKUP(AY57,Inscripciones!$B$1:$L$364,3,FALSE))</f>
        <v>ESCAZÚ</v>
      </c>
      <c r="BB57" s="204"/>
      <c r="BC57" s="204"/>
      <c r="BD57" s="231"/>
      <c r="BE57" s="204"/>
      <c r="BG57" s="235"/>
    </row>
    <row r="58" spans="1:62" s="202" customFormat="1" ht="12.75" x14ac:dyDescent="0.25">
      <c r="A58" s="440">
        <v>28</v>
      </c>
      <c r="B58" s="483" t="s">
        <v>122</v>
      </c>
      <c r="C58" s="485" t="s">
        <v>72</v>
      </c>
      <c r="D58" s="485"/>
      <c r="E58" s="487"/>
      <c r="F58" s="497" t="str">
        <f t="shared" si="812"/>
        <v>28/Sep-- Table</v>
      </c>
      <c r="G58" s="487">
        <f ca="1">IF(M48="",0,IF(AA48&gt;AB48,G48,H48))</f>
        <v>2623</v>
      </c>
      <c r="H58" s="487">
        <f ca="1">IF(M50="",0,IF(AA50&gt;AB50,G50,H50))</f>
        <v>3499</v>
      </c>
      <c r="I58" s="487" t="str">
        <f ca="1">IF(G58=0,0,VLOOKUP(G58,Inscripciones!$B$1:$I$464,2,FALSE))</f>
        <v>MATEO MONGE ARROYO</v>
      </c>
      <c r="J58" s="487" t="str">
        <f ca="1">IF(G58=0,0,VLOOKUP(G58,Inscripciones!$B$1:$L$364,3,FALSE))</f>
        <v>SANTA ANA</v>
      </c>
      <c r="K58" s="487" t="str">
        <f ca="1">IF(I58=0,0,VLOOKUP(H58,Inscripciones!$B$1:$I$464,2,FALSE))</f>
        <v>ESTEBAN MURILLO CHAVES</v>
      </c>
      <c r="L58" s="487" t="str">
        <f ca="1">IF(I58=0,0,VLOOKUP(H58,Inscripciones!$B$1:$L$364,3,FALSE))</f>
        <v>UCR-PÉREZ ZELEDÓN</v>
      </c>
      <c r="M58" s="499">
        <v>11</v>
      </c>
      <c r="N58" s="487">
        <v>8</v>
      </c>
      <c r="O58" s="487">
        <v>11</v>
      </c>
      <c r="P58" s="487">
        <v>6</v>
      </c>
      <c r="Q58" s="487"/>
      <c r="R58" s="487"/>
      <c r="S58" s="487"/>
      <c r="T58" s="487"/>
      <c r="U58" s="487"/>
      <c r="V58" s="487"/>
      <c r="W58" s="487"/>
      <c r="X58" s="487"/>
      <c r="Y58" s="487"/>
      <c r="Z58" s="501"/>
      <c r="AA58" s="435">
        <f t="shared" ref="AA58" si="879">IF(M58+N58&lt;&gt;0,SUM(AF58:AL58),"")</f>
        <v>2</v>
      </c>
      <c r="AB58" s="435">
        <f t="shared" ref="AB58" si="880">IF(M58+N58&lt;&gt;0,SUM(AF59:AL59),"")</f>
        <v>0</v>
      </c>
      <c r="AC58" s="199" t="str">
        <f t="shared" ref="AC58" si="881">IF(AA58&gt;AB58,AD58&amp;"  "&amp;AE58,IF(AB58&gt;AA58,AD58&amp;"  "&amp;AE59,""))</f>
        <v>2 - 0  (8, 6)</v>
      </c>
      <c r="AD58" s="199" t="str">
        <f t="shared" ref="AD58" si="882">IF(AA58&gt;AB58,AA58&amp;" - "&amp;AB58,IF(AB58&gt;AA58,AB58&amp;" - "&amp;AA58,""))</f>
        <v>2 - 0</v>
      </c>
      <c r="AE58" s="199" t="str">
        <f t="shared" si="0"/>
        <v>(8, 6)</v>
      </c>
      <c r="AF58" s="199">
        <f t="shared" ref="AF58" si="883">IF(M58&gt;N58,1,0)</f>
        <v>1</v>
      </c>
      <c r="AG58" s="199">
        <f t="shared" ref="AG58" si="884">IF(O58&gt;P58,1,0)</f>
        <v>1</v>
      </c>
      <c r="AH58" s="199">
        <f t="shared" ref="AH58" si="885">IF(Q58&gt;R58,1,0)</f>
        <v>0</v>
      </c>
      <c r="AI58" s="199">
        <f t="shared" ref="AI58" si="886">IF(S58&gt;T58,1,0)</f>
        <v>0</v>
      </c>
      <c r="AJ58" s="199">
        <f t="shared" ref="AJ58" si="887">IF(U58&gt;V58,1,0)</f>
        <v>0</v>
      </c>
      <c r="AK58" s="199">
        <f t="shared" ref="AK58" si="888">IF(W58&gt;X58,1,0)</f>
        <v>0</v>
      </c>
      <c r="AL58" s="199">
        <f t="shared" ref="AL58" si="889">IF(Y58&gt;Z58,1,0)</f>
        <v>0</v>
      </c>
      <c r="AM58" s="199">
        <f t="shared" ref="AM58" si="890">IF(M58&gt;N58,N58,IF(N58&gt;M58,-M58,""))</f>
        <v>8</v>
      </c>
      <c r="AN58" s="199" t="str">
        <f t="shared" ref="AN58" si="891">IF(O58&gt;P58,", "&amp;P58,IF(P58&gt;O58,", "&amp;-O58,""))</f>
        <v>, 6</v>
      </c>
      <c r="AO58" s="199" t="str">
        <f t="shared" ref="AO58" si="892">IF(Q58&gt;R58,", "&amp;R58,IF(R58&gt;Q58,", "&amp;-Q58,""))</f>
        <v/>
      </c>
      <c r="AP58" s="199" t="str">
        <f t="shared" ref="AP58" si="893">IF(S58&gt;T58,", "&amp;T58,IF(T58&gt;S58,", "&amp;-S58,""))</f>
        <v/>
      </c>
      <c r="AQ58" s="199" t="str">
        <f t="shared" ref="AQ58" si="894">IF(U58&gt;V58,", "&amp;V58,IF(V58&gt;U58,", "&amp;-U58,""))</f>
        <v/>
      </c>
      <c r="AR58" s="199" t="str">
        <f t="shared" ref="AR58" si="895">IF(W58&gt;X58,", "&amp;X58,IF(X58&gt;W58,", "&amp;-W58,""))</f>
        <v/>
      </c>
      <c r="AS58" s="199" t="str">
        <f t="shared" ref="AS58" si="896">IF(Y58&gt;Z58,", "&amp;Z58,IF(Z58&gt;Y58,", "&amp;-Y58,""))</f>
        <v/>
      </c>
      <c r="AU58" s="206">
        <f>1+AU56</f>
        <v>28</v>
      </c>
      <c r="AV58" s="229">
        <f ca="1">VLOOKUP(AV57,$A$4:$L$83,8,FALSE)</f>
        <v>3836</v>
      </c>
      <c r="AW58" s="229" t="str">
        <f ca="1">IF(AV58=0,0,VLOOKUP(AV58,Inscripciones!$B$1:$I$464,2,FALSE))</f>
        <v>LUCIANO QUIROS AVILA</v>
      </c>
      <c r="AX58" s="230" t="str">
        <f ca="1">IF(AV58=0,0,VLOOKUP(AV58,Inscripciones!$B$1:$L$364,3,FALSE))</f>
        <v>ESCAZÚ</v>
      </c>
      <c r="AY58" s="210"/>
      <c r="AZ58" s="211" t="str">
        <f>VLOOKUP(AV57,$A$4:$AD$87,29,FALSE)</f>
        <v>2 - 1  (-8, 6, 8)</v>
      </c>
      <c r="BA58" s="210"/>
      <c r="BB58" s="204"/>
      <c r="BC58" s="204"/>
      <c r="BD58" s="231"/>
      <c r="BE58" s="204"/>
      <c r="BG58" s="235"/>
    </row>
    <row r="59" spans="1:62" s="202" customFormat="1" ht="12.75" x14ac:dyDescent="0.25">
      <c r="A59" s="440"/>
      <c r="B59" s="484"/>
      <c r="C59" s="486"/>
      <c r="D59" s="486"/>
      <c r="E59" s="488"/>
      <c r="F59" s="498"/>
      <c r="G59" s="488" t="s">
        <v>55</v>
      </c>
      <c r="H59" s="488" t="s">
        <v>55</v>
      </c>
      <c r="I59" s="488"/>
      <c r="J59" s="488"/>
      <c r="K59" s="488">
        <v>0</v>
      </c>
      <c r="L59" s="488">
        <v>0</v>
      </c>
      <c r="M59" s="500"/>
      <c r="N59" s="488"/>
      <c r="O59" s="488"/>
      <c r="P59" s="488"/>
      <c r="Q59" s="488"/>
      <c r="R59" s="488"/>
      <c r="S59" s="488"/>
      <c r="T59" s="488"/>
      <c r="U59" s="488"/>
      <c r="V59" s="488"/>
      <c r="W59" s="488"/>
      <c r="X59" s="488"/>
      <c r="Y59" s="488"/>
      <c r="Z59" s="502"/>
      <c r="AA59" s="435"/>
      <c r="AB59" s="435"/>
      <c r="AC59" s="199"/>
      <c r="AD59" s="199" t="str">
        <f t="shared" ref="AD59" si="897">IF(AA58&gt;AB58,AD58&amp;"  "&amp;AE58,IF(AB58&gt;AA58,AD58&amp;"  "&amp;AE59,""))</f>
        <v>2 - 0  (8, 6)</v>
      </c>
      <c r="AE59" s="199" t="str">
        <f t="shared" si="0"/>
        <v>(-8, -6)</v>
      </c>
      <c r="AF59" s="199">
        <f t="shared" ref="AF59" si="898">IF(N58&gt;M58,1,0)</f>
        <v>0</v>
      </c>
      <c r="AG59" s="199">
        <f t="shared" ref="AG59" si="899">IF(P58&gt;O58,1,0)</f>
        <v>0</v>
      </c>
      <c r="AH59" s="199">
        <f t="shared" ref="AH59" si="900">IF(R58&gt;Q58,1,0)</f>
        <v>0</v>
      </c>
      <c r="AI59" s="199">
        <f t="shared" ref="AI59" si="901">IF(T58&gt;S58,1,0)</f>
        <v>0</v>
      </c>
      <c r="AJ59" s="199">
        <f t="shared" ref="AJ59" si="902">IF(V58&gt;U58,1,0)</f>
        <v>0</v>
      </c>
      <c r="AK59" s="199">
        <f t="shared" ref="AK59" si="903">IF(X58&gt;W58,1,0)</f>
        <v>0</v>
      </c>
      <c r="AL59" s="199">
        <f t="shared" ref="AL59" si="904">IF(Z58&gt;Y58,1,0)</f>
        <v>0</v>
      </c>
      <c r="AM59" s="199">
        <f t="shared" ref="AM59" si="905">IF(N58&gt;M58,M58,IF(M58&gt;N58,-N58,""))</f>
        <v>-8</v>
      </c>
      <c r="AN59" s="199" t="str">
        <f t="shared" ref="AN59" si="906">IF(P58&gt;O58,", "&amp;O58,IF(O58&gt;P58,", "&amp;-P58,""))</f>
        <v>, -6</v>
      </c>
      <c r="AO59" s="199" t="str">
        <f t="shared" ref="AO59" si="907">IF(R58&gt;Q58,", "&amp;Q58,IF(Q58&gt;R58,", "&amp;-R58,""))</f>
        <v/>
      </c>
      <c r="AP59" s="199" t="str">
        <f t="shared" ref="AP59" si="908">IF(T58&gt;S58,", "&amp;S58,IF(S58&gt;T58,", "&amp;-T58,""))</f>
        <v/>
      </c>
      <c r="AQ59" s="199" t="str">
        <f t="shared" ref="AQ59" si="909">IF(V58&gt;U58,", "&amp;U58,IF(U58&gt;V58,", "&amp;-V58,""))</f>
        <v/>
      </c>
      <c r="AR59" s="199" t="str">
        <f t="shared" ref="AR59" si="910">IF(X58&gt;W58,", "&amp;W58,IF(W58&gt;X58,", "&amp;-X58,""))</f>
        <v/>
      </c>
      <c r="AS59" s="199" t="str">
        <f t="shared" ref="AS59" si="911">IF(Z58&gt;Y58,", "&amp;Y58,IF(Y58&gt;Z58,", "&amp;-Z58,""))</f>
        <v/>
      </c>
      <c r="AU59" s="203"/>
      <c r="AV59" s="204"/>
      <c r="AW59" s="204"/>
      <c r="AX59" s="232"/>
      <c r="AY59" s="204"/>
      <c r="AZ59" s="204"/>
      <c r="BA59" s="204"/>
      <c r="BB59" s="218">
        <v>28</v>
      </c>
      <c r="BC59" s="219" t="str">
        <f>VLOOKUP(BB59,$A$4:$L$83,6,FALSE)</f>
        <v>28/Sep-- Table</v>
      </c>
      <c r="BD59" s="231"/>
      <c r="BE59" s="229">
        <f ca="1">VLOOKUP(BE51,$A$4:$L$87,8,FALSE)</f>
        <v>2623</v>
      </c>
      <c r="BF59" s="229" t="str">
        <f ca="1">IF(BE59=0,0,VLOOKUP(BE59,Inscripciones!$B$1:$I$464,2,FALSE))</f>
        <v>MATEO MONGE ARROYO</v>
      </c>
      <c r="BG59" s="230" t="str">
        <f ca="1">IF(BE59=0,0,VLOOKUP(BE59,Inscripciones!$B$1:$L$364,3,FALSE))</f>
        <v>SANTA ANA</v>
      </c>
    </row>
    <row r="60" spans="1:62" s="202" customFormat="1" ht="12.75" x14ac:dyDescent="0.25">
      <c r="A60" s="440">
        <v>29</v>
      </c>
      <c r="B60" s="512" t="s">
        <v>123</v>
      </c>
      <c r="C60" s="514" t="s">
        <v>72</v>
      </c>
      <c r="D60" s="514"/>
      <c r="E60" s="503"/>
      <c r="F60" s="510" t="str">
        <f t="shared" si="778"/>
        <v>28/Sep-- Table</v>
      </c>
      <c r="G60" s="503">
        <f ca="1">IF(M52="",0,IF(AA52&gt;AB52,G52,H52))</f>
        <v>2895</v>
      </c>
      <c r="H60" s="503">
        <f ca="1">IF(M54="",0,IF(AA54&gt;AB54,G54,H54))</f>
        <v>3671</v>
      </c>
      <c r="I60" s="503" t="str">
        <f ca="1">IF(G60=0,0,VLOOKUP(G60,Inscripciones!$B$1:$I$464,2,FALSE))</f>
        <v>ANDRES JOSE VEGA VALERIO</v>
      </c>
      <c r="J60" s="503" t="str">
        <f ca="1">IF(G60=0,0,VLOOKUP(G60,Inscripciones!$B$1:$L$364,3,FALSE))</f>
        <v>ALAJUELA - UCR</v>
      </c>
      <c r="K60" s="503" t="str">
        <f ca="1">IF(I60=0,0,VLOOKUP(H60,Inscripciones!$B$1:$I$464,2,FALSE))</f>
        <v>NICOLAS OVARES CASTRO</v>
      </c>
      <c r="L60" s="503" t="str">
        <f ca="1">IF(I60=0,0,VLOOKUP(H60,Inscripciones!$B$1:$L$364,3,FALSE))</f>
        <v>SANTA ANA</v>
      </c>
      <c r="M60" s="508">
        <v>11</v>
      </c>
      <c r="N60" s="503">
        <v>4</v>
      </c>
      <c r="O60" s="503">
        <v>11</v>
      </c>
      <c r="P60" s="503">
        <v>4</v>
      </c>
      <c r="Q60" s="503">
        <v>11</v>
      </c>
      <c r="R60" s="503">
        <v>9</v>
      </c>
      <c r="S60" s="503"/>
      <c r="T60" s="503"/>
      <c r="U60" s="503"/>
      <c r="V60" s="503"/>
      <c r="W60" s="503"/>
      <c r="X60" s="503"/>
      <c r="Y60" s="503"/>
      <c r="Z60" s="505"/>
      <c r="AA60" s="435">
        <f t="shared" ref="AA60" si="912">IF(M60+N60&lt;&gt;0,SUM(AF60:AL60),"")</f>
        <v>3</v>
      </c>
      <c r="AB60" s="435">
        <f t="shared" ref="AB60" si="913">IF(M60+N60&lt;&gt;0,SUM(AF61:AL61),"")</f>
        <v>0</v>
      </c>
      <c r="AC60" s="199" t="str">
        <f t="shared" ref="AC60" si="914">IF(AA60&gt;AB60,AD60&amp;"  "&amp;AE60,IF(AB60&gt;AA60,AD60&amp;"  "&amp;AE61,""))</f>
        <v>3 - 0  (4, 4, 9)</v>
      </c>
      <c r="AD60" s="199" t="str">
        <f t="shared" ref="AD60" si="915">IF(AA60&gt;AB60,AA60&amp;" - "&amp;AB60,IF(AB60&gt;AA60,AB60&amp;" - "&amp;AA60,""))</f>
        <v>3 - 0</v>
      </c>
      <c r="AE60" s="199" t="str">
        <f t="shared" si="0"/>
        <v>(4, 4, 9)</v>
      </c>
      <c r="AF60" s="199">
        <f t="shared" ref="AF60" si="916">IF(M60&gt;N60,1,0)</f>
        <v>1</v>
      </c>
      <c r="AG60" s="199">
        <f t="shared" ref="AG60" si="917">IF(O60&gt;P60,1,0)</f>
        <v>1</v>
      </c>
      <c r="AH60" s="199">
        <f t="shared" ref="AH60" si="918">IF(Q60&gt;R60,1,0)</f>
        <v>1</v>
      </c>
      <c r="AI60" s="199">
        <f t="shared" ref="AI60" si="919">IF(S60&gt;T60,1,0)</f>
        <v>0</v>
      </c>
      <c r="AJ60" s="199">
        <f t="shared" ref="AJ60" si="920">IF(U60&gt;V60,1,0)</f>
        <v>0</v>
      </c>
      <c r="AK60" s="199">
        <f t="shared" ref="AK60" si="921">IF(W60&gt;X60,1,0)</f>
        <v>0</v>
      </c>
      <c r="AL60" s="199">
        <f t="shared" ref="AL60" si="922">IF(Y60&gt;Z60,1,0)</f>
        <v>0</v>
      </c>
      <c r="AM60" s="199">
        <f t="shared" ref="AM60" si="923">IF(M60&gt;N60,N60,IF(N60&gt;M60,-M60,""))</f>
        <v>4</v>
      </c>
      <c r="AN60" s="199" t="str">
        <f t="shared" ref="AN60" si="924">IF(O60&gt;P60,", "&amp;P60,IF(P60&gt;O60,", "&amp;-O60,""))</f>
        <v>, 4</v>
      </c>
      <c r="AO60" s="199" t="str">
        <f t="shared" ref="AO60" si="925">IF(Q60&gt;R60,", "&amp;R60,IF(R60&gt;Q60,", "&amp;-Q60,""))</f>
        <v>, 9</v>
      </c>
      <c r="AP60" s="199" t="str">
        <f t="shared" ref="AP60" si="926">IF(S60&gt;T60,", "&amp;T60,IF(T60&gt;S60,", "&amp;-S60,""))</f>
        <v/>
      </c>
      <c r="AQ60" s="199" t="str">
        <f t="shared" ref="AQ60" si="927">IF(U60&gt;V60,", "&amp;V60,IF(V60&gt;U60,", "&amp;-U60,""))</f>
        <v/>
      </c>
      <c r="AR60" s="199" t="str">
        <f t="shared" ref="AR60" si="928">IF(W60&gt;X60,", "&amp;X60,IF(X60&gt;W60,", "&amp;-W60,""))</f>
        <v/>
      </c>
      <c r="AS60" s="199" t="str">
        <f t="shared" ref="AS60" si="929">IF(Y60&gt;Z60,", "&amp;Z60,IF(Z60&gt;Y60,", "&amp;-Y60,""))</f>
        <v/>
      </c>
      <c r="AU60" s="206">
        <f>1+AU58</f>
        <v>29</v>
      </c>
      <c r="AV60" s="207">
        <f ca="1">VLOOKUP(AV61,$A$4:$L$83,7,FALSE)</f>
        <v>3499</v>
      </c>
      <c r="AW60" s="208" t="str">
        <f ca="1">IF(AV60=0,0,VLOOKUP(AV60,Inscripciones!$B$1:$I$464,2,FALSE))</f>
        <v>ESTEBAN MURILLO CHAVES</v>
      </c>
      <c r="AX60" s="209" t="str">
        <f ca="1">IF(AV60=0,0,VLOOKUP(AV60,Inscripciones!$B$1:$L$364,3,FALSE))</f>
        <v>UCR-PÉREZ ZELEDÓN</v>
      </c>
      <c r="AY60" s="210"/>
      <c r="AZ60" s="211" t="str">
        <f>VLOOKUP(AV61,$A$4:$AD$83,29,FALSE)</f>
        <v>2 - 0  (5, 6)</v>
      </c>
      <c r="BA60" s="210"/>
      <c r="BB60" s="204"/>
      <c r="BC60" s="204"/>
      <c r="BD60" s="231"/>
      <c r="BE60" s="210"/>
      <c r="BF60" s="211" t="str">
        <f>VLOOKUP(BB59,$A$4:$AD$87,29,FALSE)</f>
        <v>2 - 0  (8, 6)</v>
      </c>
      <c r="BG60" s="210"/>
    </row>
    <row r="61" spans="1:62" s="202" customFormat="1" ht="12.75" x14ac:dyDescent="0.25">
      <c r="A61" s="440"/>
      <c r="B61" s="513"/>
      <c r="C61" s="515"/>
      <c r="D61" s="515"/>
      <c r="E61" s="504"/>
      <c r="F61" s="511"/>
      <c r="G61" s="504" t="s">
        <v>55</v>
      </c>
      <c r="H61" s="504" t="s">
        <v>55</v>
      </c>
      <c r="I61" s="504"/>
      <c r="J61" s="504"/>
      <c r="K61" s="504">
        <v>0</v>
      </c>
      <c r="L61" s="504">
        <v>0</v>
      </c>
      <c r="M61" s="509"/>
      <c r="N61" s="504"/>
      <c r="O61" s="504"/>
      <c r="P61" s="504"/>
      <c r="Q61" s="504"/>
      <c r="R61" s="504"/>
      <c r="S61" s="504"/>
      <c r="T61" s="504"/>
      <c r="U61" s="504"/>
      <c r="V61" s="504"/>
      <c r="W61" s="504"/>
      <c r="X61" s="504"/>
      <c r="Y61" s="504"/>
      <c r="Z61" s="506"/>
      <c r="AA61" s="435"/>
      <c r="AB61" s="435"/>
      <c r="AC61" s="199"/>
      <c r="AD61" s="199" t="str">
        <f t="shared" ref="AD61" si="930">IF(AA60&gt;AB60,AD60&amp;"  "&amp;AE60,IF(AB60&gt;AA60,AD60&amp;"  "&amp;AE61,""))</f>
        <v>3 - 0  (4, 4, 9)</v>
      </c>
      <c r="AE61" s="199" t="str">
        <f t="shared" si="0"/>
        <v>(-4, -4, -9)</v>
      </c>
      <c r="AF61" s="199">
        <f t="shared" ref="AF61" si="931">IF(N60&gt;M60,1,0)</f>
        <v>0</v>
      </c>
      <c r="AG61" s="199">
        <f t="shared" ref="AG61" si="932">IF(P60&gt;O60,1,0)</f>
        <v>0</v>
      </c>
      <c r="AH61" s="199">
        <f t="shared" ref="AH61" si="933">IF(R60&gt;Q60,1,0)</f>
        <v>0</v>
      </c>
      <c r="AI61" s="199">
        <f t="shared" ref="AI61" si="934">IF(T60&gt;S60,1,0)</f>
        <v>0</v>
      </c>
      <c r="AJ61" s="199">
        <f t="shared" ref="AJ61" si="935">IF(V60&gt;U60,1,0)</f>
        <v>0</v>
      </c>
      <c r="AK61" s="199">
        <f t="shared" ref="AK61" si="936">IF(X60&gt;W60,1,0)</f>
        <v>0</v>
      </c>
      <c r="AL61" s="199">
        <f t="shared" ref="AL61" si="937">IF(Z60&gt;Y60,1,0)</f>
        <v>0</v>
      </c>
      <c r="AM61" s="199">
        <f t="shared" ref="AM61" si="938">IF(N60&gt;M60,M60,IF(M60&gt;N60,-N60,""))</f>
        <v>-4</v>
      </c>
      <c r="AN61" s="199" t="str">
        <f t="shared" ref="AN61" si="939">IF(P60&gt;O60,", "&amp;O60,IF(O60&gt;P60,", "&amp;-P60,""))</f>
        <v>, -4</v>
      </c>
      <c r="AO61" s="199" t="str">
        <f t="shared" ref="AO61" si="940">IF(R60&gt;Q60,", "&amp;Q60,IF(Q60&gt;R60,", "&amp;-R60,""))</f>
        <v>, -9</v>
      </c>
      <c r="AP61" s="199" t="str">
        <f t="shared" ref="AP61" si="941">IF(T60&gt;S60,", "&amp;S60,IF(S60&gt;T60,", "&amp;-T60,""))</f>
        <v/>
      </c>
      <c r="AQ61" s="199" t="str">
        <f t="shared" ref="AQ61" si="942">IF(V60&gt;U60,", "&amp;U60,IF(U60&gt;V60,", "&amp;-V60,""))</f>
        <v/>
      </c>
      <c r="AR61" s="199" t="str">
        <f t="shared" ref="AR61" si="943">IF(X60&gt;W60,", "&amp;W60,IF(W60&gt;X60,", "&amp;-X60,""))</f>
        <v/>
      </c>
      <c r="AS61" s="199" t="str">
        <f t="shared" ref="AS61" si="944">IF(Z60&gt;Y60,", "&amp;Y60,IF(Y60&gt;Z60,", "&amp;-Z60,""))</f>
        <v/>
      </c>
      <c r="AU61" s="203"/>
      <c r="AV61" s="218">
        <v>15</v>
      </c>
      <c r="AW61" s="219" t="str">
        <f>VLOOKUP(AV61,$A$4:$L$83,6,FALSE)</f>
        <v>28/Sep-- Table</v>
      </c>
      <c r="AX61" s="220"/>
      <c r="AY61" s="207">
        <f ca="1">VLOOKUP(AY63,$A$4:$L$87,7,FALSE)</f>
        <v>3499</v>
      </c>
      <c r="AZ61" s="208" t="str">
        <f ca="1">IF(AY61=0,0,VLOOKUP(AY61,Inscripciones!$B$1:$I$464,2,FALSE))</f>
        <v>ESTEBAN MURILLO CHAVES</v>
      </c>
      <c r="BA61" s="209" t="str">
        <f ca="1">IF(AY61=0,0,VLOOKUP(AY61,Inscripciones!$B$1:$L$364,3,FALSE))</f>
        <v>UCR-PÉREZ ZELEDÓN</v>
      </c>
      <c r="BB61" s="204"/>
      <c r="BC61" s="204"/>
      <c r="BD61" s="231"/>
      <c r="BE61" s="204"/>
    </row>
    <row r="62" spans="1:62" s="202" customFormat="1" ht="12.75" x14ac:dyDescent="0.25">
      <c r="A62" s="440">
        <v>30</v>
      </c>
      <c r="B62" s="507" t="s">
        <v>123</v>
      </c>
      <c r="C62" s="465" t="s">
        <v>72</v>
      </c>
      <c r="D62" s="465"/>
      <c r="E62" s="467"/>
      <c r="F62" s="473" t="str">
        <f t="shared" si="812"/>
        <v>28/Sep-- Table</v>
      </c>
      <c r="G62" s="467">
        <f ca="1">IF(M56="",0,IF(AA56&gt;AB56,G56,H56))</f>
        <v>3472</v>
      </c>
      <c r="H62" s="467">
        <f ca="1">IF(M58="",0,IF(AA58&gt;AB58,G58,H58))</f>
        <v>2623</v>
      </c>
      <c r="I62" s="467" t="str">
        <f ca="1">IF(G62=0,0,VLOOKUP(G62,Inscripciones!$B$1:$I$464,2,FALSE))</f>
        <v>JAYDRICK SHAMALL BAKER CRAWFORD</v>
      </c>
      <c r="J62" s="467" t="str">
        <f ca="1">IF(G62=0,0,VLOOKUP(G62,Inscripciones!$B$1:$L$364,3,FALSE))</f>
        <v>ASERRÍ - UCR</v>
      </c>
      <c r="K62" s="467" t="str">
        <f ca="1">IF(I62=0,0,VLOOKUP(H62,Inscripciones!$B$1:$I$464,2,FALSE))</f>
        <v>MATEO MONGE ARROYO</v>
      </c>
      <c r="L62" s="467" t="str">
        <f ca="1">IF(I62=0,0,VLOOKUP(H62,Inscripciones!$B$1:$L$364,3,FALSE))</f>
        <v>SANTA ANA</v>
      </c>
      <c r="M62" s="475">
        <v>5</v>
      </c>
      <c r="N62" s="467">
        <v>11</v>
      </c>
      <c r="O62" s="467">
        <v>13</v>
      </c>
      <c r="P62" s="467">
        <v>15</v>
      </c>
      <c r="Q62" s="467">
        <v>12</v>
      </c>
      <c r="R62" s="467">
        <v>14</v>
      </c>
      <c r="S62" s="467"/>
      <c r="T62" s="467"/>
      <c r="U62" s="467"/>
      <c r="V62" s="467"/>
      <c r="W62" s="467"/>
      <c r="X62" s="467"/>
      <c r="Y62" s="467"/>
      <c r="Z62" s="477"/>
      <c r="AA62" s="435">
        <f t="shared" ref="AA62" si="945">IF(M62+N62&lt;&gt;0,SUM(AF62:AL62),"")</f>
        <v>0</v>
      </c>
      <c r="AB62" s="435">
        <f t="shared" ref="AB62" si="946">IF(M62+N62&lt;&gt;0,SUM(AF63:AL63),"")</f>
        <v>3</v>
      </c>
      <c r="AC62" s="199" t="str">
        <f t="shared" ref="AC62" si="947">IF(AA62&gt;AB62,AD62&amp;"  "&amp;AE62,IF(AB62&gt;AA62,AD62&amp;"  "&amp;AE63,""))</f>
        <v>3 - 0  (5, 13, 12)</v>
      </c>
      <c r="AD62" s="199" t="str">
        <f t="shared" ref="AD62" si="948">IF(AA62&gt;AB62,AA62&amp;" - "&amp;AB62,IF(AB62&gt;AA62,AB62&amp;" - "&amp;AA62,""))</f>
        <v>3 - 0</v>
      </c>
      <c r="AE62" s="199" t="str">
        <f t="shared" si="0"/>
        <v>(-5, -13, -12)</v>
      </c>
      <c r="AF62" s="199">
        <f t="shared" ref="AF62" si="949">IF(M62&gt;N62,1,0)</f>
        <v>0</v>
      </c>
      <c r="AG62" s="199">
        <f t="shared" ref="AG62" si="950">IF(O62&gt;P62,1,0)</f>
        <v>0</v>
      </c>
      <c r="AH62" s="199">
        <f t="shared" ref="AH62" si="951">IF(Q62&gt;R62,1,0)</f>
        <v>0</v>
      </c>
      <c r="AI62" s="199">
        <f t="shared" ref="AI62" si="952">IF(S62&gt;T62,1,0)</f>
        <v>0</v>
      </c>
      <c r="AJ62" s="199">
        <f t="shared" ref="AJ62" si="953">IF(U62&gt;V62,1,0)</f>
        <v>0</v>
      </c>
      <c r="AK62" s="199">
        <f t="shared" ref="AK62" si="954">IF(W62&gt;X62,1,0)</f>
        <v>0</v>
      </c>
      <c r="AL62" s="199">
        <f t="shared" ref="AL62" si="955">IF(Y62&gt;Z62,1,0)</f>
        <v>0</v>
      </c>
      <c r="AM62" s="199">
        <f t="shared" ref="AM62" si="956">IF(M62&gt;N62,N62,IF(N62&gt;M62,-M62,""))</f>
        <v>-5</v>
      </c>
      <c r="AN62" s="199" t="str">
        <f t="shared" ref="AN62" si="957">IF(O62&gt;P62,", "&amp;P62,IF(P62&gt;O62,", "&amp;-O62,""))</f>
        <v>, -13</v>
      </c>
      <c r="AO62" s="199" t="str">
        <f t="shared" ref="AO62" si="958">IF(Q62&gt;R62,", "&amp;R62,IF(R62&gt;Q62,", "&amp;-Q62,""))</f>
        <v>, -12</v>
      </c>
      <c r="AP62" s="199" t="str">
        <f t="shared" ref="AP62" si="959">IF(S62&gt;T62,", "&amp;T62,IF(T62&gt;S62,", "&amp;-S62,""))</f>
        <v/>
      </c>
      <c r="AQ62" s="199" t="str">
        <f t="shared" ref="AQ62" si="960">IF(U62&gt;V62,", "&amp;V62,IF(V62&gt;U62,", "&amp;-U62,""))</f>
        <v/>
      </c>
      <c r="AR62" s="199" t="str">
        <f t="shared" ref="AR62" si="961">IF(W62&gt;X62,", "&amp;X62,IF(X62&gt;W62,", "&amp;-W62,""))</f>
        <v/>
      </c>
      <c r="AS62" s="199" t="str">
        <f t="shared" ref="AS62" si="962">IF(Y62&gt;Z62,", "&amp;Z62,IF(Z62&gt;Y62,", "&amp;-Y62,""))</f>
        <v/>
      </c>
      <c r="AU62" s="206">
        <f>1+AU60</f>
        <v>30</v>
      </c>
      <c r="AV62" s="229">
        <f ca="1">VLOOKUP(AV61,$A$4:$L$83,8,FALSE)</f>
        <v>4284</v>
      </c>
      <c r="AW62" s="229" t="str">
        <f ca="1">IF(AV62=0,0,VLOOKUP(AV62,Inscripciones!$B$1:$I$464,2,FALSE))</f>
        <v>IAN SOLÍS CARRANZA</v>
      </c>
      <c r="AX62" s="230" t="str">
        <f ca="1">IF(AV62=0,0,VLOOKUP(AV62,Inscripciones!$B$1:$L$364,3,FALSE))</f>
        <v>SANTO DOMINGO</v>
      </c>
      <c r="AY62" s="204"/>
      <c r="AZ62" s="204"/>
      <c r="BA62" s="231"/>
      <c r="BB62" s="204"/>
      <c r="BC62" s="204"/>
      <c r="BD62" s="231"/>
      <c r="BE62" s="204"/>
    </row>
    <row r="63" spans="1:62" s="202" customFormat="1" ht="12.75" x14ac:dyDescent="0.25">
      <c r="A63" s="440"/>
      <c r="B63" s="464"/>
      <c r="C63" s="466"/>
      <c r="D63" s="466"/>
      <c r="E63" s="468"/>
      <c r="F63" s="474"/>
      <c r="G63" s="468" t="s">
        <v>55</v>
      </c>
      <c r="H63" s="468" t="s">
        <v>55</v>
      </c>
      <c r="I63" s="468"/>
      <c r="J63" s="468"/>
      <c r="K63" s="468">
        <v>0</v>
      </c>
      <c r="L63" s="468">
        <v>0</v>
      </c>
      <c r="M63" s="476"/>
      <c r="N63" s="468"/>
      <c r="O63" s="468"/>
      <c r="P63" s="468"/>
      <c r="Q63" s="468"/>
      <c r="R63" s="468"/>
      <c r="S63" s="468"/>
      <c r="T63" s="468"/>
      <c r="U63" s="468"/>
      <c r="V63" s="468"/>
      <c r="W63" s="468"/>
      <c r="X63" s="468"/>
      <c r="Y63" s="468"/>
      <c r="Z63" s="478"/>
      <c r="AA63" s="435"/>
      <c r="AB63" s="435"/>
      <c r="AC63" s="199"/>
      <c r="AD63" s="199" t="str">
        <f t="shared" ref="AD63" si="963">IF(AA62&gt;AB62,AD62&amp;"  "&amp;AE62,IF(AB62&gt;AA62,AD62&amp;"  "&amp;AE63,""))</f>
        <v>3 - 0  (5, 13, 12)</v>
      </c>
      <c r="AE63" s="199" t="str">
        <f t="shared" si="0"/>
        <v>(5, 13, 12)</v>
      </c>
      <c r="AF63" s="199">
        <f t="shared" ref="AF63" si="964">IF(N62&gt;M62,1,0)</f>
        <v>1</v>
      </c>
      <c r="AG63" s="199">
        <f t="shared" ref="AG63" si="965">IF(P62&gt;O62,1,0)</f>
        <v>1</v>
      </c>
      <c r="AH63" s="199">
        <f t="shared" ref="AH63" si="966">IF(R62&gt;Q62,1,0)</f>
        <v>1</v>
      </c>
      <c r="AI63" s="199">
        <f t="shared" ref="AI63" si="967">IF(T62&gt;S62,1,0)</f>
        <v>0</v>
      </c>
      <c r="AJ63" s="199">
        <f t="shared" ref="AJ63" si="968">IF(V62&gt;U62,1,0)</f>
        <v>0</v>
      </c>
      <c r="AK63" s="199">
        <f t="shared" ref="AK63" si="969">IF(X62&gt;W62,1,0)</f>
        <v>0</v>
      </c>
      <c r="AL63" s="199">
        <f t="shared" ref="AL63" si="970">IF(Z62&gt;Y62,1,0)</f>
        <v>0</v>
      </c>
      <c r="AM63" s="199">
        <f t="shared" ref="AM63" si="971">IF(N62&gt;M62,M62,IF(M62&gt;N62,-N62,""))</f>
        <v>5</v>
      </c>
      <c r="AN63" s="199" t="str">
        <f t="shared" ref="AN63" si="972">IF(P62&gt;O62,", "&amp;O62,IF(O62&gt;P62,", "&amp;-P62,""))</f>
        <v>, 13</v>
      </c>
      <c r="AO63" s="199" t="str">
        <f t="shared" ref="AO63" si="973">IF(R62&gt;Q62,", "&amp;Q62,IF(Q62&gt;R62,", "&amp;-R62,""))</f>
        <v>, 12</v>
      </c>
      <c r="AP63" s="199" t="str">
        <f t="shared" ref="AP63" si="974">IF(T62&gt;S62,", "&amp;S62,IF(S62&gt;T62,", "&amp;-T62,""))</f>
        <v/>
      </c>
      <c r="AQ63" s="199" t="str">
        <f t="shared" ref="AQ63" si="975">IF(V62&gt;U62,", "&amp;U62,IF(U62&gt;V62,", "&amp;-V62,""))</f>
        <v/>
      </c>
      <c r="AR63" s="199" t="str">
        <f t="shared" ref="AR63" si="976">IF(X62&gt;W62,", "&amp;W62,IF(W62&gt;X62,", "&amp;-X62,""))</f>
        <v/>
      </c>
      <c r="AS63" s="199" t="str">
        <f t="shared" ref="AS63" si="977">IF(Z62&gt;Y62,", "&amp;Y62,IF(Y62&gt;Z62,", "&amp;-Z62,""))</f>
        <v/>
      </c>
      <c r="AU63" s="203"/>
      <c r="AV63" s="204"/>
      <c r="AW63" s="204"/>
      <c r="AX63" s="232"/>
      <c r="AY63" s="218">
        <v>24</v>
      </c>
      <c r="AZ63" s="219" t="str">
        <f>VLOOKUP(AY63,$A$4:$L$83,6,FALSE)</f>
        <v>28/Sep-- Table</v>
      </c>
      <c r="BA63" s="233"/>
      <c r="BB63" s="229">
        <f ca="1">VLOOKUP(BB59,$A$4:$L$87,8,FALSE)</f>
        <v>3499</v>
      </c>
      <c r="BC63" s="229" t="str">
        <f ca="1">IF(BB63=0,0,VLOOKUP(BB63,Inscripciones!$B$1:$I$464,2,FALSE))</f>
        <v>ESTEBAN MURILLO CHAVES</v>
      </c>
      <c r="BD63" s="230" t="str">
        <f ca="1">IF(BB63=0,0,VLOOKUP(BB63,Inscripciones!$B$1:$L$364,3,FALSE))</f>
        <v>UCR-PÉREZ ZELEDÓN</v>
      </c>
      <c r="BE63" s="204"/>
    </row>
    <row r="64" spans="1:62" s="202" customFormat="1" ht="12.75" x14ac:dyDescent="0.25">
      <c r="A64" s="440">
        <v>31</v>
      </c>
      <c r="B64" s="531" t="s">
        <v>124</v>
      </c>
      <c r="C64" s="533" t="s">
        <v>72</v>
      </c>
      <c r="D64" s="533"/>
      <c r="E64" s="516"/>
      <c r="F64" s="529" t="str">
        <f t="shared" si="778"/>
        <v>28/Sep-- Table</v>
      </c>
      <c r="G64" s="516">
        <f ca="1">IF(M60="",0,IF(AA60&lt;AB60,G60,H60))</f>
        <v>3671</v>
      </c>
      <c r="H64" s="516">
        <f ca="1">IF(M62="",0,IF(AA62&lt;AB62,G62,H62))</f>
        <v>3472</v>
      </c>
      <c r="I64" s="516" t="str">
        <f ca="1">IF(G64=0,0,VLOOKUP(G64,Inscripciones!$B$1:$I$464,2,FALSE))</f>
        <v>NICOLAS OVARES CASTRO</v>
      </c>
      <c r="J64" s="516" t="str">
        <f ca="1">IF(G64=0,0,VLOOKUP(G64,Inscripciones!$B$1:$L$364,3,FALSE))</f>
        <v>SANTA ANA</v>
      </c>
      <c r="K64" s="516" t="str">
        <f ca="1">IF(I64=0,0,VLOOKUP(H64,Inscripciones!$B$1:$I$464,2,FALSE))</f>
        <v>JAYDRICK SHAMALL BAKER CRAWFORD</v>
      </c>
      <c r="L64" s="516" t="str">
        <f ca="1">IF(I64=0,0,VLOOKUP(H64,Inscripciones!$B$1:$L$364,3,FALSE))</f>
        <v>ASERRÍ - UCR</v>
      </c>
      <c r="M64" s="527"/>
      <c r="N64" s="516"/>
      <c r="O64" s="516"/>
      <c r="P64" s="516"/>
      <c r="Q64" s="516"/>
      <c r="R64" s="516"/>
      <c r="S64" s="516"/>
      <c r="T64" s="516"/>
      <c r="U64" s="516"/>
      <c r="V64" s="516"/>
      <c r="W64" s="516"/>
      <c r="X64" s="516"/>
      <c r="Y64" s="516"/>
      <c r="Z64" s="518"/>
      <c r="AA64" s="520" t="str">
        <f t="shared" ref="AA64" si="978">IF(M64+N64&lt;&gt;0,SUM(AF64:AL64),"")</f>
        <v/>
      </c>
      <c r="AB64" s="520" t="str">
        <f t="shared" ref="AB64" si="979">IF(M64+N64&lt;&gt;0,SUM(AF65:AL65),"")</f>
        <v/>
      </c>
      <c r="AC64" s="219" t="str">
        <f t="shared" ref="AC64" si="980">IF(AA64&gt;AB64,AD64&amp;"  "&amp;AE64,IF(AB64&gt;AA64,AD64&amp;"  "&amp;AE65,""))</f>
        <v/>
      </c>
      <c r="AD64" s="219" t="str">
        <f t="shared" ref="AD64" si="981">IF(AA64&gt;AB64,AA64&amp;" - "&amp;AB64,IF(AB64&gt;AA64,AB64&amp;" - "&amp;AA64,""))</f>
        <v/>
      </c>
      <c r="AE64" s="219" t="str">
        <f t="shared" si="0"/>
        <v>()</v>
      </c>
      <c r="AF64" s="219">
        <f t="shared" ref="AF64" si="982">IF(M64&gt;N64,1,0)</f>
        <v>0</v>
      </c>
      <c r="AG64" s="219">
        <f t="shared" ref="AG64" si="983">IF(O64&gt;P64,1,0)</f>
        <v>0</v>
      </c>
      <c r="AH64" s="219">
        <f t="shared" ref="AH64" si="984">IF(Q64&gt;R64,1,0)</f>
        <v>0</v>
      </c>
      <c r="AI64" s="219">
        <f t="shared" ref="AI64" si="985">IF(S64&gt;T64,1,0)</f>
        <v>0</v>
      </c>
      <c r="AJ64" s="219">
        <f t="shared" ref="AJ64" si="986">IF(U64&gt;V64,1,0)</f>
        <v>0</v>
      </c>
      <c r="AK64" s="219">
        <f t="shared" ref="AK64" si="987">IF(W64&gt;X64,1,0)</f>
        <v>0</v>
      </c>
      <c r="AL64" s="219">
        <f t="shared" ref="AL64" si="988">IF(Y64&gt;Z64,1,0)</f>
        <v>0</v>
      </c>
      <c r="AM64" s="199" t="str">
        <f t="shared" ref="AM64" si="989">IF(M64&gt;N64,N64,IF(N64&gt;M64,-M64,""))</f>
        <v/>
      </c>
      <c r="AN64" s="199" t="str">
        <f t="shared" ref="AN64" si="990">IF(O64&gt;P64,", "&amp;P64,IF(P64&gt;O64,", "&amp;-O64,""))</f>
        <v/>
      </c>
      <c r="AO64" s="199" t="str">
        <f t="shared" ref="AO64" si="991">IF(Q64&gt;R64,", "&amp;R64,IF(R64&gt;Q64,", "&amp;-Q64,""))</f>
        <v/>
      </c>
      <c r="AP64" s="199" t="str">
        <f t="shared" ref="AP64" si="992">IF(S64&gt;T64,", "&amp;T64,IF(T64&gt;S64,", "&amp;-S64,""))</f>
        <v/>
      </c>
      <c r="AQ64" s="199" t="str">
        <f t="shared" ref="AQ64" si="993">IF(U64&gt;V64,", "&amp;V64,IF(V64&gt;U64,", "&amp;-U64,""))</f>
        <v/>
      </c>
      <c r="AR64" s="199" t="str">
        <f t="shared" ref="AR64" si="994">IF(W64&gt;X64,", "&amp;X64,IF(X64&gt;W64,", "&amp;-W64,""))</f>
        <v/>
      </c>
      <c r="AS64" s="199" t="str">
        <f t="shared" ref="AS64" si="995">IF(Y64&gt;Z64,", "&amp;Z64,IF(Z64&gt;Y64,", "&amp;-Y64,""))</f>
        <v/>
      </c>
      <c r="AT64" s="261"/>
      <c r="AU64" s="206">
        <f>1+AU62</f>
        <v>31</v>
      </c>
      <c r="AV64" s="207">
        <f ca="1">VLOOKUP(AV65,$A$4:$L$83,7,FALSE)</f>
        <v>3449</v>
      </c>
      <c r="AW64" s="208" t="str">
        <f ca="1">IF(AV64=0,0,VLOOKUP(AV64,Inscripciones!$B$1:$I$464,2,FALSE))</f>
        <v>REINEL ANTONIO VANEGAS LACAYO</v>
      </c>
      <c r="AX64" s="209" t="str">
        <f ca="1">IF(AV64=0,0,VLOOKUP(AV64,Inscripciones!$B$1:$L$364,3,FALSE))</f>
        <v>ALAJUELA</v>
      </c>
      <c r="AY64" s="234"/>
      <c r="AZ64" s="204"/>
      <c r="BA64" s="231"/>
      <c r="BB64" s="210"/>
      <c r="BC64" s="211" t="str">
        <f>VLOOKUP(AY63,$A$4:$AD$87,29,FALSE)</f>
        <v>2 - 0  (10, 6)</v>
      </c>
      <c r="BD64" s="210"/>
      <c r="BE64" s="204"/>
    </row>
    <row r="65" spans="1:62" s="202" customFormat="1" ht="12.75" x14ac:dyDescent="0.25">
      <c r="A65" s="440"/>
      <c r="B65" s="532"/>
      <c r="C65" s="534"/>
      <c r="D65" s="534"/>
      <c r="E65" s="517"/>
      <c r="F65" s="530"/>
      <c r="G65" s="517" t="s">
        <v>55</v>
      </c>
      <c r="H65" s="517" t="s">
        <v>55</v>
      </c>
      <c r="I65" s="517"/>
      <c r="J65" s="517"/>
      <c r="K65" s="517">
        <v>0</v>
      </c>
      <c r="L65" s="517">
        <v>0</v>
      </c>
      <c r="M65" s="528"/>
      <c r="N65" s="517"/>
      <c r="O65" s="517"/>
      <c r="P65" s="517"/>
      <c r="Q65" s="517"/>
      <c r="R65" s="517"/>
      <c r="S65" s="517"/>
      <c r="T65" s="517"/>
      <c r="U65" s="517"/>
      <c r="V65" s="517"/>
      <c r="W65" s="517"/>
      <c r="X65" s="517"/>
      <c r="Y65" s="517"/>
      <c r="Z65" s="519"/>
      <c r="AA65" s="520"/>
      <c r="AB65" s="520"/>
      <c r="AC65" s="219"/>
      <c r="AD65" s="219" t="str">
        <f t="shared" ref="AD65" si="996">IF(AA64&gt;AB64,AD64&amp;"  "&amp;AE64,IF(AB64&gt;AA64,AD64&amp;"  "&amp;AE65,""))</f>
        <v/>
      </c>
      <c r="AE65" s="219" t="str">
        <f t="shared" si="0"/>
        <v>()</v>
      </c>
      <c r="AF65" s="219">
        <f t="shared" ref="AF65" si="997">IF(N64&gt;M64,1,0)</f>
        <v>0</v>
      </c>
      <c r="AG65" s="219">
        <f t="shared" ref="AG65" si="998">IF(P64&gt;O64,1,0)</f>
        <v>0</v>
      </c>
      <c r="AH65" s="219">
        <f t="shared" ref="AH65" si="999">IF(R64&gt;Q64,1,0)</f>
        <v>0</v>
      </c>
      <c r="AI65" s="219">
        <f t="shared" ref="AI65" si="1000">IF(T64&gt;S64,1,0)</f>
        <v>0</v>
      </c>
      <c r="AJ65" s="219">
        <f t="shared" ref="AJ65" si="1001">IF(V64&gt;U64,1,0)</f>
        <v>0</v>
      </c>
      <c r="AK65" s="219">
        <f t="shared" ref="AK65" si="1002">IF(X64&gt;W64,1,0)</f>
        <v>0</v>
      </c>
      <c r="AL65" s="219">
        <f t="shared" ref="AL65" si="1003">IF(Z64&gt;Y64,1,0)</f>
        <v>0</v>
      </c>
      <c r="AM65" s="199" t="str">
        <f t="shared" ref="AM65" si="1004">IF(N64&gt;M64,M64,IF(M64&gt;N64,-N64,""))</f>
        <v/>
      </c>
      <c r="AN65" s="199" t="str">
        <f t="shared" ref="AN65" si="1005">IF(P64&gt;O64,", "&amp;O64,IF(O64&gt;P64,", "&amp;-P64,""))</f>
        <v/>
      </c>
      <c r="AO65" s="199" t="str">
        <f t="shared" ref="AO65" si="1006">IF(R64&gt;Q64,", "&amp;Q64,IF(Q64&gt;R64,", "&amp;-R64,""))</f>
        <v/>
      </c>
      <c r="AP65" s="199" t="str">
        <f t="shared" ref="AP65" si="1007">IF(T64&gt;S64,", "&amp;S64,IF(S64&gt;T64,", "&amp;-T64,""))</f>
        <v/>
      </c>
      <c r="AQ65" s="199" t="str">
        <f t="shared" ref="AQ65" si="1008">IF(V64&gt;U64,", "&amp;U64,IF(U64&gt;V64,", "&amp;-V64,""))</f>
        <v/>
      </c>
      <c r="AR65" s="199" t="str">
        <f t="shared" ref="AR65" si="1009">IF(X64&gt;W64,", "&amp;W64,IF(W64&gt;X64,", "&amp;-X64,""))</f>
        <v/>
      </c>
      <c r="AS65" s="199" t="str">
        <f t="shared" ref="AS65" si="1010">IF(Z64&gt;Y64,", "&amp;Y64,IF(Y64&gt;Z64,", "&amp;-Z64,""))</f>
        <v/>
      </c>
      <c r="AT65" s="261"/>
      <c r="AU65" s="203"/>
      <c r="AV65" s="218">
        <v>16</v>
      </c>
      <c r="AW65" s="219" t="str">
        <f>VLOOKUP(AV65,$A$4:$L$83,6,FALSE)</f>
        <v>28/Sep-- Table</v>
      </c>
      <c r="AX65" s="220"/>
      <c r="AY65" s="229">
        <f ca="1">VLOOKUP(AY63,$A$4:$L$87,8,FALSE)</f>
        <v>3449</v>
      </c>
      <c r="AZ65" s="229" t="str">
        <f ca="1">IF(AY65=0,0,VLOOKUP(AY65,Inscripciones!$B$1:$I$464,2,FALSE))</f>
        <v>REINEL ANTONIO VANEGAS LACAYO</v>
      </c>
      <c r="BA65" s="230" t="str">
        <f ca="1">IF(AY65=0,0,VLOOKUP(AY65,Inscripciones!$B$1:$L$364,3,FALSE))</f>
        <v>ALAJUELA</v>
      </c>
      <c r="BB65" s="204"/>
      <c r="BC65" s="204"/>
      <c r="BD65" s="204"/>
      <c r="BE65" s="204"/>
    </row>
    <row r="66" spans="1:62" s="202" customFormat="1" ht="12.75" x14ac:dyDescent="0.25">
      <c r="A66" s="440">
        <v>32</v>
      </c>
      <c r="B66" s="521" t="s">
        <v>125</v>
      </c>
      <c r="C66" s="523" t="s">
        <v>72</v>
      </c>
      <c r="D66" s="523"/>
      <c r="E66" s="525"/>
      <c r="F66" s="546" t="str">
        <f t="shared" si="812"/>
        <v>28/Sep-- Table</v>
      </c>
      <c r="G66" s="525">
        <f ca="1">IF(M60="",0,IF(AA60&gt;AB60,G60,H60))</f>
        <v>2895</v>
      </c>
      <c r="H66" s="525">
        <f ca="1">IF(M62="",0,IF(AA62&gt;AB62,G62,H62))</f>
        <v>2623</v>
      </c>
      <c r="I66" s="525" t="str">
        <f ca="1">IF(G66=0,0,VLOOKUP(G66,Inscripciones!$B$1:$I$464,2,FALSE))</f>
        <v>ANDRES JOSE VEGA VALERIO</v>
      </c>
      <c r="J66" s="525" t="str">
        <f ca="1">IF(G66=0,0,VLOOKUP(G66,Inscripciones!$B$1:$L$364,3,FALSE))</f>
        <v>ALAJUELA - UCR</v>
      </c>
      <c r="K66" s="525" t="str">
        <f ca="1">IF(I66=0,0,VLOOKUP(H66,Inscripciones!$B$1:$I$464,2,FALSE))</f>
        <v>MATEO MONGE ARROYO</v>
      </c>
      <c r="L66" s="525" t="str">
        <f ca="1">IF(I66=0,0,VLOOKUP(H66,Inscripciones!$B$1:$L$364,3,FALSE))</f>
        <v>SANTA ANA</v>
      </c>
      <c r="M66" s="544">
        <v>7</v>
      </c>
      <c r="N66" s="525">
        <v>11</v>
      </c>
      <c r="O66" s="525">
        <v>8</v>
      </c>
      <c r="P66" s="525">
        <v>11</v>
      </c>
      <c r="Q66" s="525">
        <v>6</v>
      </c>
      <c r="R66" s="525">
        <v>11</v>
      </c>
      <c r="S66" s="525"/>
      <c r="T66" s="525"/>
      <c r="U66" s="525"/>
      <c r="V66" s="525"/>
      <c r="W66" s="525"/>
      <c r="X66" s="525"/>
      <c r="Y66" s="525"/>
      <c r="Z66" s="556"/>
      <c r="AA66" s="199">
        <f t="shared" ref="AA66" si="1011">IF(M66+N66&lt;&gt;0,SUM(AF66:AL66),"")</f>
        <v>0</v>
      </c>
      <c r="AB66" s="199">
        <f t="shared" ref="AB66" si="1012">IF(M66+N66&lt;&gt;0,SUM(AF67:AL67),"")</f>
        <v>3</v>
      </c>
      <c r="AC66" s="199" t="str">
        <f t="shared" ref="AC66" si="1013">IF(AA66&gt;AB66,AD66&amp;"  "&amp;AE66,IF(AB66&gt;AA66,AD66&amp;"  "&amp;AE67,""))</f>
        <v>3 - 0  (7, 8, 6)</v>
      </c>
      <c r="AD66" s="199" t="str">
        <f t="shared" ref="AD66" si="1014">IF(AA66&gt;AB66,AA66&amp;" - "&amp;AB66,IF(AB66&gt;AA66,AB66&amp;" - "&amp;AA66,""))</f>
        <v>3 - 0</v>
      </c>
      <c r="AE66" s="199" t="str">
        <f t="shared" si="0"/>
        <v>(-7, -8, -6)</v>
      </c>
      <c r="AF66" s="199">
        <f t="shared" ref="AF66" si="1015">IF(M66&gt;N66,1,0)</f>
        <v>0</v>
      </c>
      <c r="AG66" s="199">
        <f t="shared" ref="AG66" si="1016">IF(O66&gt;P66,1,0)</f>
        <v>0</v>
      </c>
      <c r="AH66" s="199">
        <f t="shared" ref="AH66" si="1017">IF(Q66&gt;R66,1,0)</f>
        <v>0</v>
      </c>
      <c r="AI66" s="199">
        <f t="shared" ref="AI66" si="1018">IF(S66&gt;T66,1,0)</f>
        <v>0</v>
      </c>
      <c r="AJ66" s="199">
        <f t="shared" ref="AJ66" si="1019">IF(U66&gt;V66,1,0)</f>
        <v>0</v>
      </c>
      <c r="AK66" s="199">
        <f t="shared" ref="AK66" si="1020">IF(W66&gt;X66,1,0)</f>
        <v>0</v>
      </c>
      <c r="AL66" s="199">
        <f t="shared" ref="AL66" si="1021">IF(Y66&gt;Z66,1,0)</f>
        <v>0</v>
      </c>
      <c r="AM66" s="199">
        <f t="shared" ref="AM66" si="1022">IF(M66&gt;N66,N66,IF(N66&gt;M66,-M66,""))</f>
        <v>-7</v>
      </c>
      <c r="AN66" s="199" t="str">
        <f t="shared" ref="AN66" si="1023">IF(O66&gt;P66,", "&amp;P66,IF(P66&gt;O66,", "&amp;-O66,""))</f>
        <v>, -8</v>
      </c>
      <c r="AO66" s="199" t="str">
        <f t="shared" ref="AO66" si="1024">IF(Q66&gt;R66,", "&amp;R66,IF(R66&gt;Q66,", "&amp;-Q66,""))</f>
        <v>, -6</v>
      </c>
      <c r="AP66" s="199" t="str">
        <f t="shared" ref="AP66" si="1025">IF(S66&gt;T66,", "&amp;T66,IF(T66&gt;S66,", "&amp;-S66,""))</f>
        <v/>
      </c>
      <c r="AQ66" s="199" t="str">
        <f t="shared" ref="AQ66" si="1026">IF(U66&gt;V66,", "&amp;V66,IF(V66&gt;U66,", "&amp;-U66,""))</f>
        <v/>
      </c>
      <c r="AR66" s="199" t="str">
        <f t="shared" ref="AR66" si="1027">IF(W66&gt;X66,", "&amp;X66,IF(X66&gt;W66,", "&amp;-W66,""))</f>
        <v/>
      </c>
      <c r="AS66" s="199" t="str">
        <f t="shared" ref="AS66" si="1028">IF(Y66&gt;Z66,", "&amp;Z66,IF(Z66&gt;Y66,", "&amp;-Y66,""))</f>
        <v/>
      </c>
      <c r="AU66" s="206">
        <f>1+AU64</f>
        <v>32</v>
      </c>
      <c r="AV66" s="229">
        <f ca="1">VLOOKUP(AV65,$A$4:$L$83,8,FALSE)</f>
        <v>4144</v>
      </c>
      <c r="AW66" s="229" t="str">
        <f ca="1">IF(AV66=0,0,VLOOKUP(AV66,Inscripciones!$B$1:$I$464,2,FALSE))</f>
        <v>ANDRÉS PARRA CHACÓN</v>
      </c>
      <c r="AX66" s="230" t="str">
        <f ca="1">IF(AV66=0,0,VLOOKUP(AV66,Inscripciones!$B$1:$L$364,3,FALSE))</f>
        <v>SANTO DOMINGO</v>
      </c>
      <c r="AY66" s="210"/>
      <c r="AZ66" s="211" t="str">
        <f>VLOOKUP(AV65,$A$4:$AD$87,29,FALSE)</f>
        <v>2 - 1  (6, -7, 4)</v>
      </c>
      <c r="BA66" s="210"/>
      <c r="BB66" s="204"/>
      <c r="BC66" s="204"/>
      <c r="BD66" s="204"/>
      <c r="BE66" s="207">
        <f ca="1">VLOOKUP(BE67,$A$4:$L$87,7,FALSE)</f>
        <v>3671</v>
      </c>
      <c r="BF66" s="208" t="str">
        <f ca="1">IF(BE66=0,0,VLOOKUP(BE66,Inscripciones!$B$1:$I$464,2,FALSE))</f>
        <v>NICOLAS OVARES CASTRO</v>
      </c>
      <c r="BG66" s="209" t="str">
        <f ca="1">IF(BE66=0,0,VLOOKUP(BE66,Inscripciones!$B$1:$L$364,3,FALSE))</f>
        <v>SANTA ANA</v>
      </c>
      <c r="BH66" s="234"/>
      <c r="BI66" s="199" t="s">
        <v>126</v>
      </c>
      <c r="BJ66" s="204"/>
    </row>
    <row r="67" spans="1:62" s="202" customFormat="1" ht="13.5" thickBot="1" x14ac:dyDescent="0.3">
      <c r="A67" s="440"/>
      <c r="B67" s="522"/>
      <c r="C67" s="524"/>
      <c r="D67" s="524"/>
      <c r="E67" s="526"/>
      <c r="F67" s="547"/>
      <c r="G67" s="526" t="s">
        <v>55</v>
      </c>
      <c r="H67" s="526" t="s">
        <v>55</v>
      </c>
      <c r="I67" s="526"/>
      <c r="J67" s="526"/>
      <c r="K67" s="526">
        <v>0</v>
      </c>
      <c r="L67" s="526">
        <v>0</v>
      </c>
      <c r="M67" s="545"/>
      <c r="N67" s="526"/>
      <c r="O67" s="526"/>
      <c r="P67" s="526"/>
      <c r="Q67" s="526"/>
      <c r="R67" s="526"/>
      <c r="S67" s="526"/>
      <c r="T67" s="526"/>
      <c r="U67" s="526"/>
      <c r="V67" s="526"/>
      <c r="W67" s="526"/>
      <c r="X67" s="526"/>
      <c r="Y67" s="526"/>
      <c r="Z67" s="557"/>
      <c r="AA67" s="199"/>
      <c r="AB67" s="199"/>
      <c r="AC67" s="199"/>
      <c r="AD67" s="199" t="str">
        <f t="shared" ref="AD67" si="1029">IF(AA66&gt;AB66,AD66&amp;"  "&amp;AE66,IF(AB66&gt;AA66,AD66&amp;"  "&amp;AE67,""))</f>
        <v>3 - 0  (7, 8, 6)</v>
      </c>
      <c r="AE67" s="199" t="str">
        <f t="shared" si="0"/>
        <v>(7, 8, 6)</v>
      </c>
      <c r="AF67" s="199">
        <f t="shared" ref="AF67" si="1030">IF(N66&gt;M66,1,0)</f>
        <v>1</v>
      </c>
      <c r="AG67" s="199">
        <f t="shared" ref="AG67" si="1031">IF(P66&gt;O66,1,0)</f>
        <v>1</v>
      </c>
      <c r="AH67" s="199">
        <f t="shared" ref="AH67" si="1032">IF(R66&gt;Q66,1,0)</f>
        <v>1</v>
      </c>
      <c r="AI67" s="199">
        <f t="shared" ref="AI67" si="1033">IF(T66&gt;S66,1,0)</f>
        <v>0</v>
      </c>
      <c r="AJ67" s="199">
        <f t="shared" ref="AJ67" si="1034">IF(V66&gt;U66,1,0)</f>
        <v>0</v>
      </c>
      <c r="AK67" s="199">
        <f t="shared" ref="AK67" si="1035">IF(X66&gt;W66,1,0)</f>
        <v>0</v>
      </c>
      <c r="AL67" s="199">
        <f t="shared" ref="AL67" si="1036">IF(Z66&gt;Y66,1,0)</f>
        <v>0</v>
      </c>
      <c r="AM67" s="199">
        <f t="shared" ref="AM67" si="1037">IF(N66&gt;M66,M66,IF(M66&gt;N66,-N66,""))</f>
        <v>7</v>
      </c>
      <c r="AN67" s="199" t="str">
        <f t="shared" ref="AN67" si="1038">IF(P66&gt;O66,", "&amp;O66,IF(O66&gt;P66,", "&amp;-P66,""))</f>
        <v>, 8</v>
      </c>
      <c r="AO67" s="199" t="str">
        <f t="shared" ref="AO67" si="1039">IF(R66&gt;Q66,", "&amp;Q66,IF(Q66&gt;R66,", "&amp;-R66,""))</f>
        <v>, 6</v>
      </c>
      <c r="AP67" s="199" t="str">
        <f t="shared" ref="AP67" si="1040">IF(T66&gt;S66,", "&amp;S66,IF(S66&gt;T66,", "&amp;-T66,""))</f>
        <v/>
      </c>
      <c r="AQ67" s="199" t="str">
        <f t="shared" ref="AQ67" si="1041">IF(V66&gt;U66,", "&amp;U66,IF(U66&gt;V66,", "&amp;-V66,""))</f>
        <v/>
      </c>
      <c r="AR67" s="199" t="str">
        <f t="shared" ref="AR67" si="1042">IF(X66&gt;W66,", "&amp;W66,IF(W66&gt;X66,", "&amp;-X66,""))</f>
        <v/>
      </c>
      <c r="AS67" s="199" t="str">
        <f t="shared" ref="AS67" si="1043">IF(Z66&gt;Y66,", "&amp;Y66,IF(Y66&gt;Z66,", "&amp;-Z66,""))</f>
        <v/>
      </c>
      <c r="AU67" s="206"/>
      <c r="BE67" s="218">
        <v>31</v>
      </c>
      <c r="BF67" s="219" t="str">
        <f>VLOOKUP(BE67,$A$4:$L$83,6,FALSE)</f>
        <v>28/Sep-- Table</v>
      </c>
      <c r="BG67" s="220"/>
      <c r="BH67" s="252">
        <f>G68</f>
        <v>0</v>
      </c>
      <c r="BI67" s="262">
        <f>IF(BH67=0,0,VLOOKUP(BH67,Inscripciones!$B$1:$I$464,2,FALSE))</f>
        <v>0</v>
      </c>
      <c r="BJ67" s="254">
        <f>IF(BH67=0,0,VLOOKUP(BH67,Inscripciones!$B$1:$L$364,3,FALSE))</f>
        <v>0</v>
      </c>
    </row>
    <row r="68" spans="1:62" s="202" customFormat="1" ht="13.5" x14ac:dyDescent="0.25">
      <c r="A68" s="199"/>
      <c r="B68" s="535" t="s">
        <v>127</v>
      </c>
      <c r="C68" s="536"/>
      <c r="D68" s="536"/>
      <c r="E68" s="541"/>
      <c r="F68" s="199"/>
      <c r="G68" s="525">
        <f>IF(M64="",0,IF(AA64&gt;AB64,G64,H64))</f>
        <v>0</v>
      </c>
      <c r="H68" s="199"/>
      <c r="I68" s="525">
        <f>IF(G68=0,0,VLOOKUP(G68,Inscripciones!$B$1:$I$464,2,FALSE))</f>
        <v>0</v>
      </c>
      <c r="J68" s="525">
        <f>IF(G68=0,0,VLOOKUP(G68,Inscripciones!$B$1:$L$364,3,FALSE))</f>
        <v>0</v>
      </c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  <c r="AB68" s="199"/>
      <c r="AC68" s="199"/>
      <c r="AD68" s="199"/>
      <c r="AE68" s="199"/>
      <c r="AF68" s="199"/>
      <c r="AG68" s="199"/>
      <c r="AH68" s="199"/>
      <c r="AI68" s="199"/>
      <c r="AJ68" s="199"/>
      <c r="AK68" s="199"/>
      <c r="AL68" s="199"/>
      <c r="AM68" s="199"/>
      <c r="AN68" s="199"/>
      <c r="AO68" s="199"/>
      <c r="AP68" s="199"/>
      <c r="AQ68" s="199"/>
      <c r="AR68" s="199"/>
      <c r="AS68" s="199"/>
      <c r="AU68" s="206"/>
      <c r="AV68" s="263"/>
      <c r="AW68" s="204"/>
      <c r="BE68" s="229">
        <f ca="1">VLOOKUP(BE67,$A$4:$L$1445,8,FALSE)</f>
        <v>3472</v>
      </c>
      <c r="BF68" s="264" t="str">
        <f ca="1">IF(BE68=0,0,VLOOKUP(BE68,Inscripciones!$B$1:$I$464,2,FALSE))</f>
        <v>JAYDRICK SHAMALL BAKER CRAWFORD</v>
      </c>
      <c r="BG68" s="230" t="str">
        <f ca="1">IF(BE68=0,0,VLOOKUP(BE68,Inscripciones!$B$1:$L$364,3,FALSE))</f>
        <v>ASERRÍ - UCR</v>
      </c>
      <c r="BH68" s="210"/>
      <c r="BI68" s="211" t="str">
        <f>VLOOKUP(BE67,$A$4:$AD$87,29,FALSE)</f>
        <v/>
      </c>
      <c r="BJ68" s="210"/>
    </row>
    <row r="69" spans="1:62" s="202" customFormat="1" ht="13.5" x14ac:dyDescent="0.25">
      <c r="A69" s="199"/>
      <c r="B69" s="537"/>
      <c r="C69" s="538"/>
      <c r="D69" s="538"/>
      <c r="E69" s="542"/>
      <c r="F69" s="199"/>
      <c r="G69" s="526" t="s">
        <v>55</v>
      </c>
      <c r="H69" s="199"/>
      <c r="I69" s="526"/>
      <c r="J69" s="526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  <c r="AA69" s="199"/>
      <c r="AB69" s="199"/>
      <c r="AC69" s="199"/>
      <c r="AD69" s="199"/>
      <c r="AE69" s="199"/>
      <c r="AF69" s="199"/>
      <c r="AG69" s="199"/>
      <c r="AH69" s="199"/>
      <c r="AI69" s="199"/>
      <c r="AJ69" s="199"/>
      <c r="AK69" s="199"/>
      <c r="AL69" s="199"/>
      <c r="AM69" s="199"/>
      <c r="AN69" s="199"/>
      <c r="AO69" s="199"/>
      <c r="AP69" s="199"/>
      <c r="AQ69" s="199"/>
      <c r="AR69" s="199"/>
      <c r="AS69" s="199"/>
      <c r="AU69" s="206"/>
      <c r="AV69" s="263"/>
      <c r="AW69" s="204"/>
    </row>
    <row r="70" spans="1:62" s="202" customFormat="1" ht="12.75" x14ac:dyDescent="0.25">
      <c r="A70" s="199"/>
      <c r="B70" s="537"/>
      <c r="C70" s="538"/>
      <c r="D70" s="538"/>
      <c r="E70" s="542"/>
      <c r="F70" s="199"/>
      <c r="G70" s="525">
        <f ca="1">IF(M66="",0,IF(AA66&gt;AB66,G66,H66))</f>
        <v>2623</v>
      </c>
      <c r="H70" s="199"/>
      <c r="I70" s="525" t="str">
        <f ca="1">IF(G70=0,0,VLOOKUP(G70,Inscripciones!$B$1:$I$464,2,FALSE))</f>
        <v>MATEO MONGE ARROYO</v>
      </c>
      <c r="J70" s="525" t="str">
        <f ca="1">IF(G70=0,0,VLOOKUP(G70,Inscripciones!$B$1:$L$364,3,FALSE))</f>
        <v>SANTA ANA</v>
      </c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  <c r="AA70" s="199"/>
      <c r="AB70" s="199"/>
      <c r="AC70" s="199"/>
      <c r="AD70" s="199"/>
      <c r="AE70" s="199"/>
      <c r="AF70" s="199"/>
      <c r="AG70" s="199"/>
      <c r="AH70" s="199"/>
      <c r="AI70" s="199"/>
      <c r="AJ70" s="199"/>
      <c r="AK70" s="199"/>
      <c r="AL70" s="199"/>
      <c r="AM70" s="199"/>
      <c r="AN70" s="199"/>
      <c r="AO70" s="199"/>
      <c r="AP70" s="199"/>
      <c r="AQ70" s="199"/>
      <c r="AR70" s="199"/>
      <c r="AS70" s="199"/>
    </row>
    <row r="71" spans="1:62" s="202" customFormat="1" ht="13.5" thickBot="1" x14ac:dyDescent="0.3">
      <c r="A71" s="199"/>
      <c r="B71" s="539"/>
      <c r="C71" s="540"/>
      <c r="D71" s="540"/>
      <c r="E71" s="543"/>
      <c r="F71" s="199"/>
      <c r="G71" s="526" t="s">
        <v>55</v>
      </c>
      <c r="H71" s="199"/>
      <c r="I71" s="526"/>
      <c r="J71" s="526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  <c r="AA71" s="199"/>
      <c r="AB71" s="199"/>
      <c r="AC71" s="199"/>
      <c r="AD71" s="199"/>
      <c r="AE71" s="199"/>
      <c r="AF71" s="199"/>
      <c r="AG71" s="199"/>
      <c r="AH71" s="199"/>
      <c r="AI71" s="199"/>
      <c r="AJ71" s="199"/>
      <c r="AK71" s="199"/>
      <c r="AL71" s="199"/>
      <c r="AM71" s="199"/>
      <c r="AN71" s="199"/>
      <c r="AO71" s="199"/>
      <c r="AP71" s="199"/>
      <c r="AQ71" s="199"/>
      <c r="AR71" s="199"/>
      <c r="AS71" s="199"/>
    </row>
    <row r="72" spans="1:62" s="202" customFormat="1" ht="12.75" x14ac:dyDescent="0.25">
      <c r="A72" s="199"/>
      <c r="B72" s="199"/>
      <c r="C72" s="199"/>
      <c r="D72" s="200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  <c r="AA72" s="199"/>
      <c r="AB72" s="199"/>
      <c r="AC72" s="199"/>
      <c r="AD72" s="199"/>
      <c r="AE72" s="199"/>
      <c r="AF72" s="199"/>
      <c r="AG72" s="199"/>
      <c r="AH72" s="199"/>
      <c r="AI72" s="199"/>
      <c r="AJ72" s="199"/>
      <c r="AK72" s="199"/>
      <c r="AL72" s="199"/>
      <c r="AM72" s="199"/>
      <c r="AN72" s="199"/>
      <c r="AO72" s="199"/>
      <c r="AP72" s="199"/>
      <c r="AQ72" s="199"/>
      <c r="AR72" s="199"/>
      <c r="AS72" s="199"/>
    </row>
    <row r="73" spans="1:62" s="202" customFormat="1" ht="12.75" hidden="1" x14ac:dyDescent="0.25">
      <c r="A73" s="199"/>
      <c r="B73" s="199"/>
      <c r="C73" s="199"/>
      <c r="D73" s="200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  <c r="AB73" s="199"/>
      <c r="AC73" s="199"/>
      <c r="AD73" s="199"/>
      <c r="AE73" s="199"/>
      <c r="AF73" s="199"/>
      <c r="AG73" s="199"/>
      <c r="AH73" s="199"/>
      <c r="AI73" s="199"/>
      <c r="AJ73" s="199"/>
      <c r="AK73" s="199"/>
      <c r="AL73" s="199"/>
      <c r="AM73" s="199"/>
      <c r="AN73" s="199"/>
      <c r="AO73" s="199"/>
      <c r="AP73" s="199"/>
      <c r="AQ73" s="199"/>
      <c r="AR73" s="199"/>
      <c r="AS73" s="199"/>
    </row>
    <row r="74" spans="1:62" s="202" customFormat="1" ht="12.75" hidden="1" x14ac:dyDescent="0.25">
      <c r="A74" s="199"/>
      <c r="B74" s="199"/>
      <c r="C74" s="199"/>
      <c r="D74" s="200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199"/>
      <c r="AE74" s="199"/>
      <c r="AF74" s="199"/>
      <c r="AG74" s="199"/>
      <c r="AH74" s="199"/>
      <c r="AI74" s="199"/>
      <c r="AJ74" s="199"/>
      <c r="AK74" s="199"/>
      <c r="AL74" s="199"/>
      <c r="AM74" s="199"/>
      <c r="AN74" s="199"/>
      <c r="AO74" s="199"/>
      <c r="AP74" s="199"/>
      <c r="AQ74" s="199"/>
      <c r="AR74" s="199"/>
      <c r="AS74" s="199"/>
    </row>
    <row r="75" spans="1:62" s="202" customFormat="1" ht="12.75" hidden="1" x14ac:dyDescent="0.25">
      <c r="A75" s="199"/>
      <c r="B75" s="199"/>
      <c r="C75" s="199"/>
      <c r="D75" s="200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99"/>
      <c r="AE75" s="199"/>
      <c r="AF75" s="199"/>
      <c r="AG75" s="199"/>
      <c r="AH75" s="199"/>
      <c r="AI75" s="199"/>
      <c r="AJ75" s="199"/>
      <c r="AK75" s="199"/>
      <c r="AL75" s="199"/>
      <c r="AM75" s="199"/>
      <c r="AN75" s="199"/>
      <c r="AO75" s="199"/>
      <c r="AP75" s="199"/>
      <c r="AQ75" s="199"/>
      <c r="AR75" s="199"/>
      <c r="AS75" s="199"/>
    </row>
    <row r="76" spans="1:62" s="202" customFormat="1" ht="12.75" hidden="1" x14ac:dyDescent="0.25">
      <c r="A76" s="199"/>
      <c r="B76" s="199"/>
      <c r="C76" s="199"/>
      <c r="D76" s="200" t="s">
        <v>128</v>
      </c>
      <c r="E76" s="199">
        <v>1</v>
      </c>
      <c r="F76" s="199"/>
      <c r="G76" s="219">
        <f ca="1">G70</f>
        <v>2623</v>
      </c>
      <c r="H76" s="199"/>
      <c r="I76" s="199" t="str">
        <f ca="1">IF(G76=0,0,VLOOKUP(G76,Inscripciones!$B$1:$I$464,2,FALSE))</f>
        <v>MATEO MONGE ARROYO</v>
      </c>
      <c r="J76" s="199" t="str">
        <f ca="1">IF(G76=0,0,VLOOKUP(G76,Inscripciones!$B$1:$L$364,3,FALSE))</f>
        <v>SANTA ANA</v>
      </c>
      <c r="K76" s="265">
        <f ca="1">G60</f>
        <v>2895</v>
      </c>
      <c r="L76" s="266">
        <f ca="1">H60</f>
        <v>3671</v>
      </c>
      <c r="M76" s="548" t="s">
        <v>129</v>
      </c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  <c r="AA76" s="199"/>
      <c r="AB76" s="199"/>
      <c r="AC76" s="199"/>
      <c r="AD76" s="199"/>
      <c r="AE76" s="199"/>
      <c r="AF76" s="199"/>
      <c r="AG76" s="199"/>
      <c r="AH76" s="199"/>
      <c r="AI76" s="199"/>
      <c r="AJ76" s="199"/>
      <c r="AK76" s="199"/>
      <c r="AL76" s="199"/>
      <c r="AM76" s="199"/>
      <c r="AN76" s="199"/>
      <c r="AO76" s="199"/>
      <c r="AP76" s="199"/>
      <c r="AQ76" s="199"/>
      <c r="AR76" s="199"/>
      <c r="AS76" s="199"/>
    </row>
    <row r="77" spans="1:62" s="202" customFormat="1" ht="12.75" hidden="1" x14ac:dyDescent="0.25">
      <c r="A77" s="199"/>
      <c r="B77" s="199"/>
      <c r="C77" s="199"/>
      <c r="D77" s="200" t="s">
        <v>130</v>
      </c>
      <c r="E77" s="199">
        <v>2</v>
      </c>
      <c r="F77" s="199"/>
      <c r="G77" s="219">
        <f ca="1">IF(G76=G66,H66,G66)</f>
        <v>2895</v>
      </c>
      <c r="H77" s="199"/>
      <c r="I77" s="199" t="str">
        <f ca="1">IF(G77=0,0,VLOOKUP(G77,Inscripciones!$B$1:$I$464,2,FALSE))</f>
        <v>ANDRES JOSE VEGA VALERIO</v>
      </c>
      <c r="J77" s="199" t="str">
        <f ca="1">IF(G77=0,0,VLOOKUP(G77,Inscripciones!$B$1:$L$364,3,FALSE))</f>
        <v>ALAJUELA - UCR</v>
      </c>
      <c r="K77" s="267">
        <f ca="1">H60</f>
        <v>3671</v>
      </c>
      <c r="L77" s="268">
        <f ca="1">G60</f>
        <v>2895</v>
      </c>
      <c r="M77" s="54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9"/>
      <c r="Y77" s="199"/>
      <c r="Z77" s="199"/>
      <c r="AA77" s="199"/>
      <c r="AB77" s="199"/>
      <c r="AC77" s="199"/>
      <c r="AD77" s="199"/>
      <c r="AE77" s="199"/>
      <c r="AF77" s="199"/>
      <c r="AG77" s="199"/>
      <c r="AH77" s="199"/>
      <c r="AI77" s="199"/>
      <c r="AJ77" s="199"/>
      <c r="AK77" s="199"/>
      <c r="AL77" s="199"/>
      <c r="AM77" s="199"/>
      <c r="AN77" s="199"/>
      <c r="AO77" s="199"/>
      <c r="AP77" s="199"/>
      <c r="AQ77" s="199"/>
      <c r="AR77" s="199"/>
      <c r="AS77" s="199"/>
    </row>
    <row r="78" spans="1:62" s="202" customFormat="1" ht="12.75" hidden="1" x14ac:dyDescent="0.25">
      <c r="A78" s="199"/>
      <c r="B78" s="199"/>
      <c r="C78" s="199"/>
      <c r="D78" s="200" t="s">
        <v>131</v>
      </c>
      <c r="E78" s="199">
        <v>3</v>
      </c>
      <c r="F78" s="199"/>
      <c r="G78" s="219">
        <f ca="1">IF(E68=1,G68,VLOOKUP(G76,K76:L79,2,FALSE))</f>
        <v>3472</v>
      </c>
      <c r="H78" s="199"/>
      <c r="I78" s="199" t="str">
        <f ca="1">IF(G78=0,0,VLOOKUP(G78,Inscripciones!$B$1:$I$464,2,FALSE))</f>
        <v>JAYDRICK SHAMALL BAKER CRAWFORD</v>
      </c>
      <c r="J78" s="199" t="str">
        <f ca="1">IF(G78=0,0,VLOOKUP(G78,Inscripciones!$B$1:$L$364,3,FALSE))</f>
        <v>ASERRÍ - UCR</v>
      </c>
      <c r="K78" s="267">
        <f ca="1">G62</f>
        <v>3472</v>
      </c>
      <c r="L78" s="268">
        <f ca="1">H62</f>
        <v>2623</v>
      </c>
      <c r="M78" s="54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9"/>
      <c r="Y78" s="199"/>
      <c r="Z78" s="199"/>
      <c r="AA78" s="199"/>
      <c r="AB78" s="199"/>
      <c r="AC78" s="199"/>
      <c r="AD78" s="199"/>
      <c r="AE78" s="199"/>
      <c r="AF78" s="199"/>
      <c r="AG78" s="199"/>
      <c r="AH78" s="199"/>
      <c r="AI78" s="199"/>
      <c r="AJ78" s="199"/>
      <c r="AK78" s="199"/>
      <c r="AL78" s="199"/>
      <c r="AM78" s="199"/>
      <c r="AN78" s="199"/>
      <c r="AO78" s="199"/>
      <c r="AP78" s="199"/>
      <c r="AQ78" s="199"/>
      <c r="AR78" s="199"/>
      <c r="AS78" s="199"/>
    </row>
    <row r="79" spans="1:62" s="202" customFormat="1" ht="12.75" hidden="1" x14ac:dyDescent="0.25">
      <c r="A79" s="199"/>
      <c r="B79" s="199"/>
      <c r="C79" s="199"/>
      <c r="D79" s="200" t="s">
        <v>132</v>
      </c>
      <c r="E79" s="199">
        <v>4</v>
      </c>
      <c r="F79" s="199"/>
      <c r="G79" s="219">
        <f ca="1">IF(G78=G64,H64,G64)</f>
        <v>3671</v>
      </c>
      <c r="H79" s="199"/>
      <c r="I79" s="199" t="str">
        <f ca="1">IF(G79=0,0,VLOOKUP(G79,Inscripciones!$B$1:$I$464,2,FALSE))</f>
        <v>NICOLAS OVARES CASTRO</v>
      </c>
      <c r="J79" s="199" t="str">
        <f ca="1">IF(G79=0,0,VLOOKUP(G79,Inscripciones!$B$1:$L$364,3,FALSE))</f>
        <v>SANTA ANA</v>
      </c>
      <c r="K79" s="269">
        <f ca="1">H62</f>
        <v>2623</v>
      </c>
      <c r="L79" s="270">
        <f ca="1">G62</f>
        <v>3472</v>
      </c>
      <c r="M79" s="550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9"/>
      <c r="Y79" s="199"/>
      <c r="Z79" s="199"/>
      <c r="AA79" s="199"/>
      <c r="AB79" s="199"/>
      <c r="AC79" s="199"/>
      <c r="AD79" s="199"/>
      <c r="AE79" s="199"/>
      <c r="AF79" s="199"/>
      <c r="AG79" s="199"/>
      <c r="AH79" s="199"/>
      <c r="AI79" s="199"/>
      <c r="AJ79" s="199"/>
      <c r="AK79" s="199"/>
      <c r="AL79" s="199"/>
      <c r="AM79" s="199"/>
      <c r="AN79" s="199"/>
      <c r="AO79" s="199"/>
      <c r="AP79" s="199"/>
      <c r="AQ79" s="199"/>
      <c r="AR79" s="199"/>
      <c r="AS79" s="199"/>
    </row>
    <row r="80" spans="1:62" s="202" customFormat="1" ht="12.75" hidden="1" x14ac:dyDescent="0.25">
      <c r="A80" s="199"/>
      <c r="B80" s="199"/>
      <c r="C80" s="199"/>
      <c r="D80" s="200"/>
      <c r="E80" s="199"/>
      <c r="F80" s="199"/>
      <c r="G80" s="199"/>
      <c r="H80" s="199"/>
      <c r="I80" s="199"/>
      <c r="J80" s="199"/>
      <c r="K80" s="265">
        <f ca="1">G52</f>
        <v>2515</v>
      </c>
      <c r="L80" s="266">
        <f ca="1">H52</f>
        <v>2895</v>
      </c>
      <c r="M80" s="551" t="s">
        <v>133</v>
      </c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9"/>
      <c r="Y80" s="199"/>
      <c r="Z80" s="199"/>
      <c r="AA80" s="199"/>
      <c r="AB80" s="199"/>
      <c r="AC80" s="199"/>
      <c r="AD80" s="199"/>
      <c r="AE80" s="199"/>
      <c r="AF80" s="199"/>
      <c r="AG80" s="199"/>
      <c r="AH80" s="199"/>
      <c r="AI80" s="199"/>
      <c r="AJ80" s="199"/>
      <c r="AK80" s="199"/>
      <c r="AL80" s="199"/>
      <c r="AM80" s="199"/>
      <c r="AN80" s="199"/>
      <c r="AO80" s="199"/>
      <c r="AP80" s="199"/>
      <c r="AQ80" s="199"/>
      <c r="AR80" s="199"/>
      <c r="AS80" s="199"/>
    </row>
    <row r="81" spans="1:45" s="202" customFormat="1" ht="12.75" hidden="1" x14ac:dyDescent="0.25">
      <c r="A81" s="199"/>
      <c r="B81" s="199"/>
      <c r="C81" s="199"/>
      <c r="D81" s="200"/>
      <c r="E81" s="199"/>
      <c r="F81" s="199"/>
      <c r="G81" s="199"/>
      <c r="H81" s="199"/>
      <c r="I81" s="199"/>
      <c r="J81" s="199"/>
      <c r="K81" s="267">
        <f ca="1">H52</f>
        <v>2895</v>
      </c>
      <c r="L81" s="268">
        <f ca="1">G52</f>
        <v>2515</v>
      </c>
      <c r="M81" s="552"/>
      <c r="N81" s="199"/>
      <c r="O81" s="199"/>
      <c r="P81" s="199"/>
      <c r="Q81" s="199"/>
      <c r="R81" s="199"/>
      <c r="S81" s="199"/>
      <c r="T81" s="199"/>
      <c r="U81" s="199"/>
      <c r="V81" s="199"/>
      <c r="W81" s="199"/>
      <c r="X81" s="199"/>
      <c r="Y81" s="199"/>
      <c r="Z81" s="199"/>
      <c r="AA81" s="199"/>
      <c r="AB81" s="199"/>
      <c r="AC81" s="199"/>
      <c r="AD81" s="199"/>
      <c r="AE81" s="199"/>
      <c r="AF81" s="199"/>
      <c r="AG81" s="199"/>
      <c r="AH81" s="199"/>
      <c r="AI81" s="199"/>
      <c r="AJ81" s="199"/>
      <c r="AK81" s="199"/>
      <c r="AL81" s="199"/>
      <c r="AM81" s="199"/>
      <c r="AN81" s="199"/>
      <c r="AO81" s="199"/>
      <c r="AP81" s="199"/>
      <c r="AQ81" s="199"/>
      <c r="AR81" s="199"/>
      <c r="AS81" s="199"/>
    </row>
    <row r="82" spans="1:45" s="202" customFormat="1" ht="10.7" hidden="1" customHeight="1" x14ac:dyDescent="0.25">
      <c r="A82" s="199"/>
      <c r="B82" s="199"/>
      <c r="C82" s="199"/>
      <c r="D82" s="200"/>
      <c r="E82" s="199"/>
      <c r="F82" s="199"/>
      <c r="G82" s="199"/>
      <c r="H82" s="199"/>
      <c r="I82" s="199"/>
      <c r="J82" s="199"/>
      <c r="K82" s="267">
        <f ca="1">G54</f>
        <v>3458</v>
      </c>
      <c r="L82" s="268">
        <f ca="1">H54</f>
        <v>3671</v>
      </c>
      <c r="M82" s="552"/>
      <c r="N82" s="199"/>
      <c r="O82" s="199"/>
      <c r="P82" s="199"/>
      <c r="Q82" s="199"/>
      <c r="R82" s="199"/>
      <c r="S82" s="199"/>
      <c r="T82" s="199"/>
      <c r="U82" s="199"/>
      <c r="V82" s="199"/>
      <c r="W82" s="199"/>
      <c r="X82" s="199"/>
      <c r="Y82" s="199"/>
      <c r="Z82" s="199"/>
      <c r="AA82" s="199"/>
      <c r="AB82" s="199"/>
      <c r="AC82" s="199"/>
      <c r="AD82" s="199"/>
      <c r="AE82" s="199"/>
      <c r="AF82" s="199"/>
      <c r="AG82" s="199"/>
      <c r="AH82" s="199"/>
      <c r="AI82" s="199"/>
      <c r="AJ82" s="199"/>
      <c r="AK82" s="199"/>
      <c r="AL82" s="199"/>
      <c r="AM82" s="199"/>
      <c r="AN82" s="199"/>
      <c r="AO82" s="199"/>
      <c r="AP82" s="199"/>
      <c r="AQ82" s="199"/>
      <c r="AR82" s="199"/>
      <c r="AS82" s="199"/>
    </row>
    <row r="83" spans="1:45" s="202" customFormat="1" ht="10.7" hidden="1" customHeight="1" x14ac:dyDescent="0.25">
      <c r="A83" s="199"/>
      <c r="B83" s="199"/>
      <c r="C83" s="199"/>
      <c r="D83" s="200"/>
      <c r="E83" s="199"/>
      <c r="F83" s="199"/>
      <c r="G83" s="199"/>
      <c r="H83" s="199"/>
      <c r="I83" s="199"/>
      <c r="J83" s="199"/>
      <c r="K83" s="267">
        <f ca="1">H54</f>
        <v>3671</v>
      </c>
      <c r="L83" s="268">
        <f ca="1">G54</f>
        <v>3458</v>
      </c>
      <c r="M83" s="552"/>
      <c r="N83" s="199"/>
      <c r="O83" s="199"/>
      <c r="P83" s="199"/>
      <c r="Q83" s="199"/>
      <c r="R83" s="199"/>
      <c r="S83" s="199"/>
      <c r="T83" s="199"/>
      <c r="U83" s="199"/>
      <c r="V83" s="199"/>
      <c r="W83" s="199"/>
      <c r="X83" s="199"/>
      <c r="Y83" s="199"/>
      <c r="Z83" s="199"/>
      <c r="AA83" s="199"/>
      <c r="AB83" s="199"/>
      <c r="AC83" s="199"/>
      <c r="AD83" s="199"/>
      <c r="AE83" s="199"/>
      <c r="AF83" s="199"/>
      <c r="AG83" s="199"/>
      <c r="AH83" s="199"/>
      <c r="AI83" s="199"/>
      <c r="AJ83" s="199"/>
      <c r="AK83" s="199"/>
      <c r="AL83" s="199"/>
      <c r="AM83" s="199"/>
      <c r="AN83" s="199"/>
      <c r="AO83" s="199"/>
      <c r="AP83" s="199"/>
      <c r="AQ83" s="199"/>
      <c r="AR83" s="199"/>
      <c r="AS83" s="199"/>
    </row>
    <row r="84" spans="1:45" s="202" customFormat="1" ht="10.7" hidden="1" customHeight="1" x14ac:dyDescent="0.25">
      <c r="A84" s="199"/>
      <c r="B84" s="199"/>
      <c r="C84" s="199"/>
      <c r="D84" s="200" t="s">
        <v>134</v>
      </c>
      <c r="E84" s="199"/>
      <c r="F84" s="199"/>
      <c r="G84" s="219">
        <f ca="1">VLOOKUP(G76,K80:L87,2,FALSE)</f>
        <v>3499</v>
      </c>
      <c r="H84" s="199"/>
      <c r="I84" s="199" t="str">
        <f ca="1">IF(G84=0,0,VLOOKUP(G84,Inscripciones!$B$1:$I$464,2,FALSE))</f>
        <v>ESTEBAN MURILLO CHAVES</v>
      </c>
      <c r="J84" s="199" t="str">
        <f ca="1">IF(G84=0,0,VLOOKUP(G84,Inscripciones!$B$1:$L$364,3,FALSE))</f>
        <v>UCR-PÉREZ ZELEDÓN</v>
      </c>
      <c r="K84" s="267">
        <f ca="1">G56</f>
        <v>3472</v>
      </c>
      <c r="L84" s="268">
        <f ca="1">H56</f>
        <v>4002</v>
      </c>
      <c r="M84" s="552"/>
      <c r="N84" s="199"/>
      <c r="O84" s="199"/>
      <c r="P84" s="199"/>
      <c r="Q84" s="199"/>
      <c r="R84" s="199"/>
      <c r="S84" s="199"/>
      <c r="T84" s="199"/>
      <c r="U84" s="199"/>
      <c r="V84" s="199"/>
      <c r="W84" s="199"/>
      <c r="X84" s="199"/>
      <c r="Y84" s="199"/>
      <c r="Z84" s="199"/>
      <c r="AA84" s="199"/>
      <c r="AB84" s="199"/>
      <c r="AC84" s="199"/>
      <c r="AD84" s="199"/>
      <c r="AE84" s="199"/>
      <c r="AF84" s="199"/>
      <c r="AG84" s="199"/>
      <c r="AH84" s="199"/>
      <c r="AI84" s="199"/>
      <c r="AJ84" s="199"/>
      <c r="AK84" s="199"/>
      <c r="AL84" s="199"/>
      <c r="AM84" s="199"/>
      <c r="AN84" s="199"/>
      <c r="AO84" s="199"/>
      <c r="AP84" s="199"/>
      <c r="AQ84" s="199"/>
      <c r="AR84" s="199"/>
      <c r="AS84" s="199"/>
    </row>
    <row r="85" spans="1:45" s="202" customFormat="1" ht="10.7" hidden="1" customHeight="1" x14ac:dyDescent="0.25">
      <c r="A85" s="199"/>
      <c r="B85" s="199"/>
      <c r="C85" s="199"/>
      <c r="D85" s="200" t="s">
        <v>135</v>
      </c>
      <c r="E85" s="199"/>
      <c r="F85" s="199"/>
      <c r="G85" s="219">
        <f ca="1">VLOOKUP(G77,K80:L87,2,FALSE)</f>
        <v>2515</v>
      </c>
      <c r="H85" s="199"/>
      <c r="I85" s="199" t="str">
        <f ca="1">IF(G85=0,0,VLOOKUP(G85,Inscripciones!$B$1:$I$464,2,FALSE))</f>
        <v>GABRIEL CHAVEZ QUIROS</v>
      </c>
      <c r="J85" s="199" t="str">
        <f ca="1">IF(G85=0,0,VLOOKUP(G85,Inscripciones!$B$1:$L$364,3,FALSE))</f>
        <v>SANTA ANA</v>
      </c>
      <c r="K85" s="267">
        <f ca="1">H56</f>
        <v>4002</v>
      </c>
      <c r="L85" s="268">
        <f ca="1">G56</f>
        <v>3472</v>
      </c>
      <c r="M85" s="552"/>
      <c r="N85" s="199"/>
      <c r="O85" s="199"/>
      <c r="P85" s="199"/>
      <c r="Q85" s="199"/>
      <c r="R85" s="199"/>
      <c r="S85" s="199"/>
      <c r="T85" s="199"/>
      <c r="U85" s="199"/>
      <c r="V85" s="199"/>
      <c r="W85" s="199"/>
      <c r="X85" s="199"/>
      <c r="Y85" s="199"/>
      <c r="Z85" s="199"/>
      <c r="AA85" s="199"/>
      <c r="AB85" s="199"/>
      <c r="AC85" s="199"/>
      <c r="AD85" s="199"/>
      <c r="AE85" s="199"/>
      <c r="AF85" s="199"/>
      <c r="AG85" s="199"/>
      <c r="AH85" s="199"/>
      <c r="AI85" s="199"/>
      <c r="AJ85" s="199"/>
      <c r="AK85" s="199"/>
      <c r="AL85" s="199"/>
      <c r="AM85" s="199"/>
      <c r="AN85" s="199"/>
      <c r="AO85" s="199"/>
      <c r="AP85" s="199"/>
      <c r="AQ85" s="199"/>
      <c r="AR85" s="199"/>
      <c r="AS85" s="199"/>
    </row>
    <row r="86" spans="1:45" s="202" customFormat="1" ht="10.7" hidden="1" customHeight="1" x14ac:dyDescent="0.25">
      <c r="A86" s="199"/>
      <c r="B86" s="199"/>
      <c r="C86" s="199"/>
      <c r="D86" s="200" t="s">
        <v>136</v>
      </c>
      <c r="E86" s="199"/>
      <c r="F86" s="199"/>
      <c r="G86" s="219">
        <f ca="1">VLOOKUP(G78,K80:L87,2,FALSE)</f>
        <v>4002</v>
      </c>
      <c r="H86" s="199"/>
      <c r="I86" s="199" t="str">
        <f ca="1">IF(G86=0,0,VLOOKUP(G86,Inscripciones!$B$1:$I$464,2,FALSE))</f>
        <v>ISMAEL CÁRDENAS ACOSTA</v>
      </c>
      <c r="J86" s="199" t="str">
        <f ca="1">IF(G86=0,0,VLOOKUP(G86,Inscripciones!$B$1:$L$364,3,FALSE))</f>
        <v>CCDR SAN JOSÉ</v>
      </c>
      <c r="K86" s="267">
        <f ca="1">G58</f>
        <v>2623</v>
      </c>
      <c r="L86" s="268">
        <f ca="1">H58</f>
        <v>3499</v>
      </c>
      <c r="M86" s="552"/>
      <c r="N86" s="199"/>
      <c r="O86" s="199"/>
      <c r="P86" s="199"/>
      <c r="Q86" s="199"/>
      <c r="R86" s="199"/>
      <c r="S86" s="199"/>
      <c r="T86" s="199"/>
      <c r="U86" s="199"/>
      <c r="V86" s="199"/>
      <c r="W86" s="199"/>
      <c r="X86" s="199"/>
      <c r="Y86" s="199"/>
      <c r="Z86" s="199"/>
      <c r="AA86" s="199"/>
      <c r="AB86" s="199"/>
      <c r="AC86" s="199"/>
      <c r="AD86" s="199"/>
      <c r="AE86" s="199"/>
      <c r="AF86" s="199"/>
      <c r="AG86" s="199"/>
      <c r="AH86" s="199"/>
      <c r="AI86" s="199"/>
      <c r="AJ86" s="199"/>
      <c r="AK86" s="199"/>
      <c r="AL86" s="199"/>
      <c r="AM86" s="199"/>
      <c r="AN86" s="199"/>
      <c r="AO86" s="199"/>
      <c r="AP86" s="199"/>
      <c r="AQ86" s="199"/>
      <c r="AR86" s="199"/>
      <c r="AS86" s="199"/>
    </row>
    <row r="87" spans="1:45" s="202" customFormat="1" ht="10.7" hidden="1" customHeight="1" x14ac:dyDescent="0.25">
      <c r="A87" s="199"/>
      <c r="B87" s="199"/>
      <c r="C87" s="199"/>
      <c r="D87" s="200" t="s">
        <v>137</v>
      </c>
      <c r="E87" s="199"/>
      <c r="F87" s="199"/>
      <c r="G87" s="219">
        <f ca="1">VLOOKUP(G79,K80:L87,2,FALSE)</f>
        <v>3458</v>
      </c>
      <c r="H87" s="199"/>
      <c r="I87" s="199" t="str">
        <f ca="1">IF(G87=0,0,VLOOKUP(G87,Inscripciones!$B$1:$I$464,2,FALSE))</f>
        <v>SANTIAGO ALVAREZ LONGHI</v>
      </c>
      <c r="J87" s="199" t="str">
        <f ca="1">IF(G87=0,0,VLOOKUP(G87,Inscripciones!$B$1:$L$364,3,FALSE))</f>
        <v>SANTO DOMINGO</v>
      </c>
      <c r="K87" s="269">
        <f ca="1">H58</f>
        <v>3499</v>
      </c>
      <c r="L87" s="270">
        <f ca="1">G58</f>
        <v>2623</v>
      </c>
      <c r="M87" s="553"/>
      <c r="N87" s="199"/>
      <c r="O87" s="199"/>
      <c r="P87" s="199"/>
      <c r="Q87" s="199"/>
      <c r="R87" s="199"/>
      <c r="S87" s="199"/>
      <c r="T87" s="199"/>
      <c r="U87" s="199"/>
      <c r="V87" s="199"/>
      <c r="W87" s="199"/>
      <c r="X87" s="199"/>
      <c r="Y87" s="199"/>
      <c r="Z87" s="199"/>
      <c r="AA87" s="199"/>
      <c r="AB87" s="199"/>
      <c r="AC87" s="199"/>
      <c r="AD87" s="199"/>
      <c r="AE87" s="199"/>
      <c r="AF87" s="199"/>
      <c r="AG87" s="199"/>
      <c r="AH87" s="199"/>
      <c r="AI87" s="199"/>
      <c r="AJ87" s="199"/>
      <c r="AK87" s="199"/>
      <c r="AL87" s="199"/>
      <c r="AM87" s="199"/>
      <c r="AN87" s="199"/>
      <c r="AO87" s="199"/>
      <c r="AP87" s="199"/>
      <c r="AQ87" s="199"/>
      <c r="AR87" s="199"/>
      <c r="AS87" s="199"/>
    </row>
    <row r="88" spans="1:45" s="202" customFormat="1" ht="10.7" hidden="1" customHeight="1" x14ac:dyDescent="0.25">
      <c r="A88" s="199"/>
      <c r="B88" s="199"/>
      <c r="C88" s="199"/>
      <c r="D88" s="200"/>
      <c r="E88" s="199"/>
      <c r="F88" s="199"/>
      <c r="G88" s="199"/>
      <c r="H88" s="199"/>
      <c r="I88" s="199"/>
      <c r="J88" s="199"/>
      <c r="K88" s="265">
        <f ca="1">G36</f>
        <v>2515</v>
      </c>
      <c r="L88" s="266">
        <f ca="1">H36</f>
        <v>3747</v>
      </c>
      <c r="M88" s="552" t="s">
        <v>138</v>
      </c>
      <c r="N88" s="199"/>
      <c r="O88" s="199"/>
      <c r="P88" s="199"/>
      <c r="Q88" s="199"/>
      <c r="R88" s="199"/>
      <c r="S88" s="199"/>
      <c r="T88" s="199"/>
      <c r="U88" s="199"/>
      <c r="V88" s="199"/>
      <c r="W88" s="199"/>
      <c r="X88" s="199"/>
      <c r="Y88" s="199"/>
      <c r="Z88" s="199"/>
      <c r="AA88" s="199"/>
      <c r="AB88" s="199"/>
      <c r="AC88" s="199"/>
      <c r="AD88" s="199"/>
      <c r="AE88" s="199"/>
      <c r="AF88" s="199"/>
      <c r="AG88" s="199"/>
      <c r="AH88" s="199"/>
      <c r="AI88" s="199"/>
      <c r="AJ88" s="199"/>
      <c r="AK88" s="199"/>
      <c r="AL88" s="199"/>
      <c r="AM88" s="199"/>
      <c r="AN88" s="199"/>
      <c r="AO88" s="199"/>
      <c r="AP88" s="199"/>
      <c r="AQ88" s="199"/>
      <c r="AR88" s="199"/>
      <c r="AS88" s="199"/>
    </row>
    <row r="89" spans="1:45" s="202" customFormat="1" ht="10.7" hidden="1" customHeight="1" x14ac:dyDescent="0.25">
      <c r="A89" s="199"/>
      <c r="B89" s="199"/>
      <c r="C89" s="199"/>
      <c r="D89" s="200"/>
      <c r="E89" s="199"/>
      <c r="F89" s="199"/>
      <c r="G89" s="199"/>
      <c r="H89" s="199"/>
      <c r="I89" s="199"/>
      <c r="J89" s="199"/>
      <c r="K89" s="267">
        <f ca="1">H36</f>
        <v>3747</v>
      </c>
      <c r="L89" s="268">
        <f ca="1">G36</f>
        <v>2515</v>
      </c>
      <c r="M89" s="552"/>
      <c r="N89" s="199"/>
      <c r="O89" s="199"/>
      <c r="P89" s="199"/>
      <c r="Q89" s="199"/>
      <c r="R89" s="199"/>
      <c r="S89" s="199"/>
      <c r="T89" s="199"/>
      <c r="U89" s="199"/>
      <c r="V89" s="199"/>
      <c r="W89" s="199"/>
      <c r="X89" s="199"/>
      <c r="Y89" s="199"/>
      <c r="Z89" s="199"/>
      <c r="AA89" s="199"/>
      <c r="AB89" s="199"/>
      <c r="AC89" s="199"/>
      <c r="AD89" s="199"/>
      <c r="AE89" s="199"/>
      <c r="AF89" s="199"/>
      <c r="AG89" s="199"/>
      <c r="AH89" s="199"/>
      <c r="AI89" s="199"/>
      <c r="AJ89" s="199"/>
      <c r="AK89" s="199"/>
      <c r="AL89" s="199"/>
      <c r="AM89" s="199"/>
      <c r="AN89" s="199"/>
      <c r="AO89" s="199"/>
      <c r="AP89" s="199"/>
      <c r="AQ89" s="199"/>
      <c r="AR89" s="199"/>
      <c r="AS89" s="199"/>
    </row>
    <row r="90" spans="1:45" s="202" customFormat="1" ht="10.7" hidden="1" customHeight="1" x14ac:dyDescent="0.25">
      <c r="A90" s="199"/>
      <c r="B90" s="199"/>
      <c r="C90" s="199"/>
      <c r="D90" s="200"/>
      <c r="E90" s="199"/>
      <c r="F90" s="199"/>
      <c r="G90" s="199"/>
      <c r="H90" s="199"/>
      <c r="I90" s="199"/>
      <c r="J90" s="199"/>
      <c r="K90" s="267">
        <f ca="1">G38</f>
        <v>4056</v>
      </c>
      <c r="L90" s="268">
        <f ca="1">H38</f>
        <v>2895</v>
      </c>
      <c r="M90" s="552"/>
      <c r="N90" s="199"/>
      <c r="O90" s="199"/>
      <c r="P90" s="199"/>
      <c r="Q90" s="199"/>
      <c r="R90" s="199"/>
      <c r="S90" s="199"/>
      <c r="T90" s="199"/>
      <c r="U90" s="199"/>
      <c r="V90" s="199"/>
      <c r="W90" s="199"/>
      <c r="X90" s="199"/>
      <c r="Y90" s="199"/>
      <c r="Z90" s="199"/>
      <c r="AA90" s="199"/>
      <c r="AB90" s="199"/>
      <c r="AC90" s="199"/>
      <c r="AD90" s="199"/>
      <c r="AE90" s="199"/>
      <c r="AF90" s="199"/>
      <c r="AG90" s="199"/>
      <c r="AH90" s="199"/>
      <c r="AI90" s="199"/>
      <c r="AJ90" s="199"/>
      <c r="AK90" s="199"/>
      <c r="AL90" s="199"/>
      <c r="AM90" s="199"/>
      <c r="AN90" s="199"/>
      <c r="AO90" s="199"/>
      <c r="AP90" s="199"/>
      <c r="AQ90" s="199"/>
      <c r="AR90" s="199"/>
      <c r="AS90" s="199"/>
    </row>
    <row r="91" spans="1:45" s="202" customFormat="1" ht="10.7" hidden="1" customHeight="1" x14ac:dyDescent="0.25">
      <c r="A91" s="199"/>
      <c r="B91" s="199"/>
      <c r="C91" s="199"/>
      <c r="D91" s="200"/>
      <c r="E91" s="199"/>
      <c r="F91" s="199"/>
      <c r="G91" s="199"/>
      <c r="H91" s="199"/>
      <c r="I91" s="199"/>
      <c r="J91" s="199"/>
      <c r="K91" s="267">
        <f ca="1">H38</f>
        <v>2895</v>
      </c>
      <c r="L91" s="268">
        <f ca="1">G38</f>
        <v>4056</v>
      </c>
      <c r="M91" s="552"/>
      <c r="N91" s="199"/>
      <c r="O91" s="199"/>
      <c r="P91" s="199"/>
      <c r="Q91" s="199"/>
      <c r="R91" s="199"/>
      <c r="S91" s="199"/>
      <c r="T91" s="199"/>
      <c r="U91" s="199"/>
      <c r="V91" s="199"/>
      <c r="W91" s="199"/>
      <c r="X91" s="199"/>
      <c r="Y91" s="199"/>
      <c r="Z91" s="199"/>
      <c r="AA91" s="199"/>
      <c r="AB91" s="199"/>
      <c r="AC91" s="199"/>
      <c r="AD91" s="199"/>
      <c r="AE91" s="199"/>
      <c r="AF91" s="199"/>
      <c r="AG91" s="199"/>
      <c r="AH91" s="199"/>
      <c r="AI91" s="199"/>
      <c r="AJ91" s="199"/>
      <c r="AK91" s="199"/>
      <c r="AL91" s="199"/>
      <c r="AM91" s="199"/>
      <c r="AN91" s="199"/>
      <c r="AO91" s="199"/>
      <c r="AP91" s="199"/>
      <c r="AQ91" s="199"/>
      <c r="AR91" s="199"/>
      <c r="AS91" s="199"/>
    </row>
    <row r="92" spans="1:45" s="202" customFormat="1" ht="10.7" hidden="1" customHeight="1" x14ac:dyDescent="0.25">
      <c r="A92" s="199"/>
      <c r="B92" s="199"/>
      <c r="C92" s="199"/>
      <c r="D92" s="200"/>
      <c r="E92" s="199"/>
      <c r="F92" s="199"/>
      <c r="G92" s="199"/>
      <c r="H92" s="199"/>
      <c r="I92" s="199"/>
      <c r="J92" s="199"/>
      <c r="K92" s="267">
        <f ca="1">G40</f>
        <v>3153</v>
      </c>
      <c r="L92" s="268">
        <f ca="1">H40</f>
        <v>3458</v>
      </c>
      <c r="M92" s="552"/>
      <c r="N92" s="199"/>
      <c r="O92" s="199"/>
      <c r="P92" s="199"/>
      <c r="Q92" s="199"/>
      <c r="R92" s="199"/>
      <c r="S92" s="199"/>
      <c r="T92" s="199"/>
      <c r="U92" s="199"/>
      <c r="V92" s="199"/>
      <c r="W92" s="199"/>
      <c r="X92" s="199"/>
      <c r="Y92" s="199"/>
      <c r="Z92" s="199"/>
      <c r="AA92" s="199"/>
      <c r="AB92" s="199"/>
      <c r="AC92" s="199"/>
      <c r="AD92" s="199"/>
      <c r="AE92" s="199"/>
      <c r="AF92" s="199"/>
      <c r="AG92" s="199"/>
      <c r="AH92" s="199"/>
      <c r="AI92" s="199"/>
      <c r="AJ92" s="199"/>
      <c r="AK92" s="199"/>
      <c r="AL92" s="199"/>
      <c r="AM92" s="199"/>
      <c r="AN92" s="199"/>
      <c r="AO92" s="199"/>
      <c r="AP92" s="199"/>
      <c r="AQ92" s="199"/>
      <c r="AR92" s="199"/>
      <c r="AS92" s="199"/>
    </row>
    <row r="93" spans="1:45" s="202" customFormat="1" ht="10.7" hidden="1" customHeight="1" x14ac:dyDescent="0.25">
      <c r="A93" s="199"/>
      <c r="B93" s="199"/>
      <c r="C93" s="199"/>
      <c r="D93" s="200"/>
      <c r="E93" s="199"/>
      <c r="F93" s="199"/>
      <c r="G93" s="199"/>
      <c r="H93" s="199"/>
      <c r="I93" s="199"/>
      <c r="J93" s="199"/>
      <c r="K93" s="267">
        <f ca="1">H40</f>
        <v>3458</v>
      </c>
      <c r="L93" s="268">
        <f ca="1">G40</f>
        <v>3153</v>
      </c>
      <c r="M93" s="552"/>
      <c r="N93" s="199"/>
      <c r="O93" s="199"/>
      <c r="P93" s="199"/>
      <c r="Q93" s="199"/>
      <c r="R93" s="199"/>
      <c r="S93" s="199"/>
      <c r="T93" s="199"/>
      <c r="U93" s="199"/>
      <c r="V93" s="199"/>
      <c r="W93" s="199"/>
      <c r="X93" s="199"/>
      <c r="Y93" s="199"/>
      <c r="Z93" s="199"/>
      <c r="AA93" s="199"/>
      <c r="AB93" s="199"/>
      <c r="AC93" s="199"/>
      <c r="AD93" s="199"/>
      <c r="AE93" s="199"/>
      <c r="AF93" s="199"/>
      <c r="AG93" s="199"/>
      <c r="AH93" s="199"/>
      <c r="AI93" s="199"/>
      <c r="AJ93" s="199"/>
      <c r="AK93" s="199"/>
      <c r="AL93" s="199"/>
      <c r="AM93" s="199"/>
      <c r="AN93" s="199"/>
      <c r="AO93" s="199"/>
      <c r="AP93" s="199"/>
      <c r="AQ93" s="199"/>
      <c r="AR93" s="199"/>
      <c r="AS93" s="199"/>
    </row>
    <row r="94" spans="1:45" s="202" customFormat="1" ht="10.7" hidden="1" customHeight="1" x14ac:dyDescent="0.25">
      <c r="A94" s="199"/>
      <c r="B94" s="199"/>
      <c r="C94" s="199"/>
      <c r="D94" s="200"/>
      <c r="E94" s="199"/>
      <c r="F94" s="199"/>
      <c r="G94" s="199"/>
      <c r="H94" s="199"/>
      <c r="I94" s="199"/>
      <c r="J94" s="199"/>
      <c r="K94" s="267">
        <f ca="1">G42</f>
        <v>3671</v>
      </c>
      <c r="L94" s="268">
        <f ca="1">H42</f>
        <v>4034</v>
      </c>
      <c r="M94" s="552"/>
      <c r="N94" s="199"/>
      <c r="O94" s="199"/>
      <c r="P94" s="199"/>
      <c r="Q94" s="199"/>
      <c r="R94" s="199"/>
      <c r="S94" s="199"/>
      <c r="T94" s="199"/>
      <c r="U94" s="199"/>
      <c r="V94" s="199"/>
      <c r="W94" s="199"/>
      <c r="X94" s="199"/>
      <c r="Y94" s="199"/>
      <c r="Z94" s="199"/>
      <c r="AA94" s="199"/>
      <c r="AB94" s="199"/>
      <c r="AC94" s="199"/>
      <c r="AD94" s="199"/>
      <c r="AE94" s="199"/>
      <c r="AF94" s="199"/>
      <c r="AG94" s="199"/>
      <c r="AH94" s="199"/>
      <c r="AI94" s="199"/>
      <c r="AJ94" s="199"/>
      <c r="AK94" s="199"/>
      <c r="AL94" s="199"/>
      <c r="AM94" s="199"/>
      <c r="AN94" s="199"/>
      <c r="AO94" s="199"/>
      <c r="AP94" s="199"/>
      <c r="AQ94" s="199"/>
      <c r="AR94" s="199"/>
      <c r="AS94" s="199"/>
    </row>
    <row r="95" spans="1:45" s="202" customFormat="1" ht="10.7" hidden="1" customHeight="1" x14ac:dyDescent="0.25">
      <c r="A95" s="199"/>
      <c r="B95" s="199"/>
      <c r="C95" s="199"/>
      <c r="D95" s="200"/>
      <c r="E95" s="199"/>
      <c r="F95" s="199"/>
      <c r="G95" s="199"/>
      <c r="H95" s="199"/>
      <c r="I95" s="199"/>
      <c r="J95" s="199"/>
      <c r="K95" s="267">
        <f ca="1">H42</f>
        <v>4034</v>
      </c>
      <c r="L95" s="268">
        <f ca="1">G42</f>
        <v>3671</v>
      </c>
      <c r="M95" s="552"/>
      <c r="N95" s="199"/>
      <c r="O95" s="199"/>
      <c r="P95" s="199"/>
      <c r="Q95" s="199"/>
      <c r="R95" s="199"/>
      <c r="S95" s="199"/>
      <c r="T95" s="199"/>
      <c r="U95" s="199"/>
      <c r="V95" s="199"/>
      <c r="W95" s="199"/>
      <c r="X95" s="199"/>
      <c r="Y95" s="199"/>
      <c r="Z95" s="199"/>
      <c r="AA95" s="199"/>
      <c r="AB95" s="199"/>
      <c r="AC95" s="199"/>
      <c r="AD95" s="199"/>
      <c r="AE95" s="199"/>
      <c r="AF95" s="199"/>
      <c r="AG95" s="199"/>
      <c r="AH95" s="199"/>
      <c r="AI95" s="199"/>
      <c r="AJ95" s="199"/>
      <c r="AK95" s="199"/>
      <c r="AL95" s="199"/>
      <c r="AM95" s="199"/>
      <c r="AN95" s="199"/>
      <c r="AO95" s="199"/>
      <c r="AP95" s="199"/>
      <c r="AQ95" s="199"/>
      <c r="AR95" s="199"/>
      <c r="AS95" s="199"/>
    </row>
    <row r="96" spans="1:45" s="202" customFormat="1" ht="10.7" hidden="1" customHeight="1" x14ac:dyDescent="0.25">
      <c r="A96" s="199"/>
      <c r="B96" s="199"/>
      <c r="C96" s="199"/>
      <c r="D96" s="200" t="s">
        <v>139</v>
      </c>
      <c r="E96" s="199"/>
      <c r="F96" s="199"/>
      <c r="G96" s="219">
        <f ca="1">VLOOKUP(G76,$K$88:$L$103,2,FALSE)</f>
        <v>3836</v>
      </c>
      <c r="H96" s="199"/>
      <c r="I96" s="199" t="str">
        <f ca="1">IF(G96=0,0,VLOOKUP(G96,Inscripciones!$B$1:$I$464,2,FALSE))</f>
        <v>LUCIANO QUIROS AVILA</v>
      </c>
      <c r="J96" s="199" t="str">
        <f ca="1">IF(G96=0,0,VLOOKUP(G96,Inscripciones!$B$1:$L$364,3,FALSE))</f>
        <v>ESCAZÚ</v>
      </c>
      <c r="K96" s="267">
        <f ca="1">G44</f>
        <v>3472</v>
      </c>
      <c r="L96" s="268">
        <f ca="1">H44</f>
        <v>4363</v>
      </c>
      <c r="M96" s="552"/>
      <c r="N96" s="199"/>
      <c r="O96" s="199"/>
      <c r="P96" s="199"/>
      <c r="Q96" s="199"/>
      <c r="R96" s="199"/>
      <c r="S96" s="199"/>
      <c r="T96" s="199"/>
      <c r="U96" s="199"/>
      <c r="V96" s="199"/>
      <c r="W96" s="199"/>
      <c r="X96" s="199"/>
      <c r="Y96" s="199"/>
      <c r="Z96" s="199"/>
      <c r="AA96" s="199"/>
      <c r="AB96" s="199"/>
      <c r="AC96" s="199"/>
      <c r="AD96" s="199"/>
      <c r="AE96" s="199"/>
      <c r="AF96" s="199"/>
      <c r="AG96" s="199"/>
      <c r="AH96" s="199"/>
      <c r="AI96" s="199"/>
      <c r="AJ96" s="199"/>
      <c r="AK96" s="199"/>
      <c r="AL96" s="199"/>
      <c r="AM96" s="199"/>
      <c r="AN96" s="199"/>
      <c r="AO96" s="199"/>
      <c r="AP96" s="199"/>
      <c r="AQ96" s="199"/>
      <c r="AR96" s="199"/>
      <c r="AS96" s="199"/>
    </row>
    <row r="97" spans="1:45" s="202" customFormat="1" ht="10.7" hidden="1" customHeight="1" x14ac:dyDescent="0.25">
      <c r="A97" s="199"/>
      <c r="B97" s="199"/>
      <c r="C97" s="199"/>
      <c r="D97" s="200" t="s">
        <v>140</v>
      </c>
      <c r="E97" s="199"/>
      <c r="F97" s="199"/>
      <c r="G97" s="219">
        <f t="shared" ref="G97:G99" ca="1" si="1044">VLOOKUP(G77,$K$88:$L$103,2,FALSE)</f>
        <v>4056</v>
      </c>
      <c r="H97" s="199"/>
      <c r="I97" s="199" t="str">
        <f ca="1">IF(G97=0,0,VLOOKUP(G97,Inscripciones!$B$1:$I$464,2,FALSE))</f>
        <v>JOSEF ARIAS BRAVO</v>
      </c>
      <c r="J97" s="199" t="str">
        <f ca="1">IF(G97=0,0,VLOOKUP(G97,Inscripciones!$B$1:$L$364,3,FALSE))</f>
        <v>ESPARZA</v>
      </c>
      <c r="K97" s="267">
        <f ca="1">H44</f>
        <v>4363</v>
      </c>
      <c r="L97" s="268">
        <f ca="1">G44</f>
        <v>3472</v>
      </c>
      <c r="M97" s="552"/>
      <c r="N97" s="199"/>
      <c r="O97" s="199"/>
      <c r="P97" s="199"/>
      <c r="Q97" s="199"/>
      <c r="R97" s="199"/>
      <c r="S97" s="199"/>
      <c r="T97" s="199"/>
      <c r="U97" s="199"/>
      <c r="V97" s="199"/>
      <c r="W97" s="199"/>
      <c r="X97" s="199"/>
      <c r="Y97" s="199"/>
      <c r="Z97" s="199"/>
      <c r="AA97" s="199"/>
      <c r="AB97" s="199"/>
      <c r="AC97" s="199"/>
      <c r="AD97" s="199"/>
      <c r="AE97" s="199"/>
      <c r="AF97" s="199"/>
      <c r="AG97" s="199"/>
      <c r="AH97" s="199"/>
      <c r="AI97" s="199"/>
      <c r="AJ97" s="199"/>
      <c r="AK97" s="199"/>
      <c r="AL97" s="199"/>
      <c r="AM97" s="199"/>
      <c r="AN97" s="199"/>
      <c r="AO97" s="199"/>
      <c r="AP97" s="199"/>
      <c r="AQ97" s="199"/>
      <c r="AR97" s="199"/>
      <c r="AS97" s="199"/>
    </row>
    <row r="98" spans="1:45" s="202" customFormat="1" ht="10.7" hidden="1" customHeight="1" x14ac:dyDescent="0.25">
      <c r="A98" s="199"/>
      <c r="B98" s="199"/>
      <c r="C98" s="199"/>
      <c r="D98" s="200" t="s">
        <v>141</v>
      </c>
      <c r="E98" s="199"/>
      <c r="F98" s="199"/>
      <c r="G98" s="219">
        <f t="shared" ca="1" si="1044"/>
        <v>4363</v>
      </c>
      <c r="H98" s="199"/>
      <c r="I98" s="199" t="str">
        <f ca="1">IF(G98=0,0,VLOOKUP(G98,Inscripciones!$B$1:$I$464,2,FALSE))</f>
        <v>CESAR DAM BLANCO</v>
      </c>
      <c r="J98" s="199" t="str">
        <f ca="1">IF(G98=0,0,VLOOKUP(G98,Inscripciones!$B$1:$L$364,3,FALSE))</f>
        <v>CCDR ALAJUELA</v>
      </c>
      <c r="K98" s="267">
        <f ca="1">G46</f>
        <v>2368</v>
      </c>
      <c r="L98" s="268">
        <f ca="1">H46</f>
        <v>4002</v>
      </c>
      <c r="M98" s="552"/>
      <c r="N98" s="199"/>
      <c r="O98" s="199"/>
      <c r="P98" s="199"/>
      <c r="Q98" s="199"/>
      <c r="R98" s="199"/>
      <c r="S98" s="199"/>
      <c r="T98" s="199"/>
      <c r="U98" s="199"/>
      <c r="V98" s="199"/>
      <c r="W98" s="199"/>
      <c r="X98" s="199"/>
      <c r="Y98" s="199"/>
      <c r="Z98" s="199"/>
      <c r="AA98" s="199"/>
      <c r="AB98" s="199"/>
      <c r="AC98" s="199"/>
      <c r="AD98" s="199"/>
      <c r="AE98" s="199"/>
      <c r="AF98" s="199"/>
      <c r="AG98" s="199"/>
      <c r="AH98" s="199"/>
      <c r="AI98" s="199"/>
      <c r="AJ98" s="199"/>
      <c r="AK98" s="199"/>
      <c r="AL98" s="199"/>
      <c r="AM98" s="199"/>
      <c r="AN98" s="199"/>
      <c r="AO98" s="199"/>
      <c r="AP98" s="199"/>
      <c r="AQ98" s="199"/>
      <c r="AR98" s="199"/>
      <c r="AS98" s="199"/>
    </row>
    <row r="99" spans="1:45" s="202" customFormat="1" ht="10.7" hidden="1" customHeight="1" x14ac:dyDescent="0.25">
      <c r="A99" s="199"/>
      <c r="B99" s="199"/>
      <c r="C99" s="199"/>
      <c r="D99" s="200" t="s">
        <v>142</v>
      </c>
      <c r="E99" s="199"/>
      <c r="F99" s="199"/>
      <c r="G99" s="219">
        <f t="shared" ca="1" si="1044"/>
        <v>4034</v>
      </c>
      <c r="H99" s="199"/>
      <c r="I99" s="199" t="str">
        <f ca="1">IF(G99=0,0,VLOOKUP(G99,Inscripciones!$B$1:$I$464,2,FALSE))</f>
        <v>IAN DAVID GARRO ALONSO</v>
      </c>
      <c r="J99" s="199" t="str">
        <f ca="1">IF(G99=0,0,VLOOKUP(G99,Inscripciones!$B$1:$L$364,3,FALSE))</f>
        <v>CCDR SAN JOSÉ</v>
      </c>
      <c r="K99" s="267">
        <f ca="1">H46</f>
        <v>4002</v>
      </c>
      <c r="L99" s="268">
        <f ca="1">G46</f>
        <v>2368</v>
      </c>
      <c r="M99" s="552"/>
      <c r="N99" s="199"/>
      <c r="O99" s="199"/>
      <c r="P99" s="199"/>
      <c r="Q99" s="199"/>
      <c r="R99" s="199"/>
      <c r="S99" s="199"/>
      <c r="T99" s="199"/>
      <c r="U99" s="199"/>
      <c r="V99" s="199"/>
      <c r="W99" s="199"/>
      <c r="X99" s="199"/>
      <c r="Y99" s="199"/>
      <c r="Z99" s="199"/>
      <c r="AA99" s="199"/>
      <c r="AB99" s="199"/>
      <c r="AC99" s="199"/>
      <c r="AD99" s="199"/>
      <c r="AE99" s="199"/>
      <c r="AF99" s="199"/>
      <c r="AG99" s="199"/>
      <c r="AH99" s="199"/>
      <c r="AI99" s="199"/>
      <c r="AJ99" s="199"/>
      <c r="AK99" s="199"/>
      <c r="AL99" s="199"/>
      <c r="AM99" s="199"/>
      <c r="AN99" s="199"/>
      <c r="AO99" s="199"/>
      <c r="AP99" s="199"/>
      <c r="AQ99" s="199"/>
      <c r="AR99" s="199"/>
      <c r="AS99" s="199"/>
    </row>
    <row r="100" spans="1:45" s="202" customFormat="1" ht="10.7" hidden="1" customHeight="1" x14ac:dyDescent="0.25">
      <c r="A100" s="199"/>
      <c r="B100" s="199"/>
      <c r="C100" s="199"/>
      <c r="D100" s="200" t="s">
        <v>143</v>
      </c>
      <c r="E100" s="199"/>
      <c r="F100" s="199"/>
      <c r="G100" s="219">
        <f ca="1">VLOOKUP(G84,$K$88:$L$103,2,FALSE)</f>
        <v>3449</v>
      </c>
      <c r="H100" s="199"/>
      <c r="I100" s="199" t="str">
        <f ca="1">IF(G100=0,0,VLOOKUP(G100,Inscripciones!$B$1:$I$464,2,FALSE))</f>
        <v>REINEL ANTONIO VANEGAS LACAYO</v>
      </c>
      <c r="J100" s="199" t="str">
        <f ca="1">IF(G100=0,0,VLOOKUP(G100,Inscripciones!$B$1:$L$364,3,FALSE))</f>
        <v>ALAJUELA</v>
      </c>
      <c r="K100" s="267">
        <f ca="1">G48</f>
        <v>2623</v>
      </c>
      <c r="L100" s="268">
        <f ca="1">H48</f>
        <v>3836</v>
      </c>
      <c r="M100" s="552"/>
      <c r="N100" s="199"/>
      <c r="O100" s="199"/>
      <c r="P100" s="199"/>
      <c r="Q100" s="199"/>
      <c r="R100" s="199"/>
      <c r="S100" s="199"/>
      <c r="T100" s="199"/>
      <c r="U100" s="199"/>
      <c r="V100" s="199"/>
      <c r="W100" s="199"/>
      <c r="X100" s="199"/>
      <c r="Y100" s="199"/>
      <c r="Z100" s="199"/>
      <c r="AA100" s="199"/>
      <c r="AB100" s="199"/>
      <c r="AC100" s="199"/>
      <c r="AD100" s="199"/>
      <c r="AE100" s="199"/>
      <c r="AF100" s="199"/>
      <c r="AG100" s="199"/>
      <c r="AH100" s="199"/>
      <c r="AI100" s="199"/>
      <c r="AJ100" s="199"/>
      <c r="AK100" s="199"/>
      <c r="AL100" s="199"/>
      <c r="AM100" s="199"/>
      <c r="AN100" s="199"/>
      <c r="AO100" s="199"/>
      <c r="AP100" s="199"/>
      <c r="AQ100" s="199"/>
      <c r="AR100" s="199"/>
      <c r="AS100" s="199"/>
    </row>
    <row r="101" spans="1:45" s="202" customFormat="1" ht="10.7" hidden="1" customHeight="1" x14ac:dyDescent="0.25">
      <c r="A101" s="199"/>
      <c r="B101" s="199"/>
      <c r="C101" s="199"/>
      <c r="D101" s="200" t="s">
        <v>144</v>
      </c>
      <c r="E101" s="199"/>
      <c r="F101" s="199"/>
      <c r="G101" s="219">
        <f t="shared" ref="G101:G103" ca="1" si="1045">VLOOKUP(G85,$K$88:$L$103,2,FALSE)</f>
        <v>3747</v>
      </c>
      <c r="H101" s="199"/>
      <c r="I101" s="199" t="str">
        <f ca="1">IF(G101=0,0,VLOOKUP(G101,Inscripciones!$B$1:$I$464,2,FALSE))</f>
        <v>LUIS ALONSO VILLALOBOS CAMPOS</v>
      </c>
      <c r="J101" s="199" t="str">
        <f ca="1">IF(G101=0,0,VLOOKUP(G101,Inscripciones!$B$1:$L$364,3,FALSE))</f>
        <v>ESPARZA</v>
      </c>
      <c r="K101" s="267">
        <f ca="1">H48</f>
        <v>3836</v>
      </c>
      <c r="L101" s="268">
        <f ca="1">G48</f>
        <v>2623</v>
      </c>
      <c r="M101" s="552"/>
      <c r="N101" s="199"/>
      <c r="O101" s="199"/>
      <c r="P101" s="199"/>
      <c r="Q101" s="199"/>
      <c r="R101" s="199"/>
      <c r="S101" s="199"/>
      <c r="T101" s="199"/>
      <c r="U101" s="199"/>
      <c r="V101" s="199"/>
      <c r="W101" s="199"/>
      <c r="X101" s="199"/>
      <c r="Y101" s="199"/>
      <c r="Z101" s="199"/>
      <c r="AA101" s="199"/>
      <c r="AB101" s="199"/>
      <c r="AC101" s="199"/>
      <c r="AD101" s="199"/>
      <c r="AE101" s="199"/>
      <c r="AF101" s="199"/>
      <c r="AG101" s="199"/>
      <c r="AH101" s="199"/>
      <c r="AI101" s="199"/>
      <c r="AJ101" s="199"/>
      <c r="AK101" s="199"/>
      <c r="AL101" s="199"/>
      <c r="AM101" s="199"/>
      <c r="AN101" s="199"/>
      <c r="AO101" s="199"/>
      <c r="AP101" s="199"/>
      <c r="AQ101" s="199"/>
      <c r="AR101" s="199"/>
      <c r="AS101" s="199"/>
    </row>
    <row r="102" spans="1:45" s="202" customFormat="1" ht="10.7" hidden="1" customHeight="1" x14ac:dyDescent="0.25">
      <c r="A102" s="199"/>
      <c r="B102" s="199"/>
      <c r="C102" s="199"/>
      <c r="D102" s="200" t="s">
        <v>145</v>
      </c>
      <c r="E102" s="199"/>
      <c r="F102" s="199"/>
      <c r="G102" s="219">
        <f t="shared" ca="1" si="1045"/>
        <v>2368</v>
      </c>
      <c r="H102" s="199"/>
      <c r="I102" s="199" t="str">
        <f ca="1">IF(G102=0,0,VLOOKUP(G102,Inscripciones!$B$1:$I$464,2,FALSE))</f>
        <v>EMANUEL RIVERA TORRES</v>
      </c>
      <c r="J102" s="199" t="str">
        <f ca="1">IF(G102=0,0,VLOOKUP(G102,Inscripciones!$B$1:$L$364,3,FALSE))</f>
        <v>ASERRÍ</v>
      </c>
      <c r="K102" s="267">
        <f ca="1">G50</f>
        <v>3499</v>
      </c>
      <c r="L102" s="268">
        <f ca="1">H50</f>
        <v>3449</v>
      </c>
      <c r="M102" s="552"/>
      <c r="N102" s="199"/>
      <c r="O102" s="199"/>
      <c r="P102" s="199"/>
      <c r="Q102" s="199"/>
      <c r="R102" s="199"/>
      <c r="S102" s="199"/>
      <c r="T102" s="199"/>
      <c r="U102" s="199"/>
      <c r="V102" s="199"/>
      <c r="W102" s="199"/>
      <c r="X102" s="199"/>
      <c r="Y102" s="199"/>
      <c r="Z102" s="199"/>
      <c r="AA102" s="199"/>
      <c r="AB102" s="199"/>
      <c r="AC102" s="199"/>
      <c r="AD102" s="199"/>
      <c r="AE102" s="199"/>
      <c r="AF102" s="199"/>
      <c r="AG102" s="199"/>
      <c r="AH102" s="199"/>
      <c r="AI102" s="199"/>
      <c r="AJ102" s="199"/>
      <c r="AK102" s="199"/>
      <c r="AL102" s="199"/>
      <c r="AM102" s="199"/>
      <c r="AN102" s="199"/>
      <c r="AO102" s="199"/>
      <c r="AP102" s="199"/>
      <c r="AQ102" s="199"/>
      <c r="AR102" s="199"/>
      <c r="AS102" s="199"/>
    </row>
    <row r="103" spans="1:45" s="202" customFormat="1" ht="10.7" hidden="1" customHeight="1" x14ac:dyDescent="0.25">
      <c r="A103" s="199"/>
      <c r="B103" s="199"/>
      <c r="C103" s="199"/>
      <c r="D103" s="200" t="s">
        <v>146</v>
      </c>
      <c r="E103" s="199"/>
      <c r="F103" s="199"/>
      <c r="G103" s="219">
        <f t="shared" ca="1" si="1045"/>
        <v>3153</v>
      </c>
      <c r="H103" s="199"/>
      <c r="I103" s="199" t="str">
        <f ca="1">IF(G103=0,0,VLOOKUP(G103,Inscripciones!$B$1:$I$464,2,FALSE))</f>
        <v>ARIEL IGNACIO BARTELS BARQUERO</v>
      </c>
      <c r="J103" s="199" t="str">
        <f ca="1">IF(G103=0,0,VLOOKUP(G103,Inscripciones!$B$1:$L$364,3,FALSE))</f>
        <v>PÉREZ ZELEDÓN - UNA</v>
      </c>
      <c r="K103" s="269">
        <f ca="1">H50</f>
        <v>3449</v>
      </c>
      <c r="L103" s="270">
        <f ca="1">G50</f>
        <v>3499</v>
      </c>
      <c r="M103" s="553"/>
      <c r="N103" s="199"/>
      <c r="O103" s="199"/>
      <c r="P103" s="199"/>
      <c r="Q103" s="199"/>
      <c r="R103" s="199"/>
      <c r="S103" s="199"/>
      <c r="T103" s="199"/>
      <c r="U103" s="199"/>
      <c r="V103" s="199"/>
      <c r="W103" s="199"/>
      <c r="X103" s="199"/>
      <c r="Y103" s="199"/>
      <c r="Z103" s="199"/>
      <c r="AA103" s="199"/>
      <c r="AB103" s="199"/>
      <c r="AC103" s="199"/>
      <c r="AD103" s="199"/>
      <c r="AE103" s="199"/>
      <c r="AF103" s="199"/>
      <c r="AG103" s="199"/>
      <c r="AH103" s="199"/>
      <c r="AI103" s="199"/>
      <c r="AJ103" s="199"/>
      <c r="AK103" s="199"/>
      <c r="AL103" s="199"/>
      <c r="AM103" s="199"/>
      <c r="AN103" s="199"/>
      <c r="AO103" s="199"/>
      <c r="AP103" s="199"/>
      <c r="AQ103" s="199"/>
      <c r="AR103" s="199"/>
      <c r="AS103" s="199"/>
    </row>
    <row r="104" spans="1:45" s="202" customFormat="1" ht="10.7" hidden="1" customHeight="1" x14ac:dyDescent="0.25">
      <c r="A104" s="199"/>
      <c r="B104" s="199"/>
      <c r="C104" s="199"/>
      <c r="D104" s="200"/>
      <c r="E104" s="199"/>
      <c r="F104" s="199"/>
      <c r="G104" s="199"/>
      <c r="H104" s="199"/>
      <c r="I104" s="199"/>
      <c r="J104" s="199"/>
      <c r="K104" s="265">
        <f ca="1">G4</f>
        <v>2515</v>
      </c>
      <c r="L104" s="266">
        <f ca="1">H4</f>
        <v>3839</v>
      </c>
      <c r="M104" s="554" t="s">
        <v>147</v>
      </c>
      <c r="N104" s="199"/>
      <c r="O104" s="199"/>
      <c r="P104" s="199"/>
      <c r="Q104" s="199"/>
      <c r="R104" s="199"/>
      <c r="S104" s="199"/>
      <c r="T104" s="199"/>
      <c r="U104" s="199"/>
      <c r="V104" s="199"/>
      <c r="W104" s="199"/>
      <c r="X104" s="199"/>
      <c r="Y104" s="199"/>
      <c r="Z104" s="199"/>
      <c r="AA104" s="199"/>
      <c r="AB104" s="199"/>
      <c r="AC104" s="199"/>
      <c r="AD104" s="199"/>
      <c r="AE104" s="199"/>
      <c r="AF104" s="199"/>
      <c r="AG104" s="199"/>
      <c r="AH104" s="199"/>
      <c r="AI104" s="199"/>
      <c r="AJ104" s="199"/>
      <c r="AK104" s="199"/>
      <c r="AL104" s="199"/>
      <c r="AM104" s="199"/>
      <c r="AN104" s="199"/>
      <c r="AO104" s="199"/>
      <c r="AP104" s="199"/>
      <c r="AQ104" s="199"/>
      <c r="AR104" s="199"/>
      <c r="AS104" s="199"/>
    </row>
    <row r="105" spans="1:45" s="202" customFormat="1" ht="10.7" hidden="1" customHeight="1" x14ac:dyDescent="0.25">
      <c r="A105" s="199"/>
      <c r="B105" s="199"/>
      <c r="C105" s="199"/>
      <c r="D105" s="200"/>
      <c r="E105" s="199"/>
      <c r="F105" s="199"/>
      <c r="G105" s="199"/>
      <c r="H105" s="199"/>
      <c r="I105" s="199"/>
      <c r="J105" s="199"/>
      <c r="K105" s="267">
        <f ca="1">H4</f>
        <v>3839</v>
      </c>
      <c r="L105" s="268">
        <f ca="1">G4</f>
        <v>2515</v>
      </c>
      <c r="M105" s="552"/>
      <c r="N105" s="199"/>
      <c r="O105" s="199"/>
      <c r="P105" s="199"/>
      <c r="Q105" s="199"/>
      <c r="R105" s="199"/>
      <c r="S105" s="199"/>
      <c r="T105" s="199"/>
      <c r="U105" s="199"/>
      <c r="V105" s="199"/>
      <c r="W105" s="199"/>
      <c r="X105" s="199"/>
      <c r="Y105" s="199"/>
      <c r="Z105" s="199"/>
      <c r="AA105" s="199"/>
      <c r="AB105" s="199"/>
      <c r="AC105" s="199"/>
      <c r="AD105" s="199"/>
      <c r="AE105" s="199"/>
      <c r="AF105" s="199"/>
      <c r="AG105" s="199"/>
      <c r="AH105" s="199"/>
      <c r="AI105" s="199"/>
      <c r="AJ105" s="199"/>
      <c r="AK105" s="199"/>
      <c r="AL105" s="199"/>
      <c r="AM105" s="199"/>
      <c r="AN105" s="199"/>
      <c r="AO105" s="199"/>
      <c r="AP105" s="199"/>
      <c r="AQ105" s="199"/>
      <c r="AR105" s="199"/>
      <c r="AS105" s="199"/>
    </row>
    <row r="106" spans="1:45" s="202" customFormat="1" ht="10.7" hidden="1" customHeight="1" x14ac:dyDescent="0.25">
      <c r="A106" s="199"/>
      <c r="B106" s="199"/>
      <c r="C106" s="199"/>
      <c r="D106" s="200"/>
      <c r="E106" s="199"/>
      <c r="F106" s="199"/>
      <c r="G106" s="199"/>
      <c r="H106" s="199"/>
      <c r="I106" s="199"/>
      <c r="J106" s="199"/>
      <c r="K106" s="267">
        <f ca="1">G6</f>
        <v>2513</v>
      </c>
      <c r="L106" s="268">
        <f ca="1">H6</f>
        <v>3747</v>
      </c>
      <c r="M106" s="552"/>
      <c r="N106" s="199"/>
      <c r="O106" s="199"/>
      <c r="P106" s="199"/>
      <c r="Q106" s="199"/>
      <c r="R106" s="199"/>
      <c r="S106" s="199"/>
      <c r="T106" s="199"/>
      <c r="U106" s="199"/>
      <c r="V106" s="199"/>
      <c r="W106" s="199"/>
      <c r="X106" s="199"/>
      <c r="Y106" s="199"/>
      <c r="Z106" s="199"/>
      <c r="AA106" s="199"/>
      <c r="AB106" s="199"/>
      <c r="AC106" s="199"/>
      <c r="AD106" s="199"/>
      <c r="AE106" s="199"/>
      <c r="AF106" s="199"/>
      <c r="AG106" s="199"/>
      <c r="AH106" s="199"/>
      <c r="AI106" s="199"/>
      <c r="AJ106" s="199"/>
      <c r="AK106" s="199"/>
      <c r="AL106" s="199"/>
      <c r="AM106" s="199"/>
      <c r="AN106" s="199"/>
      <c r="AO106" s="199"/>
      <c r="AP106" s="199"/>
      <c r="AQ106" s="199"/>
      <c r="AR106" s="199"/>
      <c r="AS106" s="199"/>
    </row>
    <row r="107" spans="1:45" s="202" customFormat="1" ht="10.7" hidden="1" customHeight="1" x14ac:dyDescent="0.25">
      <c r="A107" s="199"/>
      <c r="B107" s="199"/>
      <c r="C107" s="199"/>
      <c r="D107" s="200"/>
      <c r="E107" s="199"/>
      <c r="F107" s="199"/>
      <c r="G107" s="199"/>
      <c r="H107" s="199"/>
      <c r="I107" s="199"/>
      <c r="J107" s="199"/>
      <c r="K107" s="267">
        <f ca="1">H6</f>
        <v>3747</v>
      </c>
      <c r="L107" s="268">
        <f ca="1">G6</f>
        <v>2513</v>
      </c>
      <c r="M107" s="552"/>
      <c r="N107" s="199"/>
      <c r="O107" s="199"/>
      <c r="P107" s="199"/>
      <c r="Q107" s="199"/>
      <c r="R107" s="199"/>
      <c r="S107" s="199"/>
      <c r="T107" s="199"/>
      <c r="U107" s="199"/>
      <c r="V107" s="199"/>
      <c r="W107" s="199"/>
      <c r="X107" s="199"/>
      <c r="Y107" s="199"/>
      <c r="Z107" s="199"/>
      <c r="AA107" s="199"/>
      <c r="AB107" s="199"/>
      <c r="AC107" s="199"/>
      <c r="AD107" s="199"/>
      <c r="AE107" s="199"/>
      <c r="AF107" s="199"/>
      <c r="AG107" s="199"/>
      <c r="AH107" s="199"/>
      <c r="AI107" s="199"/>
      <c r="AJ107" s="199"/>
      <c r="AK107" s="199"/>
      <c r="AL107" s="199"/>
      <c r="AM107" s="199"/>
      <c r="AN107" s="199"/>
      <c r="AO107" s="199"/>
      <c r="AP107" s="199"/>
      <c r="AQ107" s="199"/>
      <c r="AR107" s="199"/>
      <c r="AS107" s="199"/>
    </row>
    <row r="108" spans="1:45" s="202" customFormat="1" ht="10.7" hidden="1" customHeight="1" x14ac:dyDescent="0.25">
      <c r="A108" s="199"/>
      <c r="B108" s="199"/>
      <c r="C108" s="199"/>
      <c r="D108" s="200"/>
      <c r="E108" s="199"/>
      <c r="F108" s="199"/>
      <c r="G108" s="199"/>
      <c r="H108" s="199"/>
      <c r="I108" s="199"/>
      <c r="J108" s="199"/>
      <c r="K108" s="267">
        <f ca="1">G8</f>
        <v>3468</v>
      </c>
      <c r="L108" s="268">
        <f ca="1">H8</f>
        <v>4056</v>
      </c>
      <c r="M108" s="552"/>
      <c r="N108" s="199"/>
      <c r="O108" s="199"/>
      <c r="P108" s="199"/>
      <c r="Q108" s="199"/>
      <c r="R108" s="199"/>
      <c r="S108" s="199"/>
      <c r="T108" s="199"/>
      <c r="U108" s="199"/>
      <c r="V108" s="199"/>
      <c r="W108" s="199"/>
      <c r="X108" s="199"/>
      <c r="Y108" s="199"/>
      <c r="Z108" s="199"/>
      <c r="AA108" s="199"/>
      <c r="AB108" s="199"/>
      <c r="AC108" s="199"/>
      <c r="AD108" s="199"/>
      <c r="AE108" s="199"/>
      <c r="AF108" s="199"/>
      <c r="AG108" s="199"/>
      <c r="AH108" s="199"/>
      <c r="AI108" s="199"/>
      <c r="AJ108" s="199"/>
      <c r="AK108" s="199"/>
      <c r="AL108" s="199"/>
      <c r="AM108" s="199"/>
      <c r="AN108" s="199"/>
      <c r="AO108" s="199"/>
      <c r="AP108" s="199"/>
      <c r="AQ108" s="199"/>
      <c r="AR108" s="199"/>
      <c r="AS108" s="199"/>
    </row>
    <row r="109" spans="1:45" s="202" customFormat="1" ht="10.7" hidden="1" customHeight="1" x14ac:dyDescent="0.25">
      <c r="A109" s="199"/>
      <c r="B109" s="199"/>
      <c r="C109" s="199"/>
      <c r="D109" s="200"/>
      <c r="E109" s="199"/>
      <c r="F109" s="199"/>
      <c r="G109" s="199"/>
      <c r="H109" s="199"/>
      <c r="I109" s="199"/>
      <c r="J109" s="199"/>
      <c r="K109" s="267">
        <f ca="1">H8</f>
        <v>4056</v>
      </c>
      <c r="L109" s="268">
        <f ca="1">G8</f>
        <v>3468</v>
      </c>
      <c r="M109" s="552"/>
      <c r="N109" s="199"/>
      <c r="O109" s="199"/>
      <c r="P109" s="199"/>
      <c r="Q109" s="199"/>
      <c r="R109" s="199"/>
      <c r="S109" s="199"/>
      <c r="T109" s="199"/>
      <c r="U109" s="199"/>
      <c r="V109" s="199"/>
      <c r="W109" s="199"/>
      <c r="X109" s="199"/>
      <c r="Y109" s="199"/>
      <c r="Z109" s="199"/>
      <c r="AA109" s="199"/>
      <c r="AB109" s="199"/>
      <c r="AC109" s="199"/>
      <c r="AD109" s="199"/>
      <c r="AE109" s="199"/>
      <c r="AF109" s="199"/>
      <c r="AG109" s="199"/>
      <c r="AH109" s="199"/>
      <c r="AI109" s="199"/>
      <c r="AJ109" s="199"/>
      <c r="AK109" s="199"/>
      <c r="AL109" s="199"/>
      <c r="AM109" s="199"/>
      <c r="AN109" s="199"/>
      <c r="AO109" s="199"/>
      <c r="AP109" s="199"/>
      <c r="AQ109" s="199"/>
      <c r="AR109" s="199"/>
      <c r="AS109" s="199"/>
    </row>
    <row r="110" spans="1:45" s="202" customFormat="1" ht="10.7" hidden="1" customHeight="1" x14ac:dyDescent="0.25">
      <c r="A110" s="199"/>
      <c r="B110" s="199"/>
      <c r="C110" s="199"/>
      <c r="D110" s="200"/>
      <c r="E110" s="199"/>
      <c r="F110" s="199"/>
      <c r="G110" s="199"/>
      <c r="H110" s="199"/>
      <c r="I110" s="199"/>
      <c r="J110" s="199"/>
      <c r="K110" s="267">
        <f ca="1">G10</f>
        <v>2801</v>
      </c>
      <c r="L110" s="268">
        <f ca="1">H10</f>
        <v>2895</v>
      </c>
      <c r="M110" s="552"/>
      <c r="N110" s="199"/>
      <c r="O110" s="199"/>
      <c r="P110" s="199"/>
      <c r="Q110" s="199"/>
      <c r="R110" s="199"/>
      <c r="S110" s="199"/>
      <c r="T110" s="199"/>
      <c r="U110" s="199"/>
      <c r="V110" s="199"/>
      <c r="W110" s="199"/>
      <c r="X110" s="199"/>
      <c r="Y110" s="199"/>
      <c r="Z110" s="199"/>
      <c r="AA110" s="199"/>
      <c r="AB110" s="199"/>
      <c r="AC110" s="199"/>
      <c r="AD110" s="199"/>
      <c r="AE110" s="199"/>
      <c r="AF110" s="199"/>
      <c r="AG110" s="199"/>
      <c r="AH110" s="199"/>
      <c r="AI110" s="199"/>
      <c r="AJ110" s="199"/>
      <c r="AK110" s="199"/>
      <c r="AL110" s="199"/>
      <c r="AM110" s="199"/>
      <c r="AN110" s="199"/>
      <c r="AO110" s="199"/>
      <c r="AP110" s="199"/>
      <c r="AQ110" s="199"/>
      <c r="AR110" s="199"/>
      <c r="AS110" s="199"/>
    </row>
    <row r="111" spans="1:45" s="202" customFormat="1" ht="10.7" hidden="1" customHeight="1" x14ac:dyDescent="0.25">
      <c r="A111" s="199"/>
      <c r="B111" s="199"/>
      <c r="C111" s="199"/>
      <c r="D111" s="200"/>
      <c r="E111" s="199"/>
      <c r="F111" s="199"/>
      <c r="G111" s="199"/>
      <c r="H111" s="199"/>
      <c r="I111" s="199"/>
      <c r="J111" s="199"/>
      <c r="K111" s="267">
        <f ca="1">H10</f>
        <v>2895</v>
      </c>
      <c r="L111" s="268">
        <f ca="1">G10</f>
        <v>2801</v>
      </c>
      <c r="M111" s="552"/>
      <c r="N111" s="199"/>
      <c r="O111" s="199"/>
      <c r="P111" s="199"/>
      <c r="Q111" s="199"/>
      <c r="R111" s="199"/>
      <c r="S111" s="199"/>
      <c r="T111" s="199"/>
      <c r="U111" s="199"/>
      <c r="V111" s="199"/>
      <c r="W111" s="199"/>
      <c r="X111" s="199"/>
      <c r="Y111" s="199"/>
      <c r="Z111" s="199"/>
      <c r="AA111" s="199"/>
      <c r="AB111" s="199"/>
      <c r="AC111" s="199"/>
      <c r="AD111" s="199"/>
      <c r="AE111" s="199"/>
      <c r="AF111" s="199"/>
      <c r="AG111" s="199"/>
      <c r="AH111" s="199"/>
      <c r="AI111" s="199"/>
      <c r="AJ111" s="199"/>
      <c r="AK111" s="199"/>
      <c r="AL111" s="199"/>
      <c r="AM111" s="199"/>
      <c r="AN111" s="199"/>
      <c r="AO111" s="199"/>
      <c r="AP111" s="199"/>
      <c r="AQ111" s="199"/>
      <c r="AR111" s="199"/>
      <c r="AS111" s="199"/>
    </row>
    <row r="112" spans="1:45" s="202" customFormat="1" ht="10.7" hidden="1" customHeight="1" x14ac:dyDescent="0.25">
      <c r="A112" s="199"/>
      <c r="B112" s="199"/>
      <c r="C112" s="199"/>
      <c r="D112" s="200"/>
      <c r="E112" s="199"/>
      <c r="F112" s="199"/>
      <c r="G112" s="199"/>
      <c r="H112" s="199"/>
      <c r="I112" s="199"/>
      <c r="J112" s="199"/>
      <c r="K112" s="267">
        <f ca="1">G12</f>
        <v>3153</v>
      </c>
      <c r="L112" s="268">
        <f ca="1">H12</f>
        <v>4463</v>
      </c>
      <c r="M112" s="552"/>
      <c r="N112" s="199"/>
      <c r="O112" s="199"/>
      <c r="P112" s="199"/>
      <c r="Q112" s="199"/>
      <c r="R112" s="199"/>
      <c r="S112" s="199"/>
      <c r="T112" s="199"/>
      <c r="U112" s="199"/>
      <c r="V112" s="199"/>
      <c r="W112" s="199"/>
      <c r="X112" s="199"/>
      <c r="Y112" s="199"/>
      <c r="Z112" s="199"/>
      <c r="AA112" s="199"/>
      <c r="AB112" s="199"/>
      <c r="AC112" s="199"/>
      <c r="AD112" s="199"/>
      <c r="AE112" s="199"/>
      <c r="AF112" s="199"/>
      <c r="AG112" s="199"/>
      <c r="AH112" s="199"/>
      <c r="AI112" s="199"/>
      <c r="AJ112" s="199"/>
      <c r="AK112" s="199"/>
      <c r="AL112" s="199"/>
      <c r="AM112" s="199"/>
      <c r="AN112" s="199"/>
      <c r="AO112" s="199"/>
      <c r="AP112" s="199"/>
      <c r="AQ112" s="199"/>
      <c r="AR112" s="199"/>
      <c r="AS112" s="199"/>
    </row>
    <row r="113" spans="1:45" s="202" customFormat="1" ht="10.7" hidden="1" customHeight="1" x14ac:dyDescent="0.25">
      <c r="A113" s="199"/>
      <c r="B113" s="199"/>
      <c r="C113" s="199"/>
      <c r="D113" s="200"/>
      <c r="E113" s="199"/>
      <c r="F113" s="199"/>
      <c r="G113" s="199"/>
      <c r="H113" s="199"/>
      <c r="I113" s="199"/>
      <c r="J113" s="199"/>
      <c r="K113" s="267">
        <f ca="1">H12</f>
        <v>4463</v>
      </c>
      <c r="L113" s="268">
        <f ca="1">G12</f>
        <v>3153</v>
      </c>
      <c r="M113" s="552"/>
      <c r="N113" s="199"/>
      <c r="O113" s="199"/>
      <c r="P113" s="199"/>
      <c r="Q113" s="199"/>
      <c r="R113" s="199"/>
      <c r="S113" s="199"/>
      <c r="T113" s="199"/>
      <c r="U113" s="199"/>
      <c r="V113" s="199"/>
      <c r="W113" s="199"/>
      <c r="X113" s="199"/>
      <c r="Y113" s="199"/>
      <c r="Z113" s="199"/>
      <c r="AA113" s="199"/>
      <c r="AB113" s="199"/>
      <c r="AC113" s="199"/>
      <c r="AD113" s="199"/>
      <c r="AE113" s="199"/>
      <c r="AF113" s="199"/>
      <c r="AG113" s="199"/>
      <c r="AH113" s="199"/>
      <c r="AI113" s="199"/>
      <c r="AJ113" s="199"/>
      <c r="AK113" s="199"/>
      <c r="AL113" s="199"/>
      <c r="AM113" s="199"/>
      <c r="AN113" s="199"/>
      <c r="AO113" s="199"/>
      <c r="AP113" s="199"/>
      <c r="AQ113" s="199"/>
      <c r="AR113" s="199"/>
      <c r="AS113" s="199"/>
    </row>
    <row r="114" spans="1:45" s="202" customFormat="1" ht="10.7" hidden="1" customHeight="1" x14ac:dyDescent="0.25">
      <c r="A114" s="199"/>
      <c r="B114" s="199"/>
      <c r="C114" s="199"/>
      <c r="D114" s="200"/>
      <c r="E114" s="199"/>
      <c r="F114" s="199"/>
      <c r="G114" s="199"/>
      <c r="H114" s="199"/>
      <c r="I114" s="199"/>
      <c r="J114" s="199"/>
      <c r="K114" s="267">
        <f ca="1">G14</f>
        <v>4464</v>
      </c>
      <c r="L114" s="268">
        <f ca="1">H14</f>
        <v>3458</v>
      </c>
      <c r="M114" s="552"/>
      <c r="N114" s="199"/>
      <c r="O114" s="199"/>
      <c r="P114" s="199"/>
      <c r="Q114" s="199"/>
      <c r="R114" s="199"/>
      <c r="S114" s="199"/>
      <c r="T114" s="199"/>
      <c r="U114" s="199"/>
      <c r="V114" s="199"/>
      <c r="W114" s="199"/>
      <c r="X114" s="199"/>
      <c r="Y114" s="199"/>
      <c r="Z114" s="199"/>
      <c r="AA114" s="199"/>
      <c r="AB114" s="199"/>
      <c r="AC114" s="199"/>
      <c r="AD114" s="199"/>
      <c r="AE114" s="199"/>
      <c r="AF114" s="199"/>
      <c r="AG114" s="199"/>
      <c r="AH114" s="199"/>
      <c r="AI114" s="199"/>
      <c r="AJ114" s="199"/>
      <c r="AK114" s="199"/>
      <c r="AL114" s="199"/>
      <c r="AM114" s="199"/>
      <c r="AN114" s="199"/>
      <c r="AO114" s="199"/>
      <c r="AP114" s="199"/>
      <c r="AQ114" s="199"/>
      <c r="AR114" s="199"/>
      <c r="AS114" s="199"/>
    </row>
    <row r="115" spans="1:45" s="202" customFormat="1" ht="10.7" hidden="1" customHeight="1" x14ac:dyDescent="0.25">
      <c r="A115" s="199"/>
      <c r="B115" s="199"/>
      <c r="C115" s="199"/>
      <c r="D115" s="200"/>
      <c r="E115" s="199"/>
      <c r="F115" s="199"/>
      <c r="G115" s="199"/>
      <c r="H115" s="199"/>
      <c r="I115" s="199"/>
      <c r="J115" s="199"/>
      <c r="K115" s="267">
        <f ca="1">H14</f>
        <v>3458</v>
      </c>
      <c r="L115" s="268">
        <f ca="1">G14</f>
        <v>4464</v>
      </c>
      <c r="M115" s="552"/>
      <c r="N115" s="199"/>
      <c r="O115" s="199"/>
      <c r="P115" s="199"/>
      <c r="Q115" s="199"/>
      <c r="R115" s="199"/>
      <c r="S115" s="199"/>
      <c r="T115" s="199"/>
      <c r="U115" s="199"/>
      <c r="V115" s="199"/>
      <c r="W115" s="199"/>
      <c r="X115" s="199"/>
      <c r="Y115" s="199"/>
      <c r="Z115" s="199"/>
      <c r="AA115" s="199"/>
      <c r="AB115" s="199"/>
      <c r="AC115" s="199"/>
      <c r="AD115" s="199"/>
      <c r="AE115" s="199"/>
      <c r="AF115" s="199"/>
      <c r="AG115" s="199"/>
      <c r="AH115" s="199"/>
      <c r="AI115" s="199"/>
      <c r="AJ115" s="199"/>
      <c r="AK115" s="199"/>
      <c r="AL115" s="199"/>
      <c r="AM115" s="199"/>
      <c r="AN115" s="199"/>
      <c r="AO115" s="199"/>
      <c r="AP115" s="199"/>
      <c r="AQ115" s="199"/>
      <c r="AR115" s="199"/>
      <c r="AS115" s="199"/>
    </row>
    <row r="116" spans="1:45" s="202" customFormat="1" ht="10.7" hidden="1" customHeight="1" x14ac:dyDescent="0.25">
      <c r="A116" s="199"/>
      <c r="B116" s="199"/>
      <c r="C116" s="199"/>
      <c r="D116" s="200"/>
      <c r="E116" s="199"/>
      <c r="F116" s="199"/>
      <c r="G116" s="199"/>
      <c r="H116" s="199"/>
      <c r="I116" s="199"/>
      <c r="J116" s="199"/>
      <c r="K116" s="267">
        <f ca="1">G16</f>
        <v>3671</v>
      </c>
      <c r="L116" s="268">
        <f ca="1">H16</f>
        <v>4115</v>
      </c>
      <c r="M116" s="552"/>
      <c r="N116" s="199"/>
      <c r="O116" s="199"/>
      <c r="P116" s="199"/>
      <c r="Q116" s="199"/>
      <c r="R116" s="199"/>
      <c r="S116" s="199"/>
      <c r="T116" s="199"/>
      <c r="U116" s="199"/>
      <c r="V116" s="199"/>
      <c r="W116" s="199"/>
      <c r="X116" s="199"/>
      <c r="Y116" s="199"/>
      <c r="Z116" s="199"/>
      <c r="AA116" s="199"/>
      <c r="AB116" s="199"/>
      <c r="AC116" s="199"/>
      <c r="AD116" s="199"/>
      <c r="AE116" s="199"/>
      <c r="AF116" s="199"/>
      <c r="AG116" s="199"/>
      <c r="AH116" s="199"/>
      <c r="AI116" s="199"/>
      <c r="AJ116" s="199"/>
      <c r="AK116" s="199"/>
      <c r="AL116" s="199"/>
      <c r="AM116" s="199"/>
      <c r="AN116" s="199"/>
      <c r="AO116" s="199"/>
      <c r="AP116" s="199"/>
      <c r="AQ116" s="199"/>
      <c r="AR116" s="199"/>
      <c r="AS116" s="199"/>
    </row>
    <row r="117" spans="1:45" s="202" customFormat="1" ht="10.7" hidden="1" customHeight="1" x14ac:dyDescent="0.25">
      <c r="A117" s="199"/>
      <c r="B117" s="199"/>
      <c r="C117" s="199"/>
      <c r="D117" s="200"/>
      <c r="E117" s="199"/>
      <c r="F117" s="199"/>
      <c r="G117" s="199"/>
      <c r="H117" s="199"/>
      <c r="I117" s="199"/>
      <c r="J117" s="199"/>
      <c r="K117" s="267">
        <f ca="1">H16</f>
        <v>4115</v>
      </c>
      <c r="L117" s="268">
        <f ca="1">G16</f>
        <v>3671</v>
      </c>
      <c r="M117" s="552"/>
      <c r="N117" s="199"/>
      <c r="O117" s="199"/>
      <c r="P117" s="199"/>
      <c r="Q117" s="199"/>
      <c r="R117" s="199"/>
      <c r="S117" s="199"/>
      <c r="T117" s="199"/>
      <c r="U117" s="199"/>
      <c r="V117" s="199"/>
      <c r="W117" s="199"/>
      <c r="X117" s="199"/>
      <c r="Y117" s="199"/>
      <c r="Z117" s="199"/>
      <c r="AA117" s="199"/>
      <c r="AB117" s="199"/>
      <c r="AC117" s="199"/>
      <c r="AD117" s="199"/>
      <c r="AE117" s="199"/>
      <c r="AF117" s="199"/>
      <c r="AG117" s="199"/>
      <c r="AH117" s="199"/>
      <c r="AI117" s="199"/>
      <c r="AJ117" s="199"/>
      <c r="AK117" s="199"/>
      <c r="AL117" s="199"/>
      <c r="AM117" s="199"/>
      <c r="AN117" s="199"/>
      <c r="AO117" s="199"/>
      <c r="AP117" s="199"/>
      <c r="AQ117" s="199"/>
      <c r="AR117" s="199"/>
      <c r="AS117" s="199"/>
    </row>
    <row r="118" spans="1:45" s="202" customFormat="1" ht="10.7" hidden="1" customHeight="1" x14ac:dyDescent="0.25">
      <c r="A118" s="199"/>
      <c r="B118" s="199"/>
      <c r="C118" s="199"/>
      <c r="D118" s="200"/>
      <c r="E118" s="199"/>
      <c r="F118" s="199"/>
      <c r="G118" s="199"/>
      <c r="H118" s="199"/>
      <c r="I118" s="199"/>
      <c r="J118" s="199"/>
      <c r="K118" s="267">
        <f ca="1">G18</f>
        <v>3719</v>
      </c>
      <c r="L118" s="268">
        <f ca="1">H18</f>
        <v>4034</v>
      </c>
      <c r="M118" s="552"/>
      <c r="N118" s="199"/>
      <c r="O118" s="199"/>
      <c r="P118" s="199"/>
      <c r="Q118" s="199"/>
      <c r="R118" s="199"/>
      <c r="S118" s="199"/>
      <c r="T118" s="199"/>
      <c r="U118" s="199"/>
      <c r="V118" s="199"/>
      <c r="W118" s="199"/>
      <c r="X118" s="199"/>
      <c r="Y118" s="199"/>
      <c r="Z118" s="199"/>
      <c r="AA118" s="199"/>
      <c r="AB118" s="199"/>
      <c r="AC118" s="199"/>
      <c r="AD118" s="199"/>
      <c r="AE118" s="199"/>
      <c r="AF118" s="199"/>
      <c r="AG118" s="199"/>
      <c r="AH118" s="199"/>
      <c r="AI118" s="199"/>
      <c r="AJ118" s="199"/>
      <c r="AK118" s="199"/>
      <c r="AL118" s="199"/>
      <c r="AM118" s="199"/>
      <c r="AN118" s="199"/>
      <c r="AO118" s="199"/>
      <c r="AP118" s="199"/>
      <c r="AQ118" s="199"/>
      <c r="AR118" s="199"/>
      <c r="AS118" s="199"/>
    </row>
    <row r="119" spans="1:45" s="202" customFormat="1" ht="10.7" hidden="1" customHeight="1" x14ac:dyDescent="0.25">
      <c r="A119" s="199"/>
      <c r="B119" s="199"/>
      <c r="C119" s="199"/>
      <c r="D119" s="200"/>
      <c r="E119" s="199"/>
      <c r="F119" s="199"/>
      <c r="G119" s="199"/>
      <c r="H119" s="199"/>
      <c r="I119" s="199"/>
      <c r="J119" s="199"/>
      <c r="K119" s="267">
        <f ca="1">H18</f>
        <v>4034</v>
      </c>
      <c r="L119" s="268">
        <f ca="1">G18</f>
        <v>3719</v>
      </c>
      <c r="M119" s="552"/>
      <c r="N119" s="199"/>
      <c r="O119" s="199"/>
      <c r="P119" s="199"/>
      <c r="Q119" s="199"/>
      <c r="R119" s="199"/>
      <c r="S119" s="199"/>
      <c r="T119" s="199"/>
      <c r="U119" s="199"/>
      <c r="V119" s="199"/>
      <c r="W119" s="199"/>
      <c r="X119" s="199"/>
      <c r="Y119" s="199"/>
      <c r="Z119" s="199"/>
      <c r="AA119" s="199"/>
      <c r="AB119" s="199"/>
      <c r="AC119" s="199"/>
      <c r="AD119" s="199"/>
      <c r="AE119" s="199"/>
      <c r="AF119" s="199"/>
      <c r="AG119" s="199"/>
      <c r="AH119" s="199"/>
      <c r="AI119" s="199"/>
      <c r="AJ119" s="199"/>
      <c r="AK119" s="199"/>
      <c r="AL119" s="199"/>
      <c r="AM119" s="199"/>
      <c r="AN119" s="199"/>
      <c r="AO119" s="199"/>
      <c r="AP119" s="199"/>
      <c r="AQ119" s="199"/>
      <c r="AR119" s="199"/>
      <c r="AS119" s="199"/>
    </row>
    <row r="120" spans="1:45" s="202" customFormat="1" ht="10.7" hidden="1" customHeight="1" x14ac:dyDescent="0.25">
      <c r="A120" s="199"/>
      <c r="B120" s="199"/>
      <c r="C120" s="199"/>
      <c r="D120" s="200" t="s">
        <v>148</v>
      </c>
      <c r="E120" s="199"/>
      <c r="F120" s="199"/>
      <c r="G120" s="219">
        <f ca="1">VLOOKUP(G76,$K$104:$L$135,2,FALSE)</f>
        <v>4287</v>
      </c>
      <c r="H120" s="199"/>
      <c r="I120" s="199" t="str">
        <f ca="1">IF(G120=0,0,VLOOKUP(G120,Inscripciones!$B$1:$I$464,2,FALSE))</f>
        <v>MATÍAS RAMÍREZ MARÍN</v>
      </c>
      <c r="J120" s="199" t="str">
        <f ca="1">IF(G120=0,0,VLOOKUP(G120,Inscripciones!$B$1:$L$364,3,FALSE))</f>
        <v>ESCAZÚ</v>
      </c>
      <c r="K120" s="267">
        <f ca="1">G20</f>
        <v>3472</v>
      </c>
      <c r="L120" s="268">
        <f ca="1">H20</f>
        <v>3696</v>
      </c>
      <c r="M120" s="552"/>
      <c r="N120" s="199"/>
      <c r="O120" s="199"/>
      <c r="P120" s="199"/>
      <c r="Q120" s="199"/>
      <c r="R120" s="199"/>
      <c r="S120" s="199"/>
      <c r="T120" s="199"/>
      <c r="U120" s="199"/>
      <c r="V120" s="199"/>
      <c r="W120" s="199"/>
      <c r="X120" s="199"/>
      <c r="Y120" s="199"/>
      <c r="Z120" s="199"/>
      <c r="AA120" s="199"/>
      <c r="AB120" s="199"/>
      <c r="AC120" s="199"/>
      <c r="AD120" s="199"/>
      <c r="AE120" s="199"/>
      <c r="AF120" s="199"/>
      <c r="AG120" s="199"/>
      <c r="AH120" s="199"/>
      <c r="AI120" s="199"/>
      <c r="AJ120" s="199"/>
      <c r="AK120" s="199"/>
      <c r="AL120" s="199"/>
      <c r="AM120" s="199"/>
      <c r="AN120" s="199"/>
      <c r="AO120" s="199"/>
      <c r="AP120" s="199"/>
      <c r="AQ120" s="199"/>
      <c r="AR120" s="199"/>
      <c r="AS120" s="199"/>
    </row>
    <row r="121" spans="1:45" s="202" customFormat="1" ht="10.7" hidden="1" customHeight="1" x14ac:dyDescent="0.25">
      <c r="A121" s="199"/>
      <c r="B121" s="199"/>
      <c r="C121" s="199"/>
      <c r="D121" s="200" t="s">
        <v>149</v>
      </c>
      <c r="E121" s="199"/>
      <c r="F121" s="199"/>
      <c r="G121" s="219">
        <f ca="1">VLOOKUP(G77,$K$104:$L$135,2,FALSE)</f>
        <v>2801</v>
      </c>
      <c r="H121" s="199"/>
      <c r="I121" s="199" t="str">
        <f ca="1">IF(G121=0,0,VLOOKUP(G121,Inscripciones!$B$1:$I$464,2,FALSE))</f>
        <v>IAN VARGAS JIMENEZ</v>
      </c>
      <c r="J121" s="199" t="str">
        <f ca="1">IF(G121=0,0,VLOOKUP(G121,Inscripciones!$B$1:$L$364,3,FALSE))</f>
        <v>CCDR SAN JOSÉ</v>
      </c>
      <c r="K121" s="267">
        <f ca="1">H20</f>
        <v>3696</v>
      </c>
      <c r="L121" s="268">
        <f ca="1">G20</f>
        <v>3472</v>
      </c>
      <c r="M121" s="552"/>
      <c r="N121" s="199"/>
      <c r="O121" s="199"/>
      <c r="P121" s="199"/>
      <c r="Q121" s="199"/>
      <c r="R121" s="199"/>
      <c r="S121" s="199"/>
      <c r="T121" s="199"/>
      <c r="U121" s="199"/>
      <c r="V121" s="199"/>
      <c r="W121" s="199"/>
      <c r="X121" s="199"/>
      <c r="Y121" s="199"/>
      <c r="Z121" s="199"/>
      <c r="AA121" s="199"/>
      <c r="AB121" s="199"/>
      <c r="AC121" s="199"/>
      <c r="AD121" s="199"/>
      <c r="AE121" s="199"/>
      <c r="AF121" s="199"/>
      <c r="AG121" s="199"/>
      <c r="AH121" s="199"/>
      <c r="AI121" s="199"/>
      <c r="AJ121" s="199"/>
      <c r="AK121" s="199"/>
      <c r="AL121" s="199"/>
      <c r="AM121" s="199"/>
      <c r="AN121" s="199"/>
      <c r="AO121" s="199"/>
      <c r="AP121" s="199"/>
      <c r="AQ121" s="199"/>
      <c r="AR121" s="199"/>
      <c r="AS121" s="199"/>
    </row>
    <row r="122" spans="1:45" s="202" customFormat="1" ht="10.7" hidden="1" customHeight="1" x14ac:dyDescent="0.25">
      <c r="A122" s="199"/>
      <c r="B122" s="199"/>
      <c r="C122" s="199"/>
      <c r="D122" s="200" t="s">
        <v>150</v>
      </c>
      <c r="E122" s="199"/>
      <c r="F122" s="199"/>
      <c r="G122" s="219">
        <f ca="1">VLOOKUP(G78,$K$104:$L$135,2,FALSE)</f>
        <v>3696</v>
      </c>
      <c r="H122" s="199"/>
      <c r="I122" s="199" t="str">
        <f ca="1">IF(G122=0,0,VLOOKUP(G122,Inscripciones!$B$1:$I$464,2,FALSE))</f>
        <v>NICOLAS CECILIANO ESQUIVEL</v>
      </c>
      <c r="J122" s="199" t="str">
        <f ca="1">IF(G122=0,0,VLOOKUP(G122,Inscripciones!$B$1:$L$364,3,FALSE))</f>
        <v>PÉREZ ZELEDÓN</v>
      </c>
      <c r="K122" s="267">
        <f ca="1">G22</f>
        <v>2847</v>
      </c>
      <c r="L122" s="268">
        <f ca="1">H22</f>
        <v>4363</v>
      </c>
      <c r="M122" s="552"/>
      <c r="N122" s="199"/>
      <c r="O122" s="199"/>
      <c r="P122" s="199"/>
      <c r="Q122" s="199"/>
      <c r="R122" s="199"/>
      <c r="S122" s="199"/>
      <c r="T122" s="199"/>
      <c r="U122" s="199"/>
      <c r="V122" s="199"/>
      <c r="W122" s="199"/>
      <c r="X122" s="199"/>
      <c r="Y122" s="199"/>
      <c r="Z122" s="199"/>
      <c r="AA122" s="199"/>
      <c r="AB122" s="199"/>
      <c r="AC122" s="199"/>
      <c r="AD122" s="199"/>
      <c r="AE122" s="199"/>
      <c r="AF122" s="199"/>
      <c r="AG122" s="199"/>
      <c r="AH122" s="199"/>
      <c r="AI122" s="199"/>
      <c r="AJ122" s="199"/>
      <c r="AK122" s="199"/>
      <c r="AL122" s="199"/>
      <c r="AM122" s="199"/>
      <c r="AN122" s="199"/>
      <c r="AO122" s="199"/>
      <c r="AP122" s="199"/>
      <c r="AQ122" s="199"/>
      <c r="AR122" s="199"/>
      <c r="AS122" s="199"/>
    </row>
    <row r="123" spans="1:45" s="202" customFormat="1" ht="10.7" hidden="1" customHeight="1" x14ac:dyDescent="0.25">
      <c r="A123" s="199"/>
      <c r="B123" s="199"/>
      <c r="C123" s="199"/>
      <c r="D123" s="200" t="s">
        <v>151</v>
      </c>
      <c r="E123" s="199"/>
      <c r="F123" s="199"/>
      <c r="G123" s="219">
        <f ca="1">VLOOKUP(G79,$K$104:$L$135,2,FALSE)</f>
        <v>4115</v>
      </c>
      <c r="H123" s="199"/>
      <c r="I123" s="199" t="str">
        <f ca="1">IF(G123=0,0,VLOOKUP(G123,Inscripciones!$B$1:$I$464,2,FALSE))</f>
        <v>JOSEPH ANGEL LOPEZ ARAUZ</v>
      </c>
      <c r="J123" s="199" t="str">
        <f ca="1">IF(G123=0,0,VLOOKUP(G123,Inscripciones!$B$1:$L$364,3,FALSE))</f>
        <v>ATM SANTA CRUZ</v>
      </c>
      <c r="K123" s="267">
        <f ca="1">H22</f>
        <v>4363</v>
      </c>
      <c r="L123" s="268">
        <f ca="1">G22</f>
        <v>2847</v>
      </c>
      <c r="M123" s="552"/>
      <c r="N123" s="199"/>
      <c r="O123" s="199"/>
      <c r="P123" s="199"/>
      <c r="Q123" s="199"/>
      <c r="R123" s="199"/>
      <c r="S123" s="199"/>
      <c r="T123" s="199"/>
      <c r="U123" s="199"/>
      <c r="V123" s="199"/>
      <c r="W123" s="199"/>
      <c r="X123" s="199"/>
      <c r="Y123" s="199"/>
      <c r="Z123" s="199"/>
      <c r="AA123" s="199"/>
      <c r="AB123" s="199"/>
      <c r="AC123" s="199"/>
      <c r="AD123" s="199"/>
      <c r="AE123" s="199"/>
      <c r="AF123" s="199"/>
      <c r="AG123" s="199"/>
      <c r="AH123" s="199"/>
      <c r="AI123" s="199"/>
      <c r="AJ123" s="199"/>
      <c r="AK123" s="199"/>
      <c r="AL123" s="199"/>
      <c r="AM123" s="199"/>
      <c r="AN123" s="199"/>
      <c r="AO123" s="199"/>
      <c r="AP123" s="199"/>
      <c r="AQ123" s="199"/>
      <c r="AR123" s="199"/>
      <c r="AS123" s="199"/>
    </row>
    <row r="124" spans="1:45" s="202" customFormat="1" ht="10.7" hidden="1" customHeight="1" x14ac:dyDescent="0.25">
      <c r="A124" s="199"/>
      <c r="B124" s="199"/>
      <c r="C124" s="199"/>
      <c r="D124" s="200" t="s">
        <v>152</v>
      </c>
      <c r="E124" s="199"/>
      <c r="F124" s="199"/>
      <c r="G124" s="219">
        <f ca="1">VLOOKUP(G84,$K$104:$L$135,2,FALSE)</f>
        <v>4284</v>
      </c>
      <c r="H124" s="199"/>
      <c r="I124" s="199" t="str">
        <f ca="1">IF(G124=0,0,VLOOKUP(G124,Inscripciones!$B$1:$I$464,2,FALSE))</f>
        <v>IAN SOLÍS CARRANZA</v>
      </c>
      <c r="J124" s="199" t="str">
        <f ca="1">IF(G124=0,0,VLOOKUP(G124,Inscripciones!$B$1:$L$364,3,FALSE))</f>
        <v>SANTO DOMINGO</v>
      </c>
      <c r="K124" s="267">
        <f ca="1">G24</f>
        <v>2368</v>
      </c>
      <c r="L124" s="268">
        <f ca="1">H24</f>
        <v>3309</v>
      </c>
      <c r="M124" s="552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  <c r="AS124" s="199"/>
    </row>
    <row r="125" spans="1:45" s="202" customFormat="1" ht="10.7" hidden="1" customHeight="1" x14ac:dyDescent="0.25">
      <c r="A125" s="199"/>
      <c r="B125" s="199"/>
      <c r="C125" s="199"/>
      <c r="D125" s="200" t="s">
        <v>153</v>
      </c>
      <c r="E125" s="199"/>
      <c r="F125" s="199"/>
      <c r="G125" s="219">
        <f ca="1">VLOOKUP(G85,$K$104:$L$135,2,FALSE)</f>
        <v>3839</v>
      </c>
      <c r="H125" s="199"/>
      <c r="I125" s="199" t="str">
        <f ca="1">IF(G125=0,0,VLOOKUP(G125,Inscripciones!$B$1:$I$464,2,FALSE))</f>
        <v>ALBERTO BLANCO LEDEZMA</v>
      </c>
      <c r="J125" s="199" t="str">
        <f ca="1">IF(G125=0,0,VLOOKUP(G125,Inscripciones!$B$1:$L$364,3,FALSE))</f>
        <v>PÉREZ ZELEDÓN</v>
      </c>
      <c r="K125" s="267">
        <f ca="1">H24</f>
        <v>3309</v>
      </c>
      <c r="L125" s="268">
        <f ca="1">G24</f>
        <v>2368</v>
      </c>
      <c r="M125" s="552"/>
      <c r="N125" s="199"/>
      <c r="O125" s="199"/>
      <c r="P125" s="199"/>
      <c r="Q125" s="199"/>
      <c r="R125" s="199"/>
      <c r="S125" s="199"/>
      <c r="T125" s="199"/>
      <c r="U125" s="199"/>
      <c r="V125" s="199"/>
      <c r="W125" s="199"/>
      <c r="X125" s="199"/>
      <c r="Y125" s="199"/>
      <c r="Z125" s="199"/>
      <c r="AA125" s="199"/>
      <c r="AB125" s="199"/>
      <c r="AC125" s="199"/>
      <c r="AD125" s="199"/>
      <c r="AE125" s="199"/>
      <c r="AF125" s="199"/>
      <c r="AG125" s="199"/>
      <c r="AH125" s="199"/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  <c r="AS125" s="199"/>
    </row>
    <row r="126" spans="1:45" s="202" customFormat="1" ht="10.7" hidden="1" customHeight="1" x14ac:dyDescent="0.25">
      <c r="A126" s="199"/>
      <c r="B126" s="199"/>
      <c r="C126" s="199"/>
      <c r="D126" s="200" t="s">
        <v>154</v>
      </c>
      <c r="E126" s="199"/>
      <c r="F126" s="199"/>
      <c r="G126" s="219">
        <f ca="1">VLOOKUP(G86,$K$104:$L$135,2,FALSE)</f>
        <v>4513</v>
      </c>
      <c r="H126" s="199"/>
      <c r="I126" s="199" t="str">
        <f ca="1">IF(G126=0,0,VLOOKUP(G126,Inscripciones!$B$1:$I$464,2,FALSE))</f>
        <v>GABRIEL ANTONIO AMADOR GARITA</v>
      </c>
      <c r="J126" s="199" t="str">
        <f ca="1">IF(G126=0,0,VLOOKUP(G126,Inscripciones!$B$1:$L$364,3,FALSE))</f>
        <v>CCDR SANTA CRUZ</v>
      </c>
      <c r="K126" s="267">
        <f ca="1">G26</f>
        <v>4513</v>
      </c>
      <c r="L126" s="268">
        <f ca="1">H26</f>
        <v>4002</v>
      </c>
      <c r="M126" s="552"/>
      <c r="N126" s="199"/>
      <c r="O126" s="199"/>
      <c r="P126" s="199"/>
      <c r="Q126" s="199"/>
      <c r="R126" s="199"/>
      <c r="S126" s="199"/>
      <c r="T126" s="199"/>
      <c r="U126" s="199"/>
      <c r="V126" s="199"/>
      <c r="W126" s="199"/>
      <c r="X126" s="199"/>
      <c r="Y126" s="199"/>
      <c r="Z126" s="199"/>
      <c r="AA126" s="199"/>
      <c r="AB126" s="199"/>
      <c r="AC126" s="199"/>
      <c r="AD126" s="199"/>
      <c r="AE126" s="199"/>
      <c r="AF126" s="199"/>
      <c r="AG126" s="199"/>
      <c r="AH126" s="199"/>
      <c r="AI126" s="199"/>
      <c r="AJ126" s="199"/>
      <c r="AK126" s="199"/>
      <c r="AL126" s="199"/>
      <c r="AM126" s="199"/>
      <c r="AN126" s="199"/>
      <c r="AO126" s="199"/>
      <c r="AP126" s="199"/>
      <c r="AQ126" s="199"/>
      <c r="AR126" s="199"/>
      <c r="AS126" s="199"/>
    </row>
    <row r="127" spans="1:45" s="202" customFormat="1" ht="10.7" hidden="1" customHeight="1" x14ac:dyDescent="0.25">
      <c r="A127" s="199"/>
      <c r="B127" s="199"/>
      <c r="C127" s="199"/>
      <c r="D127" s="200" t="s">
        <v>155</v>
      </c>
      <c r="E127" s="199"/>
      <c r="F127" s="199"/>
      <c r="G127" s="219">
        <f ca="1">VLOOKUP(G87,$K$104:$L$135,2,FALSE)</f>
        <v>4464</v>
      </c>
      <c r="H127" s="199"/>
      <c r="I127" s="199" t="str">
        <f ca="1">IF(G127=0,0,VLOOKUP(G127,Inscripciones!$B$1:$I$464,2,FALSE))</f>
        <v>ISAAC GAMBOA MORERA</v>
      </c>
      <c r="J127" s="199" t="str">
        <f ca="1">IF(G127=0,0,VLOOKUP(G127,Inscripciones!$B$1:$L$364,3,FALSE))</f>
        <v>ESPARZA</v>
      </c>
      <c r="K127" s="267">
        <f ca="1">H26</f>
        <v>4002</v>
      </c>
      <c r="L127" s="268">
        <f ca="1">G26</f>
        <v>4513</v>
      </c>
      <c r="M127" s="552"/>
      <c r="N127" s="199"/>
      <c r="O127" s="199"/>
      <c r="P127" s="199"/>
      <c r="Q127" s="199"/>
      <c r="R127" s="199"/>
      <c r="S127" s="199"/>
      <c r="T127" s="199"/>
      <c r="U127" s="199"/>
      <c r="V127" s="199"/>
      <c r="W127" s="199"/>
      <c r="X127" s="199"/>
      <c r="Y127" s="199"/>
      <c r="Z127" s="199"/>
      <c r="AA127" s="199"/>
      <c r="AB127" s="199"/>
      <c r="AC127" s="199"/>
      <c r="AD127" s="199"/>
      <c r="AE127" s="199"/>
      <c r="AF127" s="199"/>
      <c r="AG127" s="199"/>
      <c r="AH127" s="199"/>
      <c r="AI127" s="199"/>
      <c r="AJ127" s="199"/>
      <c r="AK127" s="199"/>
      <c r="AL127" s="199"/>
      <c r="AM127" s="199"/>
      <c r="AN127" s="199"/>
      <c r="AO127" s="199"/>
      <c r="AP127" s="199"/>
      <c r="AQ127" s="199"/>
      <c r="AR127" s="199"/>
      <c r="AS127" s="199"/>
    </row>
    <row r="128" spans="1:45" s="202" customFormat="1" ht="10.7" hidden="1" customHeight="1" x14ac:dyDescent="0.25">
      <c r="A128" s="199"/>
      <c r="B128" s="199"/>
      <c r="C128" s="199"/>
      <c r="D128" s="200" t="s">
        <v>156</v>
      </c>
      <c r="E128" s="199"/>
      <c r="F128" s="199"/>
      <c r="G128" s="219">
        <f t="shared" ref="G128:G135" ca="1" si="1046">VLOOKUP(G96,$K$104:$L$135,2,FALSE)</f>
        <v>3450</v>
      </c>
      <c r="H128" s="199"/>
      <c r="I128" s="199" t="str">
        <f ca="1">IF(G128=0,0,VLOOKUP(G128,Inscripciones!$B$1:$I$464,2,FALSE))</f>
        <v>OSWALDO IGNACIO SILVA NOVOA</v>
      </c>
      <c r="J128" s="199" t="str">
        <f ca="1">IF(G128=0,0,VLOOKUP(G128,Inscripciones!$B$1:$L$364,3,FALSE))</f>
        <v>SANTA ANA</v>
      </c>
      <c r="K128" s="267">
        <f ca="1">G28</f>
        <v>2623</v>
      </c>
      <c r="L128" s="268">
        <f ca="1">H28</f>
        <v>4287</v>
      </c>
      <c r="M128" s="552"/>
      <c r="N128" s="199"/>
      <c r="O128" s="199"/>
      <c r="P128" s="199"/>
      <c r="Q128" s="199"/>
      <c r="R128" s="199"/>
      <c r="S128" s="199"/>
      <c r="T128" s="199"/>
      <c r="U128" s="199"/>
      <c r="V128" s="199"/>
      <c r="W128" s="199"/>
      <c r="X128" s="199"/>
      <c r="Y128" s="199"/>
      <c r="Z128" s="199"/>
      <c r="AA128" s="199"/>
      <c r="AB128" s="199"/>
      <c r="AC128" s="199"/>
      <c r="AD128" s="199"/>
      <c r="AE128" s="199"/>
      <c r="AF128" s="199"/>
      <c r="AG128" s="199"/>
      <c r="AH128" s="199"/>
      <c r="AI128" s="199"/>
      <c r="AJ128" s="199"/>
      <c r="AK128" s="199"/>
      <c r="AL128" s="199"/>
      <c r="AM128" s="219"/>
      <c r="AN128" s="219"/>
      <c r="AO128" s="219"/>
      <c r="AP128" s="219"/>
      <c r="AQ128" s="219"/>
      <c r="AR128" s="219"/>
      <c r="AS128" s="219"/>
    </row>
    <row r="129" spans="1:57" s="202" customFormat="1" ht="10.7" hidden="1" customHeight="1" x14ac:dyDescent="0.25">
      <c r="A129" s="199"/>
      <c r="B129" s="199"/>
      <c r="C129" s="199"/>
      <c r="D129" s="200" t="s">
        <v>157</v>
      </c>
      <c r="E129" s="199"/>
      <c r="F129" s="199"/>
      <c r="G129" s="219">
        <f t="shared" ca="1" si="1046"/>
        <v>3468</v>
      </c>
      <c r="H129" s="199"/>
      <c r="I129" s="199" t="str">
        <f ca="1">IF(G129=0,0,VLOOKUP(G129,Inscripciones!$B$1:$I$464,2,FALSE))</f>
        <v>DANIEL DAVID ALPIZAR VILLALOBOS</v>
      </c>
      <c r="J129" s="199" t="str">
        <f ca="1">IF(G129=0,0,VLOOKUP(G129,Inscripciones!$B$1:$L$364,3,FALSE))</f>
        <v>ASERRÍ</v>
      </c>
      <c r="K129" s="267">
        <f ca="1">H28</f>
        <v>4287</v>
      </c>
      <c r="L129" s="268">
        <f ca="1">G28</f>
        <v>2623</v>
      </c>
      <c r="M129" s="552"/>
      <c r="N129" s="199"/>
      <c r="O129" s="199"/>
      <c r="P129" s="199"/>
      <c r="Q129" s="199"/>
      <c r="R129" s="199"/>
      <c r="S129" s="199"/>
      <c r="T129" s="199"/>
      <c r="U129" s="199"/>
      <c r="V129" s="199"/>
      <c r="W129" s="199"/>
      <c r="X129" s="199"/>
      <c r="Y129" s="199"/>
      <c r="Z129" s="199"/>
      <c r="AA129" s="199"/>
      <c r="AB129" s="199"/>
      <c r="AC129" s="199"/>
      <c r="AD129" s="199"/>
      <c r="AE129" s="199"/>
      <c r="AF129" s="199"/>
      <c r="AG129" s="199"/>
      <c r="AH129" s="199"/>
      <c r="AI129" s="199"/>
      <c r="AJ129" s="199"/>
      <c r="AK129" s="199"/>
      <c r="AL129" s="199"/>
      <c r="AM129" s="219"/>
      <c r="AN129" s="219"/>
      <c r="AO129" s="219"/>
      <c r="AP129" s="219"/>
      <c r="AQ129" s="219"/>
      <c r="AR129" s="219"/>
      <c r="AS129" s="219"/>
    </row>
    <row r="130" spans="1:57" s="202" customFormat="1" ht="10.7" hidden="1" customHeight="1" x14ac:dyDescent="0.25">
      <c r="A130" s="199"/>
      <c r="B130" s="199"/>
      <c r="C130" s="199"/>
      <c r="D130" s="200" t="s">
        <v>158</v>
      </c>
      <c r="E130" s="199"/>
      <c r="F130" s="199"/>
      <c r="G130" s="219">
        <f t="shared" ca="1" si="1046"/>
        <v>2847</v>
      </c>
      <c r="H130" s="199"/>
      <c r="I130" s="199" t="str">
        <f ca="1">IF(G130=0,0,VLOOKUP(G130,Inscripciones!$B$1:$I$464,2,FALSE))</f>
        <v>LUIS GAEL SILES LOBO</v>
      </c>
      <c r="J130" s="199" t="str">
        <f ca="1">IF(G130=0,0,VLOOKUP(G130,Inscripciones!$B$1:$L$364,3,FALSE))</f>
        <v>ESPARZA</v>
      </c>
      <c r="K130" s="267">
        <f ca="1">G30</f>
        <v>3450</v>
      </c>
      <c r="L130" s="268">
        <f ca="1">H30</f>
        <v>3836</v>
      </c>
      <c r="M130" s="552"/>
      <c r="N130" s="199"/>
      <c r="O130" s="199"/>
      <c r="P130" s="199"/>
      <c r="Q130" s="199"/>
      <c r="R130" s="199"/>
      <c r="S130" s="199"/>
      <c r="T130" s="199"/>
      <c r="U130" s="199"/>
      <c r="V130" s="199"/>
      <c r="W130" s="199"/>
      <c r="X130" s="199"/>
      <c r="Y130" s="199"/>
      <c r="Z130" s="199"/>
      <c r="AA130" s="199"/>
      <c r="AB130" s="199"/>
      <c r="AC130" s="199"/>
      <c r="AD130" s="199"/>
      <c r="AE130" s="199"/>
      <c r="AF130" s="199"/>
      <c r="AG130" s="199"/>
      <c r="AH130" s="199"/>
      <c r="AI130" s="199"/>
      <c r="AJ130" s="199"/>
      <c r="AK130" s="199"/>
      <c r="AL130" s="199"/>
      <c r="AM130" s="199"/>
      <c r="AN130" s="199"/>
      <c r="AO130" s="199"/>
      <c r="AP130" s="199"/>
      <c r="AQ130" s="199"/>
      <c r="AR130" s="199"/>
      <c r="AS130" s="199"/>
    </row>
    <row r="131" spans="1:57" s="202" customFormat="1" ht="10.7" hidden="1" customHeight="1" x14ac:dyDescent="0.25">
      <c r="A131" s="199"/>
      <c r="B131" s="199"/>
      <c r="C131" s="199"/>
      <c r="D131" s="200" t="s">
        <v>159</v>
      </c>
      <c r="E131" s="199"/>
      <c r="F131" s="199"/>
      <c r="G131" s="219">
        <f t="shared" ca="1" si="1046"/>
        <v>3719</v>
      </c>
      <c r="H131" s="199"/>
      <c r="I131" s="199" t="str">
        <f ca="1">IF(G131=0,0,VLOOKUP(G131,Inscripciones!$B$1:$I$464,2,FALSE))</f>
        <v>MARCELO MASIS RODRÍGUEZ</v>
      </c>
      <c r="J131" s="199" t="str">
        <f ca="1">IF(G131=0,0,VLOOKUP(G131,Inscripciones!$B$1:$L$364,3,FALSE))</f>
        <v>SANTA ANA</v>
      </c>
      <c r="K131" s="267">
        <f ca="1">H30</f>
        <v>3836</v>
      </c>
      <c r="L131" s="268">
        <f ca="1">G30</f>
        <v>3450</v>
      </c>
      <c r="M131" s="552"/>
      <c r="N131" s="199"/>
      <c r="O131" s="199"/>
      <c r="P131" s="199"/>
      <c r="Q131" s="199"/>
      <c r="R131" s="199"/>
      <c r="S131" s="199"/>
      <c r="T131" s="199"/>
      <c r="U131" s="199"/>
      <c r="V131" s="199"/>
      <c r="W131" s="199"/>
      <c r="X131" s="199"/>
      <c r="Y131" s="199"/>
      <c r="Z131" s="199"/>
      <c r="AA131" s="199"/>
      <c r="AB131" s="199"/>
      <c r="AC131" s="199"/>
      <c r="AD131" s="199"/>
      <c r="AE131" s="199"/>
      <c r="AF131" s="199"/>
      <c r="AG131" s="199"/>
      <c r="AH131" s="199"/>
      <c r="AI131" s="199"/>
      <c r="AJ131" s="199"/>
      <c r="AK131" s="199"/>
      <c r="AL131" s="199"/>
      <c r="AM131" s="199"/>
      <c r="AN131" s="199"/>
      <c r="AO131" s="199"/>
      <c r="AP131" s="199"/>
      <c r="AQ131" s="199"/>
      <c r="AR131" s="199"/>
      <c r="AS131" s="199"/>
    </row>
    <row r="132" spans="1:57" s="202" customFormat="1" ht="10.7" hidden="1" customHeight="1" x14ac:dyDescent="0.25">
      <c r="A132" s="199"/>
      <c r="B132" s="199"/>
      <c r="C132" s="199"/>
      <c r="D132" s="200" t="s">
        <v>160</v>
      </c>
      <c r="E132" s="199"/>
      <c r="F132" s="199"/>
      <c r="G132" s="219">
        <f t="shared" ca="1" si="1046"/>
        <v>4144</v>
      </c>
      <c r="H132" s="199"/>
      <c r="I132" s="199" t="str">
        <f ca="1">IF(G132=0,0,VLOOKUP(G132,Inscripciones!$B$1:$I$464,2,FALSE))</f>
        <v>ANDRÉS PARRA CHACÓN</v>
      </c>
      <c r="J132" s="199" t="str">
        <f ca="1">IF(G132=0,0,VLOOKUP(G132,Inscripciones!$B$1:$L$364,3,FALSE))</f>
        <v>SANTO DOMINGO</v>
      </c>
      <c r="K132" s="267">
        <f ca="1">G32</f>
        <v>3499</v>
      </c>
      <c r="L132" s="268">
        <f ca="1">H32</f>
        <v>4284</v>
      </c>
      <c r="M132" s="552"/>
      <c r="N132" s="199"/>
      <c r="O132" s="199"/>
      <c r="P132" s="199"/>
      <c r="Q132" s="199"/>
      <c r="R132" s="199"/>
      <c r="S132" s="199"/>
      <c r="T132" s="199"/>
      <c r="U132" s="199"/>
      <c r="V132" s="199"/>
      <c r="W132" s="199"/>
      <c r="X132" s="199"/>
      <c r="Y132" s="199"/>
      <c r="Z132" s="199"/>
      <c r="AA132" s="199"/>
      <c r="AB132" s="199"/>
      <c r="AC132" s="199"/>
      <c r="AD132" s="199"/>
      <c r="AE132" s="199"/>
      <c r="AF132" s="199"/>
      <c r="AG132" s="199"/>
      <c r="AH132" s="199"/>
      <c r="AI132" s="199"/>
      <c r="AJ132" s="199"/>
      <c r="AK132" s="199"/>
      <c r="AL132" s="199"/>
      <c r="AM132" s="199"/>
      <c r="AN132" s="199"/>
      <c r="AO132" s="199"/>
      <c r="AP132" s="199"/>
      <c r="AQ132" s="199"/>
      <c r="AR132" s="199"/>
      <c r="AS132" s="199"/>
    </row>
    <row r="133" spans="1:57" s="202" customFormat="1" ht="10.7" hidden="1" customHeight="1" x14ac:dyDescent="0.25">
      <c r="A133" s="199"/>
      <c r="B133" s="199"/>
      <c r="C133" s="199"/>
      <c r="D133" s="200" t="s">
        <v>161</v>
      </c>
      <c r="E133" s="199"/>
      <c r="F133" s="199"/>
      <c r="G133" s="219">
        <f t="shared" ca="1" si="1046"/>
        <v>2513</v>
      </c>
      <c r="H133" s="199"/>
      <c r="I133" s="199" t="str">
        <f ca="1">IF(G133=0,0,VLOOKUP(G133,Inscripciones!$B$1:$I$464,2,FALSE))</f>
        <v>SEBASTIAN CHAVEZ QUIROS</v>
      </c>
      <c r="J133" s="199" t="str">
        <f ca="1">IF(G133=0,0,VLOOKUP(G133,Inscripciones!$B$1:$L$364,3,FALSE))</f>
        <v>SANTA ANA</v>
      </c>
      <c r="K133" s="267">
        <f ca="1">H32</f>
        <v>4284</v>
      </c>
      <c r="L133" s="268">
        <f ca="1">G32</f>
        <v>3499</v>
      </c>
      <c r="M133" s="552"/>
      <c r="N133" s="199"/>
      <c r="O133" s="199"/>
      <c r="P133" s="199"/>
      <c r="Q133" s="199"/>
      <c r="R133" s="199"/>
      <c r="S133" s="199"/>
      <c r="T133" s="199"/>
      <c r="U133" s="199"/>
      <c r="V133" s="199"/>
      <c r="W133" s="199"/>
      <c r="X133" s="199"/>
      <c r="Y133" s="199"/>
      <c r="Z133" s="199"/>
      <c r="AA133" s="199"/>
      <c r="AB133" s="199"/>
      <c r="AC133" s="199"/>
      <c r="AD133" s="199"/>
      <c r="AE133" s="199"/>
      <c r="AF133" s="199"/>
      <c r="AG133" s="199"/>
      <c r="AH133" s="199"/>
      <c r="AI133" s="199"/>
      <c r="AJ133" s="199"/>
      <c r="AK133" s="199"/>
      <c r="AL133" s="199"/>
      <c r="AM133" s="199"/>
      <c r="AN133" s="199"/>
      <c r="AO133" s="199"/>
      <c r="AP133" s="199"/>
      <c r="AQ133" s="199"/>
      <c r="AR133" s="199"/>
      <c r="AS133" s="199"/>
    </row>
    <row r="134" spans="1:57" s="202" customFormat="1" ht="10.7" hidden="1" customHeight="1" x14ac:dyDescent="0.25">
      <c r="A134" s="199"/>
      <c r="B134" s="199"/>
      <c r="C134" s="199"/>
      <c r="D134" s="200" t="s">
        <v>162</v>
      </c>
      <c r="E134" s="199"/>
      <c r="F134" s="199"/>
      <c r="G134" s="219">
        <f t="shared" ca="1" si="1046"/>
        <v>3309</v>
      </c>
      <c r="H134" s="199"/>
      <c r="I134" s="199" t="str">
        <f ca="1">IF(G134=0,0,VLOOKUP(G134,Inscripciones!$B$1:$I$464,2,FALSE))</f>
        <v>SEBASTIAN MASIS MURILLO</v>
      </c>
      <c r="J134" s="199" t="str">
        <f ca="1">IF(G134=0,0,VLOOKUP(G134,Inscripciones!$B$1:$L$364,3,FALSE))</f>
        <v>GUARCO</v>
      </c>
      <c r="K134" s="267">
        <f ca="1">G34</f>
        <v>3449</v>
      </c>
      <c r="L134" s="268">
        <f ca="1">H34</f>
        <v>4144</v>
      </c>
      <c r="M134" s="552"/>
      <c r="N134" s="199"/>
      <c r="O134" s="199"/>
      <c r="P134" s="199"/>
      <c r="Q134" s="199"/>
      <c r="R134" s="199"/>
      <c r="S134" s="199"/>
      <c r="T134" s="199"/>
      <c r="U134" s="199"/>
      <c r="V134" s="199"/>
      <c r="W134" s="199"/>
      <c r="X134" s="199"/>
      <c r="Y134" s="199"/>
      <c r="Z134" s="199"/>
      <c r="AA134" s="199"/>
      <c r="AB134" s="199"/>
      <c r="AC134" s="199"/>
      <c r="AD134" s="199"/>
      <c r="AE134" s="199"/>
      <c r="AF134" s="199"/>
      <c r="AG134" s="199"/>
      <c r="AH134" s="199"/>
      <c r="AI134" s="199"/>
      <c r="AJ134" s="199"/>
      <c r="AK134" s="199"/>
      <c r="AL134" s="199"/>
      <c r="AM134" s="199"/>
      <c r="AN134" s="199"/>
      <c r="AO134" s="199"/>
      <c r="AP134" s="199"/>
      <c r="AQ134" s="199"/>
      <c r="AR134" s="199"/>
      <c r="AS134" s="199"/>
    </row>
    <row r="135" spans="1:57" s="202" customFormat="1" ht="10.7" hidden="1" customHeight="1" x14ac:dyDescent="0.25">
      <c r="A135" s="199"/>
      <c r="B135" s="199"/>
      <c r="C135" s="199"/>
      <c r="D135" s="200" t="s">
        <v>163</v>
      </c>
      <c r="E135" s="199"/>
      <c r="F135" s="199"/>
      <c r="G135" s="219">
        <f t="shared" ca="1" si="1046"/>
        <v>4463</v>
      </c>
      <c r="H135" s="199"/>
      <c r="I135" s="199" t="str">
        <f ca="1">IF(G135=0,0,VLOOKUP(G135,Inscripciones!$B$1:$I$464,2,FALSE))</f>
        <v>ISAAC ANDRÉS LEAL CHACÓN</v>
      </c>
      <c r="J135" s="199" t="str">
        <f ca="1">IF(G135=0,0,VLOOKUP(G135,Inscripciones!$B$1:$L$364,3,FALSE))</f>
        <v>ESPARZA</v>
      </c>
      <c r="K135" s="269">
        <f ca="1">H34</f>
        <v>4144</v>
      </c>
      <c r="L135" s="270">
        <f ca="1">G34</f>
        <v>3449</v>
      </c>
      <c r="M135" s="553"/>
      <c r="N135" s="199"/>
      <c r="O135" s="199"/>
      <c r="P135" s="199"/>
      <c r="Q135" s="199"/>
      <c r="R135" s="199"/>
      <c r="S135" s="199"/>
      <c r="T135" s="199"/>
      <c r="U135" s="199"/>
      <c r="V135" s="199"/>
      <c r="W135" s="199"/>
      <c r="X135" s="199"/>
      <c r="Y135" s="199"/>
      <c r="Z135" s="199"/>
      <c r="AA135" s="199"/>
      <c r="AB135" s="199"/>
      <c r="AC135" s="199"/>
      <c r="AD135" s="199"/>
      <c r="AE135" s="199"/>
      <c r="AF135" s="199"/>
      <c r="AG135" s="199"/>
      <c r="AH135" s="199"/>
      <c r="AI135" s="199"/>
      <c r="AJ135" s="199"/>
      <c r="AK135" s="199"/>
      <c r="AL135" s="199"/>
      <c r="AM135" s="199"/>
      <c r="AN135" s="199"/>
      <c r="AO135" s="199"/>
      <c r="AP135" s="199"/>
      <c r="AQ135" s="199"/>
      <c r="AR135" s="199"/>
      <c r="AS135" s="199"/>
    </row>
    <row r="136" spans="1:57" s="202" customFormat="1" ht="10.7" hidden="1" customHeight="1" x14ac:dyDescent="0.25">
      <c r="A136" s="199"/>
      <c r="B136" s="199"/>
      <c r="C136" s="199"/>
      <c r="D136" s="200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9"/>
      <c r="V136" s="199"/>
      <c r="W136" s="199"/>
      <c r="X136" s="199"/>
      <c r="Y136" s="199"/>
      <c r="Z136" s="199"/>
      <c r="AA136" s="199"/>
      <c r="AB136" s="199"/>
      <c r="AC136" s="199"/>
      <c r="AD136" s="199"/>
      <c r="AE136" s="199"/>
      <c r="AF136" s="199"/>
      <c r="AG136" s="199"/>
      <c r="AH136" s="199"/>
      <c r="AI136" s="199"/>
      <c r="AJ136" s="199"/>
      <c r="AK136" s="199"/>
      <c r="AL136" s="199"/>
      <c r="AM136" s="199"/>
      <c r="AN136" s="199"/>
      <c r="AO136" s="199"/>
      <c r="AP136" s="199"/>
      <c r="AQ136" s="199"/>
      <c r="AR136" s="199"/>
      <c r="AS136" s="199"/>
    </row>
    <row r="137" spans="1:57" s="202" customFormat="1" ht="10.7" hidden="1" customHeight="1" x14ac:dyDescent="0.25">
      <c r="A137" s="199"/>
      <c r="B137" s="199"/>
      <c r="C137" s="199"/>
      <c r="D137" s="200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9"/>
      <c r="V137" s="199"/>
      <c r="W137" s="199"/>
      <c r="X137" s="199"/>
      <c r="Y137" s="199"/>
      <c r="Z137" s="199"/>
      <c r="AA137" s="199"/>
      <c r="AB137" s="199"/>
      <c r="AC137" s="199"/>
      <c r="AD137" s="199"/>
      <c r="AE137" s="199"/>
      <c r="AF137" s="199"/>
      <c r="AG137" s="199"/>
      <c r="AH137" s="199"/>
      <c r="AI137" s="199"/>
      <c r="AJ137" s="199"/>
      <c r="AK137" s="199"/>
      <c r="AL137" s="199"/>
      <c r="AM137" s="199"/>
      <c r="AN137" s="199"/>
      <c r="AO137" s="199"/>
      <c r="AP137" s="199"/>
      <c r="AQ137" s="199"/>
      <c r="AR137" s="199"/>
      <c r="AS137" s="199"/>
    </row>
    <row r="138" spans="1:57" s="202" customFormat="1" ht="10.7" hidden="1" customHeight="1" x14ac:dyDescent="0.25">
      <c r="A138" s="199"/>
      <c r="B138" s="199"/>
      <c r="C138" s="199"/>
      <c r="D138" s="200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9"/>
      <c r="V138" s="199"/>
      <c r="W138" s="199"/>
      <c r="X138" s="199"/>
      <c r="Y138" s="199"/>
      <c r="Z138" s="199"/>
      <c r="AA138" s="199"/>
      <c r="AB138" s="199"/>
      <c r="AC138" s="199"/>
      <c r="AD138" s="199"/>
      <c r="AE138" s="199"/>
      <c r="AF138" s="199"/>
      <c r="AG138" s="199"/>
      <c r="AH138" s="199"/>
      <c r="AI138" s="199"/>
      <c r="AJ138" s="199"/>
      <c r="AK138" s="199"/>
      <c r="AL138" s="199"/>
      <c r="AM138" s="199"/>
      <c r="AN138" s="199"/>
      <c r="AO138" s="199"/>
      <c r="AP138" s="199"/>
      <c r="AQ138" s="199"/>
      <c r="AR138" s="199"/>
      <c r="AS138" s="199"/>
      <c r="AU138" s="203"/>
      <c r="AV138" s="204"/>
      <c r="AW138" s="204"/>
      <c r="AX138" s="205"/>
      <c r="AY138" s="204"/>
      <c r="AZ138" s="204"/>
      <c r="BA138" s="204"/>
      <c r="BB138" s="204"/>
      <c r="BC138" s="204"/>
      <c r="BD138" s="204"/>
      <c r="BE138" s="204"/>
    </row>
    <row r="139" spans="1:57" s="202" customFormat="1" ht="10.7" hidden="1" customHeight="1" x14ac:dyDescent="0.25">
      <c r="A139" s="199"/>
      <c r="B139" s="199"/>
      <c r="C139" s="199"/>
      <c r="D139" s="200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9"/>
      <c r="V139" s="199"/>
      <c r="W139" s="199"/>
      <c r="X139" s="199"/>
      <c r="Y139" s="199"/>
      <c r="Z139" s="199"/>
      <c r="AA139" s="199"/>
      <c r="AB139" s="199"/>
      <c r="AC139" s="199"/>
      <c r="AD139" s="199"/>
      <c r="AE139" s="199"/>
      <c r="AF139" s="199"/>
      <c r="AG139" s="199"/>
      <c r="AH139" s="199"/>
      <c r="AI139" s="199"/>
      <c r="AJ139" s="199"/>
      <c r="AK139" s="199"/>
      <c r="AL139" s="199"/>
      <c r="AM139" s="199"/>
      <c r="AN139" s="199"/>
      <c r="AO139" s="199"/>
      <c r="AP139" s="199"/>
      <c r="AQ139" s="199"/>
      <c r="AR139" s="199"/>
      <c r="AS139" s="199"/>
      <c r="AU139" s="203"/>
      <c r="AV139" s="204"/>
      <c r="AW139" s="204"/>
      <c r="AX139" s="205"/>
      <c r="AY139" s="204"/>
      <c r="AZ139" s="204"/>
      <c r="BA139" s="204"/>
      <c r="BB139" s="204"/>
      <c r="BC139" s="204"/>
      <c r="BD139" s="204"/>
      <c r="BE139" s="204"/>
    </row>
    <row r="140" spans="1:57" s="202" customFormat="1" ht="10.7" customHeight="1" x14ac:dyDescent="0.25">
      <c r="A140" s="199"/>
      <c r="B140" s="199"/>
      <c r="C140" s="199"/>
      <c r="D140" s="200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9"/>
      <c r="V140" s="199"/>
      <c r="W140" s="199"/>
      <c r="X140" s="199"/>
      <c r="Y140" s="199"/>
      <c r="Z140" s="199"/>
      <c r="AA140" s="199"/>
      <c r="AB140" s="199"/>
      <c r="AC140" s="199"/>
      <c r="AD140" s="199"/>
      <c r="AE140" s="199"/>
      <c r="AF140" s="199"/>
      <c r="AG140" s="199"/>
      <c r="AH140" s="199"/>
      <c r="AI140" s="199"/>
      <c r="AJ140" s="199"/>
      <c r="AK140" s="199"/>
      <c r="AL140" s="199"/>
      <c r="AM140" s="199"/>
      <c r="AN140" s="199"/>
      <c r="AO140" s="199"/>
      <c r="AP140" s="199"/>
      <c r="AQ140" s="199"/>
      <c r="AR140" s="199"/>
      <c r="AS140" s="199"/>
      <c r="AU140" s="203"/>
      <c r="AV140" s="204"/>
      <c r="AW140" s="204"/>
      <c r="AX140" s="205"/>
      <c r="AY140" s="204"/>
      <c r="AZ140" s="204"/>
      <c r="BA140" s="204"/>
      <c r="BB140" s="204"/>
      <c r="BC140" s="204"/>
      <c r="BD140" s="204"/>
      <c r="BE140" s="204"/>
    </row>
    <row r="141" spans="1:57" s="202" customFormat="1" ht="10.7" customHeight="1" x14ac:dyDescent="0.25">
      <c r="A141" s="199"/>
      <c r="B141" s="199"/>
      <c r="C141" s="199"/>
      <c r="D141" s="200"/>
      <c r="E141" s="199"/>
      <c r="F141" s="199"/>
      <c r="G141" s="555" t="s">
        <v>164</v>
      </c>
      <c r="H141" s="555"/>
      <c r="I141" s="555"/>
      <c r="J141" s="555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9"/>
      <c r="V141" s="199"/>
      <c r="W141" s="199"/>
      <c r="X141" s="199"/>
      <c r="Y141" s="199"/>
      <c r="Z141" s="199"/>
      <c r="AA141" s="199"/>
      <c r="AB141" s="199"/>
      <c r="AC141" s="199"/>
      <c r="AD141" s="199"/>
      <c r="AE141" s="199"/>
      <c r="AF141" s="199"/>
      <c r="AG141" s="199"/>
      <c r="AH141" s="199"/>
      <c r="AI141" s="199"/>
      <c r="AJ141" s="199"/>
      <c r="AK141" s="199"/>
      <c r="AL141" s="199"/>
      <c r="AM141" s="199"/>
      <c r="AN141" s="199"/>
      <c r="AO141" s="199"/>
      <c r="AP141" s="199"/>
      <c r="AQ141" s="199"/>
      <c r="AR141" s="199"/>
      <c r="AS141" s="199"/>
      <c r="AU141" s="203"/>
      <c r="AV141" s="204"/>
      <c r="AW141" s="204"/>
      <c r="AX141" s="205"/>
      <c r="AY141" s="204"/>
      <c r="AZ141" s="204"/>
      <c r="BA141" s="204"/>
      <c r="BB141" s="204"/>
      <c r="BC141" s="204"/>
      <c r="BD141" s="204"/>
      <c r="BE141" s="204"/>
    </row>
    <row r="142" spans="1:57" s="202" customFormat="1" ht="10.7" customHeight="1" x14ac:dyDescent="0.25">
      <c r="A142" s="199"/>
      <c r="B142" s="199"/>
      <c r="C142" s="199"/>
      <c r="D142" s="200"/>
      <c r="E142" s="199"/>
      <c r="F142" s="199"/>
      <c r="G142" s="271"/>
      <c r="H142" s="271"/>
      <c r="I142" s="271"/>
      <c r="J142" s="271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9"/>
      <c r="V142" s="199"/>
      <c r="W142" s="199"/>
      <c r="X142" s="199"/>
      <c r="Y142" s="199"/>
      <c r="Z142" s="199"/>
      <c r="AA142" s="199"/>
      <c r="AB142" s="199"/>
      <c r="AC142" s="199"/>
      <c r="AD142" s="199"/>
      <c r="AE142" s="199"/>
      <c r="AF142" s="199"/>
      <c r="AG142" s="199"/>
      <c r="AH142" s="199"/>
      <c r="AI142" s="199"/>
      <c r="AJ142" s="199"/>
      <c r="AK142" s="199"/>
      <c r="AL142" s="199"/>
      <c r="AM142" s="199"/>
      <c r="AN142" s="199"/>
      <c r="AO142" s="199"/>
      <c r="AP142" s="199"/>
      <c r="AQ142" s="199"/>
      <c r="AR142" s="199"/>
      <c r="AS142" s="199"/>
      <c r="AU142" s="203"/>
      <c r="AV142" s="204"/>
      <c r="AW142" s="204"/>
      <c r="AX142" s="205"/>
      <c r="AY142" s="204"/>
      <c r="AZ142" s="204"/>
      <c r="BA142" s="204"/>
      <c r="BB142" s="204"/>
      <c r="BC142" s="204"/>
      <c r="BD142" s="204"/>
      <c r="BE142" s="204"/>
    </row>
    <row r="143" spans="1:57" s="202" customFormat="1" ht="10.7" customHeight="1" x14ac:dyDescent="0.25">
      <c r="A143" s="199"/>
      <c r="B143" s="199"/>
      <c r="C143" s="199"/>
      <c r="D143" s="200"/>
      <c r="E143" s="199"/>
      <c r="F143" s="199"/>
      <c r="G143" s="272" t="s">
        <v>128</v>
      </c>
      <c r="H143" s="271">
        <f ca="1">G76</f>
        <v>2623</v>
      </c>
      <c r="I143" s="273" t="str">
        <f ca="1">IF(H143=0,0,VLOOKUP(H143,Inscripciones!$B$1:$I$464,2,FALSE))</f>
        <v>MATEO MONGE ARROYO</v>
      </c>
      <c r="J143" s="273" t="str">
        <f ca="1">IF(H143=0,0,VLOOKUP(H143,Inscripciones!$B$1:$L$364,3,FALSE))</f>
        <v>SANTA ANA</v>
      </c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9"/>
      <c r="V143" s="199"/>
      <c r="W143" s="199"/>
      <c r="X143" s="199"/>
      <c r="Y143" s="199"/>
      <c r="Z143" s="199"/>
      <c r="AA143" s="199"/>
      <c r="AB143" s="199"/>
      <c r="AC143" s="199"/>
      <c r="AD143" s="199"/>
      <c r="AE143" s="199"/>
      <c r="AF143" s="199"/>
      <c r="AG143" s="199"/>
      <c r="AH143" s="199"/>
      <c r="AI143" s="199"/>
      <c r="AJ143" s="199"/>
      <c r="AK143" s="199"/>
      <c r="AL143" s="199"/>
      <c r="AM143" s="199"/>
      <c r="AN143" s="199"/>
      <c r="AO143" s="199"/>
      <c r="AP143" s="199"/>
      <c r="AQ143" s="199"/>
      <c r="AR143" s="199"/>
      <c r="AS143" s="199"/>
      <c r="AU143" s="203"/>
      <c r="AV143" s="204"/>
      <c r="AW143" s="204"/>
      <c r="AX143" s="205"/>
      <c r="AY143" s="204"/>
      <c r="AZ143" s="204"/>
      <c r="BA143" s="204"/>
      <c r="BB143" s="204"/>
      <c r="BC143" s="204"/>
      <c r="BD143" s="204"/>
      <c r="BE143" s="204"/>
    </row>
    <row r="144" spans="1:57" s="202" customFormat="1" ht="10.7" customHeight="1" x14ac:dyDescent="0.25">
      <c r="A144" s="199"/>
      <c r="B144" s="199"/>
      <c r="C144" s="199"/>
      <c r="D144" s="200"/>
      <c r="E144" s="199"/>
      <c r="F144" s="199"/>
      <c r="G144" s="272" t="s">
        <v>130</v>
      </c>
      <c r="H144" s="271">
        <f t="shared" ref="H144:H146" ca="1" si="1047">G77</f>
        <v>2895</v>
      </c>
      <c r="I144" s="273" t="str">
        <f ca="1">IF(H144=0,0,VLOOKUP(H144,Inscripciones!$B$1:$I$464,2,FALSE))</f>
        <v>ANDRES JOSE VEGA VALERIO</v>
      </c>
      <c r="J144" s="273" t="str">
        <f ca="1">IF(H144=0,0,VLOOKUP(H144,Inscripciones!$B$1:$L$364,3,FALSE))</f>
        <v>ALAJUELA - UCR</v>
      </c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9"/>
      <c r="V144" s="199"/>
      <c r="W144" s="199"/>
      <c r="X144" s="199"/>
      <c r="Y144" s="199"/>
      <c r="Z144" s="199"/>
      <c r="AA144" s="199"/>
      <c r="AB144" s="199"/>
      <c r="AC144" s="199"/>
      <c r="AD144" s="199"/>
      <c r="AE144" s="199"/>
      <c r="AF144" s="199"/>
      <c r="AG144" s="199"/>
      <c r="AH144" s="199"/>
      <c r="AI144" s="199"/>
      <c r="AJ144" s="199"/>
      <c r="AK144" s="199"/>
      <c r="AL144" s="199"/>
      <c r="AM144" s="199"/>
      <c r="AN144" s="199"/>
      <c r="AO144" s="199"/>
      <c r="AP144" s="199"/>
      <c r="AQ144" s="199"/>
      <c r="AR144" s="199"/>
      <c r="AS144" s="199"/>
      <c r="AU144" s="203"/>
      <c r="AV144" s="204"/>
      <c r="AW144" s="204"/>
      <c r="AX144" s="205"/>
      <c r="AY144" s="204"/>
      <c r="AZ144" s="204"/>
      <c r="BA144" s="204"/>
      <c r="BB144" s="204"/>
      <c r="BC144" s="204"/>
      <c r="BD144" s="204"/>
      <c r="BE144" s="204"/>
    </row>
    <row r="145" spans="1:57" s="202" customFormat="1" ht="10.7" customHeight="1" x14ac:dyDescent="0.25">
      <c r="A145" s="199"/>
      <c r="B145" s="199"/>
      <c r="C145" s="199"/>
      <c r="D145" s="200"/>
      <c r="E145" s="199"/>
      <c r="F145" s="199"/>
      <c r="G145" s="272" t="s">
        <v>131</v>
      </c>
      <c r="H145" s="271">
        <f t="shared" ca="1" si="1047"/>
        <v>3472</v>
      </c>
      <c r="I145" s="273" t="str">
        <f ca="1">IF(H145=0,0,VLOOKUP(H145,Inscripciones!$B$1:$I$464,2,FALSE))</f>
        <v>JAYDRICK SHAMALL BAKER CRAWFORD</v>
      </c>
      <c r="J145" s="273" t="str">
        <f ca="1">IF(H145=0,0,VLOOKUP(H145,Inscripciones!$B$1:$L$364,3,FALSE))</f>
        <v>ASERRÍ - UCR</v>
      </c>
      <c r="K145" s="199"/>
      <c r="L145" s="199"/>
      <c r="M145" s="199"/>
      <c r="N145" s="199"/>
      <c r="O145" s="199"/>
      <c r="P145" s="199"/>
      <c r="Q145" s="199"/>
      <c r="R145" s="199"/>
      <c r="S145" s="199"/>
      <c r="T145" s="199"/>
      <c r="U145" s="199"/>
      <c r="V145" s="199"/>
      <c r="W145" s="199"/>
      <c r="X145" s="199"/>
      <c r="Y145" s="199"/>
      <c r="Z145" s="199"/>
      <c r="AA145" s="199"/>
      <c r="AB145" s="199"/>
      <c r="AC145" s="199"/>
      <c r="AD145" s="199"/>
      <c r="AE145" s="199"/>
      <c r="AF145" s="199"/>
      <c r="AG145" s="199"/>
      <c r="AH145" s="199"/>
      <c r="AI145" s="199"/>
      <c r="AJ145" s="199"/>
      <c r="AK145" s="199"/>
      <c r="AL145" s="199"/>
      <c r="AM145" s="199"/>
      <c r="AN145" s="199"/>
      <c r="AO145" s="199"/>
      <c r="AP145" s="199"/>
      <c r="AQ145" s="199"/>
      <c r="AR145" s="199"/>
      <c r="AS145" s="199"/>
      <c r="AU145" s="203"/>
      <c r="AV145" s="204"/>
      <c r="AW145" s="204"/>
      <c r="AX145" s="205"/>
      <c r="AY145" s="204"/>
      <c r="AZ145" s="204"/>
      <c r="BA145" s="204"/>
      <c r="BB145" s="204"/>
      <c r="BC145" s="204"/>
      <c r="BD145" s="204"/>
      <c r="BE145" s="204"/>
    </row>
    <row r="146" spans="1:57" s="202" customFormat="1" ht="10.7" customHeight="1" x14ac:dyDescent="0.25">
      <c r="A146" s="199"/>
      <c r="B146" s="199"/>
      <c r="C146" s="199"/>
      <c r="D146" s="200"/>
      <c r="E146" s="199"/>
      <c r="F146" s="199"/>
      <c r="G146" s="274">
        <f>IF(E68=1,4,3)</f>
        <v>3</v>
      </c>
      <c r="H146" s="271">
        <f t="shared" ca="1" si="1047"/>
        <v>3671</v>
      </c>
      <c r="I146" s="273" t="str">
        <f ca="1">IF(H146=0,0,VLOOKUP(H146,Inscripciones!$B$1:$I$464,2,FALSE))</f>
        <v>NICOLAS OVARES CASTRO</v>
      </c>
      <c r="J146" s="273" t="str">
        <f ca="1">IF(H146=0,0,VLOOKUP(H146,Inscripciones!$B$1:$L$364,3,FALSE))</f>
        <v>SANTA ANA</v>
      </c>
      <c r="K146" s="199"/>
      <c r="L146" s="199"/>
      <c r="M146" s="199"/>
      <c r="N146" s="199"/>
      <c r="O146" s="199"/>
      <c r="P146" s="199"/>
      <c r="Q146" s="199"/>
      <c r="R146" s="199"/>
      <c r="S146" s="199"/>
      <c r="T146" s="199"/>
      <c r="U146" s="199"/>
      <c r="V146" s="199"/>
      <c r="W146" s="199"/>
      <c r="X146" s="199"/>
      <c r="Y146" s="199"/>
      <c r="Z146" s="199"/>
      <c r="AA146" s="199"/>
      <c r="AB146" s="199"/>
      <c r="AC146" s="199"/>
      <c r="AD146" s="199"/>
      <c r="AE146" s="199"/>
      <c r="AF146" s="199"/>
      <c r="AG146" s="199"/>
      <c r="AH146" s="199"/>
      <c r="AI146" s="199"/>
      <c r="AJ146" s="199"/>
      <c r="AK146" s="199"/>
      <c r="AL146" s="199"/>
      <c r="AM146" s="199"/>
      <c r="AN146" s="199"/>
      <c r="AO146" s="199"/>
      <c r="AP146" s="199"/>
      <c r="AQ146" s="199"/>
      <c r="AR146" s="199"/>
      <c r="AS146" s="199"/>
      <c r="AU146" s="203"/>
      <c r="AV146" s="204"/>
      <c r="AW146" s="204"/>
      <c r="AX146" s="205"/>
      <c r="AY146" s="204"/>
      <c r="AZ146" s="204"/>
      <c r="BA146" s="204"/>
      <c r="BB146" s="204"/>
      <c r="BC146" s="204"/>
      <c r="BD146" s="204"/>
      <c r="BE146" s="204"/>
    </row>
    <row r="147" spans="1:57" s="202" customFormat="1" ht="10.7" customHeight="1" x14ac:dyDescent="0.25">
      <c r="A147" s="199"/>
      <c r="B147" s="199"/>
      <c r="C147" s="199"/>
      <c r="D147" s="200"/>
      <c r="E147" s="199"/>
      <c r="F147" s="199"/>
      <c r="G147" s="272" t="s">
        <v>165</v>
      </c>
      <c r="H147" s="271">
        <f ca="1">G84</f>
        <v>3499</v>
      </c>
      <c r="I147" s="273" t="str">
        <f ca="1">IF(H147=0,0,VLOOKUP(H147,Inscripciones!$B$1:$I$464,2,FALSE))</f>
        <v>ESTEBAN MURILLO CHAVES</v>
      </c>
      <c r="J147" s="273" t="str">
        <f ca="1">IF(H147=0,0,VLOOKUP(H147,Inscripciones!$B$1:$L$364,3,FALSE))</f>
        <v>UCR-PÉREZ ZELEDÓN</v>
      </c>
      <c r="K147" s="199"/>
      <c r="L147" s="199"/>
      <c r="M147" s="199"/>
      <c r="N147" s="199"/>
      <c r="O147" s="199"/>
      <c r="P147" s="199"/>
      <c r="Q147" s="199"/>
      <c r="R147" s="199"/>
      <c r="S147" s="199"/>
      <c r="T147" s="199"/>
      <c r="U147" s="199"/>
      <c r="V147" s="199"/>
      <c r="W147" s="199"/>
      <c r="X147" s="199"/>
      <c r="Y147" s="199"/>
      <c r="Z147" s="199"/>
      <c r="AA147" s="199"/>
      <c r="AB147" s="199"/>
      <c r="AC147" s="199"/>
      <c r="AD147" s="199"/>
      <c r="AE147" s="199"/>
      <c r="AF147" s="199"/>
      <c r="AG147" s="199"/>
      <c r="AH147" s="199"/>
      <c r="AI147" s="199"/>
      <c r="AJ147" s="199"/>
      <c r="AK147" s="199"/>
      <c r="AL147" s="199"/>
      <c r="AM147" s="199"/>
      <c r="AN147" s="199"/>
      <c r="AO147" s="199"/>
      <c r="AP147" s="199"/>
      <c r="AQ147" s="199"/>
      <c r="AR147" s="199"/>
      <c r="AS147" s="199"/>
      <c r="AU147" s="203"/>
      <c r="AV147" s="204"/>
      <c r="AW147" s="204"/>
      <c r="AX147" s="205"/>
      <c r="AY147" s="204"/>
      <c r="AZ147" s="204"/>
      <c r="BA147" s="204"/>
      <c r="BB147" s="204"/>
      <c r="BC147" s="204"/>
      <c r="BD147" s="204"/>
      <c r="BE147" s="204"/>
    </row>
    <row r="148" spans="1:57" s="202" customFormat="1" ht="10.7" customHeight="1" x14ac:dyDescent="0.25">
      <c r="A148" s="199"/>
      <c r="B148" s="199"/>
      <c r="C148" s="199"/>
      <c r="D148" s="200"/>
      <c r="E148" s="199"/>
      <c r="F148" s="199"/>
      <c r="G148" s="272" t="s">
        <v>165</v>
      </c>
      <c r="H148" s="271">
        <f t="shared" ref="H148:H150" ca="1" si="1048">G85</f>
        <v>2515</v>
      </c>
      <c r="I148" s="273" t="str">
        <f ca="1">IF(H148=0,0,VLOOKUP(H148,Inscripciones!$B$1:$I$464,2,FALSE))</f>
        <v>GABRIEL CHAVEZ QUIROS</v>
      </c>
      <c r="J148" s="273" t="str">
        <f ca="1">IF(H148=0,0,VLOOKUP(H148,Inscripciones!$B$1:$L$364,3,FALSE))</f>
        <v>SANTA ANA</v>
      </c>
      <c r="K148" s="199"/>
      <c r="L148" s="199"/>
      <c r="M148" s="199"/>
      <c r="N148" s="199"/>
      <c r="O148" s="199"/>
      <c r="P148" s="199"/>
      <c r="Q148" s="199"/>
      <c r="R148" s="199"/>
      <c r="S148" s="199"/>
      <c r="T148" s="199"/>
      <c r="U148" s="199"/>
      <c r="V148" s="199"/>
      <c r="W148" s="199"/>
      <c r="X148" s="199"/>
      <c r="Y148" s="199"/>
      <c r="Z148" s="199"/>
      <c r="AA148" s="199"/>
      <c r="AB148" s="199"/>
      <c r="AC148" s="199"/>
      <c r="AD148" s="199"/>
      <c r="AE148" s="199"/>
      <c r="AF148" s="199"/>
      <c r="AG148" s="199"/>
      <c r="AH148" s="199"/>
      <c r="AI148" s="199"/>
      <c r="AJ148" s="199"/>
      <c r="AK148" s="199"/>
      <c r="AL148" s="199"/>
      <c r="AM148" s="199"/>
      <c r="AN148" s="199"/>
      <c r="AO148" s="199"/>
      <c r="AP148" s="199"/>
      <c r="AQ148" s="199"/>
      <c r="AR148" s="199"/>
      <c r="AS148" s="199"/>
      <c r="AU148" s="203"/>
      <c r="AV148" s="204"/>
      <c r="AW148" s="204"/>
      <c r="AX148" s="205"/>
      <c r="AY148" s="204"/>
      <c r="AZ148" s="204"/>
      <c r="BA148" s="204"/>
      <c r="BB148" s="204"/>
      <c r="BC148" s="204"/>
      <c r="BD148" s="204"/>
      <c r="BE148" s="204"/>
    </row>
    <row r="149" spans="1:57" s="202" customFormat="1" ht="10.7" customHeight="1" x14ac:dyDescent="0.25">
      <c r="A149" s="199"/>
      <c r="B149" s="199"/>
      <c r="C149" s="199"/>
      <c r="D149" s="200"/>
      <c r="E149" s="199"/>
      <c r="F149" s="199"/>
      <c r="G149" s="272" t="s">
        <v>165</v>
      </c>
      <c r="H149" s="271">
        <f t="shared" ca="1" si="1048"/>
        <v>4002</v>
      </c>
      <c r="I149" s="273" t="str">
        <f ca="1">IF(H149=0,0,VLOOKUP(H149,Inscripciones!$B$1:$I$464,2,FALSE))</f>
        <v>ISMAEL CÁRDENAS ACOSTA</v>
      </c>
      <c r="J149" s="273" t="str">
        <f ca="1">IF(H149=0,0,VLOOKUP(H149,Inscripciones!$B$1:$L$364,3,FALSE))</f>
        <v>CCDR SAN JOSÉ</v>
      </c>
      <c r="K149" s="199"/>
      <c r="L149" s="199"/>
      <c r="M149" s="199"/>
      <c r="N149" s="199"/>
      <c r="O149" s="199"/>
      <c r="P149" s="199"/>
      <c r="Q149" s="199"/>
      <c r="R149" s="199"/>
      <c r="S149" s="199"/>
      <c r="T149" s="199"/>
      <c r="U149" s="199"/>
      <c r="V149" s="199"/>
      <c r="W149" s="199"/>
      <c r="X149" s="199"/>
      <c r="Y149" s="199"/>
      <c r="Z149" s="199"/>
      <c r="AA149" s="199"/>
      <c r="AB149" s="199"/>
      <c r="AC149" s="199"/>
      <c r="AD149" s="199"/>
      <c r="AE149" s="199"/>
      <c r="AF149" s="199"/>
      <c r="AG149" s="199"/>
      <c r="AH149" s="199"/>
      <c r="AI149" s="199"/>
      <c r="AJ149" s="199"/>
      <c r="AK149" s="199"/>
      <c r="AL149" s="199"/>
      <c r="AM149" s="199"/>
      <c r="AN149" s="199"/>
      <c r="AO149" s="199"/>
      <c r="AP149" s="199"/>
      <c r="AQ149" s="199"/>
      <c r="AR149" s="199"/>
      <c r="AS149" s="199"/>
      <c r="AU149" s="203"/>
      <c r="AV149" s="204"/>
      <c r="AW149" s="204"/>
      <c r="AX149" s="205"/>
      <c r="AY149" s="204"/>
      <c r="AZ149" s="204"/>
      <c r="BA149" s="204"/>
      <c r="BB149" s="204"/>
      <c r="BC149" s="204"/>
      <c r="BD149" s="204"/>
      <c r="BE149" s="204"/>
    </row>
    <row r="150" spans="1:57" s="202" customFormat="1" ht="10.7" customHeight="1" x14ac:dyDescent="0.25">
      <c r="A150" s="199"/>
      <c r="B150" s="199"/>
      <c r="C150" s="199"/>
      <c r="D150" s="200"/>
      <c r="E150" s="199"/>
      <c r="F150" s="199"/>
      <c r="G150" s="272" t="s">
        <v>165</v>
      </c>
      <c r="H150" s="271">
        <f t="shared" ca="1" si="1048"/>
        <v>3458</v>
      </c>
      <c r="I150" s="273" t="str">
        <f ca="1">IF(H150=0,0,VLOOKUP(H150,Inscripciones!$B$1:$I$464,2,FALSE))</f>
        <v>SANTIAGO ALVAREZ LONGHI</v>
      </c>
      <c r="J150" s="273" t="str">
        <f ca="1">IF(H150=0,0,VLOOKUP(H150,Inscripciones!$B$1:$L$364,3,FALSE))</f>
        <v>SANTO DOMINGO</v>
      </c>
      <c r="K150" s="199"/>
      <c r="L150" s="199"/>
      <c r="M150" s="199"/>
      <c r="N150" s="199"/>
      <c r="O150" s="199"/>
      <c r="P150" s="199"/>
      <c r="Q150" s="199"/>
      <c r="R150" s="199"/>
      <c r="S150" s="199"/>
      <c r="T150" s="199"/>
      <c r="U150" s="199"/>
      <c r="V150" s="199"/>
      <c r="W150" s="199"/>
      <c r="X150" s="199"/>
      <c r="Y150" s="199"/>
      <c r="Z150" s="199"/>
      <c r="AA150" s="199"/>
      <c r="AB150" s="199"/>
      <c r="AC150" s="199"/>
      <c r="AD150" s="199"/>
      <c r="AE150" s="199"/>
      <c r="AF150" s="199"/>
      <c r="AG150" s="199"/>
      <c r="AH150" s="199"/>
      <c r="AI150" s="199"/>
      <c r="AJ150" s="199"/>
      <c r="AK150" s="199"/>
      <c r="AL150" s="199"/>
      <c r="AM150" s="199"/>
      <c r="AN150" s="199"/>
      <c r="AO150" s="199"/>
      <c r="AP150" s="199"/>
      <c r="AQ150" s="199"/>
      <c r="AR150" s="199"/>
      <c r="AS150" s="199"/>
      <c r="AU150" s="203"/>
      <c r="AV150" s="204"/>
      <c r="AW150" s="204"/>
      <c r="AX150" s="205"/>
      <c r="AY150" s="204"/>
      <c r="AZ150" s="204"/>
      <c r="BA150" s="204"/>
      <c r="BB150" s="204"/>
      <c r="BC150" s="204"/>
      <c r="BD150" s="204"/>
      <c r="BE150" s="204"/>
    </row>
    <row r="151" spans="1:57" s="202" customFormat="1" ht="10.7" customHeight="1" x14ac:dyDescent="0.25">
      <c r="A151" s="199"/>
      <c r="B151" s="199"/>
      <c r="C151" s="199"/>
      <c r="D151" s="200"/>
      <c r="E151" s="199"/>
      <c r="F151" s="199"/>
      <c r="G151" s="275" t="s">
        <v>166</v>
      </c>
      <c r="H151" s="199">
        <f ca="1">G96</f>
        <v>3836</v>
      </c>
      <c r="I151" s="276" t="str">
        <f ca="1">IF(H151=0,0,VLOOKUP(H151,Inscripciones!$B$1:$I$464,2,FALSE))</f>
        <v>LUCIANO QUIROS AVILA</v>
      </c>
      <c r="J151" s="276" t="str">
        <f ca="1">IF(H151=0,0,VLOOKUP(H151,Inscripciones!$B$1:$L$364,3,FALSE))</f>
        <v>ESCAZÚ</v>
      </c>
      <c r="K151" s="199"/>
      <c r="L151" s="199"/>
      <c r="M151" s="199"/>
      <c r="N151" s="199"/>
      <c r="O151" s="199"/>
      <c r="P151" s="199"/>
      <c r="Q151" s="199"/>
      <c r="R151" s="199"/>
      <c r="S151" s="199"/>
      <c r="T151" s="199"/>
      <c r="U151" s="199"/>
      <c r="V151" s="199"/>
      <c r="W151" s="199"/>
      <c r="X151" s="199"/>
      <c r="Y151" s="199"/>
      <c r="Z151" s="199"/>
      <c r="AA151" s="199"/>
      <c r="AB151" s="199"/>
      <c r="AC151" s="199"/>
      <c r="AD151" s="199"/>
      <c r="AE151" s="199"/>
      <c r="AF151" s="199"/>
      <c r="AG151" s="199"/>
      <c r="AH151" s="199"/>
      <c r="AI151" s="199"/>
      <c r="AJ151" s="199"/>
      <c r="AK151" s="199"/>
      <c r="AL151" s="199"/>
      <c r="AM151" s="199"/>
      <c r="AN151" s="199"/>
      <c r="AO151" s="199"/>
      <c r="AP151" s="199"/>
      <c r="AQ151" s="199"/>
      <c r="AR151" s="199"/>
      <c r="AS151" s="199"/>
      <c r="AU151" s="203"/>
      <c r="AV151" s="204"/>
      <c r="AW151" s="204"/>
      <c r="AX151" s="205"/>
      <c r="AY151" s="204"/>
      <c r="AZ151" s="204"/>
      <c r="BA151" s="204"/>
      <c r="BB151" s="204"/>
      <c r="BC151" s="204"/>
      <c r="BD151" s="204"/>
      <c r="BE151" s="204"/>
    </row>
    <row r="152" spans="1:57" s="202" customFormat="1" ht="10.7" customHeight="1" x14ac:dyDescent="0.25">
      <c r="A152" s="199"/>
      <c r="B152" s="199"/>
      <c r="C152" s="199"/>
      <c r="D152" s="200"/>
      <c r="E152" s="199"/>
      <c r="F152" s="199"/>
      <c r="G152" s="275" t="s">
        <v>166</v>
      </c>
      <c r="H152" s="199">
        <f t="shared" ref="H152:H158" ca="1" si="1049">G97</f>
        <v>4056</v>
      </c>
      <c r="I152" s="276" t="str">
        <f ca="1">IF(H152=0,0,VLOOKUP(H152,Inscripciones!$B$1:$I$464,2,FALSE))</f>
        <v>JOSEF ARIAS BRAVO</v>
      </c>
      <c r="J152" s="276" t="str">
        <f ca="1">IF(H152=0,0,VLOOKUP(H152,Inscripciones!$B$1:$L$364,3,FALSE))</f>
        <v>ESPARZA</v>
      </c>
      <c r="K152" s="199"/>
      <c r="L152" s="199"/>
      <c r="M152" s="199"/>
      <c r="N152" s="199"/>
      <c r="O152" s="199"/>
      <c r="P152" s="199"/>
      <c r="Q152" s="199"/>
      <c r="R152" s="199"/>
      <c r="S152" s="199"/>
      <c r="T152" s="199"/>
      <c r="U152" s="199"/>
      <c r="V152" s="199"/>
      <c r="W152" s="199"/>
      <c r="X152" s="199"/>
      <c r="Y152" s="199"/>
      <c r="Z152" s="199"/>
      <c r="AA152" s="199"/>
      <c r="AB152" s="199"/>
      <c r="AC152" s="199"/>
      <c r="AD152" s="199"/>
      <c r="AE152" s="199"/>
      <c r="AF152" s="199"/>
      <c r="AG152" s="199"/>
      <c r="AH152" s="199"/>
      <c r="AI152" s="199"/>
      <c r="AJ152" s="199"/>
      <c r="AK152" s="199"/>
      <c r="AL152" s="199"/>
      <c r="AM152" s="199"/>
      <c r="AN152" s="199"/>
      <c r="AO152" s="199"/>
      <c r="AP152" s="199"/>
      <c r="AQ152" s="199"/>
      <c r="AR152" s="199"/>
      <c r="AS152" s="199"/>
      <c r="AU152" s="203"/>
      <c r="AV152" s="204"/>
      <c r="AW152" s="204"/>
      <c r="AX152" s="205"/>
      <c r="AY152" s="204"/>
      <c r="AZ152" s="204"/>
      <c r="BA152" s="204"/>
      <c r="BB152" s="204"/>
      <c r="BC152" s="204"/>
      <c r="BD152" s="204"/>
      <c r="BE152" s="204"/>
    </row>
    <row r="153" spans="1:57" s="202" customFormat="1" ht="10.7" customHeight="1" x14ac:dyDescent="0.25">
      <c r="A153" s="199"/>
      <c r="B153" s="199"/>
      <c r="C153" s="199"/>
      <c r="D153" s="200"/>
      <c r="E153" s="199"/>
      <c r="F153" s="199"/>
      <c r="G153" s="275" t="s">
        <v>166</v>
      </c>
      <c r="H153" s="199">
        <f t="shared" ca="1" si="1049"/>
        <v>4363</v>
      </c>
      <c r="I153" s="276" t="str">
        <f ca="1">IF(H153=0,0,VLOOKUP(H153,Inscripciones!$B$1:$I$464,2,FALSE))</f>
        <v>CESAR DAM BLANCO</v>
      </c>
      <c r="J153" s="276" t="str">
        <f ca="1">IF(H153=0,0,VLOOKUP(H153,Inscripciones!$B$1:$L$364,3,FALSE))</f>
        <v>CCDR ALAJUELA</v>
      </c>
      <c r="K153" s="199"/>
      <c r="L153" s="199"/>
      <c r="M153" s="199"/>
      <c r="N153" s="199"/>
      <c r="O153" s="199"/>
      <c r="P153" s="199"/>
      <c r="Q153" s="199"/>
      <c r="R153" s="199"/>
      <c r="S153" s="199"/>
      <c r="T153" s="199"/>
      <c r="U153" s="199"/>
      <c r="V153" s="199"/>
      <c r="W153" s="199"/>
      <c r="X153" s="199"/>
      <c r="Y153" s="199"/>
      <c r="Z153" s="199"/>
      <c r="AA153" s="199"/>
      <c r="AB153" s="199"/>
      <c r="AC153" s="199"/>
      <c r="AD153" s="199"/>
      <c r="AE153" s="199"/>
      <c r="AF153" s="199"/>
      <c r="AG153" s="199"/>
      <c r="AH153" s="199"/>
      <c r="AI153" s="199"/>
      <c r="AJ153" s="199"/>
      <c r="AK153" s="199"/>
      <c r="AL153" s="199"/>
      <c r="AM153" s="199"/>
      <c r="AN153" s="199"/>
      <c r="AO153" s="199"/>
      <c r="AP153" s="199"/>
      <c r="AQ153" s="199"/>
      <c r="AR153" s="199"/>
      <c r="AS153" s="199"/>
      <c r="AU153" s="203"/>
      <c r="AV153" s="204"/>
      <c r="AW153" s="204"/>
      <c r="AX153" s="205"/>
      <c r="AY153" s="204"/>
      <c r="AZ153" s="204"/>
      <c r="BA153" s="204"/>
      <c r="BB153" s="204"/>
      <c r="BC153" s="204"/>
      <c r="BD153" s="204"/>
      <c r="BE153" s="204"/>
    </row>
    <row r="154" spans="1:57" s="202" customFormat="1" ht="10.7" customHeight="1" x14ac:dyDescent="0.25">
      <c r="A154" s="199"/>
      <c r="B154" s="199"/>
      <c r="C154" s="199"/>
      <c r="D154" s="200"/>
      <c r="E154" s="199"/>
      <c r="F154" s="199"/>
      <c r="G154" s="275" t="s">
        <v>166</v>
      </c>
      <c r="H154" s="199">
        <f t="shared" ca="1" si="1049"/>
        <v>4034</v>
      </c>
      <c r="I154" s="276" t="str">
        <f ca="1">IF(H154=0,0,VLOOKUP(H154,Inscripciones!$B$1:$I$464,2,FALSE))</f>
        <v>IAN DAVID GARRO ALONSO</v>
      </c>
      <c r="J154" s="276" t="str">
        <f ca="1">IF(H154=0,0,VLOOKUP(H154,Inscripciones!$B$1:$L$364,3,FALSE))</f>
        <v>CCDR SAN JOSÉ</v>
      </c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9"/>
      <c r="Y154" s="199"/>
      <c r="Z154" s="199"/>
      <c r="AA154" s="199"/>
      <c r="AB154" s="199"/>
      <c r="AC154" s="199"/>
      <c r="AD154" s="199"/>
      <c r="AE154" s="199"/>
      <c r="AF154" s="199"/>
      <c r="AG154" s="199"/>
      <c r="AH154" s="199"/>
      <c r="AI154" s="199"/>
      <c r="AJ154" s="199"/>
      <c r="AK154" s="199"/>
      <c r="AL154" s="199"/>
      <c r="AM154" s="199"/>
      <c r="AN154" s="199"/>
      <c r="AO154" s="199"/>
      <c r="AP154" s="199"/>
      <c r="AQ154" s="199"/>
      <c r="AR154" s="199"/>
      <c r="AS154" s="199"/>
      <c r="AU154" s="203"/>
      <c r="AV154" s="204"/>
      <c r="AW154" s="204"/>
      <c r="AX154" s="205"/>
      <c r="AY154" s="204"/>
      <c r="AZ154" s="204"/>
      <c r="BA154" s="204"/>
      <c r="BB154" s="204"/>
      <c r="BC154" s="204"/>
      <c r="BD154" s="204"/>
      <c r="BE154" s="204"/>
    </row>
    <row r="155" spans="1:57" s="202" customFormat="1" ht="10.7" customHeight="1" x14ac:dyDescent="0.25">
      <c r="A155" s="199"/>
      <c r="B155" s="199"/>
      <c r="C155" s="199"/>
      <c r="D155" s="200"/>
      <c r="E155" s="199"/>
      <c r="F155" s="199"/>
      <c r="G155" s="275" t="s">
        <v>166</v>
      </c>
      <c r="H155" s="199">
        <f t="shared" ca="1" si="1049"/>
        <v>3449</v>
      </c>
      <c r="I155" s="276" t="str">
        <f ca="1">IF(H155=0,0,VLOOKUP(H155,Inscripciones!$B$1:$I$464,2,FALSE))</f>
        <v>REINEL ANTONIO VANEGAS LACAYO</v>
      </c>
      <c r="J155" s="276" t="str">
        <f ca="1">IF(H155=0,0,VLOOKUP(H155,Inscripciones!$B$1:$L$364,3,FALSE))</f>
        <v>ALAJUELA</v>
      </c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9"/>
      <c r="Y155" s="199"/>
      <c r="Z155" s="199"/>
      <c r="AA155" s="199"/>
      <c r="AB155" s="199"/>
      <c r="AC155" s="199"/>
      <c r="AD155" s="199"/>
      <c r="AE155" s="199"/>
      <c r="AF155" s="199"/>
      <c r="AG155" s="199"/>
      <c r="AH155" s="199"/>
      <c r="AI155" s="199"/>
      <c r="AJ155" s="199"/>
      <c r="AK155" s="199"/>
      <c r="AL155" s="199"/>
      <c r="AM155" s="199"/>
      <c r="AN155" s="199"/>
      <c r="AO155" s="199"/>
      <c r="AP155" s="199"/>
      <c r="AQ155" s="199"/>
      <c r="AR155" s="199"/>
      <c r="AS155" s="199"/>
      <c r="AU155" s="203"/>
      <c r="AV155" s="204"/>
      <c r="AW155" s="204"/>
      <c r="AX155" s="205"/>
      <c r="AY155" s="204"/>
      <c r="AZ155" s="204"/>
      <c r="BA155" s="204"/>
      <c r="BB155" s="204"/>
      <c r="BC155" s="204"/>
      <c r="BD155" s="204"/>
      <c r="BE155" s="204"/>
    </row>
    <row r="156" spans="1:57" s="202" customFormat="1" ht="10.7" customHeight="1" x14ac:dyDescent="0.25">
      <c r="A156" s="199"/>
      <c r="B156" s="199"/>
      <c r="C156" s="199"/>
      <c r="D156" s="200"/>
      <c r="E156" s="199"/>
      <c r="F156" s="199"/>
      <c r="G156" s="275" t="s">
        <v>166</v>
      </c>
      <c r="H156" s="199">
        <f t="shared" ca="1" si="1049"/>
        <v>3747</v>
      </c>
      <c r="I156" s="276" t="str">
        <f ca="1">IF(H156=0,0,VLOOKUP(H156,Inscripciones!$B$1:$I$464,2,FALSE))</f>
        <v>LUIS ALONSO VILLALOBOS CAMPOS</v>
      </c>
      <c r="J156" s="276" t="str">
        <f ca="1">IF(H156=0,0,VLOOKUP(H156,Inscripciones!$B$1:$L$364,3,FALSE))</f>
        <v>ESPARZA</v>
      </c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9"/>
      <c r="Y156" s="199"/>
      <c r="Z156" s="199"/>
      <c r="AA156" s="199"/>
      <c r="AB156" s="199"/>
      <c r="AC156" s="199"/>
      <c r="AD156" s="199"/>
      <c r="AE156" s="199"/>
      <c r="AF156" s="199"/>
      <c r="AG156" s="199"/>
      <c r="AH156" s="199"/>
      <c r="AI156" s="199"/>
      <c r="AJ156" s="199"/>
      <c r="AK156" s="199"/>
      <c r="AL156" s="199"/>
      <c r="AM156" s="199"/>
      <c r="AN156" s="199"/>
      <c r="AO156" s="199"/>
      <c r="AP156" s="199"/>
      <c r="AQ156" s="199"/>
      <c r="AR156" s="199"/>
      <c r="AS156" s="199"/>
      <c r="AU156" s="203"/>
      <c r="AV156" s="204"/>
      <c r="AW156" s="204"/>
      <c r="AX156" s="205"/>
      <c r="AY156" s="204"/>
      <c r="AZ156" s="204"/>
      <c r="BA156" s="204"/>
      <c r="BB156" s="204"/>
      <c r="BC156" s="204"/>
      <c r="BD156" s="204"/>
      <c r="BE156" s="204"/>
    </row>
    <row r="157" spans="1:57" s="202" customFormat="1" ht="10.7" customHeight="1" x14ac:dyDescent="0.25">
      <c r="A157" s="199"/>
      <c r="B157" s="199"/>
      <c r="C157" s="199"/>
      <c r="D157" s="200"/>
      <c r="E157" s="199"/>
      <c r="F157" s="199"/>
      <c r="G157" s="275" t="s">
        <v>166</v>
      </c>
      <c r="H157" s="199">
        <f t="shared" ca="1" si="1049"/>
        <v>2368</v>
      </c>
      <c r="I157" s="276" t="str">
        <f ca="1">IF(H157=0,0,VLOOKUP(H157,Inscripciones!$B$1:$I$464,2,FALSE))</f>
        <v>EMANUEL RIVERA TORRES</v>
      </c>
      <c r="J157" s="276" t="str">
        <f ca="1">IF(H157=0,0,VLOOKUP(H157,Inscripciones!$B$1:$L$364,3,FALSE))</f>
        <v>ASERRÍ</v>
      </c>
      <c r="K157" s="199"/>
      <c r="L157" s="199"/>
      <c r="M157" s="199"/>
      <c r="N157" s="199"/>
      <c r="O157" s="199"/>
      <c r="P157" s="199"/>
      <c r="Q157" s="199"/>
      <c r="R157" s="199"/>
      <c r="S157" s="199"/>
      <c r="T157" s="199"/>
      <c r="U157" s="199"/>
      <c r="V157" s="199"/>
      <c r="W157" s="199"/>
      <c r="X157" s="199"/>
      <c r="Y157" s="199"/>
      <c r="Z157" s="199"/>
      <c r="AA157" s="199"/>
      <c r="AB157" s="199"/>
      <c r="AC157" s="199"/>
      <c r="AD157" s="199"/>
      <c r="AE157" s="199"/>
      <c r="AF157" s="199"/>
      <c r="AG157" s="199"/>
      <c r="AH157" s="199"/>
      <c r="AI157" s="199"/>
      <c r="AJ157" s="199"/>
      <c r="AK157" s="199"/>
      <c r="AL157" s="199"/>
      <c r="AM157" s="199"/>
      <c r="AN157" s="199"/>
      <c r="AO157" s="199"/>
      <c r="AP157" s="199"/>
      <c r="AQ157" s="199"/>
      <c r="AR157" s="199"/>
      <c r="AS157" s="199"/>
      <c r="AU157" s="203"/>
      <c r="AV157" s="204"/>
      <c r="AW157" s="204"/>
      <c r="AX157" s="205"/>
      <c r="AY157" s="204"/>
      <c r="AZ157" s="204"/>
      <c r="BA157" s="204"/>
      <c r="BB157" s="204"/>
      <c r="BC157" s="204"/>
      <c r="BD157" s="204"/>
      <c r="BE157" s="204"/>
    </row>
    <row r="158" spans="1:57" s="202" customFormat="1" ht="10.7" customHeight="1" x14ac:dyDescent="0.25">
      <c r="A158" s="199"/>
      <c r="B158" s="199"/>
      <c r="C158" s="199"/>
      <c r="D158" s="200"/>
      <c r="E158" s="199"/>
      <c r="F158" s="199"/>
      <c r="G158" s="275" t="s">
        <v>166</v>
      </c>
      <c r="H158" s="199">
        <f t="shared" ca="1" si="1049"/>
        <v>3153</v>
      </c>
      <c r="I158" s="276" t="str">
        <f ca="1">IF(H158=0,0,VLOOKUP(H158,Inscripciones!$B$1:$I$464,2,FALSE))</f>
        <v>ARIEL IGNACIO BARTELS BARQUERO</v>
      </c>
      <c r="J158" s="276" t="str">
        <f ca="1">IF(H158=0,0,VLOOKUP(H158,Inscripciones!$B$1:$L$364,3,FALSE))</f>
        <v>PÉREZ ZELEDÓN - UNA</v>
      </c>
      <c r="K158" s="199"/>
      <c r="L158" s="199"/>
      <c r="M158" s="199"/>
      <c r="N158" s="199"/>
      <c r="O158" s="199"/>
      <c r="P158" s="199"/>
      <c r="Q158" s="199"/>
      <c r="R158" s="199"/>
      <c r="S158" s="199"/>
      <c r="T158" s="199"/>
      <c r="U158" s="199"/>
      <c r="V158" s="199"/>
      <c r="W158" s="199"/>
      <c r="X158" s="199"/>
      <c r="Y158" s="199"/>
      <c r="Z158" s="199"/>
      <c r="AA158" s="199"/>
      <c r="AB158" s="199"/>
      <c r="AC158" s="199"/>
      <c r="AD158" s="199"/>
      <c r="AE158" s="199"/>
      <c r="AF158" s="199"/>
      <c r="AG158" s="199"/>
      <c r="AH158" s="199"/>
      <c r="AI158" s="199"/>
      <c r="AJ158" s="199"/>
      <c r="AK158" s="199"/>
      <c r="AL158" s="199"/>
      <c r="AM158" s="199"/>
      <c r="AN158" s="199"/>
      <c r="AO158" s="199"/>
      <c r="AP158" s="199"/>
      <c r="AQ158" s="199"/>
      <c r="AR158" s="199"/>
      <c r="AS158" s="199"/>
      <c r="AU158" s="203"/>
      <c r="AV158" s="204"/>
      <c r="AW158" s="204"/>
      <c r="AX158" s="205"/>
      <c r="AY158" s="204"/>
      <c r="AZ158" s="204"/>
      <c r="BA158" s="204"/>
      <c r="BB158" s="204"/>
      <c r="BC158" s="204"/>
      <c r="BD158" s="204"/>
      <c r="BE158" s="204"/>
    </row>
    <row r="159" spans="1:57" s="202" customFormat="1" ht="10.7" customHeight="1" x14ac:dyDescent="0.25">
      <c r="A159" s="199"/>
      <c r="B159" s="199"/>
      <c r="C159" s="199"/>
      <c r="D159" s="200"/>
      <c r="E159" s="199"/>
      <c r="F159" s="199"/>
      <c r="G159" s="275" t="s">
        <v>167</v>
      </c>
      <c r="H159" s="199">
        <f ca="1">G120</f>
        <v>4287</v>
      </c>
      <c r="I159" s="276" t="str">
        <f ca="1">IF(H159=0,0,VLOOKUP(H159,Inscripciones!$B$1:$I$464,2,FALSE))</f>
        <v>MATÍAS RAMÍREZ MARÍN</v>
      </c>
      <c r="J159" s="276" t="str">
        <f ca="1">IF(H159=0,0,VLOOKUP(H159,Inscripciones!$B$1:$L$364,3,FALSE))</f>
        <v>ESCAZÚ</v>
      </c>
      <c r="K159" s="199"/>
      <c r="L159" s="199"/>
      <c r="M159" s="199"/>
      <c r="N159" s="199"/>
      <c r="O159" s="199"/>
      <c r="P159" s="199"/>
      <c r="Q159" s="199"/>
      <c r="R159" s="199"/>
      <c r="S159" s="199"/>
      <c r="T159" s="199"/>
      <c r="U159" s="199"/>
      <c r="V159" s="199"/>
      <c r="W159" s="199"/>
      <c r="X159" s="199"/>
      <c r="Y159" s="199"/>
      <c r="Z159" s="199"/>
      <c r="AA159" s="199"/>
      <c r="AB159" s="199"/>
      <c r="AC159" s="199"/>
      <c r="AD159" s="199"/>
      <c r="AE159" s="199"/>
      <c r="AF159" s="199"/>
      <c r="AG159" s="199"/>
      <c r="AH159" s="199"/>
      <c r="AI159" s="199"/>
      <c r="AJ159" s="199"/>
      <c r="AK159" s="199"/>
      <c r="AL159" s="199"/>
      <c r="AM159" s="199"/>
      <c r="AN159" s="199"/>
      <c r="AO159" s="199"/>
      <c r="AP159" s="199"/>
      <c r="AQ159" s="199"/>
      <c r="AR159" s="199"/>
      <c r="AS159" s="199"/>
      <c r="AU159" s="203"/>
      <c r="AV159" s="204"/>
      <c r="AW159" s="204"/>
      <c r="AX159" s="205"/>
      <c r="AY159" s="204"/>
      <c r="AZ159" s="204"/>
      <c r="BA159" s="204"/>
      <c r="BB159" s="204"/>
      <c r="BC159" s="204"/>
      <c r="BD159" s="204"/>
      <c r="BE159" s="204"/>
    </row>
    <row r="160" spans="1:57" s="202" customFormat="1" ht="10.7" customHeight="1" x14ac:dyDescent="0.25">
      <c r="A160" s="199"/>
      <c r="B160" s="199"/>
      <c r="C160" s="199"/>
      <c r="D160" s="200"/>
      <c r="E160" s="199"/>
      <c r="F160" s="199"/>
      <c r="G160" s="275" t="s">
        <v>167</v>
      </c>
      <c r="H160" s="199">
        <f t="shared" ref="H160:H174" ca="1" si="1050">G121</f>
        <v>2801</v>
      </c>
      <c r="I160" s="276" t="str">
        <f ca="1">IF(H160=0,0,VLOOKUP(H160,Inscripciones!$B$1:$I$464,2,FALSE))</f>
        <v>IAN VARGAS JIMENEZ</v>
      </c>
      <c r="J160" s="276" t="str">
        <f ca="1">IF(H160=0,0,VLOOKUP(H160,Inscripciones!$B$1:$L$364,3,FALSE))</f>
        <v>CCDR SAN JOSÉ</v>
      </c>
      <c r="K160" s="199"/>
      <c r="L160" s="199"/>
      <c r="M160" s="199"/>
      <c r="N160" s="199"/>
      <c r="O160" s="199"/>
      <c r="P160" s="199"/>
      <c r="Q160" s="199"/>
      <c r="R160" s="199"/>
      <c r="S160" s="199"/>
      <c r="T160" s="199"/>
      <c r="U160" s="199"/>
      <c r="V160" s="199"/>
      <c r="W160" s="199"/>
      <c r="X160" s="199"/>
      <c r="Y160" s="199"/>
      <c r="Z160" s="199"/>
      <c r="AA160" s="199"/>
      <c r="AB160" s="199"/>
      <c r="AC160" s="199"/>
      <c r="AD160" s="199"/>
      <c r="AE160" s="199"/>
      <c r="AF160" s="199"/>
      <c r="AG160" s="199"/>
      <c r="AH160" s="199"/>
      <c r="AI160" s="199"/>
      <c r="AJ160" s="199"/>
      <c r="AK160" s="199"/>
      <c r="AL160" s="199"/>
      <c r="AM160" s="199"/>
      <c r="AN160" s="199"/>
      <c r="AO160" s="199"/>
      <c r="AP160" s="199"/>
      <c r="AQ160" s="199"/>
      <c r="AR160" s="199"/>
      <c r="AS160" s="199"/>
      <c r="AU160" s="203"/>
      <c r="AV160" s="204"/>
      <c r="AW160" s="204"/>
      <c r="AX160" s="205"/>
      <c r="AY160" s="204"/>
      <c r="AZ160" s="204"/>
      <c r="BA160" s="204"/>
      <c r="BB160" s="204"/>
      <c r="BC160" s="204"/>
      <c r="BD160" s="204"/>
      <c r="BE160" s="204"/>
    </row>
    <row r="161" spans="1:57" s="202" customFormat="1" ht="10.7" customHeight="1" x14ac:dyDescent="0.25">
      <c r="A161" s="199"/>
      <c r="B161" s="199"/>
      <c r="C161" s="199"/>
      <c r="D161" s="200"/>
      <c r="E161" s="199"/>
      <c r="F161" s="199"/>
      <c r="G161" s="275" t="s">
        <v>167</v>
      </c>
      <c r="H161" s="199">
        <f t="shared" ca="1" si="1050"/>
        <v>3696</v>
      </c>
      <c r="I161" s="276" t="str">
        <f ca="1">IF(H161=0,0,VLOOKUP(H161,Inscripciones!$B$1:$I$464,2,FALSE))</f>
        <v>NICOLAS CECILIANO ESQUIVEL</v>
      </c>
      <c r="J161" s="276" t="str">
        <f ca="1">IF(H161=0,0,VLOOKUP(H161,Inscripciones!$B$1:$L$364,3,FALSE))</f>
        <v>PÉREZ ZELEDÓN</v>
      </c>
      <c r="K161" s="199"/>
      <c r="L161" s="199"/>
      <c r="M161" s="199"/>
      <c r="N161" s="199"/>
      <c r="O161" s="199"/>
      <c r="P161" s="199"/>
      <c r="Q161" s="199"/>
      <c r="R161" s="199"/>
      <c r="S161" s="199"/>
      <c r="T161" s="199"/>
      <c r="U161" s="199"/>
      <c r="V161" s="199"/>
      <c r="W161" s="199"/>
      <c r="X161" s="199"/>
      <c r="Y161" s="199"/>
      <c r="Z161" s="199"/>
      <c r="AA161" s="199"/>
      <c r="AB161" s="199"/>
      <c r="AC161" s="199"/>
      <c r="AD161" s="199"/>
      <c r="AE161" s="199"/>
      <c r="AF161" s="199"/>
      <c r="AG161" s="199"/>
      <c r="AH161" s="199"/>
      <c r="AI161" s="199"/>
      <c r="AJ161" s="199"/>
      <c r="AK161" s="199"/>
      <c r="AL161" s="199"/>
      <c r="AM161" s="199"/>
      <c r="AN161" s="199"/>
      <c r="AO161" s="199"/>
      <c r="AP161" s="199"/>
      <c r="AQ161" s="199"/>
      <c r="AR161" s="199"/>
      <c r="AS161" s="199"/>
      <c r="AU161" s="203"/>
      <c r="AV161" s="204"/>
      <c r="AW161" s="204"/>
      <c r="AX161" s="205"/>
      <c r="AY161" s="204"/>
      <c r="AZ161" s="204"/>
      <c r="BA161" s="204"/>
      <c r="BB161" s="204"/>
      <c r="BC161" s="204"/>
      <c r="BD161" s="204"/>
      <c r="BE161" s="204"/>
    </row>
    <row r="162" spans="1:57" s="202" customFormat="1" ht="10.7" customHeight="1" x14ac:dyDescent="0.25">
      <c r="A162" s="199"/>
      <c r="B162" s="199"/>
      <c r="C162" s="199"/>
      <c r="D162" s="200"/>
      <c r="E162" s="199"/>
      <c r="F162" s="199"/>
      <c r="G162" s="275" t="s">
        <v>167</v>
      </c>
      <c r="H162" s="199">
        <f t="shared" ca="1" si="1050"/>
        <v>4115</v>
      </c>
      <c r="I162" s="276" t="str">
        <f ca="1">IF(H162=0,0,VLOOKUP(H162,Inscripciones!$B$1:$I$464,2,FALSE))</f>
        <v>JOSEPH ANGEL LOPEZ ARAUZ</v>
      </c>
      <c r="J162" s="276" t="str">
        <f ca="1">IF(H162=0,0,VLOOKUP(H162,Inscripciones!$B$1:$L$364,3,FALSE))</f>
        <v>ATM SANTA CRUZ</v>
      </c>
      <c r="K162" s="199"/>
      <c r="L162" s="199"/>
      <c r="M162" s="199"/>
      <c r="N162" s="199"/>
      <c r="O162" s="199"/>
      <c r="P162" s="199"/>
      <c r="Q162" s="199"/>
      <c r="R162" s="199"/>
      <c r="S162" s="199"/>
      <c r="T162" s="199"/>
      <c r="U162" s="199"/>
      <c r="V162" s="199"/>
      <c r="W162" s="199"/>
      <c r="X162" s="199"/>
      <c r="Y162" s="199"/>
      <c r="Z162" s="199"/>
      <c r="AA162" s="199"/>
      <c r="AB162" s="199"/>
      <c r="AC162" s="199"/>
      <c r="AD162" s="199"/>
      <c r="AE162" s="199"/>
      <c r="AF162" s="199"/>
      <c r="AG162" s="199"/>
      <c r="AH162" s="199"/>
      <c r="AI162" s="199"/>
      <c r="AJ162" s="199"/>
      <c r="AK162" s="199"/>
      <c r="AL162" s="199"/>
      <c r="AM162" s="199"/>
      <c r="AN162" s="199"/>
      <c r="AO162" s="199"/>
      <c r="AP162" s="199"/>
      <c r="AQ162" s="199"/>
      <c r="AR162" s="199"/>
      <c r="AS162" s="199"/>
      <c r="AU162" s="203"/>
      <c r="AV162" s="204"/>
      <c r="AW162" s="204"/>
      <c r="AX162" s="205"/>
      <c r="AY162" s="204"/>
      <c r="AZ162" s="204"/>
      <c r="BA162" s="204"/>
      <c r="BB162" s="204"/>
      <c r="BC162" s="204"/>
      <c r="BD162" s="204"/>
      <c r="BE162" s="204"/>
    </row>
    <row r="163" spans="1:57" s="202" customFormat="1" ht="10.7" customHeight="1" x14ac:dyDescent="0.25">
      <c r="A163" s="199"/>
      <c r="B163" s="199"/>
      <c r="C163" s="199"/>
      <c r="D163" s="200"/>
      <c r="E163" s="199"/>
      <c r="F163" s="199"/>
      <c r="G163" s="275" t="s">
        <v>167</v>
      </c>
      <c r="H163" s="199">
        <f t="shared" ca="1" si="1050"/>
        <v>4284</v>
      </c>
      <c r="I163" s="276" t="str">
        <f ca="1">IF(H163=0,0,VLOOKUP(H163,Inscripciones!$B$1:$I$464,2,FALSE))</f>
        <v>IAN SOLÍS CARRANZA</v>
      </c>
      <c r="J163" s="276" t="str">
        <f ca="1">IF(H163=0,0,VLOOKUP(H163,Inscripciones!$B$1:$L$364,3,FALSE))</f>
        <v>SANTO DOMINGO</v>
      </c>
      <c r="K163" s="199"/>
      <c r="L163" s="199"/>
      <c r="M163" s="199"/>
      <c r="N163" s="199"/>
      <c r="O163" s="199"/>
      <c r="P163" s="199"/>
      <c r="Q163" s="199"/>
      <c r="R163" s="199"/>
      <c r="S163" s="199"/>
      <c r="T163" s="199"/>
      <c r="U163" s="199"/>
      <c r="V163" s="199"/>
      <c r="W163" s="199"/>
      <c r="X163" s="199"/>
      <c r="Y163" s="199"/>
      <c r="Z163" s="199"/>
      <c r="AA163" s="199"/>
      <c r="AB163" s="199"/>
      <c r="AC163" s="199"/>
      <c r="AD163" s="199"/>
      <c r="AE163" s="199"/>
      <c r="AF163" s="199"/>
      <c r="AG163" s="199"/>
      <c r="AH163" s="199"/>
      <c r="AI163" s="199"/>
      <c r="AJ163" s="199"/>
      <c r="AK163" s="199"/>
      <c r="AL163" s="199"/>
      <c r="AM163" s="199"/>
      <c r="AN163" s="199"/>
      <c r="AO163" s="199"/>
      <c r="AP163" s="199"/>
      <c r="AQ163" s="199"/>
      <c r="AR163" s="199"/>
      <c r="AS163" s="199"/>
      <c r="AU163" s="203"/>
      <c r="AV163" s="204"/>
      <c r="AW163" s="204"/>
      <c r="AX163" s="205"/>
      <c r="AY163" s="204"/>
      <c r="AZ163" s="204"/>
      <c r="BA163" s="204"/>
      <c r="BB163" s="204"/>
      <c r="BC163" s="204"/>
      <c r="BD163" s="204"/>
      <c r="BE163" s="204"/>
    </row>
    <row r="164" spans="1:57" s="202" customFormat="1" ht="10.7" customHeight="1" x14ac:dyDescent="0.25">
      <c r="A164" s="199"/>
      <c r="B164" s="199"/>
      <c r="C164" s="199"/>
      <c r="D164" s="200"/>
      <c r="E164" s="199"/>
      <c r="F164" s="199"/>
      <c r="G164" s="275" t="s">
        <v>167</v>
      </c>
      <c r="H164" s="199">
        <f t="shared" ca="1" si="1050"/>
        <v>3839</v>
      </c>
      <c r="I164" s="276" t="str">
        <f ca="1">IF(H164=0,0,VLOOKUP(H164,Inscripciones!$B$1:$I$464,2,FALSE))</f>
        <v>ALBERTO BLANCO LEDEZMA</v>
      </c>
      <c r="J164" s="276" t="str">
        <f ca="1">IF(H164=0,0,VLOOKUP(H164,Inscripciones!$B$1:$L$364,3,FALSE))</f>
        <v>PÉREZ ZELEDÓN</v>
      </c>
      <c r="K164" s="199"/>
      <c r="L164" s="199"/>
      <c r="M164" s="199"/>
      <c r="N164" s="199"/>
      <c r="O164" s="199"/>
      <c r="P164" s="199"/>
      <c r="Q164" s="199"/>
      <c r="R164" s="199"/>
      <c r="S164" s="199"/>
      <c r="T164" s="199"/>
      <c r="U164" s="199"/>
      <c r="V164" s="199"/>
      <c r="W164" s="199"/>
      <c r="X164" s="199"/>
      <c r="Y164" s="199"/>
      <c r="Z164" s="199"/>
      <c r="AA164" s="199"/>
      <c r="AB164" s="199"/>
      <c r="AC164" s="199"/>
      <c r="AD164" s="199"/>
      <c r="AE164" s="199"/>
      <c r="AF164" s="199"/>
      <c r="AG164" s="199"/>
      <c r="AH164" s="199"/>
      <c r="AI164" s="199"/>
      <c r="AJ164" s="199"/>
      <c r="AK164" s="199"/>
      <c r="AL164" s="199"/>
      <c r="AM164" s="199"/>
      <c r="AN164" s="199"/>
      <c r="AO164" s="199"/>
      <c r="AP164" s="199"/>
      <c r="AQ164" s="199"/>
      <c r="AR164" s="199"/>
      <c r="AS164" s="199"/>
      <c r="AU164" s="203"/>
      <c r="AV164" s="204"/>
      <c r="AW164" s="204"/>
      <c r="AX164" s="205"/>
      <c r="AY164" s="204"/>
      <c r="AZ164" s="204"/>
      <c r="BA164" s="204"/>
      <c r="BB164" s="204"/>
      <c r="BC164" s="204"/>
      <c r="BD164" s="204"/>
      <c r="BE164" s="204"/>
    </row>
    <row r="165" spans="1:57" s="202" customFormat="1" ht="10.7" customHeight="1" x14ac:dyDescent="0.25">
      <c r="A165" s="199"/>
      <c r="B165" s="199"/>
      <c r="C165" s="199"/>
      <c r="D165" s="200"/>
      <c r="E165" s="199"/>
      <c r="F165" s="199"/>
      <c r="G165" s="275" t="s">
        <v>167</v>
      </c>
      <c r="H165" s="199">
        <f t="shared" ca="1" si="1050"/>
        <v>4513</v>
      </c>
      <c r="I165" s="276" t="str">
        <f ca="1">IF(H165=0,0,VLOOKUP(H165,Inscripciones!$B$1:$I$464,2,FALSE))</f>
        <v>GABRIEL ANTONIO AMADOR GARITA</v>
      </c>
      <c r="J165" s="276" t="str">
        <f ca="1">IF(H165=0,0,VLOOKUP(H165,Inscripciones!$B$1:$L$364,3,FALSE))</f>
        <v>CCDR SANTA CRUZ</v>
      </c>
      <c r="K165" s="199"/>
      <c r="L165" s="199"/>
      <c r="M165" s="199"/>
      <c r="N165" s="199"/>
      <c r="O165" s="199"/>
      <c r="P165" s="199"/>
      <c r="Q165" s="199"/>
      <c r="R165" s="199"/>
      <c r="S165" s="199"/>
      <c r="T165" s="199"/>
      <c r="U165" s="199"/>
      <c r="V165" s="199"/>
      <c r="W165" s="199"/>
      <c r="X165" s="199"/>
      <c r="Y165" s="199"/>
      <c r="Z165" s="199"/>
      <c r="AA165" s="199"/>
      <c r="AB165" s="199"/>
      <c r="AC165" s="199"/>
      <c r="AD165" s="199"/>
      <c r="AE165" s="199"/>
      <c r="AF165" s="199"/>
      <c r="AG165" s="199"/>
      <c r="AH165" s="199"/>
      <c r="AI165" s="199"/>
      <c r="AJ165" s="199"/>
      <c r="AK165" s="199"/>
      <c r="AL165" s="199"/>
      <c r="AM165" s="199"/>
      <c r="AN165" s="199"/>
      <c r="AO165" s="199"/>
      <c r="AP165" s="199"/>
      <c r="AQ165" s="199"/>
      <c r="AR165" s="199"/>
      <c r="AS165" s="199"/>
      <c r="AU165" s="203"/>
      <c r="AV165" s="204"/>
      <c r="AW165" s="204"/>
      <c r="AX165" s="205"/>
      <c r="AY165" s="204"/>
      <c r="AZ165" s="204"/>
      <c r="BA165" s="204"/>
      <c r="BB165" s="204"/>
      <c r="BC165" s="204"/>
      <c r="BD165" s="204"/>
      <c r="BE165" s="204"/>
    </row>
    <row r="166" spans="1:57" s="202" customFormat="1" ht="10.7" customHeight="1" x14ac:dyDescent="0.25">
      <c r="A166" s="199"/>
      <c r="B166" s="199"/>
      <c r="C166" s="199"/>
      <c r="D166" s="200"/>
      <c r="E166" s="199"/>
      <c r="F166" s="199"/>
      <c r="G166" s="275" t="s">
        <v>167</v>
      </c>
      <c r="H166" s="199">
        <f t="shared" ca="1" si="1050"/>
        <v>4464</v>
      </c>
      <c r="I166" s="276" t="str">
        <f ca="1">IF(H166=0,0,VLOOKUP(H166,Inscripciones!$B$1:$I$464,2,FALSE))</f>
        <v>ISAAC GAMBOA MORERA</v>
      </c>
      <c r="J166" s="276" t="str">
        <f ca="1">IF(H166=0,0,VLOOKUP(H166,Inscripciones!$B$1:$L$364,3,FALSE))</f>
        <v>ESPARZA</v>
      </c>
      <c r="K166" s="199"/>
      <c r="L166" s="199"/>
      <c r="M166" s="199"/>
      <c r="N166" s="199"/>
      <c r="O166" s="199"/>
      <c r="P166" s="199"/>
      <c r="Q166" s="199"/>
      <c r="R166" s="199"/>
      <c r="S166" s="199"/>
      <c r="T166" s="199"/>
      <c r="U166" s="199"/>
      <c r="V166" s="199"/>
      <c r="W166" s="199"/>
      <c r="X166" s="199"/>
      <c r="Y166" s="199"/>
      <c r="Z166" s="199"/>
      <c r="AA166" s="199"/>
      <c r="AB166" s="199"/>
      <c r="AC166" s="199"/>
      <c r="AD166" s="199"/>
      <c r="AE166" s="199"/>
      <c r="AF166" s="199"/>
      <c r="AG166" s="199"/>
      <c r="AH166" s="199"/>
      <c r="AI166" s="199"/>
      <c r="AJ166" s="199"/>
      <c r="AK166" s="199"/>
      <c r="AL166" s="199"/>
      <c r="AM166" s="199"/>
      <c r="AN166" s="199"/>
      <c r="AO166" s="199"/>
      <c r="AP166" s="199"/>
      <c r="AQ166" s="199"/>
      <c r="AR166" s="199"/>
      <c r="AS166" s="199"/>
      <c r="AU166" s="203"/>
      <c r="AV166" s="204"/>
      <c r="AW166" s="204"/>
      <c r="AX166" s="205"/>
      <c r="AY166" s="204"/>
      <c r="AZ166" s="204"/>
      <c r="BA166" s="204"/>
      <c r="BB166" s="204"/>
      <c r="BC166" s="204"/>
      <c r="BD166" s="204"/>
      <c r="BE166" s="204"/>
    </row>
    <row r="167" spans="1:57" s="202" customFormat="1" ht="10.7" customHeight="1" x14ac:dyDescent="0.25">
      <c r="A167" s="199"/>
      <c r="B167" s="199"/>
      <c r="C167" s="199"/>
      <c r="D167" s="200"/>
      <c r="E167" s="199"/>
      <c r="F167" s="199"/>
      <c r="G167" s="275" t="s">
        <v>167</v>
      </c>
      <c r="H167" s="199">
        <f t="shared" ca="1" si="1050"/>
        <v>3450</v>
      </c>
      <c r="I167" s="276" t="str">
        <f ca="1">IF(H167=0,0,VLOOKUP(H167,Inscripciones!$B$1:$I$464,2,FALSE))</f>
        <v>OSWALDO IGNACIO SILVA NOVOA</v>
      </c>
      <c r="J167" s="276" t="str">
        <f ca="1">IF(H167=0,0,VLOOKUP(H167,Inscripciones!$B$1:$L$364,3,FALSE))</f>
        <v>SANTA ANA</v>
      </c>
      <c r="K167" s="199"/>
      <c r="L167" s="199"/>
      <c r="M167" s="199"/>
      <c r="N167" s="199"/>
      <c r="O167" s="199"/>
      <c r="P167" s="199"/>
      <c r="Q167" s="199"/>
      <c r="R167" s="199"/>
      <c r="S167" s="199"/>
      <c r="T167" s="199"/>
      <c r="U167" s="199"/>
      <c r="V167" s="199"/>
      <c r="W167" s="199"/>
      <c r="X167" s="199"/>
      <c r="Y167" s="199"/>
      <c r="Z167" s="199"/>
      <c r="AA167" s="199"/>
      <c r="AB167" s="199"/>
      <c r="AC167" s="199"/>
      <c r="AD167" s="199"/>
      <c r="AE167" s="199"/>
      <c r="AF167" s="199"/>
      <c r="AG167" s="199"/>
      <c r="AH167" s="199"/>
      <c r="AI167" s="199"/>
      <c r="AJ167" s="199"/>
      <c r="AK167" s="199"/>
      <c r="AL167" s="199"/>
      <c r="AM167" s="199"/>
      <c r="AN167" s="199"/>
      <c r="AO167" s="199"/>
      <c r="AP167" s="199"/>
      <c r="AQ167" s="199"/>
      <c r="AR167" s="199"/>
      <c r="AS167" s="199"/>
      <c r="AU167" s="203"/>
      <c r="AV167" s="204"/>
      <c r="AW167" s="204"/>
      <c r="AX167" s="205"/>
      <c r="AY167" s="204"/>
      <c r="AZ167" s="204"/>
      <c r="BA167" s="204"/>
      <c r="BB167" s="204"/>
      <c r="BC167" s="204"/>
      <c r="BD167" s="204"/>
      <c r="BE167" s="204"/>
    </row>
    <row r="168" spans="1:57" s="202" customFormat="1" ht="10.7" customHeight="1" x14ac:dyDescent="0.25">
      <c r="A168" s="199"/>
      <c r="B168" s="199"/>
      <c r="C168" s="199"/>
      <c r="D168" s="200"/>
      <c r="E168" s="199"/>
      <c r="F168" s="199"/>
      <c r="G168" s="275" t="s">
        <v>167</v>
      </c>
      <c r="H168" s="199">
        <f t="shared" ca="1" si="1050"/>
        <v>3468</v>
      </c>
      <c r="I168" s="276" t="str">
        <f ca="1">IF(H168=0,0,VLOOKUP(H168,Inscripciones!$B$1:$I$464,2,FALSE))</f>
        <v>DANIEL DAVID ALPIZAR VILLALOBOS</v>
      </c>
      <c r="J168" s="276" t="str">
        <f ca="1">IF(H168=0,0,VLOOKUP(H168,Inscripciones!$B$1:$L$364,3,FALSE))</f>
        <v>ASERRÍ</v>
      </c>
      <c r="K168" s="199"/>
      <c r="L168" s="199"/>
      <c r="M168" s="199"/>
      <c r="N168" s="199"/>
      <c r="O168" s="199"/>
      <c r="P168" s="199"/>
      <c r="Q168" s="199"/>
      <c r="R168" s="199"/>
      <c r="S168" s="199"/>
      <c r="T168" s="199"/>
      <c r="U168" s="199"/>
      <c r="V168" s="199"/>
      <c r="W168" s="199"/>
      <c r="X168" s="199"/>
      <c r="Y168" s="199"/>
      <c r="Z168" s="199"/>
      <c r="AA168" s="199"/>
      <c r="AB168" s="199"/>
      <c r="AC168" s="199"/>
      <c r="AD168" s="199"/>
      <c r="AE168" s="199"/>
      <c r="AF168" s="199"/>
      <c r="AG168" s="199"/>
      <c r="AH168" s="199"/>
      <c r="AI168" s="199"/>
      <c r="AJ168" s="199"/>
      <c r="AK168" s="199"/>
      <c r="AL168" s="199"/>
      <c r="AM168" s="199"/>
      <c r="AN168" s="199"/>
      <c r="AO168" s="199"/>
      <c r="AP168" s="199"/>
      <c r="AQ168" s="199"/>
      <c r="AR168" s="199"/>
      <c r="AS168" s="199"/>
      <c r="AU168" s="203"/>
      <c r="AV168" s="204"/>
      <c r="AW168" s="204"/>
      <c r="AX168" s="205"/>
      <c r="AY168" s="204"/>
      <c r="AZ168" s="204"/>
      <c r="BA168" s="204"/>
      <c r="BB168" s="204"/>
      <c r="BC168" s="204"/>
      <c r="BD168" s="204"/>
      <c r="BE168" s="204"/>
    </row>
    <row r="169" spans="1:57" s="202" customFormat="1" ht="10.7" customHeight="1" x14ac:dyDescent="0.25">
      <c r="A169" s="199"/>
      <c r="B169" s="199"/>
      <c r="C169" s="199"/>
      <c r="D169" s="200"/>
      <c r="E169" s="199"/>
      <c r="F169" s="199"/>
      <c r="G169" s="275" t="s">
        <v>167</v>
      </c>
      <c r="H169" s="199">
        <f t="shared" ca="1" si="1050"/>
        <v>2847</v>
      </c>
      <c r="I169" s="276" t="str">
        <f ca="1">IF(H169=0,0,VLOOKUP(H169,Inscripciones!$B$1:$I$464,2,FALSE))</f>
        <v>LUIS GAEL SILES LOBO</v>
      </c>
      <c r="J169" s="276" t="str">
        <f ca="1">IF(H169=0,0,VLOOKUP(H169,Inscripciones!$B$1:$L$364,3,FALSE))</f>
        <v>ESPARZA</v>
      </c>
      <c r="K169" s="199"/>
      <c r="L169" s="199"/>
      <c r="M169" s="199"/>
      <c r="N169" s="199"/>
      <c r="O169" s="199"/>
      <c r="P169" s="199"/>
      <c r="Q169" s="199"/>
      <c r="R169" s="199"/>
      <c r="S169" s="199"/>
      <c r="T169" s="199"/>
      <c r="U169" s="199"/>
      <c r="V169" s="199"/>
      <c r="W169" s="199"/>
      <c r="X169" s="199"/>
      <c r="Y169" s="199"/>
      <c r="Z169" s="199"/>
      <c r="AA169" s="199"/>
      <c r="AB169" s="199"/>
      <c r="AC169" s="199"/>
      <c r="AD169" s="199"/>
      <c r="AE169" s="199"/>
      <c r="AF169" s="199"/>
      <c r="AG169" s="199"/>
      <c r="AH169" s="199"/>
      <c r="AI169" s="199"/>
      <c r="AJ169" s="199"/>
      <c r="AK169" s="199"/>
      <c r="AL169" s="199"/>
      <c r="AM169" s="199"/>
      <c r="AN169" s="199"/>
      <c r="AO169" s="199"/>
      <c r="AP169" s="199"/>
      <c r="AQ169" s="199"/>
      <c r="AR169" s="199"/>
      <c r="AS169" s="199"/>
      <c r="AU169" s="203"/>
      <c r="AV169" s="204"/>
      <c r="AW169" s="204"/>
      <c r="AX169" s="205"/>
      <c r="AY169" s="204"/>
      <c r="AZ169" s="204"/>
      <c r="BA169" s="204"/>
      <c r="BB169" s="204"/>
      <c r="BC169" s="204"/>
      <c r="BD169" s="204"/>
      <c r="BE169" s="204"/>
    </row>
    <row r="170" spans="1:57" s="202" customFormat="1" ht="10.7" customHeight="1" x14ac:dyDescent="0.25">
      <c r="A170" s="199"/>
      <c r="B170" s="199"/>
      <c r="C170" s="199"/>
      <c r="D170" s="200"/>
      <c r="E170" s="199"/>
      <c r="F170" s="199"/>
      <c r="G170" s="275" t="s">
        <v>167</v>
      </c>
      <c r="H170" s="199">
        <f t="shared" ca="1" si="1050"/>
        <v>3719</v>
      </c>
      <c r="I170" s="276" t="str">
        <f ca="1">IF(H170=0,0,VLOOKUP(H170,Inscripciones!$B$1:$I$464,2,FALSE))</f>
        <v>MARCELO MASIS RODRÍGUEZ</v>
      </c>
      <c r="J170" s="276" t="str">
        <f ca="1">IF(H170=0,0,VLOOKUP(H170,Inscripciones!$B$1:$L$364,3,FALSE))</f>
        <v>SANTA ANA</v>
      </c>
      <c r="K170" s="199"/>
      <c r="L170" s="199"/>
      <c r="M170" s="199"/>
      <c r="N170" s="199"/>
      <c r="O170" s="199"/>
      <c r="P170" s="199"/>
      <c r="Q170" s="199"/>
      <c r="R170" s="199"/>
      <c r="S170" s="199"/>
      <c r="T170" s="199"/>
      <c r="U170" s="199"/>
      <c r="V170" s="199"/>
      <c r="W170" s="199"/>
      <c r="X170" s="199"/>
      <c r="Y170" s="199"/>
      <c r="Z170" s="199"/>
      <c r="AA170" s="199"/>
      <c r="AB170" s="199"/>
      <c r="AC170" s="199"/>
      <c r="AD170" s="199"/>
      <c r="AE170" s="199"/>
      <c r="AF170" s="199"/>
      <c r="AG170" s="199"/>
      <c r="AH170" s="199"/>
      <c r="AI170" s="199"/>
      <c r="AJ170" s="199"/>
      <c r="AK170" s="199"/>
      <c r="AL170" s="199"/>
      <c r="AM170" s="199"/>
      <c r="AN170" s="199"/>
      <c r="AO170" s="199"/>
      <c r="AP170" s="199"/>
      <c r="AQ170" s="199"/>
      <c r="AR170" s="199"/>
      <c r="AS170" s="199"/>
      <c r="AU170" s="203"/>
      <c r="AV170" s="204"/>
      <c r="AW170" s="204"/>
      <c r="AX170" s="205"/>
      <c r="AY170" s="204"/>
      <c r="AZ170" s="204"/>
      <c r="BA170" s="204"/>
      <c r="BB170" s="204"/>
      <c r="BC170" s="204"/>
      <c r="BD170" s="204"/>
      <c r="BE170" s="204"/>
    </row>
    <row r="171" spans="1:57" s="202" customFormat="1" ht="10.7" customHeight="1" x14ac:dyDescent="0.25">
      <c r="A171" s="199"/>
      <c r="B171" s="199"/>
      <c r="C171" s="199"/>
      <c r="D171" s="200"/>
      <c r="E171" s="199"/>
      <c r="F171" s="199"/>
      <c r="G171" s="275" t="s">
        <v>167</v>
      </c>
      <c r="H171" s="199">
        <f t="shared" ca="1" si="1050"/>
        <v>4144</v>
      </c>
      <c r="I171" s="276" t="str">
        <f ca="1">IF(H171=0,0,VLOOKUP(H171,Inscripciones!$B$1:$I$464,2,FALSE))</f>
        <v>ANDRÉS PARRA CHACÓN</v>
      </c>
      <c r="J171" s="276" t="str">
        <f ca="1">IF(H171=0,0,VLOOKUP(H171,Inscripciones!$B$1:$L$364,3,FALSE))</f>
        <v>SANTO DOMINGO</v>
      </c>
      <c r="K171" s="199"/>
      <c r="L171" s="199"/>
      <c r="M171" s="199"/>
      <c r="N171" s="199"/>
      <c r="O171" s="199"/>
      <c r="P171" s="199"/>
      <c r="Q171" s="199"/>
      <c r="R171" s="199"/>
      <c r="S171" s="199"/>
      <c r="T171" s="199"/>
      <c r="U171" s="199"/>
      <c r="V171" s="199"/>
      <c r="W171" s="199"/>
      <c r="X171" s="199"/>
      <c r="Y171" s="199"/>
      <c r="Z171" s="199"/>
      <c r="AA171" s="199"/>
      <c r="AB171" s="199"/>
      <c r="AC171" s="199"/>
      <c r="AD171" s="199"/>
      <c r="AE171" s="199"/>
      <c r="AF171" s="199"/>
      <c r="AG171" s="199"/>
      <c r="AH171" s="199"/>
      <c r="AI171" s="199"/>
      <c r="AJ171" s="199"/>
      <c r="AK171" s="199"/>
      <c r="AL171" s="199"/>
      <c r="AM171" s="199"/>
      <c r="AN171" s="199"/>
      <c r="AO171" s="199"/>
      <c r="AP171" s="199"/>
      <c r="AQ171" s="199"/>
      <c r="AR171" s="199"/>
      <c r="AS171" s="199"/>
      <c r="AU171" s="203"/>
      <c r="AV171" s="204"/>
      <c r="AW171" s="204"/>
      <c r="AX171" s="205"/>
      <c r="AY171" s="204"/>
      <c r="AZ171" s="204"/>
      <c r="BA171" s="204"/>
      <c r="BB171" s="204"/>
      <c r="BC171" s="204"/>
      <c r="BD171" s="204"/>
      <c r="BE171" s="204"/>
    </row>
    <row r="172" spans="1:57" s="202" customFormat="1" ht="10.7" customHeight="1" x14ac:dyDescent="0.25">
      <c r="A172" s="199"/>
      <c r="B172" s="199"/>
      <c r="C172" s="199"/>
      <c r="D172" s="200"/>
      <c r="E172" s="199"/>
      <c r="F172" s="199"/>
      <c r="G172" s="275" t="s">
        <v>167</v>
      </c>
      <c r="H172" s="199">
        <f t="shared" ca="1" si="1050"/>
        <v>2513</v>
      </c>
      <c r="I172" s="276" t="str">
        <f ca="1">IF(H172=0,0,VLOOKUP(H172,Inscripciones!$B$1:$I$464,2,FALSE))</f>
        <v>SEBASTIAN CHAVEZ QUIROS</v>
      </c>
      <c r="J172" s="276" t="str">
        <f ca="1">IF(H172=0,0,VLOOKUP(H172,Inscripciones!$B$1:$L$364,3,FALSE))</f>
        <v>SANTA ANA</v>
      </c>
      <c r="K172" s="199"/>
      <c r="L172" s="199"/>
      <c r="M172" s="199"/>
      <c r="N172" s="199"/>
      <c r="O172" s="199"/>
      <c r="P172" s="199"/>
      <c r="Q172" s="199"/>
      <c r="R172" s="199"/>
      <c r="S172" s="199"/>
      <c r="T172" s="199"/>
      <c r="U172" s="199"/>
      <c r="V172" s="199"/>
      <c r="W172" s="199"/>
      <c r="X172" s="199"/>
      <c r="Y172" s="199"/>
      <c r="Z172" s="199"/>
      <c r="AA172" s="199"/>
      <c r="AB172" s="199"/>
      <c r="AC172" s="199"/>
      <c r="AD172" s="199"/>
      <c r="AE172" s="199"/>
      <c r="AF172" s="199"/>
      <c r="AG172" s="199"/>
      <c r="AH172" s="199"/>
      <c r="AI172" s="199"/>
      <c r="AJ172" s="199"/>
      <c r="AK172" s="199"/>
      <c r="AL172" s="199"/>
      <c r="AM172" s="199"/>
      <c r="AN172" s="199"/>
      <c r="AO172" s="199"/>
      <c r="AP172" s="199"/>
      <c r="AQ172" s="199"/>
      <c r="AR172" s="199"/>
      <c r="AS172" s="199"/>
      <c r="AU172" s="203"/>
      <c r="AV172" s="204"/>
      <c r="AW172" s="204"/>
      <c r="AX172" s="205"/>
      <c r="AY172" s="204"/>
      <c r="AZ172" s="204"/>
      <c r="BA172" s="204"/>
      <c r="BB172" s="204"/>
      <c r="BC172" s="204"/>
      <c r="BD172" s="204"/>
      <c r="BE172" s="204"/>
    </row>
    <row r="173" spans="1:57" s="202" customFormat="1" ht="10.7" customHeight="1" x14ac:dyDescent="0.25">
      <c r="A173" s="199"/>
      <c r="B173" s="199"/>
      <c r="C173" s="199"/>
      <c r="D173" s="200"/>
      <c r="E173" s="199"/>
      <c r="F173" s="199"/>
      <c r="G173" s="275" t="s">
        <v>167</v>
      </c>
      <c r="H173" s="199">
        <f t="shared" ca="1" si="1050"/>
        <v>3309</v>
      </c>
      <c r="I173" s="276" t="str">
        <f ca="1">IF(H173=0,0,VLOOKUP(H173,Inscripciones!$B$1:$I$464,2,FALSE))</f>
        <v>SEBASTIAN MASIS MURILLO</v>
      </c>
      <c r="J173" s="276" t="str">
        <f ca="1">IF(H173=0,0,VLOOKUP(H173,Inscripciones!$B$1:$L$364,3,FALSE))</f>
        <v>GUARCO</v>
      </c>
      <c r="K173" s="199"/>
      <c r="L173" s="199"/>
      <c r="M173" s="199"/>
      <c r="N173" s="199"/>
      <c r="O173" s="199"/>
      <c r="P173" s="199"/>
      <c r="Q173" s="199"/>
      <c r="R173" s="199"/>
      <c r="S173" s="199"/>
      <c r="T173" s="199"/>
      <c r="U173" s="199"/>
      <c r="V173" s="199"/>
      <c r="W173" s="199"/>
      <c r="X173" s="199"/>
      <c r="Y173" s="199"/>
      <c r="Z173" s="199"/>
      <c r="AA173" s="199"/>
      <c r="AB173" s="199"/>
      <c r="AC173" s="199"/>
      <c r="AD173" s="199"/>
      <c r="AE173" s="199"/>
      <c r="AF173" s="199"/>
      <c r="AG173" s="199"/>
      <c r="AH173" s="199"/>
      <c r="AI173" s="199"/>
      <c r="AJ173" s="199"/>
      <c r="AK173" s="199"/>
      <c r="AL173" s="199"/>
      <c r="AM173" s="199"/>
      <c r="AN173" s="199"/>
      <c r="AO173" s="199"/>
      <c r="AP173" s="199"/>
      <c r="AQ173" s="199"/>
      <c r="AR173" s="199"/>
      <c r="AS173" s="199"/>
      <c r="AU173" s="203"/>
      <c r="AV173" s="204"/>
      <c r="AW173" s="204"/>
      <c r="AX173" s="205"/>
      <c r="AY173" s="204"/>
      <c r="AZ173" s="204"/>
      <c r="BA173" s="204"/>
      <c r="BB173" s="204"/>
      <c r="BC173" s="204"/>
      <c r="BD173" s="204"/>
      <c r="BE173" s="204"/>
    </row>
    <row r="174" spans="1:57" s="202" customFormat="1" ht="10.7" customHeight="1" x14ac:dyDescent="0.25">
      <c r="A174" s="199"/>
      <c r="B174" s="199"/>
      <c r="C174" s="199"/>
      <c r="D174" s="200"/>
      <c r="E174" s="199"/>
      <c r="F174" s="199"/>
      <c r="G174" s="275" t="s">
        <v>167</v>
      </c>
      <c r="H174" s="199">
        <f t="shared" ca="1" si="1050"/>
        <v>4463</v>
      </c>
      <c r="I174" s="276" t="str">
        <f ca="1">IF(H174=0,0,VLOOKUP(H174,Inscripciones!$B$1:$I$464,2,FALSE))</f>
        <v>ISAAC ANDRÉS LEAL CHACÓN</v>
      </c>
      <c r="J174" s="276" t="str">
        <f ca="1">IF(H174=0,0,VLOOKUP(H174,Inscripciones!$B$1:$L$364,3,FALSE))</f>
        <v>ESPARZA</v>
      </c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199"/>
      <c r="W174" s="199"/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/>
      <c r="AJ174" s="199"/>
      <c r="AK174" s="199"/>
      <c r="AL174" s="199"/>
      <c r="AM174" s="199"/>
      <c r="AN174" s="199"/>
      <c r="AO174" s="199"/>
      <c r="AP174" s="199"/>
      <c r="AQ174" s="199"/>
      <c r="AR174" s="199"/>
      <c r="AS174" s="199"/>
      <c r="AU174" s="203"/>
      <c r="AV174" s="204"/>
      <c r="AW174" s="204"/>
      <c r="AX174" s="205"/>
      <c r="AY174" s="204"/>
      <c r="AZ174" s="204"/>
      <c r="BA174" s="204"/>
      <c r="BB174" s="204"/>
      <c r="BC174" s="204"/>
      <c r="BD174" s="204"/>
      <c r="BE174" s="204"/>
    </row>
  </sheetData>
  <mergeCells count="926">
    <mergeCell ref="M76:M79"/>
    <mergeCell ref="M80:M87"/>
    <mergeCell ref="M88:M103"/>
    <mergeCell ref="M104:M135"/>
    <mergeCell ref="G141:J141"/>
    <mergeCell ref="X66:X67"/>
    <mergeCell ref="Y66:Y67"/>
    <mergeCell ref="Z66:Z67"/>
    <mergeCell ref="T66:T67"/>
    <mergeCell ref="U66:U67"/>
    <mergeCell ref="V66:V67"/>
    <mergeCell ref="W66:W67"/>
    <mergeCell ref="B68:D71"/>
    <mergeCell ref="E68:E71"/>
    <mergeCell ref="G68:G69"/>
    <mergeCell ref="I68:I69"/>
    <mergeCell ref="J68:J69"/>
    <mergeCell ref="G70:G71"/>
    <mergeCell ref="I70:I71"/>
    <mergeCell ref="R66:R67"/>
    <mergeCell ref="S66:S67"/>
    <mergeCell ref="L66:L67"/>
    <mergeCell ref="M66:M67"/>
    <mergeCell ref="N66:N67"/>
    <mergeCell ref="O66:O67"/>
    <mergeCell ref="P66:P67"/>
    <mergeCell ref="Q66:Q67"/>
    <mergeCell ref="F66:F67"/>
    <mergeCell ref="G66:G67"/>
    <mergeCell ref="H66:H67"/>
    <mergeCell ref="I66:I67"/>
    <mergeCell ref="J66:J67"/>
    <mergeCell ref="K66:K67"/>
    <mergeCell ref="J70:J71"/>
    <mergeCell ref="A66:A67"/>
    <mergeCell ref="B66:B67"/>
    <mergeCell ref="C66:C67"/>
    <mergeCell ref="D66:D67"/>
    <mergeCell ref="E66:E67"/>
    <mergeCell ref="R64:R65"/>
    <mergeCell ref="S64:S65"/>
    <mergeCell ref="T64:T65"/>
    <mergeCell ref="U64:U65"/>
    <mergeCell ref="L64:L65"/>
    <mergeCell ref="M64:M65"/>
    <mergeCell ref="N64:N65"/>
    <mergeCell ref="O64:O65"/>
    <mergeCell ref="P64:P65"/>
    <mergeCell ref="Q64:Q65"/>
    <mergeCell ref="F64:F65"/>
    <mergeCell ref="G64:G65"/>
    <mergeCell ref="K64:K65"/>
    <mergeCell ref="A64:A65"/>
    <mergeCell ref="B64:B65"/>
    <mergeCell ref="C64:C65"/>
    <mergeCell ref="D64:D65"/>
    <mergeCell ref="E64:E65"/>
    <mergeCell ref="X62:X63"/>
    <mergeCell ref="Y62:Y63"/>
    <mergeCell ref="Z62:Z63"/>
    <mergeCell ref="AA62:AA63"/>
    <mergeCell ref="AB62:AB63"/>
    <mergeCell ref="V62:V63"/>
    <mergeCell ref="W62:W63"/>
    <mergeCell ref="X64:X65"/>
    <mergeCell ref="Y64:Y65"/>
    <mergeCell ref="Z64:Z65"/>
    <mergeCell ref="AA64:AA65"/>
    <mergeCell ref="AB64:AB65"/>
    <mergeCell ref="V64:V65"/>
    <mergeCell ref="W64:W65"/>
    <mergeCell ref="S62:S63"/>
    <mergeCell ref="T62:T63"/>
    <mergeCell ref="U62:U63"/>
    <mergeCell ref="L62:L63"/>
    <mergeCell ref="M62:M63"/>
    <mergeCell ref="N62:N63"/>
    <mergeCell ref="O62:O63"/>
    <mergeCell ref="P62:P63"/>
    <mergeCell ref="Q62:Q63"/>
    <mergeCell ref="G62:G63"/>
    <mergeCell ref="H62:H63"/>
    <mergeCell ref="I62:I63"/>
    <mergeCell ref="J62:J63"/>
    <mergeCell ref="K62:K63"/>
    <mergeCell ref="H64:H65"/>
    <mergeCell ref="I64:I65"/>
    <mergeCell ref="J64:J65"/>
    <mergeCell ref="R62:R63"/>
    <mergeCell ref="A62:A63"/>
    <mergeCell ref="B62:B63"/>
    <mergeCell ref="C62:C63"/>
    <mergeCell ref="D62:D63"/>
    <mergeCell ref="E62:E63"/>
    <mergeCell ref="R60:R61"/>
    <mergeCell ref="S60:S61"/>
    <mergeCell ref="T60:T61"/>
    <mergeCell ref="U60:U61"/>
    <mergeCell ref="L60:L61"/>
    <mergeCell ref="M60:M61"/>
    <mergeCell ref="N60:N61"/>
    <mergeCell ref="O60:O61"/>
    <mergeCell ref="P60:P61"/>
    <mergeCell ref="Q60:Q61"/>
    <mergeCell ref="F60:F61"/>
    <mergeCell ref="G60:G61"/>
    <mergeCell ref="K60:K61"/>
    <mergeCell ref="A60:A61"/>
    <mergeCell ref="B60:B61"/>
    <mergeCell ref="C60:C61"/>
    <mergeCell ref="D60:D61"/>
    <mergeCell ref="E60:E61"/>
    <mergeCell ref="F62:F63"/>
    <mergeCell ref="X58:X59"/>
    <mergeCell ref="Y58:Y59"/>
    <mergeCell ref="Z58:Z59"/>
    <mergeCell ref="AA58:AA59"/>
    <mergeCell ref="AB58:AB59"/>
    <mergeCell ref="V58:V59"/>
    <mergeCell ref="W58:W59"/>
    <mergeCell ref="X60:X61"/>
    <mergeCell ref="Y60:Y61"/>
    <mergeCell ref="Z60:Z61"/>
    <mergeCell ref="AA60:AA61"/>
    <mergeCell ref="AB60:AB61"/>
    <mergeCell ref="V60:V61"/>
    <mergeCell ref="W60:W61"/>
    <mergeCell ref="S58:S59"/>
    <mergeCell ref="T58:T59"/>
    <mergeCell ref="U58:U59"/>
    <mergeCell ref="L58:L59"/>
    <mergeCell ref="M58:M59"/>
    <mergeCell ref="N58:N59"/>
    <mergeCell ref="O58:O59"/>
    <mergeCell ref="P58:P59"/>
    <mergeCell ref="Q58:Q59"/>
    <mergeCell ref="G58:G59"/>
    <mergeCell ref="H58:H59"/>
    <mergeCell ref="I58:I59"/>
    <mergeCell ref="J58:J59"/>
    <mergeCell ref="K58:K59"/>
    <mergeCell ref="H60:H61"/>
    <mergeCell ref="I60:I61"/>
    <mergeCell ref="J60:J61"/>
    <mergeCell ref="R58:R59"/>
    <mergeCell ref="A58:A59"/>
    <mergeCell ref="B58:B59"/>
    <mergeCell ref="C58:C59"/>
    <mergeCell ref="D58:D59"/>
    <mergeCell ref="E58:E59"/>
    <mergeCell ref="R56:R57"/>
    <mergeCell ref="S56:S57"/>
    <mergeCell ref="T56:T57"/>
    <mergeCell ref="U56:U57"/>
    <mergeCell ref="L56:L57"/>
    <mergeCell ref="M56:M57"/>
    <mergeCell ref="N56:N57"/>
    <mergeCell ref="O56:O57"/>
    <mergeCell ref="P56:P57"/>
    <mergeCell ref="Q56:Q57"/>
    <mergeCell ref="F56:F57"/>
    <mergeCell ref="G56:G57"/>
    <mergeCell ref="K56:K57"/>
    <mergeCell ref="A56:A57"/>
    <mergeCell ref="B56:B57"/>
    <mergeCell ref="C56:C57"/>
    <mergeCell ref="D56:D57"/>
    <mergeCell ref="E56:E57"/>
    <mergeCell ref="F58:F59"/>
    <mergeCell ref="X54:X55"/>
    <mergeCell ref="Y54:Y55"/>
    <mergeCell ref="Z54:Z55"/>
    <mergeCell ref="AA54:AA55"/>
    <mergeCell ref="AB54:AB55"/>
    <mergeCell ref="V54:V55"/>
    <mergeCell ref="W54:W55"/>
    <mergeCell ref="X56:X57"/>
    <mergeCell ref="Y56:Y57"/>
    <mergeCell ref="Z56:Z57"/>
    <mergeCell ref="AA56:AA57"/>
    <mergeCell ref="AB56:AB57"/>
    <mergeCell ref="V56:V57"/>
    <mergeCell ref="W56:W57"/>
    <mergeCell ref="S54:S55"/>
    <mergeCell ref="T54:T55"/>
    <mergeCell ref="U54:U55"/>
    <mergeCell ref="L54:L55"/>
    <mergeCell ref="M54:M55"/>
    <mergeCell ref="N54:N55"/>
    <mergeCell ref="O54:O55"/>
    <mergeCell ref="P54:P55"/>
    <mergeCell ref="Q54:Q55"/>
    <mergeCell ref="G54:G55"/>
    <mergeCell ref="H54:H55"/>
    <mergeCell ref="I54:I55"/>
    <mergeCell ref="J54:J55"/>
    <mergeCell ref="K54:K55"/>
    <mergeCell ref="H56:H57"/>
    <mergeCell ref="I56:I57"/>
    <mergeCell ref="J56:J57"/>
    <mergeCell ref="R54:R55"/>
    <mergeCell ref="A54:A55"/>
    <mergeCell ref="B54:B55"/>
    <mergeCell ref="C54:C55"/>
    <mergeCell ref="D54:D55"/>
    <mergeCell ref="E54:E55"/>
    <mergeCell ref="R52:R53"/>
    <mergeCell ref="S52:S53"/>
    <mergeCell ref="T52:T53"/>
    <mergeCell ref="U52:U53"/>
    <mergeCell ref="L52:L53"/>
    <mergeCell ref="M52:M53"/>
    <mergeCell ref="N52:N53"/>
    <mergeCell ref="O52:O53"/>
    <mergeCell ref="P52:P53"/>
    <mergeCell ref="Q52:Q53"/>
    <mergeCell ref="F52:F53"/>
    <mergeCell ref="G52:G53"/>
    <mergeCell ref="K52:K53"/>
    <mergeCell ref="A52:A53"/>
    <mergeCell ref="B52:B53"/>
    <mergeCell ref="C52:C53"/>
    <mergeCell ref="D52:D53"/>
    <mergeCell ref="E52:E53"/>
    <mergeCell ref="F54:F55"/>
    <mergeCell ref="X50:X51"/>
    <mergeCell ref="Y50:Y51"/>
    <mergeCell ref="Z50:Z51"/>
    <mergeCell ref="AA50:AA51"/>
    <mergeCell ref="AB50:AB51"/>
    <mergeCell ref="V50:V51"/>
    <mergeCell ref="W50:W51"/>
    <mergeCell ref="X52:X53"/>
    <mergeCell ref="Y52:Y53"/>
    <mergeCell ref="Z52:Z53"/>
    <mergeCell ref="AA52:AA53"/>
    <mergeCell ref="AB52:AB53"/>
    <mergeCell ref="V52:V53"/>
    <mergeCell ref="W52:W53"/>
    <mergeCell ref="S50:S51"/>
    <mergeCell ref="T50:T51"/>
    <mergeCell ref="U50:U51"/>
    <mergeCell ref="L50:L51"/>
    <mergeCell ref="M50:M51"/>
    <mergeCell ref="N50:N51"/>
    <mergeCell ref="O50:O51"/>
    <mergeCell ref="P50:P51"/>
    <mergeCell ref="Q50:Q51"/>
    <mergeCell ref="G50:G51"/>
    <mergeCell ref="H50:H51"/>
    <mergeCell ref="I50:I51"/>
    <mergeCell ref="J50:J51"/>
    <mergeCell ref="K50:K51"/>
    <mergeCell ref="H52:H53"/>
    <mergeCell ref="I52:I53"/>
    <mergeCell ref="J52:J53"/>
    <mergeCell ref="R50:R51"/>
    <mergeCell ref="A50:A51"/>
    <mergeCell ref="B50:B51"/>
    <mergeCell ref="C50:C51"/>
    <mergeCell ref="D50:D51"/>
    <mergeCell ref="E50:E51"/>
    <mergeCell ref="R48:R49"/>
    <mergeCell ref="S48:S49"/>
    <mergeCell ref="T48:T49"/>
    <mergeCell ref="U48:U49"/>
    <mergeCell ref="L48:L49"/>
    <mergeCell ref="M48:M49"/>
    <mergeCell ref="N48:N49"/>
    <mergeCell ref="O48:O49"/>
    <mergeCell ref="P48:P49"/>
    <mergeCell ref="Q48:Q49"/>
    <mergeCell ref="F48:F49"/>
    <mergeCell ref="G48:G49"/>
    <mergeCell ref="K48:K49"/>
    <mergeCell ref="A48:A49"/>
    <mergeCell ref="B48:B49"/>
    <mergeCell ref="C48:C49"/>
    <mergeCell ref="D48:D49"/>
    <mergeCell ref="E48:E49"/>
    <mergeCell ref="F50:F51"/>
    <mergeCell ref="X46:X47"/>
    <mergeCell ref="Y46:Y47"/>
    <mergeCell ref="Z46:Z47"/>
    <mergeCell ref="AA46:AA47"/>
    <mergeCell ref="AB46:AB47"/>
    <mergeCell ref="V46:V47"/>
    <mergeCell ref="W46:W47"/>
    <mergeCell ref="X48:X49"/>
    <mergeCell ref="Y48:Y49"/>
    <mergeCell ref="Z48:Z49"/>
    <mergeCell ref="AA48:AA49"/>
    <mergeCell ref="AB48:AB49"/>
    <mergeCell ref="V48:V49"/>
    <mergeCell ref="W48:W49"/>
    <mergeCell ref="S46:S47"/>
    <mergeCell ref="T46:T47"/>
    <mergeCell ref="U46:U47"/>
    <mergeCell ref="L46:L47"/>
    <mergeCell ref="M46:M47"/>
    <mergeCell ref="N46:N47"/>
    <mergeCell ref="O46:O47"/>
    <mergeCell ref="P46:P47"/>
    <mergeCell ref="Q46:Q47"/>
    <mergeCell ref="G46:G47"/>
    <mergeCell ref="H46:H47"/>
    <mergeCell ref="I46:I47"/>
    <mergeCell ref="J46:J47"/>
    <mergeCell ref="K46:K47"/>
    <mergeCell ref="H48:H49"/>
    <mergeCell ref="I48:I49"/>
    <mergeCell ref="J48:J49"/>
    <mergeCell ref="R46:R47"/>
    <mergeCell ref="A46:A47"/>
    <mergeCell ref="B46:B47"/>
    <mergeCell ref="C46:C47"/>
    <mergeCell ref="D46:D47"/>
    <mergeCell ref="E46:E47"/>
    <mergeCell ref="R44:R45"/>
    <mergeCell ref="S44:S45"/>
    <mergeCell ref="T44:T45"/>
    <mergeCell ref="U44:U45"/>
    <mergeCell ref="L44:L45"/>
    <mergeCell ref="M44:M45"/>
    <mergeCell ref="N44:N45"/>
    <mergeCell ref="O44:O45"/>
    <mergeCell ref="P44:P45"/>
    <mergeCell ref="Q44:Q45"/>
    <mergeCell ref="F44:F45"/>
    <mergeCell ref="G44:G45"/>
    <mergeCell ref="K44:K45"/>
    <mergeCell ref="A44:A45"/>
    <mergeCell ref="B44:B45"/>
    <mergeCell ref="C44:C45"/>
    <mergeCell ref="D44:D45"/>
    <mergeCell ref="E44:E45"/>
    <mergeCell ref="F46:F47"/>
    <mergeCell ref="X42:X43"/>
    <mergeCell ref="Y42:Y43"/>
    <mergeCell ref="Z42:Z43"/>
    <mergeCell ref="AA42:AA43"/>
    <mergeCell ref="AB42:AB43"/>
    <mergeCell ref="V42:V43"/>
    <mergeCell ref="W42:W43"/>
    <mergeCell ref="X44:X45"/>
    <mergeCell ref="Y44:Y45"/>
    <mergeCell ref="Z44:Z45"/>
    <mergeCell ref="AA44:AA45"/>
    <mergeCell ref="AB44:AB45"/>
    <mergeCell ref="V44:V45"/>
    <mergeCell ref="W44:W45"/>
    <mergeCell ref="S42:S43"/>
    <mergeCell ref="T42:T43"/>
    <mergeCell ref="U42:U43"/>
    <mergeCell ref="L42:L43"/>
    <mergeCell ref="M42:M43"/>
    <mergeCell ref="N42:N43"/>
    <mergeCell ref="O42:O43"/>
    <mergeCell ref="P42:P43"/>
    <mergeCell ref="Q42:Q43"/>
    <mergeCell ref="G42:G43"/>
    <mergeCell ref="H42:H43"/>
    <mergeCell ref="I42:I43"/>
    <mergeCell ref="J42:J43"/>
    <mergeCell ref="K42:K43"/>
    <mergeCell ref="H44:H45"/>
    <mergeCell ref="I44:I45"/>
    <mergeCell ref="J44:J45"/>
    <mergeCell ref="R42:R43"/>
    <mergeCell ref="A42:A43"/>
    <mergeCell ref="B42:B43"/>
    <mergeCell ref="C42:C43"/>
    <mergeCell ref="D42:D43"/>
    <mergeCell ref="E42:E43"/>
    <mergeCell ref="R40:R41"/>
    <mergeCell ref="S40:S41"/>
    <mergeCell ref="T40:T41"/>
    <mergeCell ref="U40:U41"/>
    <mergeCell ref="L40:L41"/>
    <mergeCell ref="M40:M41"/>
    <mergeCell ref="N40:N41"/>
    <mergeCell ref="O40:O41"/>
    <mergeCell ref="P40:P41"/>
    <mergeCell ref="Q40:Q41"/>
    <mergeCell ref="F40:F41"/>
    <mergeCell ref="G40:G41"/>
    <mergeCell ref="K40:K41"/>
    <mergeCell ref="A40:A41"/>
    <mergeCell ref="B40:B41"/>
    <mergeCell ref="C40:C41"/>
    <mergeCell ref="D40:D41"/>
    <mergeCell ref="E40:E41"/>
    <mergeCell ref="F42:F43"/>
    <mergeCell ref="Z38:Z39"/>
    <mergeCell ref="AA38:AA39"/>
    <mergeCell ref="AB38:AB39"/>
    <mergeCell ref="V38:V39"/>
    <mergeCell ref="W38:W39"/>
    <mergeCell ref="X40:X41"/>
    <mergeCell ref="Y40:Y41"/>
    <mergeCell ref="Z40:Z41"/>
    <mergeCell ref="AA40:AA41"/>
    <mergeCell ref="AB40:AB41"/>
    <mergeCell ref="V40:V41"/>
    <mergeCell ref="W40:W41"/>
    <mergeCell ref="U38:U39"/>
    <mergeCell ref="L38:L39"/>
    <mergeCell ref="M38:M39"/>
    <mergeCell ref="N38:N39"/>
    <mergeCell ref="O38:O39"/>
    <mergeCell ref="P38:P39"/>
    <mergeCell ref="Q38:Q39"/>
    <mergeCell ref="X38:X39"/>
    <mergeCell ref="Y38:Y39"/>
    <mergeCell ref="I38:I39"/>
    <mergeCell ref="J38:J39"/>
    <mergeCell ref="K38:K39"/>
    <mergeCell ref="H40:H41"/>
    <mergeCell ref="I40:I41"/>
    <mergeCell ref="J40:J41"/>
    <mergeCell ref="R38:R39"/>
    <mergeCell ref="S38:S39"/>
    <mergeCell ref="T38:T39"/>
    <mergeCell ref="A38:A39"/>
    <mergeCell ref="B38:B39"/>
    <mergeCell ref="C38:C39"/>
    <mergeCell ref="D38:D39"/>
    <mergeCell ref="E38:E39"/>
    <mergeCell ref="R36:R37"/>
    <mergeCell ref="S36:S37"/>
    <mergeCell ref="T36:T37"/>
    <mergeCell ref="U36:U37"/>
    <mergeCell ref="L36:L37"/>
    <mergeCell ref="M36:M37"/>
    <mergeCell ref="N36:N37"/>
    <mergeCell ref="O36:O37"/>
    <mergeCell ref="P36:P37"/>
    <mergeCell ref="Q36:Q37"/>
    <mergeCell ref="F36:F37"/>
    <mergeCell ref="G36:G37"/>
    <mergeCell ref="H36:H37"/>
    <mergeCell ref="I36:I37"/>
    <mergeCell ref="J36:J37"/>
    <mergeCell ref="K36:K37"/>
    <mergeCell ref="F38:F39"/>
    <mergeCell ref="G38:G39"/>
    <mergeCell ref="H38:H39"/>
    <mergeCell ref="AB34:AB35"/>
    <mergeCell ref="AC34:AC35"/>
    <mergeCell ref="W34:W35"/>
    <mergeCell ref="X34:X35"/>
    <mergeCell ref="X36:X37"/>
    <mergeCell ref="Y36:Y37"/>
    <mergeCell ref="Z36:Z37"/>
    <mergeCell ref="AA36:AA37"/>
    <mergeCell ref="AB36:AB37"/>
    <mergeCell ref="V36:V37"/>
    <mergeCell ref="W36:W37"/>
    <mergeCell ref="A36:A37"/>
    <mergeCell ref="B36:B37"/>
    <mergeCell ref="C36:C37"/>
    <mergeCell ref="D36:D37"/>
    <mergeCell ref="E36:E37"/>
    <mergeCell ref="S34:S35"/>
    <mergeCell ref="T34:T35"/>
    <mergeCell ref="U34:U35"/>
    <mergeCell ref="V34:V35"/>
    <mergeCell ref="M34:M35"/>
    <mergeCell ref="N34:N35"/>
    <mergeCell ref="O34:O35"/>
    <mergeCell ref="P34:P35"/>
    <mergeCell ref="Q34:Q35"/>
    <mergeCell ref="R34:R35"/>
    <mergeCell ref="G34:G35"/>
    <mergeCell ref="H34:H35"/>
    <mergeCell ref="I34:I35"/>
    <mergeCell ref="J34:J35"/>
    <mergeCell ref="K34:K35"/>
    <mergeCell ref="L34:L35"/>
    <mergeCell ref="A34:A35"/>
    <mergeCell ref="B34:B35"/>
    <mergeCell ref="C34:C35"/>
    <mergeCell ref="D34:D35"/>
    <mergeCell ref="E34:E35"/>
    <mergeCell ref="F34:F35"/>
    <mergeCell ref="X32:X33"/>
    <mergeCell ref="Y32:Y33"/>
    <mergeCell ref="Z32:Z33"/>
    <mergeCell ref="AA32:AA33"/>
    <mergeCell ref="F32:F33"/>
    <mergeCell ref="G32:G33"/>
    <mergeCell ref="H32:H33"/>
    <mergeCell ref="I32:I33"/>
    <mergeCell ref="J32:J33"/>
    <mergeCell ref="K32:K33"/>
    <mergeCell ref="Y34:Y35"/>
    <mergeCell ref="Z34:Z35"/>
    <mergeCell ref="AA34:AA35"/>
    <mergeCell ref="AB32:AB33"/>
    <mergeCell ref="AC32:AC33"/>
    <mergeCell ref="R32:R33"/>
    <mergeCell ref="S32:S33"/>
    <mergeCell ref="T32:T33"/>
    <mergeCell ref="U32:U33"/>
    <mergeCell ref="V32:V33"/>
    <mergeCell ref="W32:W33"/>
    <mergeCell ref="L32:L33"/>
    <mergeCell ref="M32:M33"/>
    <mergeCell ref="N32:N33"/>
    <mergeCell ref="O32:O33"/>
    <mergeCell ref="P32:P33"/>
    <mergeCell ref="Q32:Q33"/>
    <mergeCell ref="A32:A33"/>
    <mergeCell ref="B32:B33"/>
    <mergeCell ref="C32:C33"/>
    <mergeCell ref="D32:D33"/>
    <mergeCell ref="E32:E33"/>
    <mergeCell ref="S30:S31"/>
    <mergeCell ref="T30:T31"/>
    <mergeCell ref="U30:U31"/>
    <mergeCell ref="V30:V31"/>
    <mergeCell ref="M30:M31"/>
    <mergeCell ref="N30:N31"/>
    <mergeCell ref="O30:O31"/>
    <mergeCell ref="P30:P31"/>
    <mergeCell ref="Q30:Q31"/>
    <mergeCell ref="G30:G31"/>
    <mergeCell ref="H30:H31"/>
    <mergeCell ref="I30:I31"/>
    <mergeCell ref="J30:J31"/>
    <mergeCell ref="K30:K31"/>
    <mergeCell ref="L30:L31"/>
    <mergeCell ref="A30:A31"/>
    <mergeCell ref="B30:B31"/>
    <mergeCell ref="C30:C31"/>
    <mergeCell ref="D30:D31"/>
    <mergeCell ref="E30:E31"/>
    <mergeCell ref="F30:F31"/>
    <mergeCell ref="AB28:AB29"/>
    <mergeCell ref="AC28:AC29"/>
    <mergeCell ref="R28:R29"/>
    <mergeCell ref="S28:S29"/>
    <mergeCell ref="T28:T29"/>
    <mergeCell ref="U28:U29"/>
    <mergeCell ref="V28:V29"/>
    <mergeCell ref="W28:W29"/>
    <mergeCell ref="R30:R31"/>
    <mergeCell ref="Y30:Y31"/>
    <mergeCell ref="Z30:Z31"/>
    <mergeCell ref="AA30:AA31"/>
    <mergeCell ref="AB30:AB31"/>
    <mergeCell ref="AC30:AC31"/>
    <mergeCell ref="W30:W31"/>
    <mergeCell ref="X30:X31"/>
    <mergeCell ref="G28:G29"/>
    <mergeCell ref="H28:H29"/>
    <mergeCell ref="I28:I29"/>
    <mergeCell ref="J28:J29"/>
    <mergeCell ref="K28:K29"/>
    <mergeCell ref="X28:X29"/>
    <mergeCell ref="Y28:Y29"/>
    <mergeCell ref="Z28:Z29"/>
    <mergeCell ref="AA28:AA29"/>
    <mergeCell ref="A28:A29"/>
    <mergeCell ref="B28:B29"/>
    <mergeCell ref="C28:C29"/>
    <mergeCell ref="D28:D29"/>
    <mergeCell ref="E28:E29"/>
    <mergeCell ref="S26:S27"/>
    <mergeCell ref="T26:T27"/>
    <mergeCell ref="U26:U27"/>
    <mergeCell ref="V26:V27"/>
    <mergeCell ref="M26:M27"/>
    <mergeCell ref="N26:N27"/>
    <mergeCell ref="O26:O27"/>
    <mergeCell ref="P26:P27"/>
    <mergeCell ref="Q26:Q27"/>
    <mergeCell ref="R26:R27"/>
    <mergeCell ref="G26:G27"/>
    <mergeCell ref="H26:H27"/>
    <mergeCell ref="L28:L29"/>
    <mergeCell ref="M28:M29"/>
    <mergeCell ref="N28:N29"/>
    <mergeCell ref="O28:O29"/>
    <mergeCell ref="P28:P29"/>
    <mergeCell ref="Q28:Q29"/>
    <mergeCell ref="F28:F29"/>
    <mergeCell ref="A26:A27"/>
    <mergeCell ref="B26:B27"/>
    <mergeCell ref="C26:C27"/>
    <mergeCell ref="D26:D27"/>
    <mergeCell ref="E26:E27"/>
    <mergeCell ref="F26:F27"/>
    <mergeCell ref="Y26:Y27"/>
    <mergeCell ref="Z26:Z27"/>
    <mergeCell ref="AA26:AA27"/>
    <mergeCell ref="W26:W27"/>
    <mergeCell ref="X26:X27"/>
    <mergeCell ref="AB24:AB25"/>
    <mergeCell ref="AC24:AC25"/>
    <mergeCell ref="R24:R25"/>
    <mergeCell ref="S24:S25"/>
    <mergeCell ref="T24:T25"/>
    <mergeCell ref="U24:U25"/>
    <mergeCell ref="V24:V25"/>
    <mergeCell ref="W24:W25"/>
    <mergeCell ref="I26:I27"/>
    <mergeCell ref="J26:J27"/>
    <mergeCell ref="K26:K27"/>
    <mergeCell ref="L26:L27"/>
    <mergeCell ref="AB26:AB27"/>
    <mergeCell ref="AC26:AC27"/>
    <mergeCell ref="G24:G25"/>
    <mergeCell ref="H24:H25"/>
    <mergeCell ref="I24:I25"/>
    <mergeCell ref="J24:J25"/>
    <mergeCell ref="K24:K25"/>
    <mergeCell ref="X24:X25"/>
    <mergeCell ref="Y24:Y25"/>
    <mergeCell ref="Z24:Z25"/>
    <mergeCell ref="AA24:AA25"/>
    <mergeCell ref="A24:A25"/>
    <mergeCell ref="B24:B25"/>
    <mergeCell ref="C24:C25"/>
    <mergeCell ref="D24:D25"/>
    <mergeCell ref="E24:E25"/>
    <mergeCell ref="S22:S23"/>
    <mergeCell ref="T22:T23"/>
    <mergeCell ref="U22:U23"/>
    <mergeCell ref="V22:V23"/>
    <mergeCell ref="M22:M23"/>
    <mergeCell ref="N22:N23"/>
    <mergeCell ref="O22:O23"/>
    <mergeCell ref="P22:P23"/>
    <mergeCell ref="Q22:Q23"/>
    <mergeCell ref="R22:R23"/>
    <mergeCell ref="G22:G23"/>
    <mergeCell ref="H22:H23"/>
    <mergeCell ref="L24:L25"/>
    <mergeCell ref="M24:M25"/>
    <mergeCell ref="N24:N25"/>
    <mergeCell ref="O24:O25"/>
    <mergeCell ref="P24:P25"/>
    <mergeCell ref="Q24:Q25"/>
    <mergeCell ref="F24:F25"/>
    <mergeCell ref="A22:A23"/>
    <mergeCell ref="B22:B23"/>
    <mergeCell ref="C22:C23"/>
    <mergeCell ref="D22:D23"/>
    <mergeCell ref="E22:E23"/>
    <mergeCell ref="F22:F23"/>
    <mergeCell ref="Y22:Y23"/>
    <mergeCell ref="Z22:Z23"/>
    <mergeCell ref="AA22:AA23"/>
    <mergeCell ref="W22:W23"/>
    <mergeCell ref="X22:X23"/>
    <mergeCell ref="AB20:AB21"/>
    <mergeCell ref="AC20:AC21"/>
    <mergeCell ref="R20:R21"/>
    <mergeCell ref="S20:S21"/>
    <mergeCell ref="T20:T21"/>
    <mergeCell ref="U20:U21"/>
    <mergeCell ref="V20:V21"/>
    <mergeCell ref="W20:W21"/>
    <mergeCell ref="I22:I23"/>
    <mergeCell ref="J22:J23"/>
    <mergeCell ref="K22:K23"/>
    <mergeCell ref="L22:L23"/>
    <mergeCell ref="AB22:AB23"/>
    <mergeCell ref="AC22:AC23"/>
    <mergeCell ref="G20:G21"/>
    <mergeCell ref="H20:H21"/>
    <mergeCell ref="I20:I21"/>
    <mergeCell ref="J20:J21"/>
    <mergeCell ref="K20:K21"/>
    <mergeCell ref="X20:X21"/>
    <mergeCell ref="Y20:Y21"/>
    <mergeCell ref="Z20:Z21"/>
    <mergeCell ref="AA20:AA21"/>
    <mergeCell ref="A20:A21"/>
    <mergeCell ref="B20:B21"/>
    <mergeCell ref="C20:C21"/>
    <mergeCell ref="D20:D21"/>
    <mergeCell ref="E20:E21"/>
    <mergeCell ref="S18:S19"/>
    <mergeCell ref="T18:T19"/>
    <mergeCell ref="U18:U19"/>
    <mergeCell ref="V18:V19"/>
    <mergeCell ref="M18:M19"/>
    <mergeCell ref="N18:N19"/>
    <mergeCell ref="O18:O19"/>
    <mergeCell ref="P18:P19"/>
    <mergeCell ref="Q18:Q19"/>
    <mergeCell ref="R18:R19"/>
    <mergeCell ref="G18:G19"/>
    <mergeCell ref="H18:H19"/>
    <mergeCell ref="L20:L21"/>
    <mergeCell ref="M20:M21"/>
    <mergeCell ref="N20:N21"/>
    <mergeCell ref="O20:O21"/>
    <mergeCell ref="P20:P21"/>
    <mergeCell ref="Q20:Q21"/>
    <mergeCell ref="F20:F21"/>
    <mergeCell ref="A18:A19"/>
    <mergeCell ref="B18:B19"/>
    <mergeCell ref="C18:C19"/>
    <mergeCell ref="D18:D19"/>
    <mergeCell ref="E18:E19"/>
    <mergeCell ref="F18:F19"/>
    <mergeCell ref="Y18:Y19"/>
    <mergeCell ref="Z18:Z19"/>
    <mergeCell ref="AA18:AA19"/>
    <mergeCell ref="W18:W19"/>
    <mergeCell ref="X18:X19"/>
    <mergeCell ref="AB16:AB17"/>
    <mergeCell ref="AC16:AC17"/>
    <mergeCell ref="R16:R17"/>
    <mergeCell ref="S16:S17"/>
    <mergeCell ref="T16:T17"/>
    <mergeCell ref="U16:U17"/>
    <mergeCell ref="V16:V17"/>
    <mergeCell ref="W16:W17"/>
    <mergeCell ref="I18:I19"/>
    <mergeCell ref="J18:J19"/>
    <mergeCell ref="K18:K19"/>
    <mergeCell ref="L18:L19"/>
    <mergeCell ref="AB18:AB19"/>
    <mergeCell ref="AC18:AC19"/>
    <mergeCell ref="G16:G17"/>
    <mergeCell ref="H16:H17"/>
    <mergeCell ref="I16:I17"/>
    <mergeCell ref="J16:J17"/>
    <mergeCell ref="K16:K17"/>
    <mergeCell ref="X16:X17"/>
    <mergeCell ref="Y16:Y17"/>
    <mergeCell ref="Z16:Z17"/>
    <mergeCell ref="AA16:AA17"/>
    <mergeCell ref="A16:A17"/>
    <mergeCell ref="B16:B17"/>
    <mergeCell ref="C16:C17"/>
    <mergeCell ref="D16:D17"/>
    <mergeCell ref="E16:E17"/>
    <mergeCell ref="S14:S15"/>
    <mergeCell ref="T14:T15"/>
    <mergeCell ref="U14:U15"/>
    <mergeCell ref="V14:V15"/>
    <mergeCell ref="M14:M15"/>
    <mergeCell ref="N14:N15"/>
    <mergeCell ref="O14:O15"/>
    <mergeCell ref="P14:P15"/>
    <mergeCell ref="Q14:Q15"/>
    <mergeCell ref="R14:R15"/>
    <mergeCell ref="G14:G15"/>
    <mergeCell ref="H14:H15"/>
    <mergeCell ref="L16:L17"/>
    <mergeCell ref="M16:M17"/>
    <mergeCell ref="N16:N17"/>
    <mergeCell ref="O16:O17"/>
    <mergeCell ref="P16:P17"/>
    <mergeCell ref="Q16:Q17"/>
    <mergeCell ref="F16:F17"/>
    <mergeCell ref="A14:A15"/>
    <mergeCell ref="B14:B15"/>
    <mergeCell ref="C14:C15"/>
    <mergeCell ref="D14:D15"/>
    <mergeCell ref="E14:E15"/>
    <mergeCell ref="F14:F15"/>
    <mergeCell ref="Y14:Y15"/>
    <mergeCell ref="Z14:Z15"/>
    <mergeCell ref="AA14:AA15"/>
    <mergeCell ref="W14:W15"/>
    <mergeCell ref="X14:X15"/>
    <mergeCell ref="AB12:AB13"/>
    <mergeCell ref="AC12:AC13"/>
    <mergeCell ref="R12:R13"/>
    <mergeCell ref="S12:S13"/>
    <mergeCell ref="T12:T13"/>
    <mergeCell ref="U12:U13"/>
    <mergeCell ref="V12:V13"/>
    <mergeCell ref="W12:W13"/>
    <mergeCell ref="I14:I15"/>
    <mergeCell ref="J14:J15"/>
    <mergeCell ref="K14:K15"/>
    <mergeCell ref="L14:L15"/>
    <mergeCell ref="AB14:AB15"/>
    <mergeCell ref="AC14:AC15"/>
    <mergeCell ref="G12:G13"/>
    <mergeCell ref="H12:H13"/>
    <mergeCell ref="I12:I13"/>
    <mergeCell ref="J12:J13"/>
    <mergeCell ref="K12:K13"/>
    <mergeCell ref="X12:X13"/>
    <mergeCell ref="Y12:Y13"/>
    <mergeCell ref="Z12:Z13"/>
    <mergeCell ref="AA12:AA13"/>
    <mergeCell ref="A12:A13"/>
    <mergeCell ref="B12:B13"/>
    <mergeCell ref="C12:C13"/>
    <mergeCell ref="D12:D13"/>
    <mergeCell ref="E12:E13"/>
    <mergeCell ref="S10:S11"/>
    <mergeCell ref="T10:T11"/>
    <mergeCell ref="U10:U11"/>
    <mergeCell ref="V10:V11"/>
    <mergeCell ref="M10:M11"/>
    <mergeCell ref="N10:N11"/>
    <mergeCell ref="O10:O11"/>
    <mergeCell ref="P10:P11"/>
    <mergeCell ref="Q10:Q11"/>
    <mergeCell ref="R10:R11"/>
    <mergeCell ref="G10:G11"/>
    <mergeCell ref="H10:H11"/>
    <mergeCell ref="L12:L13"/>
    <mergeCell ref="M12:M13"/>
    <mergeCell ref="N12:N13"/>
    <mergeCell ref="O12:O13"/>
    <mergeCell ref="P12:P13"/>
    <mergeCell ref="Q12:Q13"/>
    <mergeCell ref="F12:F13"/>
    <mergeCell ref="A10:A11"/>
    <mergeCell ref="B10:B11"/>
    <mergeCell ref="C10:C11"/>
    <mergeCell ref="D10:D11"/>
    <mergeCell ref="E10:E11"/>
    <mergeCell ref="F10:F11"/>
    <mergeCell ref="Y10:Y11"/>
    <mergeCell ref="Z10:Z11"/>
    <mergeCell ref="AA10:AA11"/>
    <mergeCell ref="W10:W11"/>
    <mergeCell ref="X10:X11"/>
    <mergeCell ref="AB8:AB9"/>
    <mergeCell ref="AC8:AC9"/>
    <mergeCell ref="R8:R9"/>
    <mergeCell ref="S8:S9"/>
    <mergeCell ref="T8:T9"/>
    <mergeCell ref="U8:U9"/>
    <mergeCell ref="V8:V9"/>
    <mergeCell ref="W8:W9"/>
    <mergeCell ref="I10:I11"/>
    <mergeCell ref="J10:J11"/>
    <mergeCell ref="K10:K11"/>
    <mergeCell ref="L10:L11"/>
    <mergeCell ref="AB10:AB11"/>
    <mergeCell ref="AC10:AC11"/>
    <mergeCell ref="G8:G9"/>
    <mergeCell ref="H8:H9"/>
    <mergeCell ref="I8:I9"/>
    <mergeCell ref="J8:J9"/>
    <mergeCell ref="K8:K9"/>
    <mergeCell ref="X8:X9"/>
    <mergeCell ref="Y8:Y9"/>
    <mergeCell ref="Z8:Z9"/>
    <mergeCell ref="AA8:AA9"/>
    <mergeCell ref="A8:A9"/>
    <mergeCell ref="B8:B9"/>
    <mergeCell ref="C8:C9"/>
    <mergeCell ref="D8:D9"/>
    <mergeCell ref="E8:E9"/>
    <mergeCell ref="S6:S7"/>
    <mergeCell ref="T6:T7"/>
    <mergeCell ref="U6:U7"/>
    <mergeCell ref="V6:V7"/>
    <mergeCell ref="M6:M7"/>
    <mergeCell ref="N6:N7"/>
    <mergeCell ref="O6:O7"/>
    <mergeCell ref="P6:P7"/>
    <mergeCell ref="Q6:Q7"/>
    <mergeCell ref="R6:R7"/>
    <mergeCell ref="G6:G7"/>
    <mergeCell ref="H6:H7"/>
    <mergeCell ref="L8:L9"/>
    <mergeCell ref="M8:M9"/>
    <mergeCell ref="N8:N9"/>
    <mergeCell ref="O8:O9"/>
    <mergeCell ref="P8:P9"/>
    <mergeCell ref="Q8:Q9"/>
    <mergeCell ref="F8:F9"/>
    <mergeCell ref="V4:V5"/>
    <mergeCell ref="N4:N5"/>
    <mergeCell ref="O4:O5"/>
    <mergeCell ref="P4:P5"/>
    <mergeCell ref="Q4:Q5"/>
    <mergeCell ref="A4:A5"/>
    <mergeCell ref="B4:B5"/>
    <mergeCell ref="C4:C5"/>
    <mergeCell ref="D4:D5"/>
    <mergeCell ref="E4:E5"/>
    <mergeCell ref="F4:F5"/>
    <mergeCell ref="G4:G5"/>
    <mergeCell ref="H4:H5"/>
    <mergeCell ref="J4:J5"/>
    <mergeCell ref="K4:K5"/>
    <mergeCell ref="L4:L5"/>
    <mergeCell ref="I4:I5"/>
    <mergeCell ref="A6:A7"/>
    <mergeCell ref="B6:B7"/>
    <mergeCell ref="C6:C7"/>
    <mergeCell ref="D6:D7"/>
    <mergeCell ref="E6:E7"/>
    <mergeCell ref="F6:F7"/>
    <mergeCell ref="T4:T5"/>
    <mergeCell ref="U4:U5"/>
    <mergeCell ref="M4:M5"/>
    <mergeCell ref="AV1:BJ1"/>
    <mergeCell ref="AA2:AB2"/>
    <mergeCell ref="AV2:BI2"/>
    <mergeCell ref="I6:I7"/>
    <mergeCell ref="J6:J7"/>
    <mergeCell ref="K6:K7"/>
    <mergeCell ref="L6:L7"/>
    <mergeCell ref="Z4:Z5"/>
    <mergeCell ref="AA4:AA5"/>
    <mergeCell ref="AB4:AB5"/>
    <mergeCell ref="AC4:AC5"/>
    <mergeCell ref="W4:W5"/>
    <mergeCell ref="X4:X5"/>
    <mergeCell ref="Y4:Y5"/>
    <mergeCell ref="Y6:Y7"/>
    <mergeCell ref="Z6:Z7"/>
    <mergeCell ref="AA6:AA7"/>
    <mergeCell ref="AB6:AB7"/>
    <mergeCell ref="AC6:AC7"/>
    <mergeCell ref="W6:W7"/>
    <mergeCell ref="X6:X7"/>
    <mergeCell ref="R4:R5"/>
    <mergeCell ref="S4:S5"/>
  </mergeCells>
  <pageMargins left="0.70866141732283472" right="0.70866141732283472" top="0.74803149606299213" bottom="0.74803149606299213" header="0.31496062992125984" footer="0.31496062992125984"/>
  <pageSetup scale="17" orientation="portrait" blackAndWhite="1" horizontalDpi="360" verticalDpi="36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2D1AF-2A91-4872-82FD-282F61665693}">
  <sheetPr published="0" codeName="Sheet22">
    <tabColor rgb="FFFFFF00"/>
    <pageSetUpPr fitToPage="1"/>
  </sheetPr>
  <dimension ref="B2:AA40"/>
  <sheetViews>
    <sheetView showGridLines="0" topLeftCell="B1" workbookViewId="0">
      <selection activeCell="AA10" sqref="AA10"/>
    </sheetView>
  </sheetViews>
  <sheetFormatPr defaultColWidth="11.42578125" defaultRowHeight="12.75" x14ac:dyDescent="0.25"/>
  <cols>
    <col min="1" max="1" width="0.85546875" style="277" customWidth="1"/>
    <col min="2" max="2" width="3.7109375" style="277" customWidth="1"/>
    <col min="3" max="3" width="4.85546875" style="277" customWidth="1"/>
    <col min="4" max="4" width="5.140625" style="277" bestFit="1" customWidth="1"/>
    <col min="5" max="5" width="7.85546875" style="278" customWidth="1"/>
    <col min="6" max="6" width="8.28515625" style="278" customWidth="1"/>
    <col min="7" max="7" width="3.7109375" style="278" bestFit="1" customWidth="1"/>
    <col min="8" max="8" width="4.28515625" style="278" customWidth="1"/>
    <col min="9" max="9" width="3.140625" style="278" bestFit="1" customWidth="1"/>
    <col min="10" max="10" width="3.140625" style="277" bestFit="1" customWidth="1"/>
    <col min="11" max="11" width="2.7109375" style="278" bestFit="1" customWidth="1"/>
    <col min="12" max="12" width="5.28515625" style="278" bestFit="1" customWidth="1"/>
    <col min="13" max="13" width="4.42578125" style="278" bestFit="1" customWidth="1"/>
    <col min="14" max="14" width="5.28515625" style="278" bestFit="1" customWidth="1"/>
    <col min="15" max="15" width="2.7109375" style="278" bestFit="1" customWidth="1"/>
    <col min="16" max="16" width="4.140625" style="278" customWidth="1"/>
    <col min="17" max="17" width="3.140625" style="278" bestFit="1" customWidth="1"/>
    <col min="18" max="18" width="3.140625" style="277" bestFit="1" customWidth="1"/>
    <col min="19" max="19" width="3.7109375" style="278" bestFit="1" customWidth="1"/>
    <col min="20" max="20" width="8.28515625" style="278" customWidth="1"/>
    <col min="21" max="21" width="5.28515625" style="278" bestFit="1" customWidth="1"/>
    <col min="22" max="22" width="8.28515625" style="278" customWidth="1"/>
    <col min="23" max="23" width="8.28515625" style="277" customWidth="1"/>
    <col min="24" max="24" width="4.7109375" style="277" bestFit="1" customWidth="1"/>
    <col min="25" max="25" width="0.85546875" style="277" customWidth="1"/>
    <col min="26" max="256" width="11.42578125" style="277"/>
    <col min="257" max="257" width="0.85546875" style="277" customWidth="1"/>
    <col min="258" max="258" width="3.7109375" style="277" customWidth="1"/>
    <col min="259" max="263" width="4.85546875" style="277" customWidth="1"/>
    <col min="264" max="266" width="3.28515625" style="277" customWidth="1"/>
    <col min="267" max="267" width="3.42578125" style="277" customWidth="1"/>
    <col min="268" max="268" width="5.7109375" style="277" customWidth="1"/>
    <col min="269" max="269" width="4.7109375" style="277" customWidth="1"/>
    <col min="270" max="270" width="5.7109375" style="277" customWidth="1"/>
    <col min="271" max="271" width="3.42578125" style="277" customWidth="1"/>
    <col min="272" max="274" width="3.28515625" style="277" customWidth="1"/>
    <col min="275" max="279" width="4.85546875" style="277" customWidth="1"/>
    <col min="280" max="280" width="3.7109375" style="277" customWidth="1"/>
    <col min="281" max="281" width="0.85546875" style="277" customWidth="1"/>
    <col min="282" max="512" width="11.42578125" style="277"/>
    <col min="513" max="513" width="0.85546875" style="277" customWidth="1"/>
    <col min="514" max="514" width="3.7109375" style="277" customWidth="1"/>
    <col min="515" max="519" width="4.85546875" style="277" customWidth="1"/>
    <col min="520" max="522" width="3.28515625" style="277" customWidth="1"/>
    <col min="523" max="523" width="3.42578125" style="277" customWidth="1"/>
    <col min="524" max="524" width="5.7109375" style="277" customWidth="1"/>
    <col min="525" max="525" width="4.7109375" style="277" customWidth="1"/>
    <col min="526" max="526" width="5.7109375" style="277" customWidth="1"/>
    <col min="527" max="527" width="3.42578125" style="277" customWidth="1"/>
    <col min="528" max="530" width="3.28515625" style="277" customWidth="1"/>
    <col min="531" max="535" width="4.85546875" style="277" customWidth="1"/>
    <col min="536" max="536" width="3.7109375" style="277" customWidth="1"/>
    <col min="537" max="537" width="0.85546875" style="277" customWidth="1"/>
    <col min="538" max="768" width="11.42578125" style="277"/>
    <col min="769" max="769" width="0.85546875" style="277" customWidth="1"/>
    <col min="770" max="770" width="3.7109375" style="277" customWidth="1"/>
    <col min="771" max="775" width="4.85546875" style="277" customWidth="1"/>
    <col min="776" max="778" width="3.28515625" style="277" customWidth="1"/>
    <col min="779" max="779" width="3.42578125" style="277" customWidth="1"/>
    <col min="780" max="780" width="5.7109375" style="277" customWidth="1"/>
    <col min="781" max="781" width="4.7109375" style="277" customWidth="1"/>
    <col min="782" max="782" width="5.7109375" style="277" customWidth="1"/>
    <col min="783" max="783" width="3.42578125" style="277" customWidth="1"/>
    <col min="784" max="786" width="3.28515625" style="277" customWidth="1"/>
    <col min="787" max="791" width="4.85546875" style="277" customWidth="1"/>
    <col min="792" max="792" width="3.7109375" style="277" customWidth="1"/>
    <col min="793" max="793" width="0.85546875" style="277" customWidth="1"/>
    <col min="794" max="1024" width="11.42578125" style="277"/>
    <col min="1025" max="1025" width="0.85546875" style="277" customWidth="1"/>
    <col min="1026" max="1026" width="3.7109375" style="277" customWidth="1"/>
    <col min="1027" max="1031" width="4.85546875" style="277" customWidth="1"/>
    <col min="1032" max="1034" width="3.28515625" style="277" customWidth="1"/>
    <col min="1035" max="1035" width="3.42578125" style="277" customWidth="1"/>
    <col min="1036" max="1036" width="5.7109375" style="277" customWidth="1"/>
    <col min="1037" max="1037" width="4.7109375" style="277" customWidth="1"/>
    <col min="1038" max="1038" width="5.7109375" style="277" customWidth="1"/>
    <col min="1039" max="1039" width="3.42578125" style="277" customWidth="1"/>
    <col min="1040" max="1042" width="3.28515625" style="277" customWidth="1"/>
    <col min="1043" max="1047" width="4.85546875" style="277" customWidth="1"/>
    <col min="1048" max="1048" width="3.7109375" style="277" customWidth="1"/>
    <col min="1049" max="1049" width="0.85546875" style="277" customWidth="1"/>
    <col min="1050" max="1280" width="11.42578125" style="277"/>
    <col min="1281" max="1281" width="0.85546875" style="277" customWidth="1"/>
    <col min="1282" max="1282" width="3.7109375" style="277" customWidth="1"/>
    <col min="1283" max="1287" width="4.85546875" style="277" customWidth="1"/>
    <col min="1288" max="1290" width="3.28515625" style="277" customWidth="1"/>
    <col min="1291" max="1291" width="3.42578125" style="277" customWidth="1"/>
    <col min="1292" max="1292" width="5.7109375" style="277" customWidth="1"/>
    <col min="1293" max="1293" width="4.7109375" style="277" customWidth="1"/>
    <col min="1294" max="1294" width="5.7109375" style="277" customWidth="1"/>
    <col min="1295" max="1295" width="3.42578125" style="277" customWidth="1"/>
    <col min="1296" max="1298" width="3.28515625" style="277" customWidth="1"/>
    <col min="1299" max="1303" width="4.85546875" style="277" customWidth="1"/>
    <col min="1304" max="1304" width="3.7109375" style="277" customWidth="1"/>
    <col min="1305" max="1305" width="0.85546875" style="277" customWidth="1"/>
    <col min="1306" max="1536" width="11.42578125" style="277"/>
    <col min="1537" max="1537" width="0.85546875" style="277" customWidth="1"/>
    <col min="1538" max="1538" width="3.7109375" style="277" customWidth="1"/>
    <col min="1539" max="1543" width="4.85546875" style="277" customWidth="1"/>
    <col min="1544" max="1546" width="3.28515625" style="277" customWidth="1"/>
    <col min="1547" max="1547" width="3.42578125" style="277" customWidth="1"/>
    <col min="1548" max="1548" width="5.7109375" style="277" customWidth="1"/>
    <col min="1549" max="1549" width="4.7109375" style="277" customWidth="1"/>
    <col min="1550" max="1550" width="5.7109375" style="277" customWidth="1"/>
    <col min="1551" max="1551" width="3.42578125" style="277" customWidth="1"/>
    <col min="1552" max="1554" width="3.28515625" style="277" customWidth="1"/>
    <col min="1555" max="1559" width="4.85546875" style="277" customWidth="1"/>
    <col min="1560" max="1560" width="3.7109375" style="277" customWidth="1"/>
    <col min="1561" max="1561" width="0.85546875" style="277" customWidth="1"/>
    <col min="1562" max="1792" width="11.42578125" style="277"/>
    <col min="1793" max="1793" width="0.85546875" style="277" customWidth="1"/>
    <col min="1794" max="1794" width="3.7109375" style="277" customWidth="1"/>
    <col min="1795" max="1799" width="4.85546875" style="277" customWidth="1"/>
    <col min="1800" max="1802" width="3.28515625" style="277" customWidth="1"/>
    <col min="1803" max="1803" width="3.42578125" style="277" customWidth="1"/>
    <col min="1804" max="1804" width="5.7109375" style="277" customWidth="1"/>
    <col min="1805" max="1805" width="4.7109375" style="277" customWidth="1"/>
    <col min="1806" max="1806" width="5.7109375" style="277" customWidth="1"/>
    <col min="1807" max="1807" width="3.42578125" style="277" customWidth="1"/>
    <col min="1808" max="1810" width="3.28515625" style="277" customWidth="1"/>
    <col min="1811" max="1815" width="4.85546875" style="277" customWidth="1"/>
    <col min="1816" max="1816" width="3.7109375" style="277" customWidth="1"/>
    <col min="1817" max="1817" width="0.85546875" style="277" customWidth="1"/>
    <col min="1818" max="2048" width="11.42578125" style="277"/>
    <col min="2049" max="2049" width="0.85546875" style="277" customWidth="1"/>
    <col min="2050" max="2050" width="3.7109375" style="277" customWidth="1"/>
    <col min="2051" max="2055" width="4.85546875" style="277" customWidth="1"/>
    <col min="2056" max="2058" width="3.28515625" style="277" customWidth="1"/>
    <col min="2059" max="2059" width="3.42578125" style="277" customWidth="1"/>
    <col min="2060" max="2060" width="5.7109375" style="277" customWidth="1"/>
    <col min="2061" max="2061" width="4.7109375" style="277" customWidth="1"/>
    <col min="2062" max="2062" width="5.7109375" style="277" customWidth="1"/>
    <col min="2063" max="2063" width="3.42578125" style="277" customWidth="1"/>
    <col min="2064" max="2066" width="3.28515625" style="277" customWidth="1"/>
    <col min="2067" max="2071" width="4.85546875" style="277" customWidth="1"/>
    <col min="2072" max="2072" width="3.7109375" style="277" customWidth="1"/>
    <col min="2073" max="2073" width="0.85546875" style="277" customWidth="1"/>
    <col min="2074" max="2304" width="11.42578125" style="277"/>
    <col min="2305" max="2305" width="0.85546875" style="277" customWidth="1"/>
    <col min="2306" max="2306" width="3.7109375" style="277" customWidth="1"/>
    <col min="2307" max="2311" width="4.85546875" style="277" customWidth="1"/>
    <col min="2312" max="2314" width="3.28515625" style="277" customWidth="1"/>
    <col min="2315" max="2315" width="3.42578125" style="277" customWidth="1"/>
    <col min="2316" max="2316" width="5.7109375" style="277" customWidth="1"/>
    <col min="2317" max="2317" width="4.7109375" style="277" customWidth="1"/>
    <col min="2318" max="2318" width="5.7109375" style="277" customWidth="1"/>
    <col min="2319" max="2319" width="3.42578125" style="277" customWidth="1"/>
    <col min="2320" max="2322" width="3.28515625" style="277" customWidth="1"/>
    <col min="2323" max="2327" width="4.85546875" style="277" customWidth="1"/>
    <col min="2328" max="2328" width="3.7109375" style="277" customWidth="1"/>
    <col min="2329" max="2329" width="0.85546875" style="277" customWidth="1"/>
    <col min="2330" max="2560" width="11.42578125" style="277"/>
    <col min="2561" max="2561" width="0.85546875" style="277" customWidth="1"/>
    <col min="2562" max="2562" width="3.7109375" style="277" customWidth="1"/>
    <col min="2563" max="2567" width="4.85546875" style="277" customWidth="1"/>
    <col min="2568" max="2570" width="3.28515625" style="277" customWidth="1"/>
    <col min="2571" max="2571" width="3.42578125" style="277" customWidth="1"/>
    <col min="2572" max="2572" width="5.7109375" style="277" customWidth="1"/>
    <col min="2573" max="2573" width="4.7109375" style="277" customWidth="1"/>
    <col min="2574" max="2574" width="5.7109375" style="277" customWidth="1"/>
    <col min="2575" max="2575" width="3.42578125" style="277" customWidth="1"/>
    <col min="2576" max="2578" width="3.28515625" style="277" customWidth="1"/>
    <col min="2579" max="2583" width="4.85546875" style="277" customWidth="1"/>
    <col min="2584" max="2584" width="3.7109375" style="277" customWidth="1"/>
    <col min="2585" max="2585" width="0.85546875" style="277" customWidth="1"/>
    <col min="2586" max="2816" width="11.42578125" style="277"/>
    <col min="2817" max="2817" width="0.85546875" style="277" customWidth="1"/>
    <col min="2818" max="2818" width="3.7109375" style="277" customWidth="1"/>
    <col min="2819" max="2823" width="4.85546875" style="277" customWidth="1"/>
    <col min="2824" max="2826" width="3.28515625" style="277" customWidth="1"/>
    <col min="2827" max="2827" width="3.42578125" style="277" customWidth="1"/>
    <col min="2828" max="2828" width="5.7109375" style="277" customWidth="1"/>
    <col min="2829" max="2829" width="4.7109375" style="277" customWidth="1"/>
    <col min="2830" max="2830" width="5.7109375" style="277" customWidth="1"/>
    <col min="2831" max="2831" width="3.42578125" style="277" customWidth="1"/>
    <col min="2832" max="2834" width="3.28515625" style="277" customWidth="1"/>
    <col min="2835" max="2839" width="4.85546875" style="277" customWidth="1"/>
    <col min="2840" max="2840" width="3.7109375" style="277" customWidth="1"/>
    <col min="2841" max="2841" width="0.85546875" style="277" customWidth="1"/>
    <col min="2842" max="3072" width="11.42578125" style="277"/>
    <col min="3073" max="3073" width="0.85546875" style="277" customWidth="1"/>
    <col min="3074" max="3074" width="3.7109375" style="277" customWidth="1"/>
    <col min="3075" max="3079" width="4.85546875" style="277" customWidth="1"/>
    <col min="3080" max="3082" width="3.28515625" style="277" customWidth="1"/>
    <col min="3083" max="3083" width="3.42578125" style="277" customWidth="1"/>
    <col min="3084" max="3084" width="5.7109375" style="277" customWidth="1"/>
    <col min="3085" max="3085" width="4.7109375" style="277" customWidth="1"/>
    <col min="3086" max="3086" width="5.7109375" style="277" customWidth="1"/>
    <col min="3087" max="3087" width="3.42578125" style="277" customWidth="1"/>
    <col min="3088" max="3090" width="3.28515625" style="277" customWidth="1"/>
    <col min="3091" max="3095" width="4.85546875" style="277" customWidth="1"/>
    <col min="3096" max="3096" width="3.7109375" style="277" customWidth="1"/>
    <col min="3097" max="3097" width="0.85546875" style="277" customWidth="1"/>
    <col min="3098" max="3328" width="11.42578125" style="277"/>
    <col min="3329" max="3329" width="0.85546875" style="277" customWidth="1"/>
    <col min="3330" max="3330" width="3.7109375" style="277" customWidth="1"/>
    <col min="3331" max="3335" width="4.85546875" style="277" customWidth="1"/>
    <col min="3336" max="3338" width="3.28515625" style="277" customWidth="1"/>
    <col min="3339" max="3339" width="3.42578125" style="277" customWidth="1"/>
    <col min="3340" max="3340" width="5.7109375" style="277" customWidth="1"/>
    <col min="3341" max="3341" width="4.7109375" style="277" customWidth="1"/>
    <col min="3342" max="3342" width="5.7109375" style="277" customWidth="1"/>
    <col min="3343" max="3343" width="3.42578125" style="277" customWidth="1"/>
    <col min="3344" max="3346" width="3.28515625" style="277" customWidth="1"/>
    <col min="3347" max="3351" width="4.85546875" style="277" customWidth="1"/>
    <col min="3352" max="3352" width="3.7109375" style="277" customWidth="1"/>
    <col min="3353" max="3353" width="0.85546875" style="277" customWidth="1"/>
    <col min="3354" max="3584" width="11.42578125" style="277"/>
    <col min="3585" max="3585" width="0.85546875" style="277" customWidth="1"/>
    <col min="3586" max="3586" width="3.7109375" style="277" customWidth="1"/>
    <col min="3587" max="3591" width="4.85546875" style="277" customWidth="1"/>
    <col min="3592" max="3594" width="3.28515625" style="277" customWidth="1"/>
    <col min="3595" max="3595" width="3.42578125" style="277" customWidth="1"/>
    <col min="3596" max="3596" width="5.7109375" style="277" customWidth="1"/>
    <col min="3597" max="3597" width="4.7109375" style="277" customWidth="1"/>
    <col min="3598" max="3598" width="5.7109375" style="277" customWidth="1"/>
    <col min="3599" max="3599" width="3.42578125" style="277" customWidth="1"/>
    <col min="3600" max="3602" width="3.28515625" style="277" customWidth="1"/>
    <col min="3603" max="3607" width="4.85546875" style="277" customWidth="1"/>
    <col min="3608" max="3608" width="3.7109375" style="277" customWidth="1"/>
    <col min="3609" max="3609" width="0.85546875" style="277" customWidth="1"/>
    <col min="3610" max="3840" width="11.42578125" style="277"/>
    <col min="3841" max="3841" width="0.85546875" style="277" customWidth="1"/>
    <col min="3842" max="3842" width="3.7109375" style="277" customWidth="1"/>
    <col min="3843" max="3847" width="4.85546875" style="277" customWidth="1"/>
    <col min="3848" max="3850" width="3.28515625" style="277" customWidth="1"/>
    <col min="3851" max="3851" width="3.42578125" style="277" customWidth="1"/>
    <col min="3852" max="3852" width="5.7109375" style="277" customWidth="1"/>
    <col min="3853" max="3853" width="4.7109375" style="277" customWidth="1"/>
    <col min="3854" max="3854" width="5.7109375" style="277" customWidth="1"/>
    <col min="3855" max="3855" width="3.42578125" style="277" customWidth="1"/>
    <col min="3856" max="3858" width="3.28515625" style="277" customWidth="1"/>
    <col min="3859" max="3863" width="4.85546875" style="277" customWidth="1"/>
    <col min="3864" max="3864" width="3.7109375" style="277" customWidth="1"/>
    <col min="3865" max="3865" width="0.85546875" style="277" customWidth="1"/>
    <col min="3866" max="4096" width="11.42578125" style="277"/>
    <col min="4097" max="4097" width="0.85546875" style="277" customWidth="1"/>
    <col min="4098" max="4098" width="3.7109375" style="277" customWidth="1"/>
    <col min="4099" max="4103" width="4.85546875" style="277" customWidth="1"/>
    <col min="4104" max="4106" width="3.28515625" style="277" customWidth="1"/>
    <col min="4107" max="4107" width="3.42578125" style="277" customWidth="1"/>
    <col min="4108" max="4108" width="5.7109375" style="277" customWidth="1"/>
    <col min="4109" max="4109" width="4.7109375" style="277" customWidth="1"/>
    <col min="4110" max="4110" width="5.7109375" style="277" customWidth="1"/>
    <col min="4111" max="4111" width="3.42578125" style="277" customWidth="1"/>
    <col min="4112" max="4114" width="3.28515625" style="277" customWidth="1"/>
    <col min="4115" max="4119" width="4.85546875" style="277" customWidth="1"/>
    <col min="4120" max="4120" width="3.7109375" style="277" customWidth="1"/>
    <col min="4121" max="4121" width="0.85546875" style="277" customWidth="1"/>
    <col min="4122" max="4352" width="11.42578125" style="277"/>
    <col min="4353" max="4353" width="0.85546875" style="277" customWidth="1"/>
    <col min="4354" max="4354" width="3.7109375" style="277" customWidth="1"/>
    <col min="4355" max="4359" width="4.85546875" style="277" customWidth="1"/>
    <col min="4360" max="4362" width="3.28515625" style="277" customWidth="1"/>
    <col min="4363" max="4363" width="3.42578125" style="277" customWidth="1"/>
    <col min="4364" max="4364" width="5.7109375" style="277" customWidth="1"/>
    <col min="4365" max="4365" width="4.7109375" style="277" customWidth="1"/>
    <col min="4366" max="4366" width="5.7109375" style="277" customWidth="1"/>
    <col min="4367" max="4367" width="3.42578125" style="277" customWidth="1"/>
    <col min="4368" max="4370" width="3.28515625" style="277" customWidth="1"/>
    <col min="4371" max="4375" width="4.85546875" style="277" customWidth="1"/>
    <col min="4376" max="4376" width="3.7109375" style="277" customWidth="1"/>
    <col min="4377" max="4377" width="0.85546875" style="277" customWidth="1"/>
    <col min="4378" max="4608" width="11.42578125" style="277"/>
    <col min="4609" max="4609" width="0.85546875" style="277" customWidth="1"/>
    <col min="4610" max="4610" width="3.7109375" style="277" customWidth="1"/>
    <col min="4611" max="4615" width="4.85546875" style="277" customWidth="1"/>
    <col min="4616" max="4618" width="3.28515625" style="277" customWidth="1"/>
    <col min="4619" max="4619" width="3.42578125" style="277" customWidth="1"/>
    <col min="4620" max="4620" width="5.7109375" style="277" customWidth="1"/>
    <col min="4621" max="4621" width="4.7109375" style="277" customWidth="1"/>
    <col min="4622" max="4622" width="5.7109375" style="277" customWidth="1"/>
    <col min="4623" max="4623" width="3.42578125" style="277" customWidth="1"/>
    <col min="4624" max="4626" width="3.28515625" style="277" customWidth="1"/>
    <col min="4627" max="4631" width="4.85546875" style="277" customWidth="1"/>
    <col min="4632" max="4632" width="3.7109375" style="277" customWidth="1"/>
    <col min="4633" max="4633" width="0.85546875" style="277" customWidth="1"/>
    <col min="4634" max="4864" width="11.42578125" style="277"/>
    <col min="4865" max="4865" width="0.85546875" style="277" customWidth="1"/>
    <col min="4866" max="4866" width="3.7109375" style="277" customWidth="1"/>
    <col min="4867" max="4871" width="4.85546875" style="277" customWidth="1"/>
    <col min="4872" max="4874" width="3.28515625" style="277" customWidth="1"/>
    <col min="4875" max="4875" width="3.42578125" style="277" customWidth="1"/>
    <col min="4876" max="4876" width="5.7109375" style="277" customWidth="1"/>
    <col min="4877" max="4877" width="4.7109375" style="277" customWidth="1"/>
    <col min="4878" max="4878" width="5.7109375" style="277" customWidth="1"/>
    <col min="4879" max="4879" width="3.42578125" style="277" customWidth="1"/>
    <col min="4880" max="4882" width="3.28515625" style="277" customWidth="1"/>
    <col min="4883" max="4887" width="4.85546875" style="277" customWidth="1"/>
    <col min="4888" max="4888" width="3.7109375" style="277" customWidth="1"/>
    <col min="4889" max="4889" width="0.85546875" style="277" customWidth="1"/>
    <col min="4890" max="5120" width="11.42578125" style="277"/>
    <col min="5121" max="5121" width="0.85546875" style="277" customWidth="1"/>
    <col min="5122" max="5122" width="3.7109375" style="277" customWidth="1"/>
    <col min="5123" max="5127" width="4.85546875" style="277" customWidth="1"/>
    <col min="5128" max="5130" width="3.28515625" style="277" customWidth="1"/>
    <col min="5131" max="5131" width="3.42578125" style="277" customWidth="1"/>
    <col min="5132" max="5132" width="5.7109375" style="277" customWidth="1"/>
    <col min="5133" max="5133" width="4.7109375" style="277" customWidth="1"/>
    <col min="5134" max="5134" width="5.7109375" style="277" customWidth="1"/>
    <col min="5135" max="5135" width="3.42578125" style="277" customWidth="1"/>
    <col min="5136" max="5138" width="3.28515625" style="277" customWidth="1"/>
    <col min="5139" max="5143" width="4.85546875" style="277" customWidth="1"/>
    <col min="5144" max="5144" width="3.7109375" style="277" customWidth="1"/>
    <col min="5145" max="5145" width="0.85546875" style="277" customWidth="1"/>
    <col min="5146" max="5376" width="11.42578125" style="277"/>
    <col min="5377" max="5377" width="0.85546875" style="277" customWidth="1"/>
    <col min="5378" max="5378" width="3.7109375" style="277" customWidth="1"/>
    <col min="5379" max="5383" width="4.85546875" style="277" customWidth="1"/>
    <col min="5384" max="5386" width="3.28515625" style="277" customWidth="1"/>
    <col min="5387" max="5387" width="3.42578125" style="277" customWidth="1"/>
    <col min="5388" max="5388" width="5.7109375" style="277" customWidth="1"/>
    <col min="5389" max="5389" width="4.7109375" style="277" customWidth="1"/>
    <col min="5390" max="5390" width="5.7109375" style="277" customWidth="1"/>
    <col min="5391" max="5391" width="3.42578125" style="277" customWidth="1"/>
    <col min="5392" max="5394" width="3.28515625" style="277" customWidth="1"/>
    <col min="5395" max="5399" width="4.85546875" style="277" customWidth="1"/>
    <col min="5400" max="5400" width="3.7109375" style="277" customWidth="1"/>
    <col min="5401" max="5401" width="0.85546875" style="277" customWidth="1"/>
    <col min="5402" max="5632" width="11.42578125" style="277"/>
    <col min="5633" max="5633" width="0.85546875" style="277" customWidth="1"/>
    <col min="5634" max="5634" width="3.7109375" style="277" customWidth="1"/>
    <col min="5635" max="5639" width="4.85546875" style="277" customWidth="1"/>
    <col min="5640" max="5642" width="3.28515625" style="277" customWidth="1"/>
    <col min="5643" max="5643" width="3.42578125" style="277" customWidth="1"/>
    <col min="5644" max="5644" width="5.7109375" style="277" customWidth="1"/>
    <col min="5645" max="5645" width="4.7109375" style="277" customWidth="1"/>
    <col min="5646" max="5646" width="5.7109375" style="277" customWidth="1"/>
    <col min="5647" max="5647" width="3.42578125" style="277" customWidth="1"/>
    <col min="5648" max="5650" width="3.28515625" style="277" customWidth="1"/>
    <col min="5651" max="5655" width="4.85546875" style="277" customWidth="1"/>
    <col min="5656" max="5656" width="3.7109375" style="277" customWidth="1"/>
    <col min="5657" max="5657" width="0.85546875" style="277" customWidth="1"/>
    <col min="5658" max="5888" width="11.42578125" style="277"/>
    <col min="5889" max="5889" width="0.85546875" style="277" customWidth="1"/>
    <col min="5890" max="5890" width="3.7109375" style="277" customWidth="1"/>
    <col min="5891" max="5895" width="4.85546875" style="277" customWidth="1"/>
    <col min="5896" max="5898" width="3.28515625" style="277" customWidth="1"/>
    <col min="5899" max="5899" width="3.42578125" style="277" customWidth="1"/>
    <col min="5900" max="5900" width="5.7109375" style="277" customWidth="1"/>
    <col min="5901" max="5901" width="4.7109375" style="277" customWidth="1"/>
    <col min="5902" max="5902" width="5.7109375" style="277" customWidth="1"/>
    <col min="5903" max="5903" width="3.42578125" style="277" customWidth="1"/>
    <col min="5904" max="5906" width="3.28515625" style="277" customWidth="1"/>
    <col min="5907" max="5911" width="4.85546875" style="277" customWidth="1"/>
    <col min="5912" max="5912" width="3.7109375" style="277" customWidth="1"/>
    <col min="5913" max="5913" width="0.85546875" style="277" customWidth="1"/>
    <col min="5914" max="6144" width="11.42578125" style="277"/>
    <col min="6145" max="6145" width="0.85546875" style="277" customWidth="1"/>
    <col min="6146" max="6146" width="3.7109375" style="277" customWidth="1"/>
    <col min="6147" max="6151" width="4.85546875" style="277" customWidth="1"/>
    <col min="6152" max="6154" width="3.28515625" style="277" customWidth="1"/>
    <col min="6155" max="6155" width="3.42578125" style="277" customWidth="1"/>
    <col min="6156" max="6156" width="5.7109375" style="277" customWidth="1"/>
    <col min="6157" max="6157" width="4.7109375" style="277" customWidth="1"/>
    <col min="6158" max="6158" width="5.7109375" style="277" customWidth="1"/>
    <col min="6159" max="6159" width="3.42578125" style="277" customWidth="1"/>
    <col min="6160" max="6162" width="3.28515625" style="277" customWidth="1"/>
    <col min="6163" max="6167" width="4.85546875" style="277" customWidth="1"/>
    <col min="6168" max="6168" width="3.7109375" style="277" customWidth="1"/>
    <col min="6169" max="6169" width="0.85546875" style="277" customWidth="1"/>
    <col min="6170" max="6400" width="11.42578125" style="277"/>
    <col min="6401" max="6401" width="0.85546875" style="277" customWidth="1"/>
    <col min="6402" max="6402" width="3.7109375" style="277" customWidth="1"/>
    <col min="6403" max="6407" width="4.85546875" style="277" customWidth="1"/>
    <col min="6408" max="6410" width="3.28515625" style="277" customWidth="1"/>
    <col min="6411" max="6411" width="3.42578125" style="277" customWidth="1"/>
    <col min="6412" max="6412" width="5.7109375" style="277" customWidth="1"/>
    <col min="6413" max="6413" width="4.7109375" style="277" customWidth="1"/>
    <col min="6414" max="6414" width="5.7109375" style="277" customWidth="1"/>
    <col min="6415" max="6415" width="3.42578125" style="277" customWidth="1"/>
    <col min="6416" max="6418" width="3.28515625" style="277" customWidth="1"/>
    <col min="6419" max="6423" width="4.85546875" style="277" customWidth="1"/>
    <col min="6424" max="6424" width="3.7109375" style="277" customWidth="1"/>
    <col min="6425" max="6425" width="0.85546875" style="277" customWidth="1"/>
    <col min="6426" max="6656" width="11.42578125" style="277"/>
    <col min="6657" max="6657" width="0.85546875" style="277" customWidth="1"/>
    <col min="6658" max="6658" width="3.7109375" style="277" customWidth="1"/>
    <col min="6659" max="6663" width="4.85546875" style="277" customWidth="1"/>
    <col min="6664" max="6666" width="3.28515625" style="277" customWidth="1"/>
    <col min="6667" max="6667" width="3.42578125" style="277" customWidth="1"/>
    <col min="6668" max="6668" width="5.7109375" style="277" customWidth="1"/>
    <col min="6669" max="6669" width="4.7109375" style="277" customWidth="1"/>
    <col min="6670" max="6670" width="5.7109375" style="277" customWidth="1"/>
    <col min="6671" max="6671" width="3.42578125" style="277" customWidth="1"/>
    <col min="6672" max="6674" width="3.28515625" style="277" customWidth="1"/>
    <col min="6675" max="6679" width="4.85546875" style="277" customWidth="1"/>
    <col min="6680" max="6680" width="3.7109375" style="277" customWidth="1"/>
    <col min="6681" max="6681" width="0.85546875" style="277" customWidth="1"/>
    <col min="6682" max="6912" width="11.42578125" style="277"/>
    <col min="6913" max="6913" width="0.85546875" style="277" customWidth="1"/>
    <col min="6914" max="6914" width="3.7109375" style="277" customWidth="1"/>
    <col min="6915" max="6919" width="4.85546875" style="277" customWidth="1"/>
    <col min="6920" max="6922" width="3.28515625" style="277" customWidth="1"/>
    <col min="6923" max="6923" width="3.42578125" style="277" customWidth="1"/>
    <col min="6924" max="6924" width="5.7109375" style="277" customWidth="1"/>
    <col min="6925" max="6925" width="4.7109375" style="277" customWidth="1"/>
    <col min="6926" max="6926" width="5.7109375" style="277" customWidth="1"/>
    <col min="6927" max="6927" width="3.42578125" style="277" customWidth="1"/>
    <col min="6928" max="6930" width="3.28515625" style="277" customWidth="1"/>
    <col min="6931" max="6935" width="4.85546875" style="277" customWidth="1"/>
    <col min="6936" max="6936" width="3.7109375" style="277" customWidth="1"/>
    <col min="6937" max="6937" width="0.85546875" style="277" customWidth="1"/>
    <col min="6938" max="7168" width="11.42578125" style="277"/>
    <col min="7169" max="7169" width="0.85546875" style="277" customWidth="1"/>
    <col min="7170" max="7170" width="3.7109375" style="277" customWidth="1"/>
    <col min="7171" max="7175" width="4.85546875" style="277" customWidth="1"/>
    <col min="7176" max="7178" width="3.28515625" style="277" customWidth="1"/>
    <col min="7179" max="7179" width="3.42578125" style="277" customWidth="1"/>
    <col min="7180" max="7180" width="5.7109375" style="277" customWidth="1"/>
    <col min="7181" max="7181" width="4.7109375" style="277" customWidth="1"/>
    <col min="7182" max="7182" width="5.7109375" style="277" customWidth="1"/>
    <col min="7183" max="7183" width="3.42578125" style="277" customWidth="1"/>
    <col min="7184" max="7186" width="3.28515625" style="277" customWidth="1"/>
    <col min="7187" max="7191" width="4.85546875" style="277" customWidth="1"/>
    <col min="7192" max="7192" width="3.7109375" style="277" customWidth="1"/>
    <col min="7193" max="7193" width="0.85546875" style="277" customWidth="1"/>
    <col min="7194" max="7424" width="11.42578125" style="277"/>
    <col min="7425" max="7425" width="0.85546875" style="277" customWidth="1"/>
    <col min="7426" max="7426" width="3.7109375" style="277" customWidth="1"/>
    <col min="7427" max="7431" width="4.85546875" style="277" customWidth="1"/>
    <col min="7432" max="7434" width="3.28515625" style="277" customWidth="1"/>
    <col min="7435" max="7435" width="3.42578125" style="277" customWidth="1"/>
    <col min="7436" max="7436" width="5.7109375" style="277" customWidth="1"/>
    <col min="7437" max="7437" width="4.7109375" style="277" customWidth="1"/>
    <col min="7438" max="7438" width="5.7109375" style="277" customWidth="1"/>
    <col min="7439" max="7439" width="3.42578125" style="277" customWidth="1"/>
    <col min="7440" max="7442" width="3.28515625" style="277" customWidth="1"/>
    <col min="7443" max="7447" width="4.85546875" style="277" customWidth="1"/>
    <col min="7448" max="7448" width="3.7109375" style="277" customWidth="1"/>
    <col min="7449" max="7449" width="0.85546875" style="277" customWidth="1"/>
    <col min="7450" max="7680" width="11.42578125" style="277"/>
    <col min="7681" max="7681" width="0.85546875" style="277" customWidth="1"/>
    <col min="7682" max="7682" width="3.7109375" style="277" customWidth="1"/>
    <col min="7683" max="7687" width="4.85546875" style="277" customWidth="1"/>
    <col min="7688" max="7690" width="3.28515625" style="277" customWidth="1"/>
    <col min="7691" max="7691" width="3.42578125" style="277" customWidth="1"/>
    <col min="7692" max="7692" width="5.7109375" style="277" customWidth="1"/>
    <col min="7693" max="7693" width="4.7109375" style="277" customWidth="1"/>
    <col min="7694" max="7694" width="5.7109375" style="277" customWidth="1"/>
    <col min="7695" max="7695" width="3.42578125" style="277" customWidth="1"/>
    <col min="7696" max="7698" width="3.28515625" style="277" customWidth="1"/>
    <col min="7699" max="7703" width="4.85546875" style="277" customWidth="1"/>
    <col min="7704" max="7704" width="3.7109375" style="277" customWidth="1"/>
    <col min="7705" max="7705" width="0.85546875" style="277" customWidth="1"/>
    <col min="7706" max="7936" width="11.42578125" style="277"/>
    <col min="7937" max="7937" width="0.85546875" style="277" customWidth="1"/>
    <col min="7938" max="7938" width="3.7109375" style="277" customWidth="1"/>
    <col min="7939" max="7943" width="4.85546875" style="277" customWidth="1"/>
    <col min="7944" max="7946" width="3.28515625" style="277" customWidth="1"/>
    <col min="7947" max="7947" width="3.42578125" style="277" customWidth="1"/>
    <col min="7948" max="7948" width="5.7109375" style="277" customWidth="1"/>
    <col min="7949" max="7949" width="4.7109375" style="277" customWidth="1"/>
    <col min="7950" max="7950" width="5.7109375" style="277" customWidth="1"/>
    <col min="7951" max="7951" width="3.42578125" style="277" customWidth="1"/>
    <col min="7952" max="7954" width="3.28515625" style="277" customWidth="1"/>
    <col min="7955" max="7959" width="4.85546875" style="277" customWidth="1"/>
    <col min="7960" max="7960" width="3.7109375" style="277" customWidth="1"/>
    <col min="7961" max="7961" width="0.85546875" style="277" customWidth="1"/>
    <col min="7962" max="8192" width="11.42578125" style="277"/>
    <col min="8193" max="8193" width="0.85546875" style="277" customWidth="1"/>
    <col min="8194" max="8194" width="3.7109375" style="277" customWidth="1"/>
    <col min="8195" max="8199" width="4.85546875" style="277" customWidth="1"/>
    <col min="8200" max="8202" width="3.28515625" style="277" customWidth="1"/>
    <col min="8203" max="8203" width="3.42578125" style="277" customWidth="1"/>
    <col min="8204" max="8204" width="5.7109375" style="277" customWidth="1"/>
    <col min="8205" max="8205" width="4.7109375" style="277" customWidth="1"/>
    <col min="8206" max="8206" width="5.7109375" style="277" customWidth="1"/>
    <col min="8207" max="8207" width="3.42578125" style="277" customWidth="1"/>
    <col min="8208" max="8210" width="3.28515625" style="277" customWidth="1"/>
    <col min="8211" max="8215" width="4.85546875" style="277" customWidth="1"/>
    <col min="8216" max="8216" width="3.7109375" style="277" customWidth="1"/>
    <col min="8217" max="8217" width="0.85546875" style="277" customWidth="1"/>
    <col min="8218" max="8448" width="11.42578125" style="277"/>
    <col min="8449" max="8449" width="0.85546875" style="277" customWidth="1"/>
    <col min="8450" max="8450" width="3.7109375" style="277" customWidth="1"/>
    <col min="8451" max="8455" width="4.85546875" style="277" customWidth="1"/>
    <col min="8456" max="8458" width="3.28515625" style="277" customWidth="1"/>
    <col min="8459" max="8459" width="3.42578125" style="277" customWidth="1"/>
    <col min="8460" max="8460" width="5.7109375" style="277" customWidth="1"/>
    <col min="8461" max="8461" width="4.7109375" style="277" customWidth="1"/>
    <col min="8462" max="8462" width="5.7109375" style="277" customWidth="1"/>
    <col min="8463" max="8463" width="3.42578125" style="277" customWidth="1"/>
    <col min="8464" max="8466" width="3.28515625" style="277" customWidth="1"/>
    <col min="8467" max="8471" width="4.85546875" style="277" customWidth="1"/>
    <col min="8472" max="8472" width="3.7109375" style="277" customWidth="1"/>
    <col min="8473" max="8473" width="0.85546875" style="277" customWidth="1"/>
    <col min="8474" max="8704" width="11.42578125" style="277"/>
    <col min="8705" max="8705" width="0.85546875" style="277" customWidth="1"/>
    <col min="8706" max="8706" width="3.7109375" style="277" customWidth="1"/>
    <col min="8707" max="8711" width="4.85546875" style="277" customWidth="1"/>
    <col min="8712" max="8714" width="3.28515625" style="277" customWidth="1"/>
    <col min="8715" max="8715" width="3.42578125" style="277" customWidth="1"/>
    <col min="8716" max="8716" width="5.7109375" style="277" customWidth="1"/>
    <col min="8717" max="8717" width="4.7109375" style="277" customWidth="1"/>
    <col min="8718" max="8718" width="5.7109375" style="277" customWidth="1"/>
    <col min="8719" max="8719" width="3.42578125" style="277" customWidth="1"/>
    <col min="8720" max="8722" width="3.28515625" style="277" customWidth="1"/>
    <col min="8723" max="8727" width="4.85546875" style="277" customWidth="1"/>
    <col min="8728" max="8728" width="3.7109375" style="277" customWidth="1"/>
    <col min="8729" max="8729" width="0.85546875" style="277" customWidth="1"/>
    <col min="8730" max="8960" width="11.42578125" style="277"/>
    <col min="8961" max="8961" width="0.85546875" style="277" customWidth="1"/>
    <col min="8962" max="8962" width="3.7109375" style="277" customWidth="1"/>
    <col min="8963" max="8967" width="4.85546875" style="277" customWidth="1"/>
    <col min="8968" max="8970" width="3.28515625" style="277" customWidth="1"/>
    <col min="8971" max="8971" width="3.42578125" style="277" customWidth="1"/>
    <col min="8972" max="8972" width="5.7109375" style="277" customWidth="1"/>
    <col min="8973" max="8973" width="4.7109375" style="277" customWidth="1"/>
    <col min="8974" max="8974" width="5.7109375" style="277" customWidth="1"/>
    <col min="8975" max="8975" width="3.42578125" style="277" customWidth="1"/>
    <col min="8976" max="8978" width="3.28515625" style="277" customWidth="1"/>
    <col min="8979" max="8983" width="4.85546875" style="277" customWidth="1"/>
    <col min="8984" max="8984" width="3.7109375" style="277" customWidth="1"/>
    <col min="8985" max="8985" width="0.85546875" style="277" customWidth="1"/>
    <col min="8986" max="9216" width="11.42578125" style="277"/>
    <col min="9217" max="9217" width="0.85546875" style="277" customWidth="1"/>
    <col min="9218" max="9218" width="3.7109375" style="277" customWidth="1"/>
    <col min="9219" max="9223" width="4.85546875" style="277" customWidth="1"/>
    <col min="9224" max="9226" width="3.28515625" style="277" customWidth="1"/>
    <col min="9227" max="9227" width="3.42578125" style="277" customWidth="1"/>
    <col min="9228" max="9228" width="5.7109375" style="277" customWidth="1"/>
    <col min="9229" max="9229" width="4.7109375" style="277" customWidth="1"/>
    <col min="9230" max="9230" width="5.7109375" style="277" customWidth="1"/>
    <col min="9231" max="9231" width="3.42578125" style="277" customWidth="1"/>
    <col min="9232" max="9234" width="3.28515625" style="277" customWidth="1"/>
    <col min="9235" max="9239" width="4.85546875" style="277" customWidth="1"/>
    <col min="9240" max="9240" width="3.7109375" style="277" customWidth="1"/>
    <col min="9241" max="9241" width="0.85546875" style="277" customWidth="1"/>
    <col min="9242" max="9472" width="11.42578125" style="277"/>
    <col min="9473" max="9473" width="0.85546875" style="277" customWidth="1"/>
    <col min="9474" max="9474" width="3.7109375" style="277" customWidth="1"/>
    <col min="9475" max="9479" width="4.85546875" style="277" customWidth="1"/>
    <col min="9480" max="9482" width="3.28515625" style="277" customWidth="1"/>
    <col min="9483" max="9483" width="3.42578125" style="277" customWidth="1"/>
    <col min="9484" max="9484" width="5.7109375" style="277" customWidth="1"/>
    <col min="9485" max="9485" width="4.7109375" style="277" customWidth="1"/>
    <col min="9486" max="9486" width="5.7109375" style="277" customWidth="1"/>
    <col min="9487" max="9487" width="3.42578125" style="277" customWidth="1"/>
    <col min="9488" max="9490" width="3.28515625" style="277" customWidth="1"/>
    <col min="9491" max="9495" width="4.85546875" style="277" customWidth="1"/>
    <col min="9496" max="9496" width="3.7109375" style="277" customWidth="1"/>
    <col min="9497" max="9497" width="0.85546875" style="277" customWidth="1"/>
    <col min="9498" max="9728" width="11.42578125" style="277"/>
    <col min="9729" max="9729" width="0.85546875" style="277" customWidth="1"/>
    <col min="9730" max="9730" width="3.7109375" style="277" customWidth="1"/>
    <col min="9731" max="9735" width="4.85546875" style="277" customWidth="1"/>
    <col min="9736" max="9738" width="3.28515625" style="277" customWidth="1"/>
    <col min="9739" max="9739" width="3.42578125" style="277" customWidth="1"/>
    <col min="9740" max="9740" width="5.7109375" style="277" customWidth="1"/>
    <col min="9741" max="9741" width="4.7109375" style="277" customWidth="1"/>
    <col min="9742" max="9742" width="5.7109375" style="277" customWidth="1"/>
    <col min="9743" max="9743" width="3.42578125" style="277" customWidth="1"/>
    <col min="9744" max="9746" width="3.28515625" style="277" customWidth="1"/>
    <col min="9747" max="9751" width="4.85546875" style="277" customWidth="1"/>
    <col min="9752" max="9752" width="3.7109375" style="277" customWidth="1"/>
    <col min="9753" max="9753" width="0.85546875" style="277" customWidth="1"/>
    <col min="9754" max="9984" width="11.42578125" style="277"/>
    <col min="9985" max="9985" width="0.85546875" style="277" customWidth="1"/>
    <col min="9986" max="9986" width="3.7109375" style="277" customWidth="1"/>
    <col min="9987" max="9991" width="4.85546875" style="277" customWidth="1"/>
    <col min="9992" max="9994" width="3.28515625" style="277" customWidth="1"/>
    <col min="9995" max="9995" width="3.42578125" style="277" customWidth="1"/>
    <col min="9996" max="9996" width="5.7109375" style="277" customWidth="1"/>
    <col min="9997" max="9997" width="4.7109375" style="277" customWidth="1"/>
    <col min="9998" max="9998" width="5.7109375" style="277" customWidth="1"/>
    <col min="9999" max="9999" width="3.42578125" style="277" customWidth="1"/>
    <col min="10000" max="10002" width="3.28515625" style="277" customWidth="1"/>
    <col min="10003" max="10007" width="4.85546875" style="277" customWidth="1"/>
    <col min="10008" max="10008" width="3.7109375" style="277" customWidth="1"/>
    <col min="10009" max="10009" width="0.85546875" style="277" customWidth="1"/>
    <col min="10010" max="10240" width="11.42578125" style="277"/>
    <col min="10241" max="10241" width="0.85546875" style="277" customWidth="1"/>
    <col min="10242" max="10242" width="3.7109375" style="277" customWidth="1"/>
    <col min="10243" max="10247" width="4.85546875" style="277" customWidth="1"/>
    <col min="10248" max="10250" width="3.28515625" style="277" customWidth="1"/>
    <col min="10251" max="10251" width="3.42578125" style="277" customWidth="1"/>
    <col min="10252" max="10252" width="5.7109375" style="277" customWidth="1"/>
    <col min="10253" max="10253" width="4.7109375" style="277" customWidth="1"/>
    <col min="10254" max="10254" width="5.7109375" style="277" customWidth="1"/>
    <col min="10255" max="10255" width="3.42578125" style="277" customWidth="1"/>
    <col min="10256" max="10258" width="3.28515625" style="277" customWidth="1"/>
    <col min="10259" max="10263" width="4.85546875" style="277" customWidth="1"/>
    <col min="10264" max="10264" width="3.7109375" style="277" customWidth="1"/>
    <col min="10265" max="10265" width="0.85546875" style="277" customWidth="1"/>
    <col min="10266" max="10496" width="11.42578125" style="277"/>
    <col min="10497" max="10497" width="0.85546875" style="277" customWidth="1"/>
    <col min="10498" max="10498" width="3.7109375" style="277" customWidth="1"/>
    <col min="10499" max="10503" width="4.85546875" style="277" customWidth="1"/>
    <col min="10504" max="10506" width="3.28515625" style="277" customWidth="1"/>
    <col min="10507" max="10507" width="3.42578125" style="277" customWidth="1"/>
    <col min="10508" max="10508" width="5.7109375" style="277" customWidth="1"/>
    <col min="10509" max="10509" width="4.7109375" style="277" customWidth="1"/>
    <col min="10510" max="10510" width="5.7109375" style="277" customWidth="1"/>
    <col min="10511" max="10511" width="3.42578125" style="277" customWidth="1"/>
    <col min="10512" max="10514" width="3.28515625" style="277" customWidth="1"/>
    <col min="10515" max="10519" width="4.85546875" style="277" customWidth="1"/>
    <col min="10520" max="10520" width="3.7109375" style="277" customWidth="1"/>
    <col min="10521" max="10521" width="0.85546875" style="277" customWidth="1"/>
    <col min="10522" max="10752" width="11.42578125" style="277"/>
    <col min="10753" max="10753" width="0.85546875" style="277" customWidth="1"/>
    <col min="10754" max="10754" width="3.7109375" style="277" customWidth="1"/>
    <col min="10755" max="10759" width="4.85546875" style="277" customWidth="1"/>
    <col min="10760" max="10762" width="3.28515625" style="277" customWidth="1"/>
    <col min="10763" max="10763" width="3.42578125" style="277" customWidth="1"/>
    <col min="10764" max="10764" width="5.7109375" style="277" customWidth="1"/>
    <col min="10765" max="10765" width="4.7109375" style="277" customWidth="1"/>
    <col min="10766" max="10766" width="5.7109375" style="277" customWidth="1"/>
    <col min="10767" max="10767" width="3.42578125" style="277" customWidth="1"/>
    <col min="10768" max="10770" width="3.28515625" style="277" customWidth="1"/>
    <col min="10771" max="10775" width="4.85546875" style="277" customWidth="1"/>
    <col min="10776" max="10776" width="3.7109375" style="277" customWidth="1"/>
    <col min="10777" max="10777" width="0.85546875" style="277" customWidth="1"/>
    <col min="10778" max="11008" width="11.42578125" style="277"/>
    <col min="11009" max="11009" width="0.85546875" style="277" customWidth="1"/>
    <col min="11010" max="11010" width="3.7109375" style="277" customWidth="1"/>
    <col min="11011" max="11015" width="4.85546875" style="277" customWidth="1"/>
    <col min="11016" max="11018" width="3.28515625" style="277" customWidth="1"/>
    <col min="11019" max="11019" width="3.42578125" style="277" customWidth="1"/>
    <col min="11020" max="11020" width="5.7109375" style="277" customWidth="1"/>
    <col min="11021" max="11021" width="4.7109375" style="277" customWidth="1"/>
    <col min="11022" max="11022" width="5.7109375" style="277" customWidth="1"/>
    <col min="11023" max="11023" width="3.42578125" style="277" customWidth="1"/>
    <col min="11024" max="11026" width="3.28515625" style="277" customWidth="1"/>
    <col min="11027" max="11031" width="4.85546875" style="277" customWidth="1"/>
    <col min="11032" max="11032" width="3.7109375" style="277" customWidth="1"/>
    <col min="11033" max="11033" width="0.85546875" style="277" customWidth="1"/>
    <col min="11034" max="11264" width="11.42578125" style="277"/>
    <col min="11265" max="11265" width="0.85546875" style="277" customWidth="1"/>
    <col min="11266" max="11266" width="3.7109375" style="277" customWidth="1"/>
    <col min="11267" max="11271" width="4.85546875" style="277" customWidth="1"/>
    <col min="11272" max="11274" width="3.28515625" style="277" customWidth="1"/>
    <col min="11275" max="11275" width="3.42578125" style="277" customWidth="1"/>
    <col min="11276" max="11276" width="5.7109375" style="277" customWidth="1"/>
    <col min="11277" max="11277" width="4.7109375" style="277" customWidth="1"/>
    <col min="11278" max="11278" width="5.7109375" style="277" customWidth="1"/>
    <col min="11279" max="11279" width="3.42578125" style="277" customWidth="1"/>
    <col min="11280" max="11282" width="3.28515625" style="277" customWidth="1"/>
    <col min="11283" max="11287" width="4.85546875" style="277" customWidth="1"/>
    <col min="11288" max="11288" width="3.7109375" style="277" customWidth="1"/>
    <col min="11289" max="11289" width="0.85546875" style="277" customWidth="1"/>
    <col min="11290" max="11520" width="11.42578125" style="277"/>
    <col min="11521" max="11521" width="0.85546875" style="277" customWidth="1"/>
    <col min="11522" max="11522" width="3.7109375" style="277" customWidth="1"/>
    <col min="11523" max="11527" width="4.85546875" style="277" customWidth="1"/>
    <col min="11528" max="11530" width="3.28515625" style="277" customWidth="1"/>
    <col min="11531" max="11531" width="3.42578125" style="277" customWidth="1"/>
    <col min="11532" max="11532" width="5.7109375" style="277" customWidth="1"/>
    <col min="11533" max="11533" width="4.7109375" style="277" customWidth="1"/>
    <col min="11534" max="11534" width="5.7109375" style="277" customWidth="1"/>
    <col min="11535" max="11535" width="3.42578125" style="277" customWidth="1"/>
    <col min="11536" max="11538" width="3.28515625" style="277" customWidth="1"/>
    <col min="11539" max="11543" width="4.85546875" style="277" customWidth="1"/>
    <col min="11544" max="11544" width="3.7109375" style="277" customWidth="1"/>
    <col min="11545" max="11545" width="0.85546875" style="277" customWidth="1"/>
    <col min="11546" max="11776" width="11.42578125" style="277"/>
    <col min="11777" max="11777" width="0.85546875" style="277" customWidth="1"/>
    <col min="11778" max="11778" width="3.7109375" style="277" customWidth="1"/>
    <col min="11779" max="11783" width="4.85546875" style="277" customWidth="1"/>
    <col min="11784" max="11786" width="3.28515625" style="277" customWidth="1"/>
    <col min="11787" max="11787" width="3.42578125" style="277" customWidth="1"/>
    <col min="11788" max="11788" width="5.7109375" style="277" customWidth="1"/>
    <col min="11789" max="11789" width="4.7109375" style="277" customWidth="1"/>
    <col min="11790" max="11790" width="5.7109375" style="277" customWidth="1"/>
    <col min="11791" max="11791" width="3.42578125" style="277" customWidth="1"/>
    <col min="11792" max="11794" width="3.28515625" style="277" customWidth="1"/>
    <col min="11795" max="11799" width="4.85546875" style="277" customWidth="1"/>
    <col min="11800" max="11800" width="3.7109375" style="277" customWidth="1"/>
    <col min="11801" max="11801" width="0.85546875" style="277" customWidth="1"/>
    <col min="11802" max="12032" width="11.42578125" style="277"/>
    <col min="12033" max="12033" width="0.85546875" style="277" customWidth="1"/>
    <col min="12034" max="12034" width="3.7109375" style="277" customWidth="1"/>
    <col min="12035" max="12039" width="4.85546875" style="277" customWidth="1"/>
    <col min="12040" max="12042" width="3.28515625" style="277" customWidth="1"/>
    <col min="12043" max="12043" width="3.42578125" style="277" customWidth="1"/>
    <col min="12044" max="12044" width="5.7109375" style="277" customWidth="1"/>
    <col min="12045" max="12045" width="4.7109375" style="277" customWidth="1"/>
    <col min="12046" max="12046" width="5.7109375" style="277" customWidth="1"/>
    <col min="12047" max="12047" width="3.42578125" style="277" customWidth="1"/>
    <col min="12048" max="12050" width="3.28515625" style="277" customWidth="1"/>
    <col min="12051" max="12055" width="4.85546875" style="277" customWidth="1"/>
    <col min="12056" max="12056" width="3.7109375" style="277" customWidth="1"/>
    <col min="12057" max="12057" width="0.85546875" style="277" customWidth="1"/>
    <col min="12058" max="12288" width="11.42578125" style="277"/>
    <col min="12289" max="12289" width="0.85546875" style="277" customWidth="1"/>
    <col min="12290" max="12290" width="3.7109375" style="277" customWidth="1"/>
    <col min="12291" max="12295" width="4.85546875" style="277" customWidth="1"/>
    <col min="12296" max="12298" width="3.28515625" style="277" customWidth="1"/>
    <col min="12299" max="12299" width="3.42578125" style="277" customWidth="1"/>
    <col min="12300" max="12300" width="5.7109375" style="277" customWidth="1"/>
    <col min="12301" max="12301" width="4.7109375" style="277" customWidth="1"/>
    <col min="12302" max="12302" width="5.7109375" style="277" customWidth="1"/>
    <col min="12303" max="12303" width="3.42578125" style="277" customWidth="1"/>
    <col min="12304" max="12306" width="3.28515625" style="277" customWidth="1"/>
    <col min="12307" max="12311" width="4.85546875" style="277" customWidth="1"/>
    <col min="12312" max="12312" width="3.7109375" style="277" customWidth="1"/>
    <col min="12313" max="12313" width="0.85546875" style="277" customWidth="1"/>
    <col min="12314" max="12544" width="11.42578125" style="277"/>
    <col min="12545" max="12545" width="0.85546875" style="277" customWidth="1"/>
    <col min="12546" max="12546" width="3.7109375" style="277" customWidth="1"/>
    <col min="12547" max="12551" width="4.85546875" style="277" customWidth="1"/>
    <col min="12552" max="12554" width="3.28515625" style="277" customWidth="1"/>
    <col min="12555" max="12555" width="3.42578125" style="277" customWidth="1"/>
    <col min="12556" max="12556" width="5.7109375" style="277" customWidth="1"/>
    <col min="12557" max="12557" width="4.7109375" style="277" customWidth="1"/>
    <col min="12558" max="12558" width="5.7109375" style="277" customWidth="1"/>
    <col min="12559" max="12559" width="3.42578125" style="277" customWidth="1"/>
    <col min="12560" max="12562" width="3.28515625" style="277" customWidth="1"/>
    <col min="12563" max="12567" width="4.85546875" style="277" customWidth="1"/>
    <col min="12568" max="12568" width="3.7109375" style="277" customWidth="1"/>
    <col min="12569" max="12569" width="0.85546875" style="277" customWidth="1"/>
    <col min="12570" max="12800" width="11.42578125" style="277"/>
    <col min="12801" max="12801" width="0.85546875" style="277" customWidth="1"/>
    <col min="12802" max="12802" width="3.7109375" style="277" customWidth="1"/>
    <col min="12803" max="12807" width="4.85546875" style="277" customWidth="1"/>
    <col min="12808" max="12810" width="3.28515625" style="277" customWidth="1"/>
    <col min="12811" max="12811" width="3.42578125" style="277" customWidth="1"/>
    <col min="12812" max="12812" width="5.7109375" style="277" customWidth="1"/>
    <col min="12813" max="12813" width="4.7109375" style="277" customWidth="1"/>
    <col min="12814" max="12814" width="5.7109375" style="277" customWidth="1"/>
    <col min="12815" max="12815" width="3.42578125" style="277" customWidth="1"/>
    <col min="12816" max="12818" width="3.28515625" style="277" customWidth="1"/>
    <col min="12819" max="12823" width="4.85546875" style="277" customWidth="1"/>
    <col min="12824" max="12824" width="3.7109375" style="277" customWidth="1"/>
    <col min="12825" max="12825" width="0.85546875" style="277" customWidth="1"/>
    <col min="12826" max="13056" width="11.42578125" style="277"/>
    <col min="13057" max="13057" width="0.85546875" style="277" customWidth="1"/>
    <col min="13058" max="13058" width="3.7109375" style="277" customWidth="1"/>
    <col min="13059" max="13063" width="4.85546875" style="277" customWidth="1"/>
    <col min="13064" max="13066" width="3.28515625" style="277" customWidth="1"/>
    <col min="13067" max="13067" width="3.42578125" style="277" customWidth="1"/>
    <col min="13068" max="13068" width="5.7109375" style="277" customWidth="1"/>
    <col min="13069" max="13069" width="4.7109375" style="277" customWidth="1"/>
    <col min="13070" max="13070" width="5.7109375" style="277" customWidth="1"/>
    <col min="13071" max="13071" width="3.42578125" style="277" customWidth="1"/>
    <col min="13072" max="13074" width="3.28515625" style="277" customWidth="1"/>
    <col min="13075" max="13079" width="4.85546875" style="277" customWidth="1"/>
    <col min="13080" max="13080" width="3.7109375" style="277" customWidth="1"/>
    <col min="13081" max="13081" width="0.85546875" style="277" customWidth="1"/>
    <col min="13082" max="13312" width="11.42578125" style="277"/>
    <col min="13313" max="13313" width="0.85546875" style="277" customWidth="1"/>
    <col min="13314" max="13314" width="3.7109375" style="277" customWidth="1"/>
    <col min="13315" max="13319" width="4.85546875" style="277" customWidth="1"/>
    <col min="13320" max="13322" width="3.28515625" style="277" customWidth="1"/>
    <col min="13323" max="13323" width="3.42578125" style="277" customWidth="1"/>
    <col min="13324" max="13324" width="5.7109375" style="277" customWidth="1"/>
    <col min="13325" max="13325" width="4.7109375" style="277" customWidth="1"/>
    <col min="13326" max="13326" width="5.7109375" style="277" customWidth="1"/>
    <col min="13327" max="13327" width="3.42578125" style="277" customWidth="1"/>
    <col min="13328" max="13330" width="3.28515625" style="277" customWidth="1"/>
    <col min="13331" max="13335" width="4.85546875" style="277" customWidth="1"/>
    <col min="13336" max="13336" width="3.7109375" style="277" customWidth="1"/>
    <col min="13337" max="13337" width="0.85546875" style="277" customWidth="1"/>
    <col min="13338" max="13568" width="11.42578125" style="277"/>
    <col min="13569" max="13569" width="0.85546875" style="277" customWidth="1"/>
    <col min="13570" max="13570" width="3.7109375" style="277" customWidth="1"/>
    <col min="13571" max="13575" width="4.85546875" style="277" customWidth="1"/>
    <col min="13576" max="13578" width="3.28515625" style="277" customWidth="1"/>
    <col min="13579" max="13579" width="3.42578125" style="277" customWidth="1"/>
    <col min="13580" max="13580" width="5.7109375" style="277" customWidth="1"/>
    <col min="13581" max="13581" width="4.7109375" style="277" customWidth="1"/>
    <col min="13582" max="13582" width="5.7109375" style="277" customWidth="1"/>
    <col min="13583" max="13583" width="3.42578125" style="277" customWidth="1"/>
    <col min="13584" max="13586" width="3.28515625" style="277" customWidth="1"/>
    <col min="13587" max="13591" width="4.85546875" style="277" customWidth="1"/>
    <col min="13592" max="13592" width="3.7109375" style="277" customWidth="1"/>
    <col min="13593" max="13593" width="0.85546875" style="277" customWidth="1"/>
    <col min="13594" max="13824" width="11.42578125" style="277"/>
    <col min="13825" max="13825" width="0.85546875" style="277" customWidth="1"/>
    <col min="13826" max="13826" width="3.7109375" style="277" customWidth="1"/>
    <col min="13827" max="13831" width="4.85546875" style="277" customWidth="1"/>
    <col min="13832" max="13834" width="3.28515625" style="277" customWidth="1"/>
    <col min="13835" max="13835" width="3.42578125" style="277" customWidth="1"/>
    <col min="13836" max="13836" width="5.7109375" style="277" customWidth="1"/>
    <col min="13837" max="13837" width="4.7109375" style="277" customWidth="1"/>
    <col min="13838" max="13838" width="5.7109375" style="277" customWidth="1"/>
    <col min="13839" max="13839" width="3.42578125" style="277" customWidth="1"/>
    <col min="13840" max="13842" width="3.28515625" style="277" customWidth="1"/>
    <col min="13843" max="13847" width="4.85546875" style="277" customWidth="1"/>
    <col min="13848" max="13848" width="3.7109375" style="277" customWidth="1"/>
    <col min="13849" max="13849" width="0.85546875" style="277" customWidth="1"/>
    <col min="13850" max="14080" width="11.42578125" style="277"/>
    <col min="14081" max="14081" width="0.85546875" style="277" customWidth="1"/>
    <col min="14082" max="14082" width="3.7109375" style="277" customWidth="1"/>
    <col min="14083" max="14087" width="4.85546875" style="277" customWidth="1"/>
    <col min="14088" max="14090" width="3.28515625" style="277" customWidth="1"/>
    <col min="14091" max="14091" width="3.42578125" style="277" customWidth="1"/>
    <col min="14092" max="14092" width="5.7109375" style="277" customWidth="1"/>
    <col min="14093" max="14093" width="4.7109375" style="277" customWidth="1"/>
    <col min="14094" max="14094" width="5.7109375" style="277" customWidth="1"/>
    <col min="14095" max="14095" width="3.42578125" style="277" customWidth="1"/>
    <col min="14096" max="14098" width="3.28515625" style="277" customWidth="1"/>
    <col min="14099" max="14103" width="4.85546875" style="277" customWidth="1"/>
    <col min="14104" max="14104" width="3.7109375" style="277" customWidth="1"/>
    <col min="14105" max="14105" width="0.85546875" style="277" customWidth="1"/>
    <col min="14106" max="14336" width="11.42578125" style="277"/>
    <col min="14337" max="14337" width="0.85546875" style="277" customWidth="1"/>
    <col min="14338" max="14338" width="3.7109375" style="277" customWidth="1"/>
    <col min="14339" max="14343" width="4.85546875" style="277" customWidth="1"/>
    <col min="14344" max="14346" width="3.28515625" style="277" customWidth="1"/>
    <col min="14347" max="14347" width="3.42578125" style="277" customWidth="1"/>
    <col min="14348" max="14348" width="5.7109375" style="277" customWidth="1"/>
    <col min="14349" max="14349" width="4.7109375" style="277" customWidth="1"/>
    <col min="14350" max="14350" width="5.7109375" style="277" customWidth="1"/>
    <col min="14351" max="14351" width="3.42578125" style="277" customWidth="1"/>
    <col min="14352" max="14354" width="3.28515625" style="277" customWidth="1"/>
    <col min="14355" max="14359" width="4.85546875" style="277" customWidth="1"/>
    <col min="14360" max="14360" width="3.7109375" style="277" customWidth="1"/>
    <col min="14361" max="14361" width="0.85546875" style="277" customWidth="1"/>
    <col min="14362" max="14592" width="11.42578125" style="277"/>
    <col min="14593" max="14593" width="0.85546875" style="277" customWidth="1"/>
    <col min="14594" max="14594" width="3.7109375" style="277" customWidth="1"/>
    <col min="14595" max="14599" width="4.85546875" style="277" customWidth="1"/>
    <col min="14600" max="14602" width="3.28515625" style="277" customWidth="1"/>
    <col min="14603" max="14603" width="3.42578125" style="277" customWidth="1"/>
    <col min="14604" max="14604" width="5.7109375" style="277" customWidth="1"/>
    <col min="14605" max="14605" width="4.7109375" style="277" customWidth="1"/>
    <col min="14606" max="14606" width="5.7109375" style="277" customWidth="1"/>
    <col min="14607" max="14607" width="3.42578125" style="277" customWidth="1"/>
    <col min="14608" max="14610" width="3.28515625" style="277" customWidth="1"/>
    <col min="14611" max="14615" width="4.85546875" style="277" customWidth="1"/>
    <col min="14616" max="14616" width="3.7109375" style="277" customWidth="1"/>
    <col min="14617" max="14617" width="0.85546875" style="277" customWidth="1"/>
    <col min="14618" max="14848" width="11.42578125" style="277"/>
    <col min="14849" max="14849" width="0.85546875" style="277" customWidth="1"/>
    <col min="14850" max="14850" width="3.7109375" style="277" customWidth="1"/>
    <col min="14851" max="14855" width="4.85546875" style="277" customWidth="1"/>
    <col min="14856" max="14858" width="3.28515625" style="277" customWidth="1"/>
    <col min="14859" max="14859" width="3.42578125" style="277" customWidth="1"/>
    <col min="14860" max="14860" width="5.7109375" style="277" customWidth="1"/>
    <col min="14861" max="14861" width="4.7109375" style="277" customWidth="1"/>
    <col min="14862" max="14862" width="5.7109375" style="277" customWidth="1"/>
    <col min="14863" max="14863" width="3.42578125" style="277" customWidth="1"/>
    <col min="14864" max="14866" width="3.28515625" style="277" customWidth="1"/>
    <col min="14867" max="14871" width="4.85546875" style="277" customWidth="1"/>
    <col min="14872" max="14872" width="3.7109375" style="277" customWidth="1"/>
    <col min="14873" max="14873" width="0.85546875" style="277" customWidth="1"/>
    <col min="14874" max="15104" width="11.42578125" style="277"/>
    <col min="15105" max="15105" width="0.85546875" style="277" customWidth="1"/>
    <col min="15106" max="15106" width="3.7109375" style="277" customWidth="1"/>
    <col min="15107" max="15111" width="4.85546875" style="277" customWidth="1"/>
    <col min="15112" max="15114" width="3.28515625" style="277" customWidth="1"/>
    <col min="15115" max="15115" width="3.42578125" style="277" customWidth="1"/>
    <col min="15116" max="15116" width="5.7109375" style="277" customWidth="1"/>
    <col min="15117" max="15117" width="4.7109375" style="277" customWidth="1"/>
    <col min="15118" max="15118" width="5.7109375" style="277" customWidth="1"/>
    <col min="15119" max="15119" width="3.42578125" style="277" customWidth="1"/>
    <col min="15120" max="15122" width="3.28515625" style="277" customWidth="1"/>
    <col min="15123" max="15127" width="4.85546875" style="277" customWidth="1"/>
    <col min="15128" max="15128" width="3.7109375" style="277" customWidth="1"/>
    <col min="15129" max="15129" width="0.85546875" style="277" customWidth="1"/>
    <col min="15130" max="15360" width="11.42578125" style="277"/>
    <col min="15361" max="15361" width="0.85546875" style="277" customWidth="1"/>
    <col min="15362" max="15362" width="3.7109375" style="277" customWidth="1"/>
    <col min="15363" max="15367" width="4.85546875" style="277" customWidth="1"/>
    <col min="15368" max="15370" width="3.28515625" style="277" customWidth="1"/>
    <col min="15371" max="15371" width="3.42578125" style="277" customWidth="1"/>
    <col min="15372" max="15372" width="5.7109375" style="277" customWidth="1"/>
    <col min="15373" max="15373" width="4.7109375" style="277" customWidth="1"/>
    <col min="15374" max="15374" width="5.7109375" style="277" customWidth="1"/>
    <col min="15375" max="15375" width="3.42578125" style="277" customWidth="1"/>
    <col min="15376" max="15378" width="3.28515625" style="277" customWidth="1"/>
    <col min="15379" max="15383" width="4.85546875" style="277" customWidth="1"/>
    <col min="15384" max="15384" width="3.7109375" style="277" customWidth="1"/>
    <col min="15385" max="15385" width="0.85546875" style="277" customWidth="1"/>
    <col min="15386" max="15616" width="11.42578125" style="277"/>
    <col min="15617" max="15617" width="0.85546875" style="277" customWidth="1"/>
    <col min="15618" max="15618" width="3.7109375" style="277" customWidth="1"/>
    <col min="15619" max="15623" width="4.85546875" style="277" customWidth="1"/>
    <col min="15624" max="15626" width="3.28515625" style="277" customWidth="1"/>
    <col min="15627" max="15627" width="3.42578125" style="277" customWidth="1"/>
    <col min="15628" max="15628" width="5.7109375" style="277" customWidth="1"/>
    <col min="15629" max="15629" width="4.7109375" style="277" customWidth="1"/>
    <col min="15630" max="15630" width="5.7109375" style="277" customWidth="1"/>
    <col min="15631" max="15631" width="3.42578125" style="277" customWidth="1"/>
    <col min="15632" max="15634" width="3.28515625" style="277" customWidth="1"/>
    <col min="15635" max="15639" width="4.85546875" style="277" customWidth="1"/>
    <col min="15640" max="15640" width="3.7109375" style="277" customWidth="1"/>
    <col min="15641" max="15641" width="0.85546875" style="277" customWidth="1"/>
    <col min="15642" max="15872" width="11.42578125" style="277"/>
    <col min="15873" max="15873" width="0.85546875" style="277" customWidth="1"/>
    <col min="15874" max="15874" width="3.7109375" style="277" customWidth="1"/>
    <col min="15875" max="15879" width="4.85546875" style="277" customWidth="1"/>
    <col min="15880" max="15882" width="3.28515625" style="277" customWidth="1"/>
    <col min="15883" max="15883" width="3.42578125" style="277" customWidth="1"/>
    <col min="15884" max="15884" width="5.7109375" style="277" customWidth="1"/>
    <col min="15885" max="15885" width="4.7109375" style="277" customWidth="1"/>
    <col min="15886" max="15886" width="5.7109375" style="277" customWidth="1"/>
    <col min="15887" max="15887" width="3.42578125" style="277" customWidth="1"/>
    <col min="15888" max="15890" width="3.28515625" style="277" customWidth="1"/>
    <col min="15891" max="15895" width="4.85546875" style="277" customWidth="1"/>
    <col min="15896" max="15896" width="3.7109375" style="277" customWidth="1"/>
    <col min="15897" max="15897" width="0.85546875" style="277" customWidth="1"/>
    <col min="15898" max="16128" width="11.42578125" style="277"/>
    <col min="16129" max="16129" width="0.85546875" style="277" customWidth="1"/>
    <col min="16130" max="16130" width="3.7109375" style="277" customWidth="1"/>
    <col min="16131" max="16135" width="4.85546875" style="277" customWidth="1"/>
    <col min="16136" max="16138" width="3.28515625" style="277" customWidth="1"/>
    <col min="16139" max="16139" width="3.42578125" style="277" customWidth="1"/>
    <col min="16140" max="16140" width="5.7109375" style="277" customWidth="1"/>
    <col min="16141" max="16141" width="4.7109375" style="277" customWidth="1"/>
    <col min="16142" max="16142" width="5.7109375" style="277" customWidth="1"/>
    <col min="16143" max="16143" width="3.42578125" style="277" customWidth="1"/>
    <col min="16144" max="16146" width="3.28515625" style="277" customWidth="1"/>
    <col min="16147" max="16151" width="4.85546875" style="277" customWidth="1"/>
    <col min="16152" max="16152" width="3.7109375" style="277" customWidth="1"/>
    <col min="16153" max="16153" width="0.85546875" style="277" customWidth="1"/>
    <col min="16154" max="16384" width="11.42578125" style="277"/>
  </cols>
  <sheetData>
    <row r="2" spans="2:27" ht="27" thickBot="1" x14ac:dyDescent="0.3">
      <c r="H2" s="277"/>
      <c r="J2" s="278"/>
      <c r="R2" s="278"/>
      <c r="S2" s="277"/>
      <c r="T2" s="277"/>
      <c r="U2" s="277"/>
      <c r="V2" s="277"/>
      <c r="AA2" s="279" t="s">
        <v>168</v>
      </c>
    </row>
    <row r="3" spans="2:27" ht="39.75" customHeight="1" thickBot="1" x14ac:dyDescent="0.3">
      <c r="B3" s="558" t="e" vm="1">
        <v>#VALUE!</v>
      </c>
      <c r="C3" s="559"/>
      <c r="D3" s="559"/>
      <c r="E3" s="559"/>
      <c r="F3" s="559"/>
      <c r="G3" s="559"/>
      <c r="H3" s="559"/>
      <c r="I3" s="559"/>
      <c r="J3" s="559"/>
      <c r="K3" s="559"/>
      <c r="L3" s="559"/>
      <c r="M3" s="559"/>
      <c r="N3" s="559"/>
      <c r="O3" s="559"/>
      <c r="P3" s="559"/>
      <c r="Q3" s="559"/>
      <c r="R3" s="560"/>
      <c r="S3" s="561" t="s">
        <v>169</v>
      </c>
      <c r="T3" s="562"/>
      <c r="U3" s="563">
        <f>AA3</f>
        <v>32</v>
      </c>
      <c r="V3" s="563"/>
      <c r="W3" s="563"/>
      <c r="X3" s="564"/>
      <c r="Y3" s="277">
        <f>AA3</f>
        <v>32</v>
      </c>
      <c r="AA3" s="280">
        <v>32</v>
      </c>
    </row>
    <row r="4" spans="2:27" ht="13.5" thickBot="1" x14ac:dyDescent="0.3">
      <c r="B4" s="561" t="s">
        <v>170</v>
      </c>
      <c r="C4" s="562"/>
      <c r="D4" s="565" t="str">
        <f>IF(U3=0,"",VLOOKUP(U3,'LLAVE 32'!$BL$5:$CB$437,16,FALSE))</f>
        <v>U19 MASCULINO</v>
      </c>
      <c r="E4" s="565"/>
      <c r="F4" s="565"/>
      <c r="G4" s="565"/>
      <c r="H4" s="565"/>
      <c r="I4" s="565"/>
      <c r="J4" s="566"/>
      <c r="K4" s="561" t="s">
        <v>171</v>
      </c>
      <c r="L4" s="562"/>
      <c r="M4" s="565" t="str">
        <f>IF(U3=0,"",VLOOKUP(U3,'LLAVE 32'!$BL$5:$CB$437,17,FALSE))</f>
        <v>FINAL</v>
      </c>
      <c r="N4" s="565"/>
      <c r="O4" s="565"/>
      <c r="P4" s="565"/>
      <c r="Q4" s="565"/>
      <c r="R4" s="566"/>
      <c r="S4" s="567" t="str">
        <f>IF(U3=0,"",VLOOKUP(U3,'LLAVE 32'!$BL$5:$CB$437,2,FALSE))</f>
        <v>28/Sep</v>
      </c>
      <c r="T4" s="568"/>
      <c r="U4" s="569">
        <f>IF(U3=0,"",VLOOKUP(U3,'LLAVE 32'!$BL$5:$CB$437,3,FALSE))</f>
        <v>0</v>
      </c>
      <c r="V4" s="570"/>
      <c r="W4" s="571" t="e">
        <f>IF(U3=0,"","Table "&amp;VLOOKUP(U3,'LLAVE 32'!$BM$8:$DE$437,4,FALSE))</f>
        <v>#N/A</v>
      </c>
      <c r="X4" s="566"/>
    </row>
    <row r="6" spans="2:27" ht="13.5" thickBot="1" x14ac:dyDescent="0.3">
      <c r="G6" s="281" t="s">
        <v>172</v>
      </c>
      <c r="H6" s="281" t="s">
        <v>173</v>
      </c>
      <c r="I6" s="281" t="s">
        <v>174</v>
      </c>
      <c r="J6" s="281" t="s">
        <v>175</v>
      </c>
      <c r="K6" s="281" t="s">
        <v>176</v>
      </c>
      <c r="L6" s="282"/>
      <c r="M6" s="283" t="s">
        <v>70</v>
      </c>
      <c r="N6" s="284"/>
      <c r="O6" s="281" t="s">
        <v>176</v>
      </c>
      <c r="P6" s="281" t="s">
        <v>173</v>
      </c>
      <c r="Q6" s="281" t="s">
        <v>174</v>
      </c>
      <c r="R6" s="281" t="s">
        <v>175</v>
      </c>
      <c r="S6" s="281" t="s">
        <v>172</v>
      </c>
      <c r="T6" s="285"/>
    </row>
    <row r="7" spans="2:27" ht="25.5" thickTop="1" x14ac:dyDescent="0.25">
      <c r="B7" s="572" t="s">
        <v>177</v>
      </c>
      <c r="C7" s="286"/>
      <c r="D7" s="287"/>
      <c r="E7" s="288">
        <f ca="1">IF(U3=0,"",VLOOKUP(U3,'LLAVE 32'!$BL$5:$CB$437,14,FALSE))</f>
        <v>2895</v>
      </c>
      <c r="F7" s="289"/>
      <c r="G7" s="290"/>
      <c r="H7" s="290"/>
      <c r="I7" s="290"/>
      <c r="J7" s="290"/>
      <c r="K7" s="291"/>
      <c r="L7" s="292"/>
      <c r="M7" s="293" t="s">
        <v>178</v>
      </c>
      <c r="N7" s="294"/>
      <c r="O7" s="295"/>
      <c r="P7" s="290"/>
      <c r="Q7" s="290"/>
      <c r="R7" s="290"/>
      <c r="S7" s="290"/>
      <c r="T7" s="296"/>
      <c r="U7" s="288">
        <f ca="1">IF(U3=0,"",VLOOKUP(U3,'LLAVE 32'!$BL$5:$CB$437,15,FALSE))</f>
        <v>2623</v>
      </c>
      <c r="V7" s="297"/>
      <c r="W7" s="298"/>
      <c r="X7" s="572" t="s">
        <v>179</v>
      </c>
    </row>
    <row r="8" spans="2:27" ht="24.75" x14ac:dyDescent="0.25">
      <c r="B8" s="573"/>
      <c r="C8" s="299"/>
      <c r="D8" s="300"/>
      <c r="E8" s="300" t="str">
        <f ca="1">IF(E7=0,0,VLOOKUP(E7,Inscripciones!$B$1:$K$405,2,FALSE))</f>
        <v>ANDRES JOSE VEGA VALERIO</v>
      </c>
      <c r="F8" s="300"/>
      <c r="G8" s="301"/>
      <c r="H8" s="290"/>
      <c r="I8" s="290"/>
      <c r="J8" s="290"/>
      <c r="K8" s="291"/>
      <c r="L8" s="302"/>
      <c r="M8" s="303" t="s">
        <v>180</v>
      </c>
      <c r="N8" s="304"/>
      <c r="O8" s="295"/>
      <c r="P8" s="290"/>
      <c r="Q8" s="290"/>
      <c r="R8" s="290"/>
      <c r="S8" s="305"/>
      <c r="T8" s="306"/>
      <c r="U8" s="300" t="str">
        <f ca="1">IF(U7=0,0,VLOOKUP(U7,Inscripciones!$B$1:$K$405,2,FALSE))</f>
        <v>MATEO MONGE ARROYO</v>
      </c>
      <c r="V8" s="300"/>
      <c r="W8" s="307"/>
      <c r="X8" s="573"/>
    </row>
    <row r="9" spans="2:27" ht="24.75" x14ac:dyDescent="0.25">
      <c r="B9" s="573"/>
      <c r="C9" s="575" t="str">
        <f ca="1">IF(E7=0,0,VLOOKUP(E7,Inscripciones!$B$1:$K$405,3,FALSE))</f>
        <v>ALAJUELA - UCR</v>
      </c>
      <c r="D9" s="576"/>
      <c r="E9" s="576"/>
      <c r="F9" s="576"/>
      <c r="G9" s="577"/>
      <c r="H9" s="290"/>
      <c r="I9" s="290"/>
      <c r="J9" s="290"/>
      <c r="K9" s="291"/>
      <c r="L9" s="302"/>
      <c r="M9" s="303" t="s">
        <v>181</v>
      </c>
      <c r="N9" s="304"/>
      <c r="O9" s="295"/>
      <c r="P9" s="290"/>
      <c r="Q9" s="290"/>
      <c r="R9" s="290"/>
      <c r="S9" s="575" t="str">
        <f ca="1">IF(U7=0,0,VLOOKUP(U7,Inscripciones!$B$1:$K$405,3,FALSE))</f>
        <v>SANTA ANA</v>
      </c>
      <c r="T9" s="576"/>
      <c r="U9" s="576"/>
      <c r="V9" s="576"/>
      <c r="W9" s="577"/>
      <c r="X9" s="573"/>
    </row>
    <row r="10" spans="2:27" ht="36.75" x14ac:dyDescent="0.25">
      <c r="B10" s="573"/>
      <c r="C10" s="299"/>
      <c r="D10" s="288"/>
      <c r="E10" s="288"/>
      <c r="F10" s="288"/>
      <c r="G10" s="301"/>
      <c r="H10" s="290"/>
      <c r="I10" s="290"/>
      <c r="J10" s="290"/>
      <c r="K10" s="291"/>
      <c r="L10" s="308" t="str">
        <f>IF(U3&lt;29,"X","")</f>
        <v/>
      </c>
      <c r="M10" s="303" t="s">
        <v>182</v>
      </c>
      <c r="N10" s="309" t="str">
        <f>IF(U3&lt;29,"X","")</f>
        <v/>
      </c>
      <c r="O10" s="295"/>
      <c r="P10" s="290"/>
      <c r="Q10" s="290"/>
      <c r="R10" s="290"/>
      <c r="S10" s="305" t="str">
        <f>IF(ISBLANK(R10),"",VLOOKUP(R10,Inscripciones!$A$1:$L$200,2,FALSE))</f>
        <v/>
      </c>
      <c r="T10" s="310"/>
      <c r="U10" s="288"/>
      <c r="V10" s="288"/>
      <c r="W10" s="307"/>
      <c r="X10" s="573"/>
    </row>
    <row r="11" spans="2:27" ht="37.5" thickBot="1" x14ac:dyDescent="0.3">
      <c r="B11" s="573"/>
      <c r="C11" s="575"/>
      <c r="D11" s="576"/>
      <c r="E11" s="576"/>
      <c r="F11" s="576"/>
      <c r="G11" s="577"/>
      <c r="H11" s="290"/>
      <c r="I11" s="290"/>
      <c r="J11" s="290"/>
      <c r="K11" s="291"/>
      <c r="L11" s="308" t="str">
        <f>IF(U3&lt;29,"X","")</f>
        <v/>
      </c>
      <c r="M11" s="303" t="s">
        <v>183</v>
      </c>
      <c r="N11" s="311" t="str">
        <f>IF(U3&lt;29,"X","")</f>
        <v/>
      </c>
      <c r="O11" s="295"/>
      <c r="P11" s="290"/>
      <c r="Q11" s="290"/>
      <c r="R11" s="290"/>
      <c r="S11" s="575" t="str">
        <f>IF(ISBLANK(R11),"",VLOOKUP(R11,Inscripciones!$A$1:$L$200,2,FALSE))</f>
        <v/>
      </c>
      <c r="T11" s="576"/>
      <c r="U11" s="576"/>
      <c r="V11" s="576"/>
      <c r="W11" s="577"/>
      <c r="X11" s="573"/>
    </row>
    <row r="12" spans="2:27" ht="37.5" thickTop="1" x14ac:dyDescent="0.25">
      <c r="B12" s="573"/>
      <c r="C12" s="299"/>
      <c r="D12" s="578"/>
      <c r="E12" s="579"/>
      <c r="F12" s="580"/>
      <c r="G12" s="312"/>
      <c r="H12" s="290"/>
      <c r="I12" s="290"/>
      <c r="J12" s="290"/>
      <c r="K12" s="291"/>
      <c r="L12" s="308" t="str">
        <f>IF(U3&lt;600,"X","")</f>
        <v>X</v>
      </c>
      <c r="M12" s="303" t="s">
        <v>184</v>
      </c>
      <c r="N12" s="309" t="str">
        <f>IF(U3&lt;600,"X","")</f>
        <v>X</v>
      </c>
      <c r="O12" s="295"/>
      <c r="P12" s="290"/>
      <c r="Q12" s="290"/>
      <c r="R12" s="290"/>
      <c r="S12" s="313" t="str">
        <f>IF(ISBLANK(R12),"",VLOOKUP(R12,Inscripciones!$A$1:$L$200,2,FALSE))</f>
        <v/>
      </c>
      <c r="T12" s="578" t="str">
        <f>IF(ISBLANK(R12),"",VLOOKUP(R12,Inscripciones!$A$1:$L$200,3,FALSE))</f>
        <v/>
      </c>
      <c r="U12" s="579"/>
      <c r="V12" s="580"/>
      <c r="W12" s="307"/>
      <c r="X12" s="573"/>
    </row>
    <row r="13" spans="2:27" ht="37.5" thickBot="1" x14ac:dyDescent="0.3">
      <c r="B13" s="574"/>
      <c r="C13" s="314"/>
      <c r="D13" s="581"/>
      <c r="E13" s="582"/>
      <c r="F13" s="583"/>
      <c r="G13" s="315"/>
      <c r="H13" s="290"/>
      <c r="I13" s="290"/>
      <c r="J13" s="290"/>
      <c r="K13" s="291"/>
      <c r="L13" s="316" t="str">
        <f>IF(U3&lt;600,"X","")</f>
        <v>X</v>
      </c>
      <c r="M13" s="317" t="s">
        <v>185</v>
      </c>
      <c r="N13" s="311" t="str">
        <f>IF(U3&lt;600,"X","")</f>
        <v>X</v>
      </c>
      <c r="O13" s="295"/>
      <c r="P13" s="290"/>
      <c r="Q13" s="290"/>
      <c r="R13" s="290"/>
      <c r="S13" s="318" t="str">
        <f>IF(ISBLANK(R13),"",VLOOKUP(R13,Inscripciones!$A$1:$L$200,2,FALSE))</f>
        <v/>
      </c>
      <c r="T13" s="581"/>
      <c r="U13" s="582"/>
      <c r="V13" s="583"/>
      <c r="W13" s="319"/>
      <c r="X13" s="574"/>
    </row>
    <row r="14" spans="2:27" ht="14.25" thickTop="1" thickBot="1" x14ac:dyDescent="0.3">
      <c r="D14" s="320"/>
      <c r="S14" s="278" t="str">
        <f>IF(ISBLANK(R14),"",VLOOKUP(R14,Inscripciones!$A$1:$L$200,2,FALSE))</f>
        <v/>
      </c>
      <c r="T14" s="278" t="str">
        <f>IF(ISBLANK(R14),"",VLOOKUP(R14,Inscripciones!$A$1:$L$200,3,FALSE))</f>
        <v/>
      </c>
    </row>
    <row r="15" spans="2:27" ht="23.45" customHeight="1" thickBot="1" x14ac:dyDescent="0.3">
      <c r="B15" s="561" t="s">
        <v>186</v>
      </c>
      <c r="C15" s="562"/>
      <c r="D15" s="321" t="s">
        <v>187</v>
      </c>
      <c r="E15" s="584" t="e">
        <f>IF(D15=0,0,VLOOKUP(D15,Inscripciones!$A$1:$L$200,2,FALSE))</f>
        <v>#N/A</v>
      </c>
      <c r="F15" s="585"/>
      <c r="G15" s="585"/>
      <c r="H15" s="585"/>
      <c r="I15" s="585"/>
      <c r="J15" s="585"/>
      <c r="K15" s="585"/>
      <c r="L15" s="586"/>
      <c r="M15" s="277"/>
      <c r="N15" s="277"/>
      <c r="O15" s="587" t="s">
        <v>188</v>
      </c>
      <c r="P15" s="588"/>
      <c r="Q15" s="588"/>
      <c r="R15" s="588"/>
      <c r="S15" s="588"/>
      <c r="T15" s="588"/>
      <c r="U15" s="588"/>
      <c r="V15" s="588"/>
      <c r="W15" s="589"/>
      <c r="X15" s="322"/>
    </row>
    <row r="16" spans="2:27" x14ac:dyDescent="0.25">
      <c r="S16" s="278" t="str">
        <f>IF(ISBLANK(R16),"",VLOOKUP(R16,Inscripciones!$A$1:$L$200,2,FALSE))</f>
        <v/>
      </c>
      <c r="T16" s="278" t="str">
        <f>IF(ISBLANK(R16),"",VLOOKUP(R16,Inscripciones!$A$1:$L$200,3,FALSE))</f>
        <v/>
      </c>
    </row>
    <row r="17" spans="2:24" ht="23.45" customHeight="1" x14ac:dyDescent="0.25">
      <c r="B17" s="590" t="s">
        <v>189</v>
      </c>
      <c r="C17" s="591"/>
      <c r="D17" s="591"/>
      <c r="E17" s="592"/>
      <c r="F17" s="323"/>
      <c r="G17" s="323"/>
      <c r="H17" s="323"/>
      <c r="I17" s="323"/>
      <c r="J17" s="324"/>
      <c r="K17" s="323"/>
      <c r="L17" s="325"/>
      <c r="N17" s="326"/>
      <c r="O17" s="324"/>
      <c r="P17" s="324"/>
      <c r="Q17" s="323"/>
      <c r="R17" s="323"/>
      <c r="S17" s="323" t="str">
        <f>IF(ISBLANK(R17),"",VLOOKUP(R17,Inscripciones!$A$1:$L$200,2,FALSE))</f>
        <v/>
      </c>
      <c r="T17" s="323" t="str">
        <f>IF(ISBLANK(R17),"",VLOOKUP(R17,Inscripciones!$A$1:$L$200,3,FALSE))</f>
        <v/>
      </c>
      <c r="U17" s="590" t="s">
        <v>190</v>
      </c>
      <c r="V17" s="591"/>
      <c r="W17" s="591"/>
      <c r="X17" s="592"/>
    </row>
    <row r="18" spans="2:24" ht="44.25" customHeight="1" x14ac:dyDescent="0.25"/>
    <row r="19" spans="2:24" ht="24.75" customHeight="1" x14ac:dyDescent="0.25">
      <c r="B19" s="587" t="s">
        <v>191</v>
      </c>
      <c r="C19" s="588"/>
      <c r="D19" s="593"/>
      <c r="E19" s="327"/>
      <c r="F19" s="594"/>
      <c r="G19" s="595"/>
      <c r="H19" s="595"/>
      <c r="I19" s="595"/>
      <c r="J19" s="595"/>
      <c r="K19" s="596"/>
      <c r="L19" s="328"/>
      <c r="N19" s="597" t="s">
        <v>192</v>
      </c>
      <c r="O19" s="598"/>
      <c r="P19" s="598"/>
      <c r="Q19" s="599"/>
      <c r="R19" s="329"/>
      <c r="S19" s="329"/>
      <c r="T19" s="329"/>
      <c r="U19" s="329"/>
      <c r="V19" s="330"/>
      <c r="W19" s="329"/>
      <c r="X19" s="331"/>
    </row>
    <row r="20" spans="2:24" ht="24.75" customHeight="1" x14ac:dyDescent="0.25">
      <c r="B20" s="600" t="s">
        <v>193</v>
      </c>
      <c r="C20" s="601"/>
      <c r="D20" s="602"/>
      <c r="E20" s="327"/>
      <c r="F20" s="594"/>
      <c r="G20" s="595"/>
      <c r="H20" s="595"/>
      <c r="I20" s="595"/>
      <c r="J20" s="595"/>
      <c r="K20" s="596"/>
      <c r="L20" s="328"/>
      <c r="N20" s="597" t="s">
        <v>194</v>
      </c>
      <c r="O20" s="598"/>
      <c r="P20" s="598"/>
      <c r="Q20" s="599"/>
      <c r="R20" s="332"/>
      <c r="S20" s="332"/>
      <c r="T20" s="332"/>
      <c r="U20" s="332"/>
      <c r="V20" s="333"/>
      <c r="W20" s="332"/>
      <c r="X20" s="315"/>
    </row>
    <row r="21" spans="2:24" ht="15" customHeight="1" x14ac:dyDescent="0.25">
      <c r="E21" s="277"/>
      <c r="F21" s="277"/>
      <c r="G21" s="277"/>
      <c r="H21" s="277"/>
      <c r="I21" s="277"/>
      <c r="K21" s="277"/>
      <c r="L21" s="277"/>
      <c r="M21" s="277"/>
      <c r="N21" s="277"/>
      <c r="O21" s="277"/>
      <c r="P21" s="277"/>
      <c r="Q21" s="277"/>
      <c r="S21" s="277" t="str">
        <f>IF(ISBLANK(R21),"",VLOOKUP(R21,Inscripciones!$A$1:$L$200,2,FALSE))</f>
        <v/>
      </c>
      <c r="T21" s="277" t="str">
        <f>IF(ISBLANK(R21),"",VLOOKUP(R21,Inscripciones!$A$1:$L$200,3,FALSE))</f>
        <v/>
      </c>
      <c r="U21" s="277"/>
      <c r="V21" s="277"/>
    </row>
    <row r="22" spans="2:24" ht="15" customHeight="1" thickBot="1" x14ac:dyDescent="0.3">
      <c r="E22" s="277"/>
      <c r="F22" s="277"/>
      <c r="G22" s="277"/>
      <c r="H22" s="277"/>
      <c r="I22" s="277"/>
      <c r="K22" s="277"/>
      <c r="L22" s="277"/>
      <c r="M22" s="277"/>
      <c r="N22" s="277"/>
      <c r="O22" s="277"/>
      <c r="P22" s="277"/>
      <c r="Q22" s="277"/>
      <c r="S22" s="277"/>
      <c r="T22" s="277"/>
      <c r="U22" s="277"/>
      <c r="V22" s="277"/>
    </row>
    <row r="23" spans="2:24" ht="45" customHeight="1" thickBot="1" x14ac:dyDescent="0.3">
      <c r="B23" s="558" t="e" vm="1">
        <v>#VALUE!</v>
      </c>
      <c r="C23" s="559"/>
      <c r="D23" s="559"/>
      <c r="E23" s="559"/>
      <c r="F23" s="559"/>
      <c r="G23" s="559"/>
      <c r="H23" s="559"/>
      <c r="I23" s="559"/>
      <c r="J23" s="559"/>
      <c r="K23" s="559"/>
      <c r="L23" s="559"/>
      <c r="M23" s="559"/>
      <c r="N23" s="559"/>
      <c r="O23" s="559"/>
      <c r="P23" s="559"/>
      <c r="Q23" s="559"/>
      <c r="R23" s="560"/>
      <c r="S23" s="561" t="s">
        <v>169</v>
      </c>
      <c r="T23" s="562"/>
      <c r="U23" s="563">
        <f>1+U3</f>
        <v>33</v>
      </c>
      <c r="V23" s="563"/>
      <c r="W23" s="563"/>
      <c r="X23" s="564"/>
    </row>
    <row r="24" spans="2:24" ht="20.100000000000001" customHeight="1" thickBot="1" x14ac:dyDescent="0.3">
      <c r="B24" s="561" t="s">
        <v>170</v>
      </c>
      <c r="C24" s="562"/>
      <c r="D24" s="565" t="e">
        <f>IF(U23=0,"",VLOOKUP(U23,'LLAVE 32'!$BL$5:$CB$437,16,FALSE))</f>
        <v>#N/A</v>
      </c>
      <c r="E24" s="565"/>
      <c r="F24" s="565"/>
      <c r="G24" s="565"/>
      <c r="H24" s="565"/>
      <c r="I24" s="565"/>
      <c r="J24" s="566"/>
      <c r="K24" s="561" t="s">
        <v>171</v>
      </c>
      <c r="L24" s="562"/>
      <c r="M24" s="565" t="e">
        <f>IF(U23=0,"",VLOOKUP(U23,'LLAVE 32'!$BL$5:$CB$437,17,FALSE))</f>
        <v>#N/A</v>
      </c>
      <c r="N24" s="565"/>
      <c r="O24" s="565"/>
      <c r="P24" s="565"/>
      <c r="Q24" s="565"/>
      <c r="R24" s="566"/>
      <c r="S24" s="567" t="str">
        <f>IF(U3=0,"",VLOOKUP(U3,'LLAVE 32'!$BL$5:$CB$437,2,FALSE))</f>
        <v>28/Sep</v>
      </c>
      <c r="T24" s="568"/>
      <c r="U24" s="569" t="e">
        <f>IF(U23=0,"",VLOOKUP(U23,'LLAVE 32'!$BL$5:$CB$437,3,FALSE))</f>
        <v>#N/A</v>
      </c>
      <c r="V24" s="570"/>
      <c r="W24" s="571" t="e">
        <f>IF(U23=0,"","Table "&amp;VLOOKUP(U23,'LLAVE 32'!$BM$8:$DE$437,4,FALSE))</f>
        <v>#N/A</v>
      </c>
      <c r="X24" s="566"/>
    </row>
    <row r="25" spans="2:24" ht="6" customHeight="1" x14ac:dyDescent="0.25">
      <c r="S25" s="278" t="str">
        <f>IF(ISBLANK(R25),"",VLOOKUP(R25,Inscripciones!$A$1:$L$200,2,FALSE))</f>
        <v/>
      </c>
      <c r="T25" s="278" t="str">
        <f>IF(ISBLANK(R25),"",VLOOKUP(R25,Inscripciones!$A$1:$L$200,3,FALSE))</f>
        <v/>
      </c>
    </row>
    <row r="26" spans="2:24" ht="13.5" thickBot="1" x14ac:dyDescent="0.3">
      <c r="G26" s="281" t="s">
        <v>172</v>
      </c>
      <c r="H26" s="281" t="s">
        <v>173</v>
      </c>
      <c r="I26" s="281" t="s">
        <v>174</v>
      </c>
      <c r="J26" s="281" t="s">
        <v>175</v>
      </c>
      <c r="K26" s="281" t="s">
        <v>176</v>
      </c>
      <c r="L26" s="282"/>
      <c r="M26" s="283" t="s">
        <v>70</v>
      </c>
      <c r="N26" s="284"/>
      <c r="O26" s="281" t="s">
        <v>176</v>
      </c>
      <c r="P26" s="281" t="s">
        <v>173</v>
      </c>
      <c r="Q26" s="281" t="s">
        <v>174</v>
      </c>
      <c r="R26" s="281" t="s">
        <v>175</v>
      </c>
      <c r="S26" s="281" t="s">
        <v>172</v>
      </c>
      <c r="T26" s="285"/>
    </row>
    <row r="27" spans="2:24" ht="24.75" customHeight="1" thickTop="1" x14ac:dyDescent="0.25">
      <c r="B27" s="572" t="s">
        <v>177</v>
      </c>
      <c r="C27" s="286"/>
      <c r="D27" s="287"/>
      <c r="E27" s="288" t="e">
        <f>IF(U23=0,"",VLOOKUP(U23,'LLAVE 32'!$BL$5:$CB$437,14,FALSE))</f>
        <v>#N/A</v>
      </c>
      <c r="F27" s="289"/>
      <c r="G27" s="290"/>
      <c r="H27" s="290"/>
      <c r="I27" s="290"/>
      <c r="J27" s="290"/>
      <c r="K27" s="291"/>
      <c r="L27" s="292"/>
      <c r="M27" s="293" t="s">
        <v>178</v>
      </c>
      <c r="N27" s="294"/>
      <c r="O27" s="295"/>
      <c r="P27" s="290"/>
      <c r="Q27" s="290"/>
      <c r="R27" s="290"/>
      <c r="S27" s="290" t="str">
        <f>IF(ISBLANK(R27),"",VLOOKUP(R27,Inscripciones!$A$1:$L$200,2,FALSE))</f>
        <v/>
      </c>
      <c r="T27" s="296" t="str">
        <f>IF(ISBLANK(R27),"",VLOOKUP(R27,Inscripciones!$A$1:$L$200,3,FALSE))</f>
        <v/>
      </c>
      <c r="U27" s="288" t="e">
        <f>IF(U23=0,"",VLOOKUP(U23,'LLAVE 32'!$BL$5:$CB$437,15,FALSE))</f>
        <v>#N/A</v>
      </c>
      <c r="V27" s="297"/>
      <c r="W27" s="298"/>
      <c r="X27" s="572" t="s">
        <v>179</v>
      </c>
    </row>
    <row r="28" spans="2:24" ht="24.75" customHeight="1" x14ac:dyDescent="0.25">
      <c r="B28" s="573"/>
      <c r="C28" s="299"/>
      <c r="D28" s="300"/>
      <c r="E28" s="300" t="e">
        <f>IF(E27=0,0,VLOOKUP(E27,Inscripciones!$B$1:$K$405,2,FALSE))</f>
        <v>#N/A</v>
      </c>
      <c r="F28" s="300"/>
      <c r="G28" s="301"/>
      <c r="H28" s="290"/>
      <c r="I28" s="290"/>
      <c r="J28" s="290"/>
      <c r="K28" s="291"/>
      <c r="L28" s="302"/>
      <c r="M28" s="303" t="s">
        <v>180</v>
      </c>
      <c r="N28" s="304"/>
      <c r="O28" s="295"/>
      <c r="P28" s="290"/>
      <c r="Q28" s="290"/>
      <c r="R28" s="290"/>
      <c r="S28" s="305"/>
      <c r="T28" s="306"/>
      <c r="U28" s="300" t="e">
        <f>IF(U27=0,0,VLOOKUP(U27,Inscripciones!$B$1:$K$405,2,FALSE))</f>
        <v>#N/A</v>
      </c>
      <c r="V28" s="300"/>
      <c r="W28" s="307"/>
      <c r="X28" s="573"/>
    </row>
    <row r="29" spans="2:24" ht="24.75" customHeight="1" x14ac:dyDescent="0.25">
      <c r="B29" s="573"/>
      <c r="C29" s="575" t="e">
        <f>IF(E27=0,0,VLOOKUP(E27,Inscripciones!$B$1:$K$405,3,FALSE))</f>
        <v>#N/A</v>
      </c>
      <c r="D29" s="576"/>
      <c r="E29" s="576"/>
      <c r="F29" s="576"/>
      <c r="G29" s="577"/>
      <c r="H29" s="290"/>
      <c r="I29" s="290"/>
      <c r="J29" s="290"/>
      <c r="K29" s="291"/>
      <c r="L29" s="302"/>
      <c r="M29" s="303" t="s">
        <v>181</v>
      </c>
      <c r="N29" s="304"/>
      <c r="O29" s="295"/>
      <c r="P29" s="290"/>
      <c r="Q29" s="290"/>
      <c r="R29" s="290"/>
      <c r="S29" s="575" t="e">
        <f>IF(U27=0,0,VLOOKUP(U27,Inscripciones!$B$1:$K$405,3,FALSE))</f>
        <v>#N/A</v>
      </c>
      <c r="T29" s="576"/>
      <c r="U29" s="576"/>
      <c r="V29" s="576"/>
      <c r="W29" s="577"/>
      <c r="X29" s="573"/>
    </row>
    <row r="30" spans="2:24" ht="24.75" customHeight="1" x14ac:dyDescent="0.25">
      <c r="B30" s="573"/>
      <c r="C30" s="299"/>
      <c r="D30" s="288"/>
      <c r="E30" s="288"/>
      <c r="F30" s="288"/>
      <c r="G30" s="301"/>
      <c r="H30" s="290"/>
      <c r="I30" s="290"/>
      <c r="J30" s="290"/>
      <c r="K30" s="291"/>
      <c r="L30" s="308" t="str">
        <f>IF(U23&lt;29,"X","")</f>
        <v/>
      </c>
      <c r="M30" s="303" t="s">
        <v>182</v>
      </c>
      <c r="N30" s="308" t="str">
        <f>IF(U23&lt;29,"X","")</f>
        <v/>
      </c>
      <c r="O30" s="295"/>
      <c r="P30" s="290"/>
      <c r="Q30" s="290"/>
      <c r="R30" s="290"/>
      <c r="S30" s="305"/>
      <c r="T30" s="310"/>
      <c r="U30" s="288"/>
      <c r="V30" s="288"/>
      <c r="W30" s="307"/>
      <c r="X30" s="573"/>
    </row>
    <row r="31" spans="2:24" ht="24.75" customHeight="1" thickBot="1" x14ac:dyDescent="0.3">
      <c r="B31" s="573"/>
      <c r="C31" s="575"/>
      <c r="D31" s="576"/>
      <c r="E31" s="576"/>
      <c r="F31" s="576"/>
      <c r="G31" s="577"/>
      <c r="H31" s="290"/>
      <c r="I31" s="290"/>
      <c r="J31" s="290"/>
      <c r="K31" s="291"/>
      <c r="L31" s="316" t="str">
        <f>IF(U23&lt;29,"X","")</f>
        <v/>
      </c>
      <c r="M31" s="303" t="s">
        <v>183</v>
      </c>
      <c r="N31" s="316" t="str">
        <f>IF(U23&lt;29,"X","")</f>
        <v/>
      </c>
      <c r="O31" s="295"/>
      <c r="P31" s="290"/>
      <c r="Q31" s="290"/>
      <c r="R31" s="290"/>
      <c r="S31" s="575"/>
      <c r="T31" s="576"/>
      <c r="U31" s="576"/>
      <c r="V31" s="576"/>
      <c r="W31" s="577"/>
      <c r="X31" s="573"/>
    </row>
    <row r="32" spans="2:24" ht="24.75" customHeight="1" thickTop="1" x14ac:dyDescent="0.25">
      <c r="B32" s="573"/>
      <c r="C32" s="299"/>
      <c r="D32" s="578"/>
      <c r="E32" s="579"/>
      <c r="F32" s="580"/>
      <c r="G32" s="312"/>
      <c r="H32" s="290"/>
      <c r="I32" s="290"/>
      <c r="J32" s="290"/>
      <c r="K32" s="291"/>
      <c r="L32" s="308" t="str">
        <f>IF(U23&lt;600,"X","")</f>
        <v>X</v>
      </c>
      <c r="M32" s="303" t="s">
        <v>184</v>
      </c>
      <c r="N32" s="309" t="str">
        <f>IF(U23&lt;600,"X","")</f>
        <v>X</v>
      </c>
      <c r="O32" s="295"/>
      <c r="P32" s="290"/>
      <c r="Q32" s="290"/>
      <c r="R32" s="290"/>
      <c r="S32" s="313"/>
      <c r="T32" s="578"/>
      <c r="U32" s="579"/>
      <c r="V32" s="580"/>
      <c r="W32" s="307"/>
      <c r="X32" s="573"/>
    </row>
    <row r="33" spans="2:24" ht="24.75" customHeight="1" thickBot="1" x14ac:dyDescent="0.3">
      <c r="B33" s="574"/>
      <c r="C33" s="314"/>
      <c r="D33" s="581"/>
      <c r="E33" s="582"/>
      <c r="F33" s="583"/>
      <c r="G33" s="315"/>
      <c r="H33" s="290"/>
      <c r="I33" s="290"/>
      <c r="J33" s="290"/>
      <c r="K33" s="291"/>
      <c r="L33" s="316" t="str">
        <f>IF(U23&lt;600,"X","")</f>
        <v>X</v>
      </c>
      <c r="M33" s="317" t="s">
        <v>185</v>
      </c>
      <c r="N33" s="311" t="str">
        <f>IF(U23&lt;600,"X","")</f>
        <v>X</v>
      </c>
      <c r="O33" s="295"/>
      <c r="P33" s="290"/>
      <c r="Q33" s="290"/>
      <c r="R33" s="290"/>
      <c r="S33" s="318"/>
      <c r="T33" s="581"/>
      <c r="U33" s="582"/>
      <c r="V33" s="583"/>
      <c r="W33" s="319"/>
      <c r="X33" s="574"/>
    </row>
    <row r="34" spans="2:24" ht="6" customHeight="1" thickTop="1" thickBot="1" x14ac:dyDescent="0.3">
      <c r="D34" s="320"/>
    </row>
    <row r="35" spans="2:24" ht="25.9" customHeight="1" thickBot="1" x14ac:dyDescent="0.3">
      <c r="B35" s="561" t="s">
        <v>186</v>
      </c>
      <c r="C35" s="562"/>
      <c r="D35" s="321" t="s">
        <v>187</v>
      </c>
      <c r="E35" s="584" t="s">
        <v>195</v>
      </c>
      <c r="F35" s="585"/>
      <c r="G35" s="585"/>
      <c r="H35" s="585"/>
      <c r="I35" s="585"/>
      <c r="J35" s="585"/>
      <c r="K35" s="585"/>
      <c r="L35" s="586"/>
      <c r="M35" s="277"/>
      <c r="N35" s="277"/>
      <c r="O35" s="587" t="s">
        <v>188</v>
      </c>
      <c r="P35" s="588"/>
      <c r="Q35" s="588"/>
      <c r="R35" s="588"/>
      <c r="S35" s="588"/>
      <c r="T35" s="588"/>
      <c r="U35" s="588"/>
      <c r="V35" s="588"/>
      <c r="W35" s="589"/>
      <c r="X35" s="322"/>
    </row>
    <row r="36" spans="2:24" ht="6" customHeight="1" x14ac:dyDescent="0.25"/>
    <row r="37" spans="2:24" ht="23.45" customHeight="1" x14ac:dyDescent="0.25">
      <c r="B37" s="590" t="s">
        <v>189</v>
      </c>
      <c r="C37" s="591"/>
      <c r="D37" s="591"/>
      <c r="E37" s="592"/>
      <c r="F37" s="323"/>
      <c r="G37" s="323"/>
      <c r="H37" s="323"/>
      <c r="I37" s="323"/>
      <c r="J37" s="324"/>
      <c r="K37" s="323"/>
      <c r="L37" s="325"/>
      <c r="N37" s="326"/>
      <c r="O37" s="324"/>
      <c r="P37" s="324"/>
      <c r="Q37" s="323"/>
      <c r="R37" s="323"/>
      <c r="S37" s="323"/>
      <c r="T37" s="323"/>
      <c r="U37" s="590" t="s">
        <v>190</v>
      </c>
      <c r="V37" s="591"/>
      <c r="W37" s="591"/>
      <c r="X37" s="592"/>
    </row>
    <row r="38" spans="2:24" ht="6" customHeight="1" x14ac:dyDescent="0.25"/>
    <row r="39" spans="2:24" ht="24.75" customHeight="1" x14ac:dyDescent="0.25">
      <c r="B39" s="587" t="s">
        <v>191</v>
      </c>
      <c r="C39" s="588"/>
      <c r="D39" s="593"/>
      <c r="E39" s="327"/>
      <c r="F39" s="594"/>
      <c r="G39" s="595"/>
      <c r="H39" s="595"/>
      <c r="I39" s="595"/>
      <c r="J39" s="595"/>
      <c r="K39" s="596"/>
      <c r="L39" s="328"/>
      <c r="N39" s="597" t="s">
        <v>192</v>
      </c>
      <c r="O39" s="598"/>
      <c r="P39" s="598"/>
      <c r="Q39" s="599"/>
      <c r="R39" s="329"/>
      <c r="S39" s="329"/>
      <c r="T39" s="329"/>
      <c r="U39" s="329"/>
      <c r="V39" s="330"/>
      <c r="W39" s="329"/>
      <c r="X39" s="331"/>
    </row>
    <row r="40" spans="2:24" ht="24.75" customHeight="1" x14ac:dyDescent="0.25">
      <c r="B40" s="600" t="s">
        <v>193</v>
      </c>
      <c r="C40" s="601"/>
      <c r="D40" s="602"/>
      <c r="E40" s="327"/>
      <c r="F40" s="594"/>
      <c r="G40" s="595"/>
      <c r="H40" s="595"/>
      <c r="I40" s="595"/>
      <c r="J40" s="595"/>
      <c r="K40" s="596"/>
      <c r="L40" s="328"/>
      <c r="N40" s="597" t="s">
        <v>194</v>
      </c>
      <c r="O40" s="598"/>
      <c r="P40" s="598"/>
      <c r="Q40" s="599"/>
      <c r="R40" s="332"/>
      <c r="S40" s="332"/>
      <c r="T40" s="332"/>
      <c r="U40" s="332"/>
      <c r="V40" s="333"/>
      <c r="W40" s="332"/>
      <c r="X40" s="315"/>
    </row>
  </sheetData>
  <mergeCells count="58">
    <mergeCell ref="B40:D40"/>
    <mergeCell ref="F40:K40"/>
    <mergeCell ref="N40:Q40"/>
    <mergeCell ref="B35:C35"/>
    <mergeCell ref="E35:L35"/>
    <mergeCell ref="O35:W35"/>
    <mergeCell ref="B37:E37"/>
    <mergeCell ref="U37:X37"/>
    <mergeCell ref="B39:D39"/>
    <mergeCell ref="F39:K39"/>
    <mergeCell ref="N39:Q39"/>
    <mergeCell ref="W24:X24"/>
    <mergeCell ref="B27:B33"/>
    <mergeCell ref="X27:X33"/>
    <mergeCell ref="C29:G29"/>
    <mergeCell ref="S29:W29"/>
    <mergeCell ref="C31:G31"/>
    <mergeCell ref="S31:W31"/>
    <mergeCell ref="D32:F33"/>
    <mergeCell ref="T32:V33"/>
    <mergeCell ref="B24:C24"/>
    <mergeCell ref="D24:J24"/>
    <mergeCell ref="K24:L24"/>
    <mergeCell ref="M24:R24"/>
    <mergeCell ref="S24:T24"/>
    <mergeCell ref="U24:V24"/>
    <mergeCell ref="U23:X23"/>
    <mergeCell ref="B15:C15"/>
    <mergeCell ref="E15:L15"/>
    <mergeCell ref="O15:W15"/>
    <mergeCell ref="B17:E17"/>
    <mergeCell ref="U17:X17"/>
    <mergeCell ref="B19:D19"/>
    <mergeCell ref="F19:K19"/>
    <mergeCell ref="N19:Q19"/>
    <mergeCell ref="B20:D20"/>
    <mergeCell ref="F20:K20"/>
    <mergeCell ref="N20:Q20"/>
    <mergeCell ref="B23:R23"/>
    <mergeCell ref="S23:T23"/>
    <mergeCell ref="B7:B13"/>
    <mergeCell ref="X7:X13"/>
    <mergeCell ref="C9:G9"/>
    <mergeCell ref="S9:W9"/>
    <mergeCell ref="C11:G11"/>
    <mergeCell ref="S11:W11"/>
    <mergeCell ref="D12:F13"/>
    <mergeCell ref="T12:V13"/>
    <mergeCell ref="B3:R3"/>
    <mergeCell ref="S3:T3"/>
    <mergeCell ref="U3:X3"/>
    <mergeCell ref="B4:C4"/>
    <mergeCell ref="D4:J4"/>
    <mergeCell ref="K4:L4"/>
    <mergeCell ref="M4:R4"/>
    <mergeCell ref="S4:T4"/>
    <mergeCell ref="U4:V4"/>
    <mergeCell ref="W4:X4"/>
  </mergeCells>
  <printOptions horizontalCentered="1"/>
  <pageMargins left="7.874015748031496E-2" right="7.874015748031496E-2" top="0.19685039370078741" bottom="0.19685039370078741" header="0.19685039370078741" footer="0"/>
  <pageSetup scale="83" orientation="portrait" blackAndWhite="1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871F5-355B-454C-BFEB-1D48C5BB90BA}">
  <sheetPr codeName="Sheet23">
    <tabColor rgb="FFFF0000"/>
    <pageSetUpPr fitToPage="1"/>
  </sheetPr>
  <dimension ref="B5:G1001"/>
  <sheetViews>
    <sheetView showGridLines="0" topLeftCell="A4" workbookViewId="0">
      <selection activeCell="C12" sqref="C12:F12"/>
    </sheetView>
  </sheetViews>
  <sheetFormatPr defaultColWidth="14.42578125" defaultRowHeight="15" customHeight="1" x14ac:dyDescent="0.25"/>
  <cols>
    <col min="1" max="2" width="10.7109375" style="334" customWidth="1"/>
    <col min="3" max="3" width="6.7109375" style="334" customWidth="1"/>
    <col min="4" max="4" width="10.85546875" style="334" customWidth="1"/>
    <col min="5" max="5" width="30.5703125" style="334" bestFit="1" customWidth="1"/>
    <col min="6" max="6" width="28" style="334" customWidth="1"/>
    <col min="7" max="26" width="10.7109375" style="334" customWidth="1"/>
    <col min="27" max="16384" width="14.42578125" style="334"/>
  </cols>
  <sheetData>
    <row r="5" spans="2:7" ht="15" customHeight="1" x14ac:dyDescent="0.25">
      <c r="B5" s="603" t="e" vm="1">
        <v>#VALUE!</v>
      </c>
      <c r="C5" s="603"/>
      <c r="D5" s="603"/>
      <c r="E5" s="603"/>
      <c r="F5" s="603"/>
      <c r="G5" s="603"/>
    </row>
    <row r="6" spans="2:7" ht="15" customHeight="1" x14ac:dyDescent="0.25">
      <c r="B6" s="603"/>
      <c r="C6" s="603"/>
      <c r="D6" s="603"/>
      <c r="E6" s="603"/>
      <c r="F6" s="603"/>
      <c r="G6" s="603"/>
    </row>
    <row r="7" spans="2:7" ht="15" customHeight="1" x14ac:dyDescent="0.25">
      <c r="B7" s="603"/>
      <c r="C7" s="603"/>
      <c r="D7" s="603"/>
      <c r="E7" s="603"/>
      <c r="F7" s="603"/>
      <c r="G7" s="603"/>
    </row>
    <row r="8" spans="2:7" ht="15" customHeight="1" x14ac:dyDescent="0.25">
      <c r="B8" s="603"/>
      <c r="C8" s="603"/>
      <c r="D8" s="603"/>
      <c r="E8" s="603"/>
      <c r="F8" s="603"/>
      <c r="G8" s="603"/>
    </row>
    <row r="10" spans="2:7" ht="15" customHeight="1" thickBot="1" x14ac:dyDescent="0.3"/>
    <row r="11" spans="2:7" ht="23.25" x14ac:dyDescent="0.35">
      <c r="C11" s="604" t="s">
        <v>196</v>
      </c>
      <c r="D11" s="605"/>
      <c r="E11" s="605"/>
      <c r="F11" s="606"/>
    </row>
    <row r="12" spans="2:7" ht="23.25" x14ac:dyDescent="0.35">
      <c r="C12" s="607" t="str">
        <f>Inscripciones!B2</f>
        <v>U19 MASCULINO</v>
      </c>
      <c r="D12" s="608"/>
      <c r="E12" s="608"/>
      <c r="F12" s="609"/>
    </row>
    <row r="13" spans="2:7" ht="19.5" thickBot="1" x14ac:dyDescent="0.35">
      <c r="C13" s="335" t="s">
        <v>197</v>
      </c>
      <c r="D13" s="336" t="s">
        <v>198</v>
      </c>
      <c r="E13" s="336" t="s">
        <v>4</v>
      </c>
      <c r="F13" s="337" t="s">
        <v>5</v>
      </c>
    </row>
    <row r="14" spans="2:7" ht="15.75" thickBot="1" x14ac:dyDescent="0.3">
      <c r="C14" s="338">
        <v>1</v>
      </c>
      <c r="D14" s="339">
        <f ca="1">'LLAVE 32'!H143</f>
        <v>2623</v>
      </c>
      <c r="E14" s="340" t="str">
        <f ca="1">IF(ISBLANK(D14),"",VLOOKUP(D14,Inscripciones!$B$5:$H$130,2,FALSE))</f>
        <v>MATEO MONGE ARROYO</v>
      </c>
      <c r="F14" s="341" t="str">
        <f ca="1">IF(ISBLANK(D14),"",VLOOKUP(D14,Inscripciones!$B$5:$H$130,3,FALSE))</f>
        <v>SANTA ANA</v>
      </c>
    </row>
    <row r="15" spans="2:7" ht="15.75" thickBot="1" x14ac:dyDescent="0.3">
      <c r="C15" s="342">
        <v>2</v>
      </c>
      <c r="D15" s="339">
        <f ca="1">'LLAVE 32'!H144</f>
        <v>2895</v>
      </c>
      <c r="E15" s="340" t="str">
        <f ca="1">IF(ISBLANK(D15),"",VLOOKUP(D15,Inscripciones!$B$5:$H$130,2,FALSE))</f>
        <v>ANDRES JOSE VEGA VALERIO</v>
      </c>
      <c r="F15" s="341" t="str">
        <f ca="1">IF(ISBLANK(D15),"",VLOOKUP(D15,Inscripciones!$B$5:$H$130,3,FALSE))</f>
        <v>ALAJUELA - UCR</v>
      </c>
    </row>
    <row r="16" spans="2:7" ht="15.75" thickBot="1" x14ac:dyDescent="0.3">
      <c r="C16" s="342">
        <v>3</v>
      </c>
      <c r="D16" s="339">
        <f ca="1">'LLAVE 32'!H145</f>
        <v>3472</v>
      </c>
      <c r="E16" s="340" t="str">
        <f ca="1">IF(ISBLANK(D16),"",VLOOKUP(D16,Inscripciones!$B$5:$H$130,2,FALSE))</f>
        <v>JAYDRICK SHAMALL BAKER CRAWFORD</v>
      </c>
      <c r="F16" s="341" t="str">
        <f ca="1">IF(ISBLANK(D16),"",VLOOKUP(D16,Inscripciones!$B$5:$H$130,3,FALSE))</f>
        <v>ASERRÍ - UCR</v>
      </c>
    </row>
    <row r="17" spans="3:6" ht="15.75" thickBot="1" x14ac:dyDescent="0.3">
      <c r="C17" s="343">
        <v>3</v>
      </c>
      <c r="D17" s="339">
        <f ca="1">'LLAVE 32'!H146</f>
        <v>3671</v>
      </c>
      <c r="E17" s="340" t="str">
        <f ca="1">IF(ISBLANK(D17),"",VLOOKUP(D17,Inscripciones!$B$5:$H$130,2,FALSE))</f>
        <v>NICOLAS OVARES CASTRO</v>
      </c>
      <c r="F17" s="341" t="str">
        <f ca="1">IF(ISBLANK(D17),"",VLOOKUP(D17,Inscripciones!$B$5:$H$130,3,FALSE))</f>
        <v>SANTA ANA</v>
      </c>
    </row>
    <row r="18" spans="3:6" ht="15.75" thickBot="1" x14ac:dyDescent="0.3">
      <c r="C18" s="343">
        <v>5</v>
      </c>
      <c r="D18" s="339">
        <f ca="1">'LLAVE 32'!H147</f>
        <v>3499</v>
      </c>
      <c r="E18" s="340" t="str">
        <f ca="1">IF(ISBLANK(D18),"",VLOOKUP(D18,Inscripciones!$B$5:$H$130,2,FALSE))</f>
        <v>ESTEBAN MURILLO CHAVES</v>
      </c>
      <c r="F18" s="341" t="str">
        <f ca="1">IF(ISBLANK(D18),"",VLOOKUP(D18,Inscripciones!$B$5:$H$130,3,FALSE))</f>
        <v>UCR-PÉREZ ZELEDÓN</v>
      </c>
    </row>
    <row r="19" spans="3:6" ht="15.75" thickBot="1" x14ac:dyDescent="0.3">
      <c r="C19" s="343">
        <v>5</v>
      </c>
      <c r="D19" s="339">
        <f ca="1">'LLAVE 32'!H148</f>
        <v>2515</v>
      </c>
      <c r="E19" s="340" t="str">
        <f ca="1">IF(ISBLANK(D19),"",VLOOKUP(D19,Inscripciones!$B$5:$H$130,2,FALSE))</f>
        <v>GABRIEL CHAVEZ QUIROS</v>
      </c>
      <c r="F19" s="341" t="str">
        <f ca="1">IF(ISBLANK(D19),"",VLOOKUP(D19,Inscripciones!$B$5:$H$130,3,FALSE))</f>
        <v>SANTA ANA</v>
      </c>
    </row>
    <row r="20" spans="3:6" ht="15.75" thickBot="1" x14ac:dyDescent="0.3">
      <c r="C20" s="343">
        <v>5</v>
      </c>
      <c r="D20" s="339">
        <f ca="1">'LLAVE 32'!H149</f>
        <v>4002</v>
      </c>
      <c r="E20" s="340" t="str">
        <f ca="1">IF(ISBLANK(D20),"",VLOOKUP(D20,Inscripciones!$B$5:$H$130,2,FALSE))</f>
        <v>ISMAEL CÁRDENAS ACOSTA</v>
      </c>
      <c r="F20" s="341" t="str">
        <f ca="1">IF(ISBLANK(D20),"",VLOOKUP(D20,Inscripciones!$B$5:$H$130,3,FALSE))</f>
        <v>CCDR SAN JOSÉ</v>
      </c>
    </row>
    <row r="21" spans="3:6" ht="15.75" thickBot="1" x14ac:dyDescent="0.3">
      <c r="C21" s="343">
        <v>5</v>
      </c>
      <c r="D21" s="339">
        <f ca="1">'LLAVE 32'!H150</f>
        <v>3458</v>
      </c>
      <c r="E21" s="340" t="str">
        <f ca="1">IF(ISBLANK(D21),"",VLOOKUP(D21,Inscripciones!$B$5:$H$130,2,FALSE))</f>
        <v>SANTIAGO ALVAREZ LONGHI</v>
      </c>
      <c r="F21" s="341" t="str">
        <f ca="1">IF(ISBLANK(D21),"",VLOOKUP(D21,Inscripciones!$B$5:$H$130,3,FALSE))</f>
        <v>SANTO DOMINGO</v>
      </c>
    </row>
    <row r="22" spans="3:6" ht="15.75" customHeight="1" x14ac:dyDescent="0.25"/>
    <row r="23" spans="3:6" ht="15.75" customHeight="1" x14ac:dyDescent="0.25"/>
    <row r="24" spans="3:6" ht="15.75" customHeight="1" x14ac:dyDescent="0.25"/>
    <row r="25" spans="3:6" ht="15.75" customHeight="1" x14ac:dyDescent="0.25"/>
    <row r="26" spans="3:6" ht="15.75" customHeight="1" x14ac:dyDescent="0.25"/>
    <row r="27" spans="3:6" ht="15.75" customHeight="1" x14ac:dyDescent="0.25"/>
    <row r="28" spans="3:6" ht="15.75" customHeight="1" x14ac:dyDescent="0.25"/>
    <row r="29" spans="3:6" ht="15.75" customHeight="1" x14ac:dyDescent="0.25"/>
    <row r="30" spans="3:6" ht="15.75" customHeight="1" x14ac:dyDescent="0.25"/>
    <row r="31" spans="3:6" ht="15.75" customHeight="1" x14ac:dyDescent="0.25"/>
    <row r="32" spans="3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3">
    <mergeCell ref="B5:G8"/>
    <mergeCell ref="C11:F11"/>
    <mergeCell ref="C12:F12"/>
  </mergeCells>
  <pageMargins left="0.7" right="0.7" top="0.75" bottom="0.75" header="0" footer="0"/>
  <pageSetup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18</vt:i4>
      </vt:variant>
    </vt:vector>
  </HeadingPairs>
  <TitlesOfParts>
    <vt:vector size="42" baseType="lpstr">
      <vt:lpstr>Sheet1</vt:lpstr>
      <vt:lpstr>Tabulación</vt:lpstr>
      <vt:lpstr>Ranking Final</vt:lpstr>
      <vt:lpstr>Inscripciones</vt:lpstr>
      <vt:lpstr>Grupo 1</vt:lpstr>
      <vt:lpstr>Grupo 2</vt:lpstr>
      <vt:lpstr>Grupo 3</vt:lpstr>
      <vt:lpstr>Grupo 4</vt:lpstr>
      <vt:lpstr>Grupo 5</vt:lpstr>
      <vt:lpstr>Grupo 6</vt:lpstr>
      <vt:lpstr>Grupo 7</vt:lpstr>
      <vt:lpstr>Grupo 8</vt:lpstr>
      <vt:lpstr>Grupo 9</vt:lpstr>
      <vt:lpstr>Grupo 10</vt:lpstr>
      <vt:lpstr>Grupo 11</vt:lpstr>
      <vt:lpstr>Grupo 12</vt:lpstr>
      <vt:lpstr>Grupo 13</vt:lpstr>
      <vt:lpstr>Grupo 14</vt:lpstr>
      <vt:lpstr>Grupo 15</vt:lpstr>
      <vt:lpstr>Grupo 16</vt:lpstr>
      <vt:lpstr>SORTEO 32</vt:lpstr>
      <vt:lpstr>LLAVE 32</vt:lpstr>
      <vt:lpstr>PLANILLA 32</vt:lpstr>
      <vt:lpstr>PREMIACION</vt:lpstr>
      <vt:lpstr>'Grupo 1'!Print_Area</vt:lpstr>
      <vt:lpstr>'Grupo 10'!Print_Area</vt:lpstr>
      <vt:lpstr>'Grupo 11'!Print_Area</vt:lpstr>
      <vt:lpstr>'Grupo 12'!Print_Area</vt:lpstr>
      <vt:lpstr>'Grupo 13'!Print_Area</vt:lpstr>
      <vt:lpstr>'Grupo 14'!Print_Area</vt:lpstr>
      <vt:lpstr>'Grupo 15'!Print_Area</vt:lpstr>
      <vt:lpstr>'Grupo 16'!Print_Area</vt:lpstr>
      <vt:lpstr>'Grupo 2'!Print_Area</vt:lpstr>
      <vt:lpstr>'Grupo 3'!Print_Area</vt:lpstr>
      <vt:lpstr>'Grupo 4'!Print_Area</vt:lpstr>
      <vt:lpstr>'Grupo 5'!Print_Area</vt:lpstr>
      <vt:lpstr>'Grupo 6'!Print_Area</vt:lpstr>
      <vt:lpstr>'Grupo 7'!Print_Area</vt:lpstr>
      <vt:lpstr>'Grupo 8'!Print_Area</vt:lpstr>
      <vt:lpstr>'Grupo 9'!Print_Area</vt:lpstr>
      <vt:lpstr>Inscripciones!Print_Area</vt:lpstr>
      <vt:lpstr>'PLANILLA 32'!Print_Area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cp:lastPrinted>2026-09-20T22:19:48Z</cp:lastPrinted>
  <dcterms:created xsi:type="dcterms:W3CDTF">2026-09-19T01:16:45Z</dcterms:created>
  <dcterms:modified xsi:type="dcterms:W3CDTF">2026-09-23T16:43:14Z</dcterms:modified>
</cp:coreProperties>
</file>