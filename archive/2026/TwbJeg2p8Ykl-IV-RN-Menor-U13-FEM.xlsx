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3" documentId="13_ncr:1_{EA8B049F-9493-41B8-A5E8-695B9D74E80D}" xr6:coauthVersionLast="47" xr6:coauthVersionMax="47" xr10:uidLastSave="{739C1AB3-DEF9-4E6F-B4E1-8450A9634D10}"/>
  <bookViews>
    <workbookView xWindow="28680" yWindow="-120" windowWidth="29040" windowHeight="15720" firstSheet="2" activeTab="2" xr2:uid="{05EACAA6-900E-4FF5-85D8-CA4A542844FC}"/>
  </bookViews>
  <sheets>
    <sheet name="Sheet1" sheetId="1" state="hidden" r:id="rId1"/>
    <sheet name="Tabulación" sheetId="2" state="hidden" r:id="rId2"/>
    <sheet name="Ranking Final" sheetId="18" r:id="rId3"/>
    <sheet name="Inscripciones" sheetId="3" r:id="rId4"/>
    <sheet name="Hoja1" sheetId="17" r:id="rId5"/>
    <sheet name="Grupo 1" sheetId="4" r:id="rId6"/>
    <sheet name="Grupo 2" sheetId="5" r:id="rId7"/>
    <sheet name="Grupo 3" sheetId="6" r:id="rId8"/>
    <sheet name="Grupo 4" sheetId="7" r:id="rId9"/>
    <sheet name="Grupo 5" sheetId="8" r:id="rId10"/>
    <sheet name="Grupo 6" sheetId="9" r:id="rId11"/>
    <sheet name="Grupo 7" sheetId="10" r:id="rId12"/>
    <sheet name="Grupo 8" sheetId="11" r:id="rId13"/>
    <sheet name="Grupo 9" sheetId="12" r:id="rId14"/>
    <sheet name="SORTEO 32" sheetId="13" state="hidden" r:id="rId15"/>
    <sheet name="LLAVE 32" sheetId="14" r:id="rId16"/>
    <sheet name="PLANILLA 32" sheetId="15" state="hidden" r:id="rId17"/>
    <sheet name="PREMIACION" sheetId="16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a" localSheetId="16">#REF!</definedName>
    <definedName name="a">#REF!</definedName>
    <definedName name="acdb" localSheetId="16">#REF!</definedName>
    <definedName name="acdb">#REF!</definedName>
    <definedName name="ACDB1" localSheetId="16">#REF!</definedName>
    <definedName name="ACDB1">#REF!</definedName>
    <definedName name="acdf">#REF!</definedName>
    <definedName name="acdh">#REF!</definedName>
    <definedName name="acdo">#REF!</definedName>
    <definedName name="aceq" localSheetId="1">[1]AE!$A:$IV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 localSheetId="1">[2]DORSAL!$A$2:$G$120</definedName>
    <definedName name="avc">#REF!</definedName>
    <definedName name="datos" localSheetId="1">[3]Datos!$A$2:$G$140</definedName>
    <definedName name="datos">#REF!</definedName>
    <definedName name="dorsal" localSheetId="1">[2]DORSAL!$A$2:$G$120</definedName>
    <definedName name="dorsal">#REF!</definedName>
    <definedName name="EQ" localSheetId="1">[4]EQU!$A:$IV</definedName>
    <definedName name="EQ">#REF!</definedName>
    <definedName name="IN" localSheetId="1">[4]IND!$A:$IV</definedName>
    <definedName name="IN">#REF!</definedName>
    <definedName name="IND" localSheetId="1">[5]IN!$A$3:$IV$102</definedName>
    <definedName name="IND">#REF!</definedName>
    <definedName name="IPC_Member">#REF!</definedName>
    <definedName name="JBS" localSheetId="1">[6]JB!$A$1:$E$100</definedName>
    <definedName name="JBS">#REF!</definedName>
    <definedName name="JGS">#REF!</definedName>
    <definedName name="JUG" localSheetId="1">[7]Jug!$A$2:$D$13</definedName>
    <definedName name="JUG">#REF!</definedName>
    <definedName name="PC">#REF!</definedName>
    <definedName name="PCS">#REF!</definedName>
    <definedName name="PLAYERS" localSheetId="1">[8]Players!$B$4:$H$124</definedName>
    <definedName name="PLAYERS">#REF!</definedName>
    <definedName name="_xlnm.Print_Area" localSheetId="5">'Grupo 1'!$A$1:$J$35</definedName>
    <definedName name="_xlnm.Print_Area" localSheetId="6">'Grupo 2'!$A$1:$J$35</definedName>
    <definedName name="_xlnm.Print_Area" localSheetId="7">'Grupo 3'!$A$1:$J$35</definedName>
    <definedName name="_xlnm.Print_Area" localSheetId="8">'Grupo 4'!$A$1:$J$35</definedName>
    <definedName name="_xlnm.Print_Area" localSheetId="9">'Grupo 5'!$A$1:$J$35</definedName>
    <definedName name="_xlnm.Print_Area" localSheetId="10">'Grupo 6'!$A$1:$J$35</definedName>
    <definedName name="_xlnm.Print_Area" localSheetId="11">'Grupo 7'!$A$1:$J$35</definedName>
    <definedName name="_xlnm.Print_Area" localSheetId="12">'Grupo 8'!$A$1:$J$35</definedName>
    <definedName name="_xlnm.Print_Area" localSheetId="13">'Grupo 9'!$A$1:$J$35</definedName>
    <definedName name="_xlnm.Print_Area" localSheetId="3">Inscripciones!$B$1:$G$96</definedName>
    <definedName name="_xlnm.Print_Area" localSheetId="16">'PLANILLA 32'!$A$2:$Y$40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5" l="1"/>
  <c r="U23" i="15" s="1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C12" i="16"/>
  <c r="T27" i="15"/>
  <c r="S27" i="15"/>
  <c r="T25" i="15"/>
  <c r="S25" i="15"/>
  <c r="T21" i="15"/>
  <c r="S21" i="15"/>
  <c r="T17" i="15"/>
  <c r="S17" i="15"/>
  <c r="T16" i="15"/>
  <c r="S16" i="15"/>
  <c r="T14" i="15"/>
  <c r="S14" i="15"/>
  <c r="S13" i="15"/>
  <c r="T12" i="15"/>
  <c r="S12" i="15"/>
  <c r="S11" i="15"/>
  <c r="S10" i="15"/>
  <c r="CA36" i="14"/>
  <c r="BU36" i="14"/>
  <c r="BS36" i="14"/>
  <c r="CA35" i="14"/>
  <c r="CA34" i="14"/>
  <c r="BU34" i="14"/>
  <c r="BS34" i="14"/>
  <c r="CA33" i="14"/>
  <c r="CA32" i="14"/>
  <c r="BU32" i="14"/>
  <c r="BS32" i="14"/>
  <c r="CA31" i="14"/>
  <c r="CA30" i="14"/>
  <c r="CA29" i="14"/>
  <c r="CA28" i="14"/>
  <c r="BU28" i="14"/>
  <c r="BS28" i="14"/>
  <c r="CA27" i="14"/>
  <c r="CA26" i="14"/>
  <c r="CA25" i="14"/>
  <c r="CA24" i="14"/>
  <c r="CA23" i="14"/>
  <c r="CA22" i="14"/>
  <c r="CA21" i="14"/>
  <c r="CA20" i="14"/>
  <c r="BU20" i="14"/>
  <c r="BS20" i="14"/>
  <c r="CA19" i="14"/>
  <c r="CA18" i="14"/>
  <c r="CA17" i="14"/>
  <c r="CA16" i="14"/>
  <c r="CA15" i="14"/>
  <c r="CA14" i="14"/>
  <c r="CA13" i="14"/>
  <c r="CA12" i="14"/>
  <c r="CA11" i="14"/>
  <c r="CA10" i="14"/>
  <c r="CA9" i="14"/>
  <c r="CA8" i="14"/>
  <c r="CA7" i="14"/>
  <c r="CA6" i="14"/>
  <c r="CA5" i="14"/>
  <c r="AV2" i="14"/>
  <c r="D35" i="12"/>
  <c r="D34" i="12"/>
  <c r="D9" i="12"/>
  <c r="D35" i="11"/>
  <c r="D34" i="11"/>
  <c r="D9" i="11"/>
  <c r="D35" i="10"/>
  <c r="D34" i="10"/>
  <c r="D9" i="10"/>
  <c r="D35" i="9"/>
  <c r="D34" i="9"/>
  <c r="D9" i="9"/>
  <c r="D35" i="8"/>
  <c r="D34" i="8"/>
  <c r="D9" i="8"/>
  <c r="D35" i="7"/>
  <c r="D34" i="7"/>
  <c r="D9" i="7"/>
  <c r="D35" i="6"/>
  <c r="D34" i="6"/>
  <c r="D9" i="6"/>
  <c r="D35" i="5"/>
  <c r="D34" i="5"/>
  <c r="D9" i="5"/>
  <c r="D35" i="4"/>
  <c r="D34" i="4"/>
  <c r="D9" i="4"/>
  <c r="Y3" i="15"/>
  <c r="N12" i="15"/>
  <c r="G146" i="14"/>
  <c r="G68" i="14"/>
  <c r="BH67" i="14" s="1"/>
  <c r="BI67" i="14" s="1"/>
  <c r="AS67" i="14"/>
  <c r="AR67" i="14"/>
  <c r="AQ67" i="14"/>
  <c r="AP67" i="14"/>
  <c r="AO67" i="14"/>
  <c r="AN67" i="14"/>
  <c r="AM67" i="14"/>
  <c r="AL67" i="14"/>
  <c r="AK67" i="14"/>
  <c r="AJ67" i="14"/>
  <c r="AI67" i="14"/>
  <c r="AH67" i="14"/>
  <c r="AG67" i="14"/>
  <c r="AF67" i="14"/>
  <c r="AS66" i="14"/>
  <c r="AR66" i="14"/>
  <c r="AQ66" i="14"/>
  <c r="AP66" i="14"/>
  <c r="AO66" i="14"/>
  <c r="AN66" i="14"/>
  <c r="AM66" i="14"/>
  <c r="AL66" i="14"/>
  <c r="AK66" i="14"/>
  <c r="AJ66" i="14"/>
  <c r="AI66" i="14"/>
  <c r="AH66" i="14"/>
  <c r="AG66" i="14"/>
  <c r="AF66" i="14"/>
  <c r="AA66" i="14" s="1"/>
  <c r="AB66" i="14"/>
  <c r="F66" i="14"/>
  <c r="AS65" i="14"/>
  <c r="AR65" i="14"/>
  <c r="AQ65" i="14"/>
  <c r="AP65" i="14"/>
  <c r="AO65" i="14"/>
  <c r="AN65" i="14"/>
  <c r="AE65" i="14" s="1"/>
  <c r="AM65" i="14"/>
  <c r="AL65" i="14"/>
  <c r="AK65" i="14"/>
  <c r="AJ65" i="14"/>
  <c r="AI65" i="14"/>
  <c r="AH65" i="14"/>
  <c r="AG65" i="14"/>
  <c r="AF65" i="14"/>
  <c r="AS64" i="14"/>
  <c r="AR64" i="14"/>
  <c r="AQ64" i="14"/>
  <c r="AP64" i="14"/>
  <c r="AO64" i="14"/>
  <c r="AE64" i="14" s="1"/>
  <c r="AN64" i="14"/>
  <c r="AM64" i="14"/>
  <c r="AL64" i="14"/>
  <c r="AK64" i="14"/>
  <c r="AJ64" i="14"/>
  <c r="AI64" i="14"/>
  <c r="AH64" i="14"/>
  <c r="AG64" i="14"/>
  <c r="AF64" i="14"/>
  <c r="AD64" i="14"/>
  <c r="AC64" i="14"/>
  <c r="BI68" i="14" s="1"/>
  <c r="AB64" i="14"/>
  <c r="AA64" i="14"/>
  <c r="AD65" i="14" s="1"/>
  <c r="F64" i="14"/>
  <c r="BF67" i="14" s="1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B62" i="14"/>
  <c r="F62" i="14"/>
  <c r="BF51" i="14" s="1"/>
  <c r="AS61" i="14"/>
  <c r="AR61" i="14"/>
  <c r="AQ61" i="14"/>
  <c r="AP61" i="14"/>
  <c r="AO61" i="14"/>
  <c r="AE61" i="14" s="1"/>
  <c r="AN61" i="14"/>
  <c r="AM61" i="14"/>
  <c r="AL61" i="14"/>
  <c r="AK61" i="14"/>
  <c r="AJ61" i="14"/>
  <c r="AI61" i="14"/>
  <c r="AH61" i="14"/>
  <c r="AG61" i="14"/>
  <c r="AB60" i="14" s="1"/>
  <c r="AF61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F60" i="14"/>
  <c r="F60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S58" i="14"/>
  <c r="AR58" i="14"/>
  <c r="AQ58" i="14"/>
  <c r="AP58" i="14"/>
  <c r="AO58" i="14"/>
  <c r="AN58" i="14"/>
  <c r="AM58" i="14"/>
  <c r="AE58" i="14" s="1"/>
  <c r="AL58" i="14"/>
  <c r="AK58" i="14"/>
  <c r="AJ58" i="14"/>
  <c r="AI58" i="14"/>
  <c r="AH58" i="14"/>
  <c r="AG58" i="14"/>
  <c r="AF58" i="14"/>
  <c r="AB58" i="14"/>
  <c r="AA58" i="14"/>
  <c r="F58" i="14"/>
  <c r="BC59" i="14" s="1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A56" i="14" s="1"/>
  <c r="AG56" i="14"/>
  <c r="AF56" i="14"/>
  <c r="AE56" i="14"/>
  <c r="AB56" i="14"/>
  <c r="F56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B54" i="14" s="1"/>
  <c r="AF55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A54" i="14" s="1"/>
  <c r="AE54" i="14"/>
  <c r="F54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A52" i="14" s="1"/>
  <c r="AB52" i="14"/>
  <c r="F52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B50" i="14"/>
  <c r="F50" i="14"/>
  <c r="AZ63" i="14" s="1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B48" i="14" s="1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F48" i="14"/>
  <c r="AZ55" i="14" s="1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B46" i="14"/>
  <c r="AD46" i="14" s="1"/>
  <c r="AA46" i="14"/>
  <c r="F46" i="14"/>
  <c r="AZ47" i="14" s="1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B44" i="14"/>
  <c r="AD44" i="14" s="1"/>
  <c r="AA44" i="14"/>
  <c r="F44" i="14"/>
  <c r="BC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B42" i="14"/>
  <c r="F42" i="14"/>
  <c r="AZ31" i="14" s="1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A40" i="14" s="1"/>
  <c r="AF40" i="14"/>
  <c r="AB40" i="14"/>
  <c r="F40" i="14"/>
  <c r="AZ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A38" i="14" s="1"/>
  <c r="F38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B36" i="14" s="1"/>
  <c r="AF37" i="14"/>
  <c r="BO36" i="14"/>
  <c r="BN36" i="14"/>
  <c r="BM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F36" i="14"/>
  <c r="BO35" i="14"/>
  <c r="BN35" i="14"/>
  <c r="BM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BO34" i="14"/>
  <c r="BN34" i="14"/>
  <c r="BM34" i="14"/>
  <c r="BI34" i="14"/>
  <c r="AS34" i="14"/>
  <c r="AR34" i="14"/>
  <c r="AQ34" i="14"/>
  <c r="AP34" i="14"/>
  <c r="AO34" i="14"/>
  <c r="AN34" i="14"/>
  <c r="AM34" i="14"/>
  <c r="AE34" i="14" s="1"/>
  <c r="AL34" i="14"/>
  <c r="AK34" i="14"/>
  <c r="AJ34" i="14"/>
  <c r="AI34" i="14"/>
  <c r="AH34" i="14"/>
  <c r="AG34" i="14"/>
  <c r="AF34" i="14"/>
  <c r="AB34" i="14"/>
  <c r="AA34" i="14"/>
  <c r="F34" i="14"/>
  <c r="AW65" i="14" s="1"/>
  <c r="BO33" i="14"/>
  <c r="BN33" i="14"/>
  <c r="BM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BO32" i="14"/>
  <c r="BN32" i="14"/>
  <c r="BM32" i="14"/>
  <c r="AS32" i="14"/>
  <c r="AR32" i="14"/>
  <c r="AQ32" i="14"/>
  <c r="AP32" i="14"/>
  <c r="AO32" i="14"/>
  <c r="AN32" i="14"/>
  <c r="AM32" i="14"/>
  <c r="AE32" i="14" s="1"/>
  <c r="AL32" i="14"/>
  <c r="AK32" i="14"/>
  <c r="AJ32" i="14"/>
  <c r="AI32" i="14"/>
  <c r="AH32" i="14"/>
  <c r="AG32" i="14"/>
  <c r="AF32" i="14"/>
  <c r="AA32" i="14" s="1"/>
  <c r="AB32" i="14"/>
  <c r="F32" i="14"/>
  <c r="AW61" i="14" s="1"/>
  <c r="BO31" i="14"/>
  <c r="BN31" i="14"/>
  <c r="BM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BO30" i="14"/>
  <c r="BN30" i="14"/>
  <c r="BM30" i="14"/>
  <c r="AS30" i="14"/>
  <c r="AR30" i="14"/>
  <c r="AQ30" i="14"/>
  <c r="AP30" i="14"/>
  <c r="AO30" i="14"/>
  <c r="AN30" i="14"/>
  <c r="AE30" i="14" s="1"/>
  <c r="AM30" i="14"/>
  <c r="AL30" i="14"/>
  <c r="AK30" i="14"/>
  <c r="AJ30" i="14"/>
  <c r="AI30" i="14"/>
  <c r="AH30" i="14"/>
  <c r="AG30" i="14"/>
  <c r="AF30" i="14"/>
  <c r="AA30" i="14" s="1"/>
  <c r="AB30" i="14"/>
  <c r="F30" i="14"/>
  <c r="AW57" i="14" s="1"/>
  <c r="BO29" i="14"/>
  <c r="BN29" i="14"/>
  <c r="BM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B28" i="14" s="1"/>
  <c r="BO28" i="14"/>
  <c r="BN28" i="14"/>
  <c r="BM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A28" i="14" s="1"/>
  <c r="F28" i="14"/>
  <c r="AW53" i="14" s="1"/>
  <c r="BO27" i="14"/>
  <c r="BN27" i="14"/>
  <c r="BM27" i="14"/>
  <c r="BC27" i="14"/>
  <c r="AS27" i="14"/>
  <c r="AR27" i="14"/>
  <c r="AQ27" i="14"/>
  <c r="AP27" i="14"/>
  <c r="AO27" i="14"/>
  <c r="AN27" i="14"/>
  <c r="AM27" i="14"/>
  <c r="AE27" i="14" s="1"/>
  <c r="AL27" i="14"/>
  <c r="AK27" i="14"/>
  <c r="AJ27" i="14"/>
  <c r="AI27" i="14"/>
  <c r="AH27" i="14"/>
  <c r="AG27" i="14"/>
  <c r="AF27" i="14"/>
  <c r="BO26" i="14"/>
  <c r="BN26" i="14"/>
  <c r="BM26" i="14"/>
  <c r="AS26" i="14"/>
  <c r="AR26" i="14"/>
  <c r="AQ26" i="14"/>
  <c r="AP26" i="14"/>
  <c r="AO26" i="14"/>
  <c r="AN26" i="14"/>
  <c r="AM26" i="14"/>
  <c r="AE26" i="14" s="1"/>
  <c r="AL26" i="14"/>
  <c r="AK26" i="14"/>
  <c r="AJ26" i="14"/>
  <c r="AI26" i="14"/>
  <c r="AH26" i="14"/>
  <c r="AG26" i="14"/>
  <c r="AF26" i="14"/>
  <c r="AB26" i="14"/>
  <c r="AA26" i="14"/>
  <c r="F26" i="14"/>
  <c r="AW49" i="14" s="1"/>
  <c r="BO25" i="14"/>
  <c r="BN25" i="14"/>
  <c r="BM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B24" i="14" s="1"/>
  <c r="AE25" i="14"/>
  <c r="BO24" i="14"/>
  <c r="BN24" i="14"/>
  <c r="BM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A24" i="14" s="1"/>
  <c r="F24" i="14"/>
  <c r="AW45" i="14" s="1"/>
  <c r="BO23" i="14"/>
  <c r="BN23" i="14"/>
  <c r="BM23" i="14"/>
  <c r="AZ23" i="14"/>
  <c r="AS23" i="14"/>
  <c r="AR23" i="14"/>
  <c r="AQ23" i="14"/>
  <c r="AP23" i="14"/>
  <c r="AO23" i="14"/>
  <c r="AN23" i="14"/>
  <c r="AM23" i="14"/>
  <c r="AE23" i="14" s="1"/>
  <c r="AL23" i="14"/>
  <c r="AK23" i="14"/>
  <c r="AJ23" i="14"/>
  <c r="AI23" i="14"/>
  <c r="AH23" i="14"/>
  <c r="AG23" i="14"/>
  <c r="AF23" i="14"/>
  <c r="BO22" i="14"/>
  <c r="BN22" i="14"/>
  <c r="BM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B22" i="14"/>
  <c r="AA22" i="14"/>
  <c r="F22" i="14"/>
  <c r="AW41" i="14" s="1"/>
  <c r="BO21" i="14"/>
  <c r="BN21" i="14"/>
  <c r="BM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BO20" i="14"/>
  <c r="BN20" i="14"/>
  <c r="BM20" i="14"/>
  <c r="AS20" i="14"/>
  <c r="AR20" i="14"/>
  <c r="AQ20" i="14"/>
  <c r="AP20" i="14"/>
  <c r="AO20" i="14"/>
  <c r="AN20" i="14"/>
  <c r="AM20" i="14"/>
  <c r="AE20" i="14" s="1"/>
  <c r="AL20" i="14"/>
  <c r="AK20" i="14"/>
  <c r="AJ20" i="14"/>
  <c r="AI20" i="14"/>
  <c r="AH20" i="14"/>
  <c r="AG20" i="14"/>
  <c r="AF20" i="14"/>
  <c r="AB20" i="14"/>
  <c r="AA20" i="14"/>
  <c r="F20" i="14"/>
  <c r="AW37" i="14" s="1"/>
  <c r="BO19" i="14"/>
  <c r="BN19" i="14"/>
  <c r="BM19" i="14"/>
  <c r="BF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BO18" i="14"/>
  <c r="BN18" i="14"/>
  <c r="BM18" i="14"/>
  <c r="AS18" i="14"/>
  <c r="AR18" i="14"/>
  <c r="AQ18" i="14"/>
  <c r="AP18" i="14"/>
  <c r="AO18" i="14"/>
  <c r="AN18" i="14"/>
  <c r="AM18" i="14"/>
  <c r="AE18" i="14" s="1"/>
  <c r="AL18" i="14"/>
  <c r="AK18" i="14"/>
  <c r="AJ18" i="14"/>
  <c r="AI18" i="14"/>
  <c r="AH18" i="14"/>
  <c r="AG18" i="14"/>
  <c r="AF18" i="14"/>
  <c r="AB18" i="14"/>
  <c r="AA18" i="14"/>
  <c r="AD18" i="14" s="1"/>
  <c r="F18" i="14"/>
  <c r="AW33" i="14" s="1"/>
  <c r="BO17" i="14"/>
  <c r="BN17" i="14"/>
  <c r="BM17" i="14"/>
  <c r="AS17" i="14"/>
  <c r="AR17" i="14"/>
  <c r="AQ17" i="14"/>
  <c r="AP17" i="14"/>
  <c r="AO17" i="14"/>
  <c r="AN17" i="14"/>
  <c r="AM17" i="14"/>
  <c r="AE17" i="14" s="1"/>
  <c r="AL17" i="14"/>
  <c r="AK17" i="14"/>
  <c r="AJ17" i="14"/>
  <c r="AI17" i="14"/>
  <c r="AH17" i="14"/>
  <c r="AG17" i="14"/>
  <c r="AF17" i="14"/>
  <c r="AB16" i="14" s="1"/>
  <c r="BO16" i="14"/>
  <c r="BN16" i="14"/>
  <c r="BM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A16" i="14" s="1"/>
  <c r="F16" i="14"/>
  <c r="AW29" i="14" s="1"/>
  <c r="BO15" i="14"/>
  <c r="BN15" i="14"/>
  <c r="BM15" i="14"/>
  <c r="AZ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BO14" i="14"/>
  <c r="BN14" i="14"/>
  <c r="BM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B14" i="14"/>
  <c r="AA14" i="14"/>
  <c r="F14" i="14"/>
  <c r="AW25" i="14" s="1"/>
  <c r="BO13" i="14"/>
  <c r="BN13" i="14"/>
  <c r="BM13" i="14"/>
  <c r="AW13" i="14"/>
  <c r="AS13" i="14"/>
  <c r="AR13" i="14"/>
  <c r="AQ13" i="14"/>
  <c r="AP13" i="14"/>
  <c r="AO13" i="14"/>
  <c r="AN13" i="14"/>
  <c r="AM13" i="14"/>
  <c r="AE13" i="14" s="1"/>
  <c r="AL13" i="14"/>
  <c r="AK13" i="14"/>
  <c r="AJ13" i="14"/>
  <c r="AI13" i="14"/>
  <c r="AH13" i="14"/>
  <c r="AG13" i="14"/>
  <c r="AF13" i="14"/>
  <c r="AB12" i="14" s="1"/>
  <c r="BO12" i="14"/>
  <c r="BN12" i="14"/>
  <c r="BM12" i="14"/>
  <c r="AS12" i="14"/>
  <c r="AR12" i="14"/>
  <c r="AQ12" i="14"/>
  <c r="AP12" i="14"/>
  <c r="AE12" i="14" s="1"/>
  <c r="AO12" i="14"/>
  <c r="AN12" i="14"/>
  <c r="AM12" i="14"/>
  <c r="AL12" i="14"/>
  <c r="AK12" i="14"/>
  <c r="AJ12" i="14"/>
  <c r="AI12" i="14"/>
  <c r="AH12" i="14"/>
  <c r="AG12" i="14"/>
  <c r="AF12" i="14"/>
  <c r="AA12" i="14"/>
  <c r="F12" i="14"/>
  <c r="AW21" i="14" s="1"/>
  <c r="BO11" i="14"/>
  <c r="BN11" i="14"/>
  <c r="BM11" i="14"/>
  <c r="BC11" i="14"/>
  <c r="AS11" i="14"/>
  <c r="AR11" i="14"/>
  <c r="AQ11" i="14"/>
  <c r="AP11" i="14"/>
  <c r="AO11" i="14"/>
  <c r="AN11" i="14"/>
  <c r="AM11" i="14"/>
  <c r="AL11" i="14"/>
  <c r="AK11" i="14"/>
  <c r="AJ11" i="14"/>
  <c r="AI11" i="14"/>
  <c r="AH11" i="14"/>
  <c r="AG11" i="14"/>
  <c r="AF11" i="14"/>
  <c r="AB10" i="14" s="1"/>
  <c r="AE11" i="14"/>
  <c r="BO10" i="14"/>
  <c r="BN10" i="14"/>
  <c r="BM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A10" i="14"/>
  <c r="F10" i="14"/>
  <c r="AW17" i="14" s="1"/>
  <c r="BO9" i="14"/>
  <c r="BN9" i="14"/>
  <c r="BM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BO8" i="14"/>
  <c r="BN8" i="14"/>
  <c r="BM8" i="14"/>
  <c r="AU8" i="14"/>
  <c r="AU10" i="14" s="1"/>
  <c r="AU12" i="14" s="1"/>
  <c r="AU14" i="14" s="1"/>
  <c r="AU16" i="14" s="1"/>
  <c r="AU18" i="14" s="1"/>
  <c r="AU20" i="14" s="1"/>
  <c r="AU22" i="14" s="1"/>
  <c r="AU24" i="14" s="1"/>
  <c r="AU26" i="14" s="1"/>
  <c r="AU28" i="14" s="1"/>
  <c r="AU30" i="14" s="1"/>
  <c r="AU32" i="14" s="1"/>
  <c r="AU34" i="14" s="1"/>
  <c r="AU36" i="14" s="1"/>
  <c r="AU38" i="14" s="1"/>
  <c r="AU40" i="14" s="1"/>
  <c r="AU42" i="14" s="1"/>
  <c r="AU44" i="14" s="1"/>
  <c r="AU46" i="14" s="1"/>
  <c r="AU48" i="14" s="1"/>
  <c r="AU50" i="14" s="1"/>
  <c r="AU52" i="14" s="1"/>
  <c r="AU54" i="14" s="1"/>
  <c r="AU56" i="14" s="1"/>
  <c r="AU58" i="14" s="1"/>
  <c r="AU60" i="14" s="1"/>
  <c r="AU62" i="14" s="1"/>
  <c r="AU64" i="14" s="1"/>
  <c r="AU66" i="14" s="1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A8" i="14" s="1"/>
  <c r="AE8" i="14"/>
  <c r="F8" i="14"/>
  <c r="BO7" i="14"/>
  <c r="BN7" i="14"/>
  <c r="BM7" i="14"/>
  <c r="AZ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B6" i="14" s="1"/>
  <c r="AD6" i="14" s="1"/>
  <c r="BO6" i="14"/>
  <c r="BN6" i="14"/>
  <c r="BM6" i="14"/>
  <c r="BL6" i="14"/>
  <c r="BL7" i="14" s="1"/>
  <c r="BL8" i="14" s="1"/>
  <c r="BL9" i="14" s="1"/>
  <c r="BL10" i="14" s="1"/>
  <c r="BL11" i="14" s="1"/>
  <c r="BL12" i="14" s="1"/>
  <c r="BL13" i="14" s="1"/>
  <c r="BL14" i="14" s="1"/>
  <c r="BL15" i="14" s="1"/>
  <c r="BL16" i="14" s="1"/>
  <c r="BL17" i="14" s="1"/>
  <c r="BL18" i="14" s="1"/>
  <c r="BL19" i="14" s="1"/>
  <c r="BL20" i="14" s="1"/>
  <c r="BL21" i="14" s="1"/>
  <c r="BL22" i="14" s="1"/>
  <c r="BL23" i="14" s="1"/>
  <c r="BL24" i="14" s="1"/>
  <c r="BL25" i="14" s="1"/>
  <c r="BL26" i="14" s="1"/>
  <c r="BL27" i="14" s="1"/>
  <c r="BL28" i="14" s="1"/>
  <c r="BL29" i="14" s="1"/>
  <c r="BL30" i="14" s="1"/>
  <c r="BL31" i="14" s="1"/>
  <c r="BL32" i="14" s="1"/>
  <c r="BL33" i="14" s="1"/>
  <c r="BL34" i="14" s="1"/>
  <c r="BL35" i="14" s="1"/>
  <c r="BL36" i="14" s="1"/>
  <c r="AU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A6" i="14" s="1"/>
  <c r="F6" i="14"/>
  <c r="AW9" i="14" s="1"/>
  <c r="BO5" i="14"/>
  <c r="BN5" i="14"/>
  <c r="BM5" i="14"/>
  <c r="AW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S4" i="14"/>
  <c r="AR4" i="14"/>
  <c r="AQ4" i="14"/>
  <c r="AP4" i="14"/>
  <c r="AO4" i="14"/>
  <c r="AN4" i="14"/>
  <c r="AM4" i="14"/>
  <c r="AE4" i="14" s="1"/>
  <c r="AL4" i="14"/>
  <c r="AK4" i="14"/>
  <c r="AJ4" i="14"/>
  <c r="AI4" i="14"/>
  <c r="AH4" i="14"/>
  <c r="AG4" i="14"/>
  <c r="AF4" i="14"/>
  <c r="AA4" i="14" s="1"/>
  <c r="AB4" i="14"/>
  <c r="F4" i="14"/>
  <c r="D39" i="13"/>
  <c r="F39" i="13" s="1"/>
  <c r="D38" i="13"/>
  <c r="F38" i="13" s="1"/>
  <c r="D34" i="13"/>
  <c r="E34" i="13" s="1"/>
  <c r="D31" i="13"/>
  <c r="G26" i="14" s="1"/>
  <c r="W29" i="13"/>
  <c r="D26" i="13"/>
  <c r="F26" i="13" s="1"/>
  <c r="W24" i="13"/>
  <c r="W41" i="13" s="1"/>
  <c r="W23" i="13"/>
  <c r="W40" i="13" s="1"/>
  <c r="D23" i="13"/>
  <c r="G18" i="14" s="1"/>
  <c r="W22" i="13"/>
  <c r="W39" i="13" s="1"/>
  <c r="W21" i="13"/>
  <c r="W38" i="13" s="1"/>
  <c r="W20" i="13"/>
  <c r="W37" i="13" s="1"/>
  <c r="W19" i="13"/>
  <c r="W36" i="13" s="1"/>
  <c r="W18" i="13"/>
  <c r="W35" i="13" s="1"/>
  <c r="D18" i="13"/>
  <c r="H12" i="14" s="1"/>
  <c r="BZ9" i="14" s="1"/>
  <c r="BU8" i="14" s="1"/>
  <c r="W17" i="13"/>
  <c r="W34" i="13" s="1"/>
  <c r="W16" i="13"/>
  <c r="W33" i="13" s="1"/>
  <c r="W15" i="13"/>
  <c r="W32" i="13" s="1"/>
  <c r="D15" i="13"/>
  <c r="F15" i="13" s="1"/>
  <c r="W14" i="13"/>
  <c r="W31" i="13" s="1"/>
  <c r="W13" i="13"/>
  <c r="W30" i="13" s="1"/>
  <c r="W12" i="13"/>
  <c r="W11" i="13"/>
  <c r="W28" i="13" s="1"/>
  <c r="W10" i="13"/>
  <c r="W27" i="13" s="1"/>
  <c r="D10" i="13"/>
  <c r="E10" i="13" s="1"/>
  <c r="W9" i="13"/>
  <c r="W26" i="13" s="1"/>
  <c r="J28" i="12" a="1"/>
  <c r="J28" i="12" s="1"/>
  <c r="J26" i="12" a="1"/>
  <c r="J26" i="12" s="1"/>
  <c r="J24" i="12" a="1"/>
  <c r="J24" i="12" s="1"/>
  <c r="J22" i="12" a="1"/>
  <c r="J22" i="12" s="1"/>
  <c r="J20" i="12" a="1"/>
  <c r="J20" i="12" s="1"/>
  <c r="J18" i="12" a="1"/>
  <c r="J18" i="12" s="1"/>
  <c r="J7" i="12"/>
  <c r="J22" i="11" a="1"/>
  <c r="J22" i="11" s="1"/>
  <c r="J20" i="11" a="1"/>
  <c r="J20" i="11" s="1"/>
  <c r="J18" i="11" a="1"/>
  <c r="J18" i="11" s="1"/>
  <c r="J14" i="11"/>
  <c r="J13" i="11"/>
  <c r="J12" i="11"/>
  <c r="J7" i="11"/>
  <c r="J22" i="10" a="1"/>
  <c r="J22" i="10" s="1"/>
  <c r="J20" i="10" a="1"/>
  <c r="J20" i="10" s="1"/>
  <c r="J18" i="10" a="1"/>
  <c r="J18" i="10" s="1"/>
  <c r="J14" i="10"/>
  <c r="J13" i="10"/>
  <c r="J12" i="10"/>
  <c r="J7" i="10"/>
  <c r="J22" i="9" a="1"/>
  <c r="J22" i="9" s="1"/>
  <c r="J20" i="9" a="1"/>
  <c r="J20" i="9" s="1"/>
  <c r="J18" i="9" a="1"/>
  <c r="J18" i="9" s="1"/>
  <c r="J14" i="9"/>
  <c r="J13" i="9"/>
  <c r="J12" i="9"/>
  <c r="J7" i="9"/>
  <c r="J22" i="8" a="1"/>
  <c r="J22" i="8" s="1"/>
  <c r="J20" i="8" a="1"/>
  <c r="J20" i="8" s="1"/>
  <c r="J18" i="8" a="1"/>
  <c r="J18" i="8" s="1"/>
  <c r="J14" i="8"/>
  <c r="J13" i="8"/>
  <c r="J12" i="8"/>
  <c r="J7" i="8"/>
  <c r="J22" i="7" a="1"/>
  <c r="J22" i="7" s="1"/>
  <c r="J20" i="7" a="1"/>
  <c r="J20" i="7" s="1"/>
  <c r="J18" i="7" a="1"/>
  <c r="J18" i="7" s="1"/>
  <c r="J14" i="7"/>
  <c r="J13" i="7"/>
  <c r="J12" i="7"/>
  <c r="J7" i="7"/>
  <c r="J22" i="6" a="1"/>
  <c r="J22" i="6" s="1"/>
  <c r="J20" i="6" a="1"/>
  <c r="J20" i="6" s="1"/>
  <c r="J18" i="6" a="1"/>
  <c r="J18" i="6" s="1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7" i="3"/>
  <c r="A6" i="3"/>
  <c r="A5" i="3"/>
  <c r="B5" i="2"/>
  <c r="O6" i="2" a="1"/>
  <c r="C2" i="2" a="1"/>
  <c r="R27" i="13" a="1"/>
  <c r="C30" i="2" a="1"/>
  <c r="G4" i="2" a="1"/>
  <c r="M5" i="2" a="1"/>
  <c r="O1" i="2" a="1"/>
  <c r="M1" i="2" a="1"/>
  <c r="R31" i="13" a="1"/>
  <c r="R28" i="13" a="1"/>
  <c r="C31" i="2" a="1"/>
  <c r="R15" i="13" a="1"/>
  <c r="O3" i="2" a="1"/>
  <c r="D31" i="2" a="1"/>
  <c r="R12" i="13" a="1"/>
  <c r="R14" i="13" a="1"/>
  <c r="O4" i="2" a="1"/>
  <c r="G30" i="2" a="1"/>
  <c r="F28" i="2" a="1"/>
  <c r="P5" i="2" a="1"/>
  <c r="F30" i="2" a="1"/>
  <c r="O2" i="2" a="1"/>
  <c r="P6" i="2" a="1"/>
  <c r="M2" i="2" a="1"/>
  <c r="L1" i="2" a="1"/>
  <c r="L2" i="2" a="1"/>
  <c r="C3" i="2" a="1"/>
  <c r="G26" i="2" a="1"/>
  <c r="F29" i="2" a="1"/>
  <c r="D26" i="2" a="1"/>
  <c r="P3" i="2" a="1"/>
  <c r="R17" i="13" a="1"/>
  <c r="R10" i="13" a="1"/>
  <c r="C27" i="2" a="1"/>
  <c r="D28" i="2" a="1"/>
  <c r="D27" i="2" a="1"/>
  <c r="G27" i="2" a="1"/>
  <c r="C28" i="2" a="1"/>
  <c r="R26" i="13" a="1"/>
  <c r="D29" i="2" a="1"/>
  <c r="R9" i="13" a="1"/>
  <c r="G3" i="2" a="1"/>
  <c r="L4" i="2" a="1"/>
  <c r="O5" i="2" a="1"/>
  <c r="P2" i="2" a="1"/>
  <c r="L6" i="2" a="1"/>
  <c r="R11" i="13" a="1"/>
  <c r="G29" i="2" a="1"/>
  <c r="L5" i="2" a="1"/>
  <c r="M6" i="2" a="1"/>
  <c r="C7" i="2" a="1"/>
  <c r="G31" i="2" a="1"/>
  <c r="C4" i="2" a="1"/>
  <c r="P1" i="2" a="1"/>
  <c r="F27" i="2" a="1"/>
  <c r="R30" i="13" a="1"/>
  <c r="R29" i="13" a="1"/>
  <c r="M3" i="2" a="1"/>
  <c r="G2" i="2" a="1"/>
  <c r="D30" i="2" a="1"/>
  <c r="R13" i="13" a="1"/>
  <c r="R32" i="13" a="1"/>
  <c r="P4" i="2" a="1"/>
  <c r="M4" i="2" a="1"/>
  <c r="L3" i="2" a="1"/>
  <c r="C26" i="2" a="1"/>
  <c r="F31" i="2" a="1"/>
  <c r="R16" i="13" a="1"/>
  <c r="F26" i="2" a="1"/>
  <c r="C29" i="2" a="1"/>
  <c r="R34" i="13" a="1"/>
  <c r="R33" i="13" a="1"/>
  <c r="G28" i="2" a="1"/>
  <c r="AE66" i="14" l="1"/>
  <c r="AE67" i="14"/>
  <c r="AA62" i="14"/>
  <c r="AE62" i="14"/>
  <c r="AD62" i="14"/>
  <c r="AE63" i="14"/>
  <c r="AD63" i="14" s="1"/>
  <c r="AA60" i="14"/>
  <c r="AD60" i="14" s="1"/>
  <c r="AE60" i="14"/>
  <c r="AD54" i="14"/>
  <c r="AE55" i="14"/>
  <c r="AD58" i="14"/>
  <c r="AE59" i="14"/>
  <c r="AD56" i="14"/>
  <c r="AD57" i="14" s="1"/>
  <c r="AE57" i="14"/>
  <c r="AE52" i="14"/>
  <c r="AD52" i="14"/>
  <c r="AE53" i="14"/>
  <c r="AA48" i="14"/>
  <c r="AE49" i="14"/>
  <c r="AD48" i="14"/>
  <c r="AC48" i="14" s="1"/>
  <c r="BC54" i="14" s="1"/>
  <c r="AE48" i="14"/>
  <c r="AE50" i="14"/>
  <c r="AA50" i="14"/>
  <c r="AD50" i="14"/>
  <c r="AE51" i="14"/>
  <c r="AD51" i="14" s="1"/>
  <c r="AE44" i="14"/>
  <c r="AD45" i="14" s="1"/>
  <c r="AE45" i="14"/>
  <c r="AE42" i="14"/>
  <c r="AA42" i="14"/>
  <c r="AD42" i="14"/>
  <c r="AE43" i="14"/>
  <c r="AA36" i="14"/>
  <c r="AD36" i="14" s="1"/>
  <c r="AE36" i="14"/>
  <c r="AE37" i="14"/>
  <c r="AD37" i="14"/>
  <c r="AE47" i="14"/>
  <c r="AC46" i="14"/>
  <c r="BC48" i="14" s="1"/>
  <c r="AB38" i="14"/>
  <c r="AD38" i="14"/>
  <c r="AE38" i="14"/>
  <c r="AE39" i="14"/>
  <c r="AE41" i="14"/>
  <c r="AE40" i="14"/>
  <c r="AE31" i="14"/>
  <c r="AD30" i="14"/>
  <c r="AD31" i="14" s="1"/>
  <c r="AB8" i="14"/>
  <c r="AE9" i="14"/>
  <c r="M4" i="15"/>
  <c r="N10" i="15"/>
  <c r="L11" i="15"/>
  <c r="N11" i="15"/>
  <c r="AD34" i="14"/>
  <c r="AE35" i="14"/>
  <c r="AC34" i="14" s="1"/>
  <c r="AZ66" i="14" s="1"/>
  <c r="AD35" i="14"/>
  <c r="AD32" i="14"/>
  <c r="AD33" i="14" s="1"/>
  <c r="AD28" i="14"/>
  <c r="AE29" i="14"/>
  <c r="AE28" i="14"/>
  <c r="AD24" i="14"/>
  <c r="AE24" i="14"/>
  <c r="AC24" i="14" s="1"/>
  <c r="AZ44" i="14" s="1"/>
  <c r="AE22" i="14"/>
  <c r="AD22" i="14"/>
  <c r="AC22" i="14" s="1"/>
  <c r="AZ42" i="14" s="1"/>
  <c r="AD20" i="14"/>
  <c r="AC20" i="14" s="1"/>
  <c r="AZ36" i="14" s="1"/>
  <c r="AE19" i="14"/>
  <c r="AD19" i="14" s="1"/>
  <c r="AD16" i="14"/>
  <c r="AD14" i="14"/>
  <c r="AE15" i="14"/>
  <c r="AD12" i="14"/>
  <c r="AC12" i="14" s="1"/>
  <c r="AZ20" i="14" s="1"/>
  <c r="AE10" i="14"/>
  <c r="AD10" i="14"/>
  <c r="AC10" i="14"/>
  <c r="AZ18" i="14" s="1"/>
  <c r="AE6" i="14"/>
  <c r="AE7" i="14"/>
  <c r="AD7" i="14" s="1"/>
  <c r="AE5" i="14"/>
  <c r="E23" i="13"/>
  <c r="H4" i="14"/>
  <c r="L104" i="14" s="1"/>
  <c r="E18" i="13"/>
  <c r="J26" i="14"/>
  <c r="BY16" i="14"/>
  <c r="BS15" i="14" s="1"/>
  <c r="J18" i="14"/>
  <c r="BY12" i="14"/>
  <c r="BS11" i="14" s="1"/>
  <c r="I18" i="14"/>
  <c r="F10" i="13"/>
  <c r="F34" i="13"/>
  <c r="H32" i="14"/>
  <c r="F23" i="13"/>
  <c r="H28" i="14"/>
  <c r="F18" i="13"/>
  <c r="I68" i="14"/>
  <c r="E31" i="13"/>
  <c r="G10" i="14"/>
  <c r="L111" i="14" s="1"/>
  <c r="F31" i="13"/>
  <c r="H20" i="14"/>
  <c r="K121" i="14" s="1"/>
  <c r="G34" i="14"/>
  <c r="I34" i="14" s="1"/>
  <c r="E26" i="13"/>
  <c r="E38" i="13"/>
  <c r="E15" i="13"/>
  <c r="E39" i="13"/>
  <c r="S4" i="15"/>
  <c r="U4" i="15"/>
  <c r="W4" i="15"/>
  <c r="L13" i="15"/>
  <c r="S24" i="15"/>
  <c r="D4" i="15"/>
  <c r="L10" i="15"/>
  <c r="C14" i="4"/>
  <c r="G14" i="4" s="1"/>
  <c r="E15" i="15"/>
  <c r="C12" i="6"/>
  <c r="G12" i="6" s="1"/>
  <c r="C13" i="6"/>
  <c r="D13" i="6" s="1"/>
  <c r="C14" i="10"/>
  <c r="G14" i="10" s="1"/>
  <c r="C14" i="6"/>
  <c r="G14" i="6" s="1"/>
  <c r="C12" i="12"/>
  <c r="G12" i="12" s="1"/>
  <c r="BJ67" i="14"/>
  <c r="J68" i="14"/>
  <c r="E12" i="6"/>
  <c r="I26" i="14"/>
  <c r="F12" i="6"/>
  <c r="N13" i="15"/>
  <c r="L12" i="15"/>
  <c r="L33" i="15"/>
  <c r="AC6" i="14"/>
  <c r="AZ10" i="14" s="1"/>
  <c r="AD4" i="14"/>
  <c r="AD5" i="14" s="1"/>
  <c r="AD21" i="14"/>
  <c r="AC18" i="14"/>
  <c r="AZ34" i="14" s="1"/>
  <c r="AD8" i="14"/>
  <c r="AC8" i="14" s="1"/>
  <c r="AZ12" i="14" s="1"/>
  <c r="K118" i="14"/>
  <c r="AV32" i="14"/>
  <c r="L119" i="14"/>
  <c r="AD11" i="14"/>
  <c r="AV22" i="14"/>
  <c r="K113" i="14"/>
  <c r="L112" i="14"/>
  <c r="AE16" i="14"/>
  <c r="AD17" i="14" s="1"/>
  <c r="K126" i="14"/>
  <c r="AD26" i="14"/>
  <c r="AD27" i="14" s="1"/>
  <c r="AC56" i="14"/>
  <c r="BF42" i="14" s="1"/>
  <c r="AD59" i="14"/>
  <c r="AD23" i="14"/>
  <c r="AD40" i="14"/>
  <c r="AD41" i="14" s="1"/>
  <c r="AD43" i="14"/>
  <c r="AC32" i="14"/>
  <c r="AZ60" i="14" s="1"/>
  <c r="AC58" i="14"/>
  <c r="BF60" i="14" s="1"/>
  <c r="AD66" i="14"/>
  <c r="AD67" i="14" s="1"/>
  <c r="AD53" i="14"/>
  <c r="L127" i="14"/>
  <c r="AV48" i="14"/>
  <c r="AC52" i="14"/>
  <c r="BF10" i="14" s="1"/>
  <c r="AC30" i="14"/>
  <c r="AZ58" i="14" s="1"/>
  <c r="AC44" i="14"/>
  <c r="BC38" i="14" s="1"/>
  <c r="AD47" i="14"/>
  <c r="AD55" i="14"/>
  <c r="R10" i="13"/>
  <c r="R14" i="13"/>
  <c r="R28" i="13"/>
  <c r="R32" i="13"/>
  <c r="R13" i="13"/>
  <c r="R12" i="13"/>
  <c r="R16" i="13"/>
  <c r="R26" i="13"/>
  <c r="R30" i="13"/>
  <c r="R34" i="13"/>
  <c r="R27" i="13"/>
  <c r="R11" i="13"/>
  <c r="R15" i="13"/>
  <c r="R29" i="13"/>
  <c r="R33" i="13"/>
  <c r="R9" i="13"/>
  <c r="R17" i="13"/>
  <c r="R31" i="13"/>
  <c r="A14" i="12"/>
  <c r="C14" i="12" s="1"/>
  <c r="G14" i="12" s="1"/>
  <c r="A12" i="12"/>
  <c r="A15" i="12"/>
  <c r="C15" i="12" s="1"/>
  <c r="G15" i="12" s="1"/>
  <c r="A13" i="12"/>
  <c r="C13" i="12" s="1"/>
  <c r="A13" i="11"/>
  <c r="C13" i="11" s="1"/>
  <c r="E13" i="11" s="1"/>
  <c r="A12" i="11"/>
  <c r="C12" i="11" s="1"/>
  <c r="A14" i="11"/>
  <c r="C14" i="11" s="1"/>
  <c r="A13" i="10"/>
  <c r="C13" i="10" s="1"/>
  <c r="D13" i="10" s="1"/>
  <c r="A14" i="10"/>
  <c r="A12" i="10"/>
  <c r="C12" i="10" s="1"/>
  <c r="G12" i="10" s="1"/>
  <c r="A13" i="9"/>
  <c r="C13" i="9" s="1"/>
  <c r="E13" i="9" s="1"/>
  <c r="A14" i="9"/>
  <c r="C14" i="9" s="1"/>
  <c r="E14" i="9" s="1"/>
  <c r="A12" i="9"/>
  <c r="C12" i="9" s="1"/>
  <c r="A12" i="8"/>
  <c r="C12" i="8" s="1"/>
  <c r="G12" i="8" s="1"/>
  <c r="A13" i="8"/>
  <c r="C13" i="8" s="1"/>
  <c r="A14" i="8"/>
  <c r="C14" i="8" s="1"/>
  <c r="A13" i="7"/>
  <c r="C13" i="7" s="1"/>
  <c r="E13" i="7" s="1"/>
  <c r="A14" i="7"/>
  <c r="C14" i="7" s="1"/>
  <c r="A12" i="7"/>
  <c r="C12" i="7" s="1"/>
  <c r="E12" i="7" s="1"/>
  <c r="A13" i="6"/>
  <c r="A14" i="6"/>
  <c r="A12" i="6"/>
  <c r="A13" i="5"/>
  <c r="C13" i="5" s="1"/>
  <c r="F13" i="5" s="1"/>
  <c r="A14" i="5"/>
  <c r="C14" i="5" s="1"/>
  <c r="A12" i="5"/>
  <c r="C12" i="5" s="1"/>
  <c r="E12" i="5" s="1"/>
  <c r="A13" i="4"/>
  <c r="C13" i="4" s="1"/>
  <c r="A14" i="4"/>
  <c r="A12" i="4"/>
  <c r="C12" i="4" s="1"/>
  <c r="G12" i="4" s="1"/>
  <c r="O1" i="2"/>
  <c r="L2" i="2"/>
  <c r="C4" i="2"/>
  <c r="O4" i="2"/>
  <c r="L5" i="2"/>
  <c r="C7" i="2"/>
  <c r="P1" i="2"/>
  <c r="M2" i="2"/>
  <c r="G3" i="2"/>
  <c r="P4" i="2"/>
  <c r="M5" i="2"/>
  <c r="C2" i="2"/>
  <c r="O2" i="2"/>
  <c r="L3" i="2"/>
  <c r="O5" i="2"/>
  <c r="L6" i="2"/>
  <c r="P2" i="2"/>
  <c r="M3" i="2"/>
  <c r="G4" i="2"/>
  <c r="P5" i="2"/>
  <c r="M6" i="2"/>
  <c r="L1" i="2"/>
  <c r="C3" i="2"/>
  <c r="O3" i="2"/>
  <c r="L4" i="2"/>
  <c r="O6" i="2"/>
  <c r="M1" i="2"/>
  <c r="G2" i="2"/>
  <c r="P3" i="2"/>
  <c r="M4" i="2"/>
  <c r="P6" i="2"/>
  <c r="C26" i="2"/>
  <c r="F27" i="2"/>
  <c r="C29" i="2"/>
  <c r="F30" i="2"/>
  <c r="D26" i="2"/>
  <c r="G27" i="2"/>
  <c r="D29" i="2"/>
  <c r="G30" i="2"/>
  <c r="F26" i="2"/>
  <c r="C28" i="2"/>
  <c r="F29" i="2"/>
  <c r="C31" i="2"/>
  <c r="G26" i="2"/>
  <c r="D28" i="2"/>
  <c r="G29" i="2"/>
  <c r="D31" i="2"/>
  <c r="C27" i="2"/>
  <c r="F28" i="2"/>
  <c r="C30" i="2"/>
  <c r="F31" i="2"/>
  <c r="D27" i="2"/>
  <c r="G28" i="2"/>
  <c r="D30" i="2"/>
  <c r="G31" i="2"/>
  <c r="B8" i="2"/>
  <c r="C6" i="2" a="1"/>
  <c r="D6" i="2" a="1"/>
  <c r="D5" i="2" a="1"/>
  <c r="G7" i="2" a="1"/>
  <c r="F6" i="2" a="1"/>
  <c r="F3" i="2" a="1"/>
  <c r="D7" i="2" a="1"/>
  <c r="F4" i="2" a="1"/>
  <c r="F7" i="2" a="1"/>
  <c r="D3" i="2" a="1"/>
  <c r="D2" i="2" a="1"/>
  <c r="C5" i="2" a="1"/>
  <c r="D4" i="2" a="1"/>
  <c r="G6" i="2" a="1"/>
  <c r="G5" i="2" a="1"/>
  <c r="F5" i="2" a="1"/>
  <c r="F2" i="2" a="1"/>
  <c r="AC66" i="14" l="1"/>
  <c r="BI36" i="14" s="1"/>
  <c r="AC62" i="14"/>
  <c r="BI52" i="14" s="1"/>
  <c r="AD61" i="14"/>
  <c r="AC60" i="14"/>
  <c r="BI18" i="14" s="1"/>
  <c r="AC54" i="14"/>
  <c r="BF28" i="14" s="1"/>
  <c r="AD49" i="14"/>
  <c r="AC50" i="14"/>
  <c r="BC64" i="14" s="1"/>
  <c r="AC42" i="14"/>
  <c r="BC32" i="14" s="1"/>
  <c r="AC36" i="14"/>
  <c r="BC6" i="14" s="1"/>
  <c r="AC38" i="14"/>
  <c r="BC16" i="14" s="1"/>
  <c r="AD39" i="14"/>
  <c r="AC40" i="14"/>
  <c r="BC22" i="14" s="1"/>
  <c r="AD9" i="14"/>
  <c r="L31" i="15"/>
  <c r="L30" i="15"/>
  <c r="N31" i="15"/>
  <c r="N30" i="15"/>
  <c r="N32" i="15"/>
  <c r="L32" i="15"/>
  <c r="AD29" i="14"/>
  <c r="AC28" i="14"/>
  <c r="AZ52" i="14" s="1"/>
  <c r="AC26" i="14"/>
  <c r="AZ50" i="14" s="1"/>
  <c r="AD25" i="14"/>
  <c r="AC16" i="14"/>
  <c r="AZ28" i="14" s="1"/>
  <c r="AC14" i="14"/>
  <c r="AZ26" i="14" s="1"/>
  <c r="AD15" i="14"/>
  <c r="AD13" i="14"/>
  <c r="AC4" i="14"/>
  <c r="AZ4" i="14" s="1"/>
  <c r="L120" i="14"/>
  <c r="K105" i="14"/>
  <c r="K134" i="14"/>
  <c r="BZ13" i="14"/>
  <c r="BU12" i="14" s="1"/>
  <c r="AV64" i="14"/>
  <c r="AX64" i="14" s="1"/>
  <c r="AV38" i="14"/>
  <c r="AX38" i="14" s="1"/>
  <c r="BZ5" i="14"/>
  <c r="AV6" i="14"/>
  <c r="BZ17" i="14"/>
  <c r="BU16" i="14" s="1"/>
  <c r="L128" i="14"/>
  <c r="K110" i="14"/>
  <c r="K133" i="14"/>
  <c r="BZ19" i="14"/>
  <c r="BU18" i="14" s="1"/>
  <c r="J10" i="14"/>
  <c r="BY8" i="14"/>
  <c r="BS7" i="14" s="1"/>
  <c r="AV54" i="14"/>
  <c r="AX54" i="14" s="1"/>
  <c r="J34" i="14"/>
  <c r="BY20" i="14"/>
  <c r="BS19" i="14" s="1"/>
  <c r="L135" i="14"/>
  <c r="AV62" i="14"/>
  <c r="AX62" i="14" s="1"/>
  <c r="K129" i="14"/>
  <c r="L132" i="14"/>
  <c r="AV16" i="14"/>
  <c r="AX16" i="14" s="1"/>
  <c r="I10" i="14"/>
  <c r="N33" i="15"/>
  <c r="W24" i="15"/>
  <c r="U24" i="15"/>
  <c r="M24" i="15"/>
  <c r="D24" i="15"/>
  <c r="E13" i="12"/>
  <c r="F13" i="12"/>
  <c r="D13" i="12"/>
  <c r="D12" i="9"/>
  <c r="E12" i="9"/>
  <c r="G14" i="8"/>
  <c r="D14" i="8"/>
  <c r="F13" i="8"/>
  <c r="D13" i="8"/>
  <c r="E14" i="7"/>
  <c r="G14" i="7"/>
  <c r="F14" i="5"/>
  <c r="E14" i="5"/>
  <c r="G14" i="5"/>
  <c r="F13" i="4"/>
  <c r="D13" i="4"/>
  <c r="D15" i="12"/>
  <c r="F12" i="10"/>
  <c r="F15" i="12"/>
  <c r="E15" i="12"/>
  <c r="D14" i="4"/>
  <c r="E12" i="10"/>
  <c r="D12" i="10"/>
  <c r="F12" i="8"/>
  <c r="E12" i="8"/>
  <c r="D12" i="8"/>
  <c r="F13" i="7"/>
  <c r="E13" i="5"/>
  <c r="F14" i="4"/>
  <c r="E14" i="4"/>
  <c r="D14" i="5"/>
  <c r="F12" i="9"/>
  <c r="G12" i="9"/>
  <c r="D12" i="6"/>
  <c r="F13" i="6"/>
  <c r="F12" i="12"/>
  <c r="D12" i="4"/>
  <c r="G13" i="12"/>
  <c r="E14" i="12"/>
  <c r="F14" i="12"/>
  <c r="E12" i="12"/>
  <c r="D12" i="12"/>
  <c r="F12" i="4"/>
  <c r="D12" i="7"/>
  <c r="G12" i="7"/>
  <c r="F12" i="7"/>
  <c r="D12" i="5"/>
  <c r="G12" i="5"/>
  <c r="F12" i="5"/>
  <c r="E13" i="4"/>
  <c r="G13" i="4"/>
  <c r="D14" i="6"/>
  <c r="F14" i="10"/>
  <c r="E14" i="10"/>
  <c r="F14" i="11"/>
  <c r="D14" i="11"/>
  <c r="F14" i="7"/>
  <c r="D14" i="7"/>
  <c r="E14" i="8"/>
  <c r="E13" i="6"/>
  <c r="G13" i="6"/>
  <c r="E14" i="6"/>
  <c r="D12" i="11"/>
  <c r="E12" i="11"/>
  <c r="G12" i="11"/>
  <c r="F12" i="11"/>
  <c r="E13" i="10"/>
  <c r="G13" i="10"/>
  <c r="E12" i="4"/>
  <c r="F14" i="8"/>
  <c r="F14" i="9"/>
  <c r="D14" i="9"/>
  <c r="E13" i="8"/>
  <c r="G13" i="8"/>
  <c r="G14" i="11"/>
  <c r="F14" i="6"/>
  <c r="F13" i="10"/>
  <c r="F13" i="11"/>
  <c r="D13" i="11"/>
  <c r="G13" i="11"/>
  <c r="D14" i="12"/>
  <c r="D19" i="12" s="1"/>
  <c r="D24" i="12" s="1"/>
  <c r="D29" i="12" s="1"/>
  <c r="G14" i="9"/>
  <c r="G13" i="5"/>
  <c r="D13" i="5"/>
  <c r="G13" i="7"/>
  <c r="D13" i="7"/>
  <c r="E14" i="11"/>
  <c r="D14" i="10"/>
  <c r="F13" i="9"/>
  <c r="G13" i="9"/>
  <c r="D13" i="9"/>
  <c r="G6" i="2"/>
  <c r="T35" i="13"/>
  <c r="S35" i="13"/>
  <c r="T11" i="13"/>
  <c r="S11" i="13"/>
  <c r="T13" i="13"/>
  <c r="S13" i="13"/>
  <c r="AX48" i="14"/>
  <c r="AW48" i="14"/>
  <c r="T27" i="13"/>
  <c r="S27" i="13"/>
  <c r="T40" i="13"/>
  <c r="S40" i="13"/>
  <c r="AX22" i="14"/>
  <c r="AW22" i="14"/>
  <c r="T39" i="13"/>
  <c r="S39" i="13"/>
  <c r="T31" i="13"/>
  <c r="S31" i="13"/>
  <c r="T41" i="13"/>
  <c r="S41" i="13"/>
  <c r="T36" i="13"/>
  <c r="S36" i="13"/>
  <c r="T17" i="13"/>
  <c r="S17" i="13"/>
  <c r="T38" i="13"/>
  <c r="S38" i="13"/>
  <c r="T32" i="13"/>
  <c r="S32" i="13"/>
  <c r="T9" i="13"/>
  <c r="S9" i="13"/>
  <c r="T34" i="13"/>
  <c r="S34" i="13"/>
  <c r="T28" i="13"/>
  <c r="S28" i="13"/>
  <c r="T37" i="13"/>
  <c r="S37" i="13"/>
  <c r="T30" i="13"/>
  <c r="S30" i="13"/>
  <c r="T22" i="13"/>
  <c r="S22" i="13"/>
  <c r="T33" i="13"/>
  <c r="S33" i="13"/>
  <c r="T26" i="13"/>
  <c r="S26" i="13"/>
  <c r="T18" i="13"/>
  <c r="S18" i="13"/>
  <c r="AX32" i="14"/>
  <c r="AW32" i="14"/>
  <c r="T29" i="13"/>
  <c r="S29" i="13"/>
  <c r="T24" i="13"/>
  <c r="S24" i="13"/>
  <c r="T14" i="13"/>
  <c r="S14" i="13"/>
  <c r="T23" i="13"/>
  <c r="S23" i="13"/>
  <c r="T20" i="13"/>
  <c r="S20" i="13"/>
  <c r="T10" i="13"/>
  <c r="S10" i="13"/>
  <c r="T19" i="13"/>
  <c r="S19" i="13"/>
  <c r="T16" i="13"/>
  <c r="S16" i="13"/>
  <c r="T21" i="13"/>
  <c r="S21" i="13"/>
  <c r="T15" i="13"/>
  <c r="S15" i="13"/>
  <c r="T12" i="13"/>
  <c r="S12" i="13"/>
  <c r="V15" i="13"/>
  <c r="D16" i="13" s="1"/>
  <c r="V12" i="13"/>
  <c r="D24" i="13" s="1"/>
  <c r="V11" i="13"/>
  <c r="D25" i="13" s="1"/>
  <c r="V13" i="13"/>
  <c r="D17" i="13" s="1"/>
  <c r="V35" i="13"/>
  <c r="V39" i="13"/>
  <c r="V27" i="13"/>
  <c r="V40" i="13"/>
  <c r="V31" i="13"/>
  <c r="D13" i="13" s="1"/>
  <c r="V41" i="13"/>
  <c r="V36" i="13"/>
  <c r="V17" i="13"/>
  <c r="D37" i="13" s="1"/>
  <c r="V38" i="13"/>
  <c r="V32" i="13"/>
  <c r="D36" i="13" s="1"/>
  <c r="V9" i="13"/>
  <c r="D9" i="13" s="1"/>
  <c r="V34" i="13"/>
  <c r="D12" i="13" s="1"/>
  <c r="V28" i="13"/>
  <c r="V37" i="13"/>
  <c r="V30" i="13"/>
  <c r="V22" i="13"/>
  <c r="V33" i="13"/>
  <c r="V26" i="13"/>
  <c r="V18" i="13"/>
  <c r="V29" i="13"/>
  <c r="D35" i="13" s="1"/>
  <c r="V24" i="13"/>
  <c r="V14" i="13"/>
  <c r="D33" i="13" s="1"/>
  <c r="V23" i="13"/>
  <c r="V20" i="13"/>
  <c r="V10" i="13"/>
  <c r="D40" i="13" s="1"/>
  <c r="V19" i="13"/>
  <c r="V16" i="13"/>
  <c r="D32" i="13" s="1"/>
  <c r="V21" i="13"/>
  <c r="F6" i="2"/>
  <c r="D6" i="2"/>
  <c r="D3" i="2"/>
  <c r="F2" i="2"/>
  <c r="D2" i="2"/>
  <c r="F3" i="2"/>
  <c r="F4" i="2"/>
  <c r="D4" i="2"/>
  <c r="C6" i="2"/>
  <c r="F5" i="2"/>
  <c r="D5" i="2"/>
  <c r="F7" i="2"/>
  <c r="C5" i="2"/>
  <c r="D7" i="2"/>
  <c r="G7" i="2"/>
  <c r="G5" i="2"/>
  <c r="B11" i="2"/>
  <c r="F10" i="2" a="1"/>
  <c r="G8" i="2" a="1"/>
  <c r="C9" i="2" a="1"/>
  <c r="C8" i="2" a="1"/>
  <c r="D8" i="2" a="1"/>
  <c r="D10" i="2" a="1"/>
  <c r="G9" i="2" a="1"/>
  <c r="C10" i="2" a="1"/>
  <c r="D9" i="2" a="1"/>
  <c r="F8" i="2" a="1"/>
  <c r="F9" i="2" a="1"/>
  <c r="G10" i="2" a="1"/>
  <c r="D22" i="13" l="1"/>
  <c r="D21" i="13"/>
  <c r="D19" i="13"/>
  <c r="E19" i="13" s="1"/>
  <c r="D20" i="13"/>
  <c r="H6" i="14"/>
  <c r="H36" i="14" s="1"/>
  <c r="E12" i="13"/>
  <c r="F12" i="13"/>
  <c r="F13" i="13"/>
  <c r="E13" i="13"/>
  <c r="G8" i="14"/>
  <c r="G38" i="14" s="1"/>
  <c r="F19" i="13"/>
  <c r="E22" i="13"/>
  <c r="F22" i="13"/>
  <c r="H16" i="14"/>
  <c r="D11" i="13"/>
  <c r="E11" i="13" s="1"/>
  <c r="D14" i="13"/>
  <c r="AW54" i="14"/>
  <c r="D27" i="13"/>
  <c r="F27" i="13" s="1"/>
  <c r="D28" i="13"/>
  <c r="D30" i="13"/>
  <c r="H24" i="14" s="1"/>
  <c r="D29" i="13"/>
  <c r="H30" i="14"/>
  <c r="E36" i="13"/>
  <c r="F36" i="13"/>
  <c r="G30" i="14"/>
  <c r="F35" i="13"/>
  <c r="E35" i="13"/>
  <c r="F37" i="13"/>
  <c r="G32" i="14"/>
  <c r="G50" i="14" s="1"/>
  <c r="E37" i="13"/>
  <c r="H26" i="14"/>
  <c r="H46" i="14" s="1"/>
  <c r="H56" i="14" s="1"/>
  <c r="E32" i="13"/>
  <c r="F32" i="13"/>
  <c r="E16" i="13"/>
  <c r="H10" i="14"/>
  <c r="F16" i="13"/>
  <c r="AW64" i="14"/>
  <c r="F33" i="13"/>
  <c r="G28" i="14"/>
  <c r="G48" i="14" s="1"/>
  <c r="E33" i="13"/>
  <c r="G12" i="14"/>
  <c r="G40" i="14" s="1"/>
  <c r="G54" i="14" s="1"/>
  <c r="E17" i="13"/>
  <c r="F17" i="13"/>
  <c r="F24" i="13"/>
  <c r="E24" i="13"/>
  <c r="H18" i="14"/>
  <c r="H42" i="14" s="1"/>
  <c r="AW38" i="14"/>
  <c r="F25" i="13"/>
  <c r="E25" i="13"/>
  <c r="G20" i="14"/>
  <c r="G44" i="14" s="1"/>
  <c r="G56" i="14" s="1"/>
  <c r="E40" i="13"/>
  <c r="F40" i="13"/>
  <c r="H34" i="14"/>
  <c r="H50" i="14" s="1"/>
  <c r="F9" i="13"/>
  <c r="G4" i="14"/>
  <c r="G36" i="14" s="1"/>
  <c r="G52" i="14" s="1"/>
  <c r="G60" i="14" s="1"/>
  <c r="G66" i="14" s="1"/>
  <c r="G70" i="14" s="1"/>
  <c r="E9" i="13"/>
  <c r="AX6" i="14"/>
  <c r="AW6" i="14"/>
  <c r="AW62" i="14"/>
  <c r="AW16" i="14"/>
  <c r="D18" i="12"/>
  <c r="D22" i="12"/>
  <c r="D26" i="12"/>
  <c r="D27" i="12"/>
  <c r="D20" i="12"/>
  <c r="D25" i="12" s="1"/>
  <c r="D23" i="12"/>
  <c r="D28" i="12"/>
  <c r="D21" i="12"/>
  <c r="D22" i="11"/>
  <c r="D21" i="11"/>
  <c r="D18" i="11"/>
  <c r="D20" i="11"/>
  <c r="D23" i="11"/>
  <c r="D19" i="11"/>
  <c r="D22" i="10"/>
  <c r="D21" i="10"/>
  <c r="D23" i="10"/>
  <c r="D19" i="10"/>
  <c r="D18" i="10"/>
  <c r="D20" i="10"/>
  <c r="D22" i="9"/>
  <c r="D21" i="9"/>
  <c r="D23" i="9"/>
  <c r="D19" i="9"/>
  <c r="D18" i="9"/>
  <c r="D20" i="9"/>
  <c r="D18" i="8"/>
  <c r="D20" i="8"/>
  <c r="D22" i="8"/>
  <c r="D21" i="8"/>
  <c r="D23" i="8"/>
  <c r="D19" i="8"/>
  <c r="D22" i="7"/>
  <c r="D21" i="7"/>
  <c r="D23" i="7"/>
  <c r="D19" i="7"/>
  <c r="D18" i="7"/>
  <c r="D20" i="7"/>
  <c r="D22" i="6"/>
  <c r="D21" i="6"/>
  <c r="D23" i="6"/>
  <c r="D19" i="6"/>
  <c r="D18" i="6"/>
  <c r="D20" i="6"/>
  <c r="D22" i="5"/>
  <c r="D21" i="5"/>
  <c r="D23" i="5"/>
  <c r="D19" i="5"/>
  <c r="D18" i="5"/>
  <c r="D20" i="5"/>
  <c r="D22" i="4"/>
  <c r="D21" i="4"/>
  <c r="D23" i="4"/>
  <c r="D19" i="4"/>
  <c r="D18" i="4"/>
  <c r="D20" i="4"/>
  <c r="C9" i="2"/>
  <c r="F10" i="2"/>
  <c r="D9" i="2"/>
  <c r="D8" i="2"/>
  <c r="G10" i="2"/>
  <c r="C8" i="2"/>
  <c r="F9" i="2"/>
  <c r="G9" i="2"/>
  <c r="F8" i="2"/>
  <c r="C10" i="2"/>
  <c r="G8" i="2"/>
  <c r="D10" i="2"/>
  <c r="B14" i="2"/>
  <c r="D12" i="2" a="1"/>
  <c r="G11" i="2" a="1"/>
  <c r="C13" i="2" a="1"/>
  <c r="F13" i="2" a="1"/>
  <c r="G12" i="2" a="1"/>
  <c r="G13" i="2" a="1"/>
  <c r="F11" i="2" a="1"/>
  <c r="D11" i="2" a="1"/>
  <c r="C12" i="2" a="1"/>
  <c r="C11" i="2" a="1"/>
  <c r="F12" i="2" a="1"/>
  <c r="D13" i="2" a="1"/>
  <c r="G76" i="14" l="1"/>
  <c r="BH35" i="14"/>
  <c r="J70" i="14"/>
  <c r="I70" i="14"/>
  <c r="J66" i="14"/>
  <c r="BH19" i="14"/>
  <c r="I66" i="14"/>
  <c r="BY36" i="14"/>
  <c r="BS35" i="14" s="1"/>
  <c r="G62" i="14"/>
  <c r="BE43" i="14" s="1"/>
  <c r="L77" i="14"/>
  <c r="BY33" i="14"/>
  <c r="BE11" i="14"/>
  <c r="I60" i="14"/>
  <c r="J60" i="14"/>
  <c r="K76" i="14"/>
  <c r="H58" i="14"/>
  <c r="BZ32" i="14" s="1"/>
  <c r="BU31" i="14" s="1"/>
  <c r="K84" i="14"/>
  <c r="L85" i="14"/>
  <c r="J56" i="14"/>
  <c r="I56" i="14"/>
  <c r="BY31" i="14"/>
  <c r="BS30" i="14" s="1"/>
  <c r="BB39" i="14"/>
  <c r="L81" i="14"/>
  <c r="I52" i="14"/>
  <c r="BY29" i="14"/>
  <c r="BB7" i="14"/>
  <c r="J52" i="14"/>
  <c r="K80" i="14"/>
  <c r="K85" i="14"/>
  <c r="BZ31" i="14"/>
  <c r="BU30" i="14" s="1"/>
  <c r="BB47" i="14"/>
  <c r="L84" i="14"/>
  <c r="K82" i="14"/>
  <c r="BY30" i="14"/>
  <c r="BS29" i="14" s="1"/>
  <c r="I54" i="14"/>
  <c r="J54" i="14"/>
  <c r="BB23" i="14"/>
  <c r="L83" i="14"/>
  <c r="H48" i="14"/>
  <c r="K101" i="14" s="1"/>
  <c r="L91" i="14"/>
  <c r="AY13" i="14"/>
  <c r="K90" i="14"/>
  <c r="BY22" i="14"/>
  <c r="BS21" i="14" s="1"/>
  <c r="J38" i="14"/>
  <c r="I38" i="14"/>
  <c r="K103" i="14"/>
  <c r="BZ28" i="14"/>
  <c r="BU27" i="14" s="1"/>
  <c r="L102" i="14"/>
  <c r="AY65" i="14"/>
  <c r="AY61" i="14"/>
  <c r="J50" i="14"/>
  <c r="K102" i="14"/>
  <c r="L103" i="14"/>
  <c r="BY28" i="14"/>
  <c r="BS27" i="14" s="1"/>
  <c r="I50" i="14"/>
  <c r="AY53" i="14"/>
  <c r="L101" i="14"/>
  <c r="K100" i="14"/>
  <c r="BY27" i="14"/>
  <c r="BS26" i="14" s="1"/>
  <c r="I48" i="14"/>
  <c r="J48" i="14"/>
  <c r="K99" i="14"/>
  <c r="L98" i="14"/>
  <c r="AY49" i="14"/>
  <c r="BZ26" i="14"/>
  <c r="BU25" i="14" s="1"/>
  <c r="K96" i="14"/>
  <c r="AY37" i="14"/>
  <c r="J44" i="14"/>
  <c r="I44" i="14"/>
  <c r="BY25" i="14"/>
  <c r="BS24" i="14" s="1"/>
  <c r="L97" i="14"/>
  <c r="K95" i="14"/>
  <c r="BZ24" i="14"/>
  <c r="BU23" i="14" s="1"/>
  <c r="L94" i="14"/>
  <c r="AY33" i="14"/>
  <c r="L93" i="14"/>
  <c r="AY21" i="14"/>
  <c r="K92" i="14"/>
  <c r="BY23" i="14"/>
  <c r="BS22" i="14" s="1"/>
  <c r="J40" i="14"/>
  <c r="I40" i="14"/>
  <c r="L10" i="14"/>
  <c r="H38" i="14"/>
  <c r="H52" i="14" s="1"/>
  <c r="K89" i="14"/>
  <c r="AY9" i="14"/>
  <c r="BZ21" i="14"/>
  <c r="L88" i="14"/>
  <c r="K88" i="14"/>
  <c r="BY21" i="14"/>
  <c r="L89" i="14"/>
  <c r="AY5" i="14"/>
  <c r="J36" i="14"/>
  <c r="I36" i="14"/>
  <c r="F21" i="13"/>
  <c r="E21" i="13"/>
  <c r="G16" i="14"/>
  <c r="G42" i="14" s="1"/>
  <c r="H54" i="14" s="1"/>
  <c r="H60" i="14" s="1"/>
  <c r="G64" i="14" s="1"/>
  <c r="G14" i="14"/>
  <c r="I14" i="14" s="1"/>
  <c r="G6" i="14"/>
  <c r="BY6" i="14" s="1"/>
  <c r="BS5" i="14" s="1"/>
  <c r="F20" i="13"/>
  <c r="H14" i="14"/>
  <c r="H40" i="14" s="1"/>
  <c r="E20" i="13"/>
  <c r="AV10" i="14"/>
  <c r="L106" i="14"/>
  <c r="K107" i="14"/>
  <c r="BZ6" i="14"/>
  <c r="BU5" i="14" s="1"/>
  <c r="J8" i="14"/>
  <c r="K108" i="14"/>
  <c r="I8" i="14"/>
  <c r="BY7" i="14"/>
  <c r="AV12" i="14"/>
  <c r="L109" i="14"/>
  <c r="AV30" i="14"/>
  <c r="BZ11" i="14"/>
  <c r="BU10" i="14" s="1"/>
  <c r="L116" i="14"/>
  <c r="K117" i="14"/>
  <c r="F11" i="13"/>
  <c r="F14" i="13"/>
  <c r="H8" i="14"/>
  <c r="E14" i="13"/>
  <c r="E27" i="13"/>
  <c r="G22" i="14"/>
  <c r="AV40" i="14" s="1"/>
  <c r="L107" i="14"/>
  <c r="I6" i="14"/>
  <c r="AV8" i="14"/>
  <c r="F30" i="13"/>
  <c r="E30" i="13"/>
  <c r="E28" i="13"/>
  <c r="H22" i="14"/>
  <c r="H44" i="14" s="1"/>
  <c r="F28" i="13"/>
  <c r="G24" i="14"/>
  <c r="G46" i="14" s="1"/>
  <c r="E29" i="13"/>
  <c r="F29" i="13"/>
  <c r="BZ18" i="14"/>
  <c r="BU17" i="14" s="1"/>
  <c r="AV58" i="14"/>
  <c r="K131" i="14"/>
  <c r="L130" i="14"/>
  <c r="BZ15" i="14"/>
  <c r="BU14" i="14" s="1"/>
  <c r="L124" i="14"/>
  <c r="K125" i="14"/>
  <c r="AV46" i="14"/>
  <c r="I30" i="14"/>
  <c r="AV56" i="14"/>
  <c r="J30" i="14"/>
  <c r="K130" i="14"/>
  <c r="L131" i="14"/>
  <c r="BY18" i="14"/>
  <c r="K10" i="14"/>
  <c r="L18" i="14"/>
  <c r="K18" i="14"/>
  <c r="AV60" i="14"/>
  <c r="K132" i="14"/>
  <c r="I32" i="14"/>
  <c r="J32" i="14"/>
  <c r="BY19" i="14"/>
  <c r="BS18" i="14" s="1"/>
  <c r="L133" i="14"/>
  <c r="BZ16" i="14"/>
  <c r="BU15" i="14" s="1"/>
  <c r="L126" i="14"/>
  <c r="AV50" i="14"/>
  <c r="K127" i="14"/>
  <c r="K26" i="14"/>
  <c r="L26" i="14"/>
  <c r="L110" i="14"/>
  <c r="BZ8" i="14"/>
  <c r="AV18" i="14"/>
  <c r="K111" i="14"/>
  <c r="J28" i="14"/>
  <c r="BY17" i="14"/>
  <c r="BS16" i="14" s="1"/>
  <c r="L129" i="14"/>
  <c r="K128" i="14"/>
  <c r="AV52" i="14"/>
  <c r="I28" i="14"/>
  <c r="I12" i="14"/>
  <c r="L113" i="14"/>
  <c r="J12" i="14"/>
  <c r="K112" i="14"/>
  <c r="AV20" i="14"/>
  <c r="BY9" i="14"/>
  <c r="BS8" i="14" s="1"/>
  <c r="L118" i="14"/>
  <c r="K119" i="14"/>
  <c r="AV34" i="14"/>
  <c r="BZ12" i="14"/>
  <c r="BU11" i="14" s="1"/>
  <c r="AV36" i="14"/>
  <c r="I20" i="14"/>
  <c r="L121" i="14"/>
  <c r="K120" i="14"/>
  <c r="J20" i="14"/>
  <c r="BY13" i="14"/>
  <c r="BS12" i="14" s="1"/>
  <c r="L134" i="14"/>
  <c r="K135" i="14"/>
  <c r="AV66" i="14"/>
  <c r="L34" i="14"/>
  <c r="BZ20" i="14"/>
  <c r="BU19" i="14" s="1"/>
  <c r="K34" i="14"/>
  <c r="K104" i="14"/>
  <c r="J4" i="14"/>
  <c r="I4" i="14"/>
  <c r="AV4" i="14"/>
  <c r="L105" i="14"/>
  <c r="BY5" i="14"/>
  <c r="F12" i="2"/>
  <c r="D11" i="2"/>
  <c r="G12" i="2"/>
  <c r="F11" i="2"/>
  <c r="C13" i="2"/>
  <c r="G11" i="2"/>
  <c r="D13" i="2"/>
  <c r="C12" i="2"/>
  <c r="F13" i="2"/>
  <c r="D12" i="2"/>
  <c r="C11" i="2"/>
  <c r="G13" i="2"/>
  <c r="B17" i="2"/>
  <c r="F15" i="2" a="1"/>
  <c r="F16" i="2" a="1"/>
  <c r="G16" i="2" a="1"/>
  <c r="C14" i="2" a="1"/>
  <c r="D16" i="2" a="1"/>
  <c r="C15" i="2" a="1"/>
  <c r="D15" i="2" a="1"/>
  <c r="F14" i="2" a="1"/>
  <c r="G14" i="2" a="1"/>
  <c r="D14" i="2" a="1"/>
  <c r="G15" i="2" a="1"/>
  <c r="C16" i="2" a="1"/>
  <c r="BY34" i="14" l="1"/>
  <c r="BS33" i="14" s="1"/>
  <c r="BJ35" i="14"/>
  <c r="BI35" i="14"/>
  <c r="J76" i="14"/>
  <c r="H143" i="14"/>
  <c r="I76" i="14"/>
  <c r="L79" i="14"/>
  <c r="I62" i="14"/>
  <c r="BI19" i="14"/>
  <c r="BJ19" i="14"/>
  <c r="J64" i="14"/>
  <c r="BY35" i="14"/>
  <c r="I64" i="14"/>
  <c r="BE66" i="14"/>
  <c r="L76" i="14"/>
  <c r="K77" i="14"/>
  <c r="BE27" i="14"/>
  <c r="BG27" i="14" s="1"/>
  <c r="BZ33" i="14"/>
  <c r="K78" i="14"/>
  <c r="J62" i="14"/>
  <c r="BG43" i="14"/>
  <c r="BF43" i="14"/>
  <c r="BG11" i="14"/>
  <c r="BF11" i="14"/>
  <c r="L60" i="14"/>
  <c r="K60" i="14"/>
  <c r="K87" i="14"/>
  <c r="G58" i="14"/>
  <c r="H62" i="14" s="1"/>
  <c r="H64" i="14" s="1"/>
  <c r="L86" i="14"/>
  <c r="BB63" i="14"/>
  <c r="BD63" i="14" s="1"/>
  <c r="L56" i="14"/>
  <c r="K56" i="14"/>
  <c r="BD39" i="14"/>
  <c r="BC39" i="14"/>
  <c r="K83" i="14"/>
  <c r="BB31" i="14"/>
  <c r="BZ30" i="14"/>
  <c r="BU29" i="14" s="1"/>
  <c r="L82" i="14"/>
  <c r="BC7" i="14"/>
  <c r="BD7" i="14"/>
  <c r="L52" i="14"/>
  <c r="K52" i="14"/>
  <c r="BD47" i="14"/>
  <c r="BC47" i="14"/>
  <c r="BZ29" i="14"/>
  <c r="K81" i="14"/>
  <c r="L80" i="14"/>
  <c r="BB15" i="14"/>
  <c r="BD15" i="14" s="1"/>
  <c r="BZ27" i="14"/>
  <c r="BU26" i="14" s="1"/>
  <c r="K54" i="14"/>
  <c r="L54" i="14"/>
  <c r="L100" i="14"/>
  <c r="BD23" i="14"/>
  <c r="BC23" i="14"/>
  <c r="AY57" i="14"/>
  <c r="BA57" i="14" s="1"/>
  <c r="L38" i="14"/>
  <c r="K38" i="14"/>
  <c r="AZ13" i="14"/>
  <c r="BA13" i="14"/>
  <c r="BS17" i="14"/>
  <c r="BS6" i="14"/>
  <c r="BU7" i="14"/>
  <c r="AZ65" i="14"/>
  <c r="BA65" i="14"/>
  <c r="L50" i="14"/>
  <c r="K50" i="14"/>
  <c r="BA61" i="14"/>
  <c r="AZ61" i="14"/>
  <c r="L48" i="14"/>
  <c r="K48" i="14"/>
  <c r="BA53" i="14"/>
  <c r="AZ53" i="14"/>
  <c r="BA49" i="14"/>
  <c r="AZ49" i="14"/>
  <c r="AY45" i="14"/>
  <c r="BY26" i="14"/>
  <c r="BS25" i="14" s="1"/>
  <c r="K98" i="14"/>
  <c r="I46" i="14"/>
  <c r="J46" i="14"/>
  <c r="L99" i="14"/>
  <c r="K97" i="14"/>
  <c r="BZ25" i="14"/>
  <c r="BU24" i="14" s="1"/>
  <c r="AY41" i="14"/>
  <c r="L96" i="14"/>
  <c r="K44" i="14"/>
  <c r="L44" i="14"/>
  <c r="BA37" i="14"/>
  <c r="AZ37" i="14"/>
  <c r="BA33" i="14"/>
  <c r="AZ33" i="14"/>
  <c r="K94" i="14"/>
  <c r="L95" i="14"/>
  <c r="I42" i="14"/>
  <c r="J42" i="14"/>
  <c r="BY24" i="14"/>
  <c r="BS23" i="14" s="1"/>
  <c r="AY29" i="14"/>
  <c r="K93" i="14"/>
  <c r="BZ23" i="14"/>
  <c r="BU22" i="14" s="1"/>
  <c r="L92" i="14"/>
  <c r="AY25" i="14"/>
  <c r="L40" i="14"/>
  <c r="K40" i="14"/>
  <c r="BA21" i="14"/>
  <c r="AZ21" i="14"/>
  <c r="K91" i="14"/>
  <c r="BZ22" i="14"/>
  <c r="BU21" i="14" s="1"/>
  <c r="AY17" i="14"/>
  <c r="L90" i="14"/>
  <c r="BA9" i="14"/>
  <c r="AZ9" i="14"/>
  <c r="BA5" i="14"/>
  <c r="AZ5" i="14"/>
  <c r="K36" i="14"/>
  <c r="L36" i="14"/>
  <c r="L115" i="14"/>
  <c r="BY14" i="14"/>
  <c r="BS13" i="14" s="1"/>
  <c r="K106" i="14"/>
  <c r="J6" i="14"/>
  <c r="AV24" i="14"/>
  <c r="AW24" i="14" s="1"/>
  <c r="BY10" i="14"/>
  <c r="BS9" i="14" s="1"/>
  <c r="J14" i="14"/>
  <c r="AV28" i="14"/>
  <c r="BY11" i="14"/>
  <c r="BS10" i="14" s="1"/>
  <c r="I16" i="14"/>
  <c r="L117" i="14"/>
  <c r="K116" i="14"/>
  <c r="J16" i="14"/>
  <c r="K114" i="14"/>
  <c r="BZ10" i="14"/>
  <c r="BU9" i="14" s="1"/>
  <c r="K115" i="14"/>
  <c r="AV26" i="14"/>
  <c r="L114" i="14"/>
  <c r="AX10" i="14"/>
  <c r="AW10" i="14"/>
  <c r="K8" i="14"/>
  <c r="L8" i="14"/>
  <c r="AX12" i="14"/>
  <c r="AW12" i="14"/>
  <c r="K122" i="14"/>
  <c r="L123" i="14"/>
  <c r="K14" i="14"/>
  <c r="L14" i="14"/>
  <c r="J22" i="14"/>
  <c r="I22" i="14"/>
  <c r="L22" i="14" s="1"/>
  <c r="AX30" i="14"/>
  <c r="AW30" i="14"/>
  <c r="BZ7" i="14"/>
  <c r="L108" i="14"/>
  <c r="K109" i="14"/>
  <c r="AV14" i="14"/>
  <c r="L6" i="14"/>
  <c r="K6" i="14"/>
  <c r="AX8" i="14"/>
  <c r="AW8" i="14"/>
  <c r="K123" i="14"/>
  <c r="L122" i="14"/>
  <c r="BZ14" i="14"/>
  <c r="BU13" i="14" s="1"/>
  <c r="AV42" i="14"/>
  <c r="L125" i="14"/>
  <c r="J24" i="14"/>
  <c r="AV44" i="14"/>
  <c r="BY15" i="14"/>
  <c r="BS14" i="14" s="1"/>
  <c r="I24" i="14"/>
  <c r="K124" i="14"/>
  <c r="AX58" i="14"/>
  <c r="AW58" i="14"/>
  <c r="AW46" i="14"/>
  <c r="AX46" i="14"/>
  <c r="AX56" i="14"/>
  <c r="AW56" i="14"/>
  <c r="L30" i="14"/>
  <c r="K30" i="14"/>
  <c r="AX40" i="14"/>
  <c r="AW40" i="14"/>
  <c r="L32" i="14"/>
  <c r="K32" i="14"/>
  <c r="AX60" i="14"/>
  <c r="AW60" i="14"/>
  <c r="AX50" i="14"/>
  <c r="AW50" i="14"/>
  <c r="AW18" i="14"/>
  <c r="AX18" i="14"/>
  <c r="L28" i="14"/>
  <c r="K28" i="14"/>
  <c r="AW52" i="14"/>
  <c r="AX52" i="14"/>
  <c r="AX20" i="14"/>
  <c r="AW20" i="14"/>
  <c r="L12" i="14"/>
  <c r="K12" i="14"/>
  <c r="AX34" i="14"/>
  <c r="AW34" i="14"/>
  <c r="K20" i="14"/>
  <c r="L20" i="14"/>
  <c r="AX36" i="14"/>
  <c r="AW36" i="14"/>
  <c r="AX66" i="14"/>
  <c r="AW66" i="14"/>
  <c r="K4" i="14"/>
  <c r="L4" i="14"/>
  <c r="AW4" i="14"/>
  <c r="AX4" i="14"/>
  <c r="G16" i="2"/>
  <c r="F15" i="2"/>
  <c r="D14" i="2"/>
  <c r="C14" i="2"/>
  <c r="G15" i="2"/>
  <c r="F14" i="2"/>
  <c r="C16" i="2"/>
  <c r="G14" i="2"/>
  <c r="D16" i="2"/>
  <c r="C15" i="2"/>
  <c r="D15" i="2"/>
  <c r="F16" i="2"/>
  <c r="B20" i="2"/>
  <c r="G17" i="2" a="1"/>
  <c r="G18" i="2" a="1"/>
  <c r="C17" i="2" a="1"/>
  <c r="F17" i="2" a="1"/>
  <c r="D17" i="2" a="1"/>
  <c r="D18" i="2" a="1"/>
  <c r="F18" i="2" a="1"/>
  <c r="F19" i="2" a="1"/>
  <c r="C19" i="2" a="1"/>
  <c r="D19" i="2" a="1"/>
  <c r="C18" i="2" a="1"/>
  <c r="G19" i="2" a="1"/>
  <c r="D14" i="16" l="1"/>
  <c r="I143" i="14"/>
  <c r="J143" i="14"/>
  <c r="H66" i="14"/>
  <c r="G77" i="14" s="1"/>
  <c r="BZ35" i="14"/>
  <c r="BE68" i="14"/>
  <c r="BG66" i="14"/>
  <c r="BF66" i="14"/>
  <c r="L64" i="14"/>
  <c r="K64" i="14"/>
  <c r="BF27" i="14"/>
  <c r="K79" i="14"/>
  <c r="G78" i="14" s="1"/>
  <c r="G79" i="14" s="1"/>
  <c r="BZ34" i="14"/>
  <c r="BU33" i="14" s="1"/>
  <c r="BE59" i="14"/>
  <c r="L78" i="14"/>
  <c r="L62" i="14"/>
  <c r="K62" i="14"/>
  <c r="BC63" i="14"/>
  <c r="I58" i="14"/>
  <c r="BY32" i="14"/>
  <c r="J58" i="14"/>
  <c r="K86" i="14"/>
  <c r="BB55" i="14"/>
  <c r="L87" i="14"/>
  <c r="BC31" i="14"/>
  <c r="BD31" i="14"/>
  <c r="BC15" i="14"/>
  <c r="AZ57" i="14"/>
  <c r="G96" i="14"/>
  <c r="I96" i="14" s="1"/>
  <c r="E7" i="15"/>
  <c r="E8" i="15" s="1"/>
  <c r="BU6" i="14"/>
  <c r="L46" i="14"/>
  <c r="K46" i="14"/>
  <c r="BA45" i="14"/>
  <c r="AZ45" i="14"/>
  <c r="BA41" i="14"/>
  <c r="AZ41" i="14"/>
  <c r="K42" i="14"/>
  <c r="L42" i="14"/>
  <c r="AZ29" i="14"/>
  <c r="BA29" i="14"/>
  <c r="AZ25" i="14"/>
  <c r="BA25" i="14"/>
  <c r="AX24" i="14"/>
  <c r="BA17" i="14"/>
  <c r="AZ17" i="14"/>
  <c r="AW28" i="14"/>
  <c r="AX28" i="14"/>
  <c r="K16" i="14"/>
  <c r="L16" i="14"/>
  <c r="AX26" i="14"/>
  <c r="AW26" i="14"/>
  <c r="K22" i="14"/>
  <c r="G120" i="14"/>
  <c r="H159" i="14" s="1"/>
  <c r="AW14" i="14"/>
  <c r="AX14" i="14"/>
  <c r="AX42" i="14"/>
  <c r="AW42" i="14"/>
  <c r="AW44" i="14"/>
  <c r="AX44" i="14"/>
  <c r="L24" i="14"/>
  <c r="K24" i="14"/>
  <c r="G19" i="2"/>
  <c r="F18" i="2"/>
  <c r="C17" i="2"/>
  <c r="D17" i="2"/>
  <c r="G18" i="2"/>
  <c r="F17" i="2"/>
  <c r="C19" i="2"/>
  <c r="G17" i="2"/>
  <c r="D19" i="2"/>
  <c r="C18" i="2"/>
  <c r="D18" i="2"/>
  <c r="F19" i="2"/>
  <c r="B23" i="2"/>
  <c r="C21" i="2" a="1"/>
  <c r="F20" i="2" a="1"/>
  <c r="D21" i="2" a="1"/>
  <c r="D20" i="2" a="1"/>
  <c r="C22" i="2" a="1"/>
  <c r="D22" i="2" a="1"/>
  <c r="G22" i="2" a="1"/>
  <c r="C20" i="2" a="1"/>
  <c r="G21" i="2" a="1"/>
  <c r="F21" i="2" a="1"/>
  <c r="F22" i="2" a="1"/>
  <c r="G20" i="2" a="1"/>
  <c r="G85" i="14" l="1"/>
  <c r="J85" i="14" s="1"/>
  <c r="J77" i="14"/>
  <c r="I77" i="14"/>
  <c r="H144" i="14"/>
  <c r="BZ36" i="14"/>
  <c r="BU35" i="14" s="1"/>
  <c r="G121" i="14"/>
  <c r="H160" i="14" s="1"/>
  <c r="G97" i="14"/>
  <c r="I97" i="14" s="1"/>
  <c r="BH51" i="14"/>
  <c r="BI51" i="14" s="1"/>
  <c r="E14" i="16"/>
  <c r="F14" i="16"/>
  <c r="U7" i="15"/>
  <c r="S9" i="15" s="1"/>
  <c r="L66" i="14"/>
  <c r="K66" i="14"/>
  <c r="BF68" i="14"/>
  <c r="BG68" i="14"/>
  <c r="G98" i="14"/>
  <c r="H153" i="14" s="1"/>
  <c r="J153" i="14" s="1"/>
  <c r="H146" i="14"/>
  <c r="I146" i="14" s="1"/>
  <c r="G123" i="14"/>
  <c r="J123" i="14" s="1"/>
  <c r="I79" i="14"/>
  <c r="J79" i="14"/>
  <c r="G99" i="14"/>
  <c r="H154" i="14" s="1"/>
  <c r="J154" i="14" s="1"/>
  <c r="J78" i="14"/>
  <c r="H145" i="14"/>
  <c r="G122" i="14"/>
  <c r="H161" i="14" s="1"/>
  <c r="I161" i="14" s="1"/>
  <c r="G86" i="14"/>
  <c r="H149" i="14" s="1"/>
  <c r="I149" i="14" s="1"/>
  <c r="I78" i="14"/>
  <c r="U27" i="15"/>
  <c r="S29" i="15" s="1"/>
  <c r="G87" i="14"/>
  <c r="G103" i="14" s="1"/>
  <c r="G135" i="14" s="1"/>
  <c r="J135" i="14" s="1"/>
  <c r="BG59" i="14"/>
  <c r="BF59" i="14"/>
  <c r="G84" i="14"/>
  <c r="H147" i="14" s="1"/>
  <c r="D18" i="16" s="1"/>
  <c r="BS31" i="14"/>
  <c r="E27" i="15"/>
  <c r="BD55" i="14"/>
  <c r="BC55" i="14"/>
  <c r="L58" i="14"/>
  <c r="K58" i="14"/>
  <c r="G125" i="14"/>
  <c r="H164" i="14" s="1"/>
  <c r="I164" i="14" s="1"/>
  <c r="G101" i="14"/>
  <c r="H156" i="14" s="1"/>
  <c r="I156" i="14" s="1"/>
  <c r="H148" i="14"/>
  <c r="D19" i="16" s="1"/>
  <c r="G126" i="14"/>
  <c r="J126" i="14" s="1"/>
  <c r="I85" i="14"/>
  <c r="H151" i="14"/>
  <c r="I151" i="14" s="1"/>
  <c r="G128" i="14"/>
  <c r="I128" i="14" s="1"/>
  <c r="J96" i="14"/>
  <c r="C9" i="15"/>
  <c r="G129" i="14"/>
  <c r="I129" i="14" s="1"/>
  <c r="H152" i="14"/>
  <c r="I152" i="14" s="1"/>
  <c r="I120" i="14"/>
  <c r="J120" i="14"/>
  <c r="J159" i="14"/>
  <c r="I159" i="14"/>
  <c r="I160" i="14"/>
  <c r="J160" i="14"/>
  <c r="F22" i="2"/>
  <c r="D21" i="2"/>
  <c r="G22" i="2"/>
  <c r="C20" i="2"/>
  <c r="F21" i="2"/>
  <c r="D20" i="2"/>
  <c r="G21" i="2"/>
  <c r="F20" i="2"/>
  <c r="C22" i="2"/>
  <c r="G20" i="2"/>
  <c r="C21" i="2"/>
  <c r="D22" i="2"/>
  <c r="F23" i="2" a="1"/>
  <c r="C24" i="2" a="1"/>
  <c r="F25" i="2" a="1"/>
  <c r="D23" i="2" a="1"/>
  <c r="G25" i="2" a="1"/>
  <c r="D25" i="2" a="1"/>
  <c r="D24" i="2" a="1"/>
  <c r="G23" i="2" a="1"/>
  <c r="C25" i="2" a="1"/>
  <c r="F24" i="2" a="1"/>
  <c r="C23" i="2" a="1"/>
  <c r="G24" i="2" a="1"/>
  <c r="J121" i="14" l="1"/>
  <c r="I121" i="14"/>
  <c r="U8" i="15"/>
  <c r="J97" i="14"/>
  <c r="I153" i="14"/>
  <c r="BJ51" i="14"/>
  <c r="D15" i="16"/>
  <c r="I144" i="14"/>
  <c r="J144" i="14"/>
  <c r="G131" i="14"/>
  <c r="J131" i="14" s="1"/>
  <c r="D20" i="16"/>
  <c r="E20" i="16" s="1"/>
  <c r="J98" i="14"/>
  <c r="I98" i="14"/>
  <c r="I86" i="14"/>
  <c r="J146" i="14"/>
  <c r="G130" i="14"/>
  <c r="H169" i="14" s="1"/>
  <c r="I169" i="14" s="1"/>
  <c r="J99" i="14"/>
  <c r="D17" i="16"/>
  <c r="E17" i="16" s="1"/>
  <c r="I154" i="14"/>
  <c r="J149" i="14"/>
  <c r="G102" i="14"/>
  <c r="J102" i="14" s="1"/>
  <c r="J86" i="14"/>
  <c r="I99" i="14"/>
  <c r="H162" i="14"/>
  <c r="I162" i="14" s="1"/>
  <c r="I123" i="14"/>
  <c r="J122" i="14"/>
  <c r="I122" i="14"/>
  <c r="J103" i="14"/>
  <c r="U28" i="15"/>
  <c r="G124" i="14"/>
  <c r="H163" i="14" s="1"/>
  <c r="I163" i="14" s="1"/>
  <c r="J161" i="14"/>
  <c r="H174" i="14"/>
  <c r="I174" i="14" s="1"/>
  <c r="I135" i="14"/>
  <c r="J87" i="14"/>
  <c r="I87" i="14"/>
  <c r="D16" i="16"/>
  <c r="I145" i="14"/>
  <c r="J145" i="14"/>
  <c r="I103" i="14"/>
  <c r="H158" i="14"/>
  <c r="J158" i="14" s="1"/>
  <c r="J84" i="14"/>
  <c r="J147" i="14"/>
  <c r="G127" i="14"/>
  <c r="J127" i="14" s="1"/>
  <c r="H150" i="14"/>
  <c r="D21" i="16" s="1"/>
  <c r="I125" i="14"/>
  <c r="I147" i="14"/>
  <c r="I84" i="14"/>
  <c r="G100" i="14"/>
  <c r="J164" i="14"/>
  <c r="J125" i="14"/>
  <c r="C29" i="15"/>
  <c r="E28" i="15"/>
  <c r="I148" i="14"/>
  <c r="J156" i="14"/>
  <c r="G133" i="14"/>
  <c r="J133" i="14" s="1"/>
  <c r="I101" i="14"/>
  <c r="J101" i="14"/>
  <c r="J148" i="14"/>
  <c r="I126" i="14"/>
  <c r="H165" i="14"/>
  <c r="I165" i="14" s="1"/>
  <c r="J129" i="14"/>
  <c r="E18" i="16"/>
  <c r="F18" i="16"/>
  <c r="E19" i="16"/>
  <c r="F19" i="16"/>
  <c r="H167" i="14"/>
  <c r="I167" i="14" s="1"/>
  <c r="J151" i="14"/>
  <c r="J128" i="14"/>
  <c r="H168" i="14"/>
  <c r="I168" i="14" s="1"/>
  <c r="I130" i="14"/>
  <c r="J152" i="14"/>
  <c r="G25" i="2"/>
  <c r="C23" i="2"/>
  <c r="F24" i="2"/>
  <c r="D23" i="2"/>
  <c r="F25" i="2"/>
  <c r="G24" i="2"/>
  <c r="F23" i="2"/>
  <c r="C25" i="2"/>
  <c r="G23" i="2"/>
  <c r="D24" i="2"/>
  <c r="C24" i="2"/>
  <c r="D25" i="2"/>
  <c r="H170" i="14" l="1"/>
  <c r="J170" i="14" s="1"/>
  <c r="F17" i="16"/>
  <c r="E15" i="16"/>
  <c r="F15" i="16"/>
  <c r="G134" i="14"/>
  <c r="I134" i="14" s="1"/>
  <c r="I127" i="14"/>
  <c r="I131" i="14"/>
  <c r="F20" i="16"/>
  <c r="J169" i="14"/>
  <c r="J162" i="14"/>
  <c r="J130" i="14"/>
  <c r="I102" i="14"/>
  <c r="H157" i="14"/>
  <c r="J157" i="14" s="1"/>
  <c r="I124" i="14"/>
  <c r="J163" i="14"/>
  <c r="J124" i="14"/>
  <c r="J174" i="14"/>
  <c r="I158" i="14"/>
  <c r="E16" i="16"/>
  <c r="F16" i="16"/>
  <c r="J150" i="14"/>
  <c r="I150" i="14"/>
  <c r="H166" i="14"/>
  <c r="J166" i="14" s="1"/>
  <c r="G132" i="14"/>
  <c r="J100" i="14"/>
  <c r="H155" i="14"/>
  <c r="I155" i="14" s="1"/>
  <c r="I100" i="14"/>
  <c r="I133" i="14"/>
  <c r="J165" i="14"/>
  <c r="H172" i="14"/>
  <c r="J172" i="14" s="1"/>
  <c r="F21" i="16"/>
  <c r="E21" i="16"/>
  <c r="I170" i="14"/>
  <c r="J167" i="14"/>
  <c r="J168" i="14"/>
  <c r="H173" i="14" l="1"/>
  <c r="I173" i="14" s="1"/>
  <c r="J134" i="14"/>
  <c r="I157" i="14"/>
  <c r="I166" i="14"/>
  <c r="J155" i="14"/>
  <c r="I132" i="14"/>
  <c r="J132" i="14"/>
  <c r="H171" i="14"/>
  <c r="J173" i="14"/>
  <c r="I172" i="14"/>
  <c r="J171" i="14" l="1"/>
  <c r="I171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<sst xmlns="http://schemas.openxmlformats.org/spreadsheetml/2006/main" count="991" uniqueCount="332">
  <si>
    <t>Ganadores</t>
  </si>
  <si>
    <t>Perdedores</t>
  </si>
  <si>
    <t xml:space="preserve"> </t>
  </si>
  <si>
    <t>Ranking Nacional</t>
  </si>
  <si>
    <t>CARNÉ</t>
  </si>
  <si>
    <t>NOMBRE</t>
  </si>
  <si>
    <t>CLUB</t>
  </si>
  <si>
    <t>RANKING</t>
  </si>
  <si>
    <t>PUNTOS</t>
  </si>
  <si>
    <t>Grupo</t>
  </si>
  <si>
    <t>ALAJUELA</t>
  </si>
  <si>
    <t>ASERRÍ</t>
  </si>
  <si>
    <t>ESPARZA</t>
  </si>
  <si>
    <t>ESCAZÚ</t>
  </si>
  <si>
    <t>PÉREZ ZELEDÓN</t>
  </si>
  <si>
    <t>CCDR SAN JOSÉ</t>
  </si>
  <si>
    <t>CORREDORES</t>
  </si>
  <si>
    <t>SAN CARLOS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</si>
  <si>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</si>
  <si>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</si>
  <si>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</si>
  <si>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</si>
  <si>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</si>
  <si>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</si>
  <si>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</si>
  <si>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</si>
  <si>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</si>
  <si>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</si>
  <si>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</si>
  <si>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</si>
  <si>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</si>
  <si>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</si>
  <si>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</si>
  <si>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</si>
  <si>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</si>
  <si>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</si>
  <si>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</si>
  <si>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</si>
  <si>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</si>
  <si>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</si>
  <si>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</si>
  <si>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</si>
  <si>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</si>
  <si>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</si>
  <si>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</si>
  <si>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</si>
  <si>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</si>
  <si>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</si>
  <si>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</si>
  <si>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</si>
  <si>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</si>
  <si>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</si>
  <si>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PRIMEROS DE GRUPO</t>
  </si>
  <si>
    <t>1ro G1</t>
  </si>
  <si>
    <t>Gr</t>
  </si>
  <si>
    <t>2do</t>
  </si>
  <si>
    <t>1ro G9-16</t>
  </si>
  <si>
    <t>1ro G5-8</t>
  </si>
  <si>
    <t>1ro G3-4</t>
  </si>
  <si>
    <t>SEGUNDOS DE GRUPO</t>
  </si>
  <si>
    <t>1ro G2</t>
  </si>
  <si>
    <t>-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</si>
  <si>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</si>
  <si>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</si>
  <si>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</si>
  <si>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</si>
  <si>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</si>
  <si>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</si>
  <si>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</si>
  <si>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</si>
  <si>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</si>
  <si>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</si>
  <si>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</si>
  <si>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</si>
  <si>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</si>
  <si>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</si>
  <si>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</si>
  <si>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</si>
  <si>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28/Sep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</si>
  <si>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</si>
  <si>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</si>
  <si>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</si>
  <si>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</si>
  <si>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</si>
  <si>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</si>
  <si>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</si>
  <si>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</si>
  <si>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</si>
  <si>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</si>
  <si>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</si>
  <si>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</si>
  <si>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</si>
  <si>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</si>
  <si>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</si>
  <si>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</si>
  <si>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</si>
  <si>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</si>
  <si>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</si>
  <si>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</si>
  <si>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</si>
  <si>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</si>
  <si>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</si>
  <si>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</si>
  <si>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</si>
  <si>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</si>
  <si>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</si>
  <si>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</si>
  <si>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</si>
  <si>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</si>
  <si>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</si>
  <si>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</si>
  <si>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</si>
  <si>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</si>
  <si>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</si>
  <si>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</si>
  <si>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</si>
  <si>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</si>
  <si>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</si>
  <si>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</si>
  <si>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</si>
  <si>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</si>
  <si>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</si>
  <si>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</si>
  <si>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</si>
  <si>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</si>
  <si>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</si>
  <si>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</si>
  <si>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</si>
  <si>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</si>
  <si>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</si>
  <si>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</si>
  <si>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</si>
  <si>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TERCERO:</t>
    <phoneticPr fontId="0" type="noConversion"/>
  </si>
  <si>
    <t>SI SE JUEGA TERCER PUESTO MARQUE 1, SI NO DEJE EN BLANCO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</si>
  <si>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</si>
  <si>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</si>
  <si>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</si>
  <si>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</si>
  <si>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</si>
  <si>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</si>
  <si>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</si>
  <si>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</si>
  <si>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</si>
  <si>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</si>
  <si>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</si>
  <si>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</si>
  <si>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</si>
  <si>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</si>
  <si>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</si>
  <si>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</si>
  <si>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</si>
  <si>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</si>
  <si>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</si>
  <si>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</si>
  <si>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</si>
  <si>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</si>
  <si>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</si>
  <si>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</si>
  <si>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</si>
  <si>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</si>
  <si>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</si>
  <si>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</si>
  <si>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</si>
  <si>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</si>
  <si>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</si>
  <si>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</si>
  <si>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</si>
  <si>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</si>
  <si>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</si>
  <si>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</si>
  <si>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</si>
  <si>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</si>
  <si>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</si>
  <si>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</si>
  <si>
    <t>SCORE SHEETS PRELIMINARY GROUPS</t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</si>
  <si>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</si>
  <si>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</si>
  <si>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</si>
  <si>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</si>
  <si>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</si>
  <si>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</si>
  <si>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</si>
  <si>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</si>
  <si>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</si>
  <si>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</si>
  <si>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</si>
  <si>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</si>
  <si>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</si>
  <si>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</si>
  <si>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</si>
  <si>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</si>
  <si>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</si>
  <si>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</si>
  <si>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</si>
  <si>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</si>
  <si>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</si>
  <si>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</si>
  <si>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</si>
  <si>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</si>
  <si>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</si>
  <si>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</si>
  <si>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>Name:</t>
  </si>
  <si>
    <t xml:space="preserve">PREMIACIÓN </t>
  </si>
  <si>
    <t>POS</t>
  </si>
  <si>
    <t>CARNET</t>
  </si>
  <si>
    <t>MARÍA FERNANDA ZELEDÓN HERRERA</t>
  </si>
  <si>
    <t>ANNETTE CARRANZA SOLÍS</t>
  </si>
  <si>
    <t>SILOÉ MUÑOZ CÓRDOBA</t>
  </si>
  <si>
    <t>ABIGAIL QUIROS BALTODANO</t>
  </si>
  <si>
    <t>AMANDA PEREZ CABEZAS</t>
  </si>
  <si>
    <t>FIORELLA PEREIRA OBANDO</t>
  </si>
  <si>
    <t>CURRIDABAT</t>
  </si>
  <si>
    <t>MARIANA SOTO CALDERON</t>
  </si>
  <si>
    <t>LUCIANA CASCANTE BARBOZA</t>
  </si>
  <si>
    <t>VALENTINA LOPEZ ALVARADO</t>
  </si>
  <si>
    <t>LÍA SOFÍA SOLÍS VÁSQUEZ</t>
  </si>
  <si>
    <t>FIORELLA RETANA AGUILAR</t>
  </si>
  <si>
    <t>VALENTINA FERNANDEZ REYES</t>
  </si>
  <si>
    <t>MARÍA PAULA HERNÁNDEZ ZÚÑIGA</t>
  </si>
  <si>
    <t>EMMA GIOCONDA BERTARIONI ARAYA</t>
  </si>
  <si>
    <t>ALINA CHACON RETANA</t>
  </si>
  <si>
    <t>JAQUELINE HERNÁNDEZ ZUÑIGA</t>
  </si>
  <si>
    <t>MARIANGEL JIMENEZ QUESADA</t>
  </si>
  <si>
    <t>AMBAR PADILLA GRANADOS</t>
  </si>
  <si>
    <t>BRENDA HERRERA RIVAS</t>
  </si>
  <si>
    <t>ARIANA SANCHEZ DELGADO</t>
  </si>
  <si>
    <t>EMA MELISSA ANGULO CRUZ</t>
  </si>
  <si>
    <t>MONSERRAT RODRÍGUEZ SOLÍS</t>
  </si>
  <si>
    <t>CLARISSA MORA JIMÉNEZ</t>
  </si>
  <si>
    <t>KENYA DEL VALLE ARAO</t>
  </si>
  <si>
    <t>ISABELA CHACÓN ALVARADO</t>
  </si>
  <si>
    <t>AMANDA CHEN CEN</t>
  </si>
  <si>
    <t>MARIPAZ VALVERDE VARELA</t>
  </si>
  <si>
    <t>PAULA ALFARO MORA</t>
  </si>
  <si>
    <t>X</t>
  </si>
  <si>
    <t>BYE</t>
  </si>
  <si>
    <t>SORTEO LLAVE U-13 FEMENINO</t>
  </si>
  <si>
    <t>U13 FEMENINO</t>
  </si>
  <si>
    <t>wo</t>
  </si>
  <si>
    <t>CARNE</t>
  </si>
  <si>
    <t>BELÉN MAZARIEGOS SANTOS</t>
  </si>
  <si>
    <t>SANTA ANA</t>
  </si>
  <si>
    <t>AINHOA SOFÍA QUIRÓS VARGAS</t>
  </si>
  <si>
    <t>GENESIS XIMENA MURILLO MONTENEGRO</t>
  </si>
  <si>
    <t>CCDR SANTA CRUZ</t>
  </si>
  <si>
    <t>DANIELA MICÓ CHAVES</t>
  </si>
  <si>
    <t>ALY DENISSE MATARRITA LOPEZ</t>
  </si>
  <si>
    <t>DILANY PORRAS MADRIGAL</t>
  </si>
  <si>
    <t>KIMBERLY GARCIA JIMENEZ</t>
  </si>
  <si>
    <t>SANTO DOMINGO</t>
  </si>
  <si>
    <t>MANUELA RUIZ PLAZA</t>
  </si>
  <si>
    <t>EMILY CAMILLE LOPEZ ALVARADO</t>
  </si>
  <si>
    <t>MAYTE LUCIA MORA MOJICA</t>
  </si>
  <si>
    <t>Ximena Yahoska Rojas Silva</t>
  </si>
  <si>
    <t>Fiorella Fallas Cardenas</t>
  </si>
  <si>
    <t>Genesis Daneth Solorzano Ruiz</t>
  </si>
  <si>
    <t>Fiorella Alvarez Salas</t>
  </si>
  <si>
    <t>Amanda Bogantes Araya</t>
  </si>
  <si>
    <t>Sara Rojas Ordoñez</t>
  </si>
  <si>
    <t>Valentina Solis Zuñiga</t>
  </si>
  <si>
    <t>Krystel Vargas Jiménez</t>
  </si>
  <si>
    <t>CCDR DESAMPARADOS</t>
  </si>
  <si>
    <t>Antonella Quirós Chinchilla</t>
  </si>
  <si>
    <t>Abigail Alvarado González</t>
  </si>
  <si>
    <t>Amanda Navarro Calderón</t>
  </si>
  <si>
    <t>CARTAGO</t>
  </si>
  <si>
    <t>Lesly Graciela Lira Blanco</t>
  </si>
  <si>
    <t>Valeria Mata Alvarez</t>
  </si>
  <si>
    <t>Andrea Ramirez Jaimez</t>
  </si>
  <si>
    <t>Ana Valverde Herrera</t>
  </si>
  <si>
    <t>Carla Manzano De Benedetis</t>
  </si>
  <si>
    <t>Danna Alondra Barrantes Ramirez</t>
  </si>
  <si>
    <t>Denisse Fallas Cardenas</t>
  </si>
  <si>
    <t>Tabatha Lopez Solis</t>
  </si>
  <si>
    <t>KAYDENCE EMILY JIMENEZ ARAGON</t>
  </si>
  <si>
    <t>PAULA RUIZ RIVAS</t>
  </si>
  <si>
    <t>LIBERIA</t>
  </si>
  <si>
    <t>JAYDELINNE SHANNEY BAKER CRAWFORD</t>
  </si>
  <si>
    <t>GALILEA MUÑOZ CORDOBA</t>
  </si>
  <si>
    <t>FIORELLA HERNANDEZ LASCAREZ</t>
  </si>
  <si>
    <t>JALANNA LEÓN CAMBRONERO</t>
  </si>
  <si>
    <t>KATHERINE FLUTSCH ESPINOZA</t>
  </si>
  <si>
    <t>MARÍA JOSÉ JIMÉNEZ DE LEÓN</t>
  </si>
  <si>
    <t>VALENTINA CARMONA CONTRERAS</t>
  </si>
  <si>
    <t>ATM SANTA CRUZ</t>
  </si>
  <si>
    <t>CATALINA AGUERO MASIS</t>
  </si>
  <si>
    <t>Sury Quesada Sanchez</t>
  </si>
  <si>
    <t>ALAJUELITA</t>
  </si>
  <si>
    <t>Luciana Chaves Quiros</t>
  </si>
  <si>
    <t>DESAMPARADOS</t>
  </si>
  <si>
    <t>Michelle Campos Cruz</t>
  </si>
  <si>
    <t>Isabella Marrocchi Falcón</t>
  </si>
  <si>
    <t>ANGELA VILLEGAS CASTRO</t>
  </si>
  <si>
    <t>NOHELIA MARÍA OROZCO REYES</t>
  </si>
  <si>
    <t>Abril Dijeres Chavarría</t>
  </si>
  <si>
    <t>Valery Salazar Vega</t>
  </si>
  <si>
    <t>BRIANNA MORA MORA</t>
  </si>
  <si>
    <t>Amanda León Barrantes</t>
  </si>
  <si>
    <t>Sofía Hernández Aguero</t>
  </si>
  <si>
    <t>Jesmely Antonella Navarrete Rivera</t>
  </si>
  <si>
    <t>Abigail Alpizar Paniagua</t>
  </si>
  <si>
    <t>Emily Mackenzie Cruz Gaitán</t>
  </si>
  <si>
    <t>Barbara Chaves González</t>
  </si>
  <si>
    <t>Maria Naomi Calderón González</t>
  </si>
  <si>
    <t>IRIANA MANJARRES MORA</t>
  </si>
  <si>
    <t>ABBY JIMENA ESTRADA GONZALEZ</t>
  </si>
  <si>
    <t>SOFIA SANCHEZ ARAYA</t>
  </si>
  <si>
    <t>OREAMUNOT3 AMETROTEME</t>
  </si>
  <si>
    <t>Chloe Raillon Alvarez</t>
  </si>
  <si>
    <t>A</t>
  </si>
  <si>
    <t>MAYLEN GRACIELA CALCERÓN FERNÁNDEZ</t>
  </si>
  <si>
    <t>POCOCÍ</t>
  </si>
  <si>
    <t>DARIANA VINDAS MONGE</t>
  </si>
  <si>
    <t>EMILIA ARTAVIA MORALES</t>
  </si>
  <si>
    <t>MONTES DE OCA</t>
  </si>
  <si>
    <t>DANIELA HIDALGO CHACÓN</t>
  </si>
  <si>
    <t>GUARCO</t>
  </si>
  <si>
    <t>MARIANA SOFÍA CHAVES MUÑOZ</t>
  </si>
  <si>
    <t>KEYSI SUAZO REYES</t>
  </si>
  <si>
    <t>SOPHIA SÁNCHEZ ARAYA</t>
  </si>
  <si>
    <t>OREAMUNO</t>
  </si>
  <si>
    <t>VALERIA MOYA CUBERO</t>
  </si>
  <si>
    <t>Kiara Ford Vega</t>
  </si>
  <si>
    <t>Dana Sofìa Araya Oneal</t>
  </si>
  <si>
    <t>GRECIA</t>
  </si>
  <si>
    <t>Tamara Siu Arley</t>
  </si>
  <si>
    <t>Emma Rodriguez Benavidez</t>
  </si>
  <si>
    <t>Abigail Lopez Gomez</t>
  </si>
  <si>
    <t>Angie Victoria González Cabezas</t>
  </si>
  <si>
    <t>Brittany Michelle Mora Borbón</t>
  </si>
  <si>
    <t>Sofia Antonella Arrieta Torres</t>
  </si>
  <si>
    <t>ASHLEY VALENTINA QUIRÓS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</si>
</sst>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7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2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9"/>
      <name val="Arial"/>
      <family val="2"/>
    </font>
    <font>
      <b/>
      <sz val="9"/>
      <color indexed="10"/>
      <name val="Arial"/>
      <family val="2"/>
    </font>
    <font>
      <b/>
      <sz val="15"/>
      <name val="Arial"/>
      <family val="2"/>
    </font>
    <font>
      <sz val="9"/>
      <color indexed="9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24"/>
      <color indexed="17"/>
      <name val="Arial Black"/>
      <family val="2"/>
    </font>
    <font>
      <b/>
      <sz val="24"/>
      <color indexed="17"/>
      <name val="Arial Black"/>
      <family val="2"/>
    </font>
    <font>
      <b/>
      <sz val="25"/>
      <color indexed="17"/>
      <name val="Comic Sans MS"/>
      <family val="4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15" fillId="0" borderId="0"/>
    <xf numFmtId="0" fontId="15" fillId="0" borderId="0"/>
    <xf numFmtId="0" fontId="1" fillId="0" borderId="0"/>
  </cellStyleXfs>
  <cellXfs count="592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0" fillId="0" borderId="0" xfId="1" applyFont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1" fontId="6" fillId="0" borderId="12" xfId="2" applyNumberFormat="1" applyFont="1" applyBorder="1" applyAlignment="1">
      <alignment horizontal="left" vertical="top"/>
    </xf>
    <xf numFmtId="0" fontId="6" fillId="0" borderId="13" xfId="2" applyFont="1" applyBorder="1" applyAlignment="1">
      <alignment horizontal="left" vertical="top"/>
    </xf>
    <xf numFmtId="1" fontId="6" fillId="0" borderId="13" xfId="2" applyNumberFormat="1" applyFont="1" applyBorder="1" applyAlignment="1">
      <alignment horizontal="center" vertical="top"/>
    </xf>
    <xf numFmtId="1" fontId="6" fillId="0" borderId="14" xfId="2" applyNumberFormat="1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1" fontId="6" fillId="0" borderId="23" xfId="2" applyNumberFormat="1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1" fontId="6" fillId="0" borderId="0" xfId="2" applyNumberFormat="1" applyFont="1" applyAlignment="1">
      <alignment horizontal="center" vertical="top"/>
    </xf>
    <xf numFmtId="1" fontId="6" fillId="0" borderId="24" xfId="2" applyNumberFormat="1" applyFont="1" applyBorder="1" applyAlignment="1">
      <alignment horizontal="center" vertical="top"/>
    </xf>
    <xf numFmtId="1" fontId="6" fillId="0" borderId="15" xfId="2" applyNumberFormat="1" applyFont="1" applyBorder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1" fontId="6" fillId="0" borderId="16" xfId="2" applyNumberFormat="1" applyFont="1" applyBorder="1" applyAlignment="1">
      <alignment horizontal="center" vertical="top"/>
    </xf>
    <xf numFmtId="1" fontId="6" fillId="0" borderId="17" xfId="2" applyNumberFormat="1" applyFont="1" applyBorder="1" applyAlignment="1">
      <alignment horizontal="center" vertical="top"/>
    </xf>
    <xf numFmtId="1" fontId="6" fillId="7" borderId="12" xfId="2" applyNumberFormat="1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1" fontId="6" fillId="7" borderId="13" xfId="2" applyNumberFormat="1" applyFont="1" applyFill="1" applyBorder="1" applyAlignment="1">
      <alignment horizontal="center" vertical="top"/>
    </xf>
    <xf numFmtId="1" fontId="6" fillId="7" borderId="14" xfId="2" applyNumberFormat="1" applyFont="1" applyFill="1" applyBorder="1" applyAlignment="1">
      <alignment horizontal="center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1" fontId="6" fillId="7" borderId="23" xfId="2" applyNumberFormat="1" applyFont="1" applyFill="1" applyBorder="1" applyAlignment="1">
      <alignment horizontal="left" vertical="top"/>
    </xf>
    <xf numFmtId="0" fontId="6" fillId="7" borderId="0" xfId="2" applyFont="1" applyFill="1" applyAlignment="1">
      <alignment horizontal="left" vertical="top"/>
    </xf>
    <xf numFmtId="1" fontId="6" fillId="7" borderId="0" xfId="2" applyNumberFormat="1" applyFont="1" applyFill="1" applyAlignment="1">
      <alignment horizontal="center" vertical="top"/>
    </xf>
    <xf numFmtId="1" fontId="6" fillId="7" borderId="24" xfId="2" applyNumberFormat="1" applyFont="1" applyFill="1" applyBorder="1" applyAlignment="1">
      <alignment horizontal="center" vertical="top"/>
    </xf>
    <xf numFmtId="0" fontId="6" fillId="0" borderId="25" xfId="2" applyFont="1" applyBorder="1" applyAlignment="1">
      <alignment vertical="center"/>
    </xf>
    <xf numFmtId="1" fontId="6" fillId="7" borderId="15" xfId="2" applyNumberFormat="1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left" vertical="top"/>
    </xf>
    <xf numFmtId="1" fontId="6" fillId="7" borderId="16" xfId="2" applyNumberFormat="1" applyFont="1" applyFill="1" applyBorder="1" applyAlignment="1">
      <alignment horizontal="center" vertical="top"/>
    </xf>
    <xf numFmtId="1" fontId="6" fillId="7" borderId="17" xfId="2" applyNumberFormat="1" applyFont="1" applyFill="1" applyBorder="1" applyAlignment="1">
      <alignment horizontal="center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11" borderId="0" xfId="3" applyFont="1" applyFill="1" applyAlignment="1">
      <alignment horizontal="center" vertical="center"/>
    </xf>
    <xf numFmtId="0" fontId="17" fillId="12" borderId="0" xfId="3" applyFont="1" applyFill="1" applyAlignment="1">
      <alignment horizontal="center" vertical="center"/>
    </xf>
    <xf numFmtId="0" fontId="17" fillId="12" borderId="0" xfId="3" applyFont="1" applyFill="1" applyAlignment="1">
      <alignment vertical="center"/>
    </xf>
    <xf numFmtId="0" fontId="24" fillId="13" borderId="35" xfId="3" applyFont="1" applyFill="1" applyBorder="1" applyAlignment="1">
      <alignment vertical="center"/>
    </xf>
    <xf numFmtId="0" fontId="24" fillId="13" borderId="36" xfId="3" applyFont="1" applyFill="1" applyBorder="1" applyAlignment="1">
      <alignment vertical="center"/>
    </xf>
    <xf numFmtId="0" fontId="24" fillId="13" borderId="33" xfId="3" applyFont="1" applyFill="1" applyBorder="1" applyAlignment="1">
      <alignment vertical="center"/>
    </xf>
    <xf numFmtId="0" fontId="24" fillId="13" borderId="38" xfId="3" applyFont="1" applyFill="1" applyBorder="1" applyAlignment="1">
      <alignment vertical="center"/>
    </xf>
    <xf numFmtId="0" fontId="16" fillId="14" borderId="39" xfId="3" applyFont="1" applyFill="1" applyBorder="1" applyAlignment="1">
      <alignment horizontal="center" vertical="center"/>
    </xf>
    <xf numFmtId="0" fontId="26" fillId="0" borderId="40" xfId="3" applyFont="1" applyBorder="1" applyAlignment="1">
      <alignment horizontal="center" vertical="center"/>
    </xf>
    <xf numFmtId="0" fontId="17" fillId="12" borderId="41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/>
    </xf>
    <xf numFmtId="0" fontId="16" fillId="14" borderId="42" xfId="3" applyFont="1" applyFill="1" applyBorder="1" applyAlignment="1">
      <alignment horizontal="center" vertical="center"/>
    </xf>
    <xf numFmtId="0" fontId="17" fillId="0" borderId="43" xfId="3" applyFont="1" applyBorder="1" applyAlignment="1" applyProtection="1">
      <alignment horizontal="right" vertical="center"/>
      <protection locked="0"/>
    </xf>
    <xf numFmtId="0" fontId="16" fillId="0" borderId="43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27" fillId="15" borderId="43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26" fillId="0" borderId="27" xfId="3" applyFont="1" applyBorder="1" applyAlignment="1">
      <alignment horizontal="center" vertical="center"/>
    </xf>
    <xf numFmtId="0" fontId="17" fillId="12" borderId="34" xfId="3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/>
    </xf>
    <xf numFmtId="0" fontId="17" fillId="11" borderId="36" xfId="3" applyFont="1" applyFill="1" applyBorder="1" applyAlignment="1">
      <alignment vertical="center"/>
    </xf>
    <xf numFmtId="0" fontId="16" fillId="14" borderId="47" xfId="3" applyFont="1" applyFill="1" applyBorder="1" applyAlignment="1">
      <alignment horizontal="center" vertical="center"/>
    </xf>
    <xf numFmtId="0" fontId="16" fillId="14" borderId="48" xfId="3" applyFont="1" applyFill="1" applyBorder="1" applyAlignment="1">
      <alignment horizontal="center" vertical="center"/>
    </xf>
    <xf numFmtId="0" fontId="17" fillId="0" borderId="49" xfId="3" applyFont="1" applyBorder="1" applyAlignment="1" applyProtection="1">
      <alignment horizontal="right" vertical="center"/>
      <protection locked="0"/>
    </xf>
    <xf numFmtId="0" fontId="16" fillId="0" borderId="49" xfId="3" applyFont="1" applyBorder="1" applyAlignment="1">
      <alignment vertical="center"/>
    </xf>
    <xf numFmtId="0" fontId="17" fillId="11" borderId="35" xfId="3" applyFont="1" applyFill="1" applyBorder="1" applyAlignment="1">
      <alignment horizontal="center" vertical="center"/>
    </xf>
    <xf numFmtId="0" fontId="27" fillId="15" borderId="49" xfId="3" applyFont="1" applyFill="1" applyBorder="1" applyAlignment="1" applyProtection="1">
      <alignment horizontal="center" vertical="center"/>
      <protection locked="0"/>
    </xf>
    <xf numFmtId="0" fontId="17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28" fillId="16" borderId="51" xfId="3" applyFont="1" applyFill="1" applyBorder="1" applyAlignment="1">
      <alignment horizontal="left" vertical="center"/>
    </xf>
    <xf numFmtId="0" fontId="28" fillId="16" borderId="52" xfId="3" applyFont="1" applyFill="1" applyBorder="1" applyAlignment="1">
      <alignment horizontal="center" vertical="center"/>
    </xf>
    <xf numFmtId="0" fontId="17" fillId="11" borderId="38" xfId="3" applyFont="1" applyFill="1" applyBorder="1" applyAlignment="1">
      <alignment vertical="center"/>
    </xf>
    <xf numFmtId="0" fontId="27" fillId="17" borderId="47" xfId="3" applyFont="1" applyFill="1" applyBorder="1" applyAlignment="1">
      <alignment horizontal="center" vertical="center"/>
    </xf>
    <xf numFmtId="0" fontId="27" fillId="17" borderId="48" xfId="3" applyFont="1" applyFill="1" applyBorder="1" applyAlignment="1">
      <alignment horizontal="center" vertical="center"/>
    </xf>
    <xf numFmtId="0" fontId="17" fillId="11" borderId="0" xfId="3" applyFont="1" applyFill="1" applyAlignment="1" applyProtection="1">
      <alignment horizontal="center" vertical="center"/>
      <protection locked="0"/>
    </xf>
    <xf numFmtId="0" fontId="16" fillId="16" borderId="6" xfId="3" applyFont="1" applyFill="1" applyBorder="1" applyAlignment="1">
      <alignment horizontal="center" vertical="center"/>
    </xf>
    <xf numFmtId="0" fontId="28" fillId="16" borderId="45" xfId="3" applyFont="1" applyFill="1" applyBorder="1" applyAlignment="1">
      <alignment horizontal="left" vertical="center"/>
    </xf>
    <xf numFmtId="0" fontId="28" fillId="16" borderId="46" xfId="3" applyFont="1" applyFill="1" applyBorder="1" applyAlignment="1">
      <alignment horizontal="center" vertical="center"/>
    </xf>
    <xf numFmtId="0" fontId="17" fillId="11" borderId="22" xfId="3" applyFont="1" applyFill="1" applyBorder="1" applyAlignment="1">
      <alignment vertical="center"/>
    </xf>
    <xf numFmtId="0" fontId="16" fillId="0" borderId="51" xfId="3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/>
    </xf>
    <xf numFmtId="0" fontId="16" fillId="18" borderId="47" xfId="3" applyFont="1" applyFill="1" applyBorder="1" applyAlignment="1">
      <alignment horizontal="center" vertical="center"/>
    </xf>
    <xf numFmtId="0" fontId="16" fillId="18" borderId="48" xfId="3" applyFont="1" applyFill="1" applyBorder="1" applyAlignment="1">
      <alignment horizontal="center" vertical="center"/>
    </xf>
    <xf numFmtId="0" fontId="17" fillId="12" borderId="0" xfId="3" applyFont="1" applyFill="1" applyAlignment="1" applyProtection="1">
      <alignment horizontal="center" vertical="center"/>
      <protection locked="0"/>
    </xf>
    <xf numFmtId="0" fontId="16" fillId="16" borderId="47" xfId="3" applyFont="1" applyFill="1" applyBorder="1" applyAlignment="1">
      <alignment horizontal="center" vertical="center"/>
    </xf>
    <xf numFmtId="0" fontId="16" fillId="16" borderId="48" xfId="3" applyFont="1" applyFill="1" applyBorder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17" fillId="12" borderId="0" xfId="3" quotePrefix="1" applyFont="1" applyFill="1" applyAlignment="1" applyProtection="1">
      <alignment horizontal="center" vertical="center"/>
      <protection locked="0"/>
    </xf>
    <xf numFmtId="0" fontId="17" fillId="12" borderId="0" xfId="3" applyFont="1" applyFill="1" applyAlignment="1" applyProtection="1">
      <alignment vertical="center"/>
      <protection locked="0"/>
    </xf>
    <xf numFmtId="0" fontId="26" fillId="0" borderId="1" xfId="3" applyFont="1" applyBorder="1" applyAlignment="1">
      <alignment horizontal="center" vertical="center"/>
    </xf>
    <xf numFmtId="0" fontId="28" fillId="16" borderId="0" xfId="3" applyFont="1" applyFill="1" applyAlignment="1">
      <alignment horizontal="left" vertical="center"/>
    </xf>
    <xf numFmtId="0" fontId="28" fillId="16" borderId="24" xfId="3" applyFont="1" applyFill="1" applyBorder="1" applyAlignment="1">
      <alignment horizontal="center" vertical="center"/>
    </xf>
    <xf numFmtId="0" fontId="17" fillId="13" borderId="1" xfId="3" applyFont="1" applyFill="1" applyBorder="1" applyAlignment="1">
      <alignment vertical="center"/>
    </xf>
    <xf numFmtId="0" fontId="16" fillId="16" borderId="53" xfId="3" applyFont="1" applyFill="1" applyBorder="1" applyAlignment="1">
      <alignment horizontal="center" vertical="center"/>
    </xf>
    <xf numFmtId="0" fontId="16" fillId="16" borderId="54" xfId="3" applyFont="1" applyFill="1" applyBorder="1" applyAlignment="1">
      <alignment horizontal="center" vertical="center"/>
    </xf>
    <xf numFmtId="0" fontId="17" fillId="0" borderId="55" xfId="3" applyFont="1" applyBorder="1" applyAlignment="1" applyProtection="1">
      <alignment horizontal="right" vertical="center"/>
      <protection locked="0"/>
    </xf>
    <xf numFmtId="0" fontId="16" fillId="0" borderId="55" xfId="3" applyFont="1" applyBorder="1" applyAlignment="1">
      <alignment vertical="center"/>
    </xf>
    <xf numFmtId="0" fontId="17" fillId="11" borderId="56" xfId="3" applyFont="1" applyFill="1" applyBorder="1" applyAlignment="1">
      <alignment horizontal="center" vertical="center"/>
    </xf>
    <xf numFmtId="0" fontId="27" fillId="15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/>
    </xf>
    <xf numFmtId="0" fontId="30" fillId="13" borderId="29" xfId="3" applyFont="1" applyFill="1" applyBorder="1" applyAlignment="1">
      <alignment vertical="center"/>
    </xf>
    <xf numFmtId="0" fontId="30" fillId="0" borderId="0" xfId="3" applyFont="1" applyAlignment="1">
      <alignment vertical="center"/>
    </xf>
    <xf numFmtId="0" fontId="30" fillId="11" borderId="0" xfId="3" applyFont="1" applyFill="1" applyAlignment="1">
      <alignment vertical="center"/>
    </xf>
    <xf numFmtId="0" fontId="30" fillId="13" borderId="39" xfId="3" applyFont="1" applyFill="1" applyBorder="1" applyAlignment="1">
      <alignment horizontal="center" vertical="center"/>
    </xf>
    <xf numFmtId="0" fontId="30" fillId="13" borderId="42" xfId="3" applyFont="1" applyFill="1" applyBorder="1" applyAlignment="1">
      <alignment horizontal="center" vertical="center"/>
    </xf>
    <xf numFmtId="0" fontId="30" fillId="13" borderId="47" xfId="3" applyFont="1" applyFill="1" applyBorder="1" applyAlignment="1">
      <alignment horizontal="center" vertical="center"/>
    </xf>
    <xf numFmtId="0" fontId="30" fillId="13" borderId="48" xfId="3" applyFont="1" applyFill="1" applyBorder="1" applyAlignment="1">
      <alignment horizontal="center" vertical="center"/>
    </xf>
    <xf numFmtId="0" fontId="17" fillId="11" borderId="35" xfId="3" applyFont="1" applyFill="1" applyBorder="1" applyAlignment="1">
      <alignment vertical="center"/>
    </xf>
    <xf numFmtId="0" fontId="16" fillId="14" borderId="59" xfId="3" applyFont="1" applyFill="1" applyBorder="1" applyAlignment="1">
      <alignment horizontal="center" vertical="center"/>
    </xf>
    <xf numFmtId="0" fontId="26" fillId="0" borderId="60" xfId="3" applyFont="1" applyBorder="1" applyAlignment="1">
      <alignment horizontal="center" vertical="center"/>
    </xf>
    <xf numFmtId="0" fontId="17" fillId="12" borderId="61" xfId="3" applyFont="1" applyFill="1" applyBorder="1" applyAlignment="1">
      <alignment horizontal="center" vertical="center"/>
    </xf>
    <xf numFmtId="0" fontId="28" fillId="16" borderId="16" xfId="3" applyFont="1" applyFill="1" applyBorder="1" applyAlignment="1">
      <alignment horizontal="left" vertical="center"/>
    </xf>
    <xf numFmtId="0" fontId="28" fillId="16" borderId="17" xfId="3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" fillId="0" borderId="0" xfId="4"/>
    <xf numFmtId="0" fontId="31" fillId="0" borderId="0" xfId="5" applyFont="1" applyAlignment="1">
      <alignment horizontal="center" vertical="center"/>
    </xf>
    <xf numFmtId="49" fontId="31" fillId="0" borderId="0" xfId="5" applyNumberFormat="1" applyFont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31" fillId="0" borderId="0" xfId="5" applyFont="1" applyAlignment="1">
      <alignment horizontal="right" vertical="center"/>
    </xf>
    <xf numFmtId="0" fontId="34" fillId="0" borderId="0" xfId="5" applyFont="1" applyAlignment="1">
      <alignment horizontal="center" vertical="center"/>
    </xf>
    <xf numFmtId="0" fontId="31" fillId="20" borderId="35" xfId="5" applyFont="1" applyFill="1" applyBorder="1" applyAlignment="1">
      <alignment vertical="center"/>
    </xf>
    <xf numFmtId="0" fontId="31" fillId="20" borderId="35" xfId="5" applyFont="1" applyFill="1" applyBorder="1" applyAlignment="1">
      <alignment vertical="center" shrinkToFit="1"/>
    </xf>
    <xf numFmtId="0" fontId="38" fillId="20" borderId="36" xfId="5" applyFont="1" applyFill="1" applyBorder="1" applyAlignment="1">
      <alignment horizontal="right" vertical="center"/>
    </xf>
    <xf numFmtId="0" fontId="31" fillId="12" borderId="0" xfId="5" applyFont="1" applyFill="1" applyAlignment="1">
      <alignment vertical="center"/>
    </xf>
    <xf numFmtId="0" fontId="31" fillId="12" borderId="0" xfId="5" applyFont="1" applyFill="1" applyAlignment="1">
      <alignment horizontal="center" vertical="center"/>
    </xf>
    <xf numFmtId="0" fontId="39" fillId="21" borderId="0" xfId="4" applyFont="1" applyFill="1" applyAlignment="1">
      <alignment horizontal="center" vertical="center"/>
    </xf>
    <xf numFmtId="0" fontId="39" fillId="0" borderId="0" xfId="4" applyFont="1" applyAlignment="1">
      <alignment vertical="center"/>
    </xf>
    <xf numFmtId="0" fontId="39" fillId="12" borderId="27" xfId="4" applyFont="1" applyFill="1" applyBorder="1" applyAlignment="1">
      <alignment horizontal="center" vertical="center"/>
    </xf>
    <xf numFmtId="0" fontId="39" fillId="22" borderId="27" xfId="4" applyFont="1" applyFill="1" applyBorder="1" applyAlignment="1">
      <alignment horizontal="center" vertical="center"/>
    </xf>
    <xf numFmtId="0" fontId="39" fillId="16" borderId="0" xfId="4" applyFont="1" applyFill="1" applyAlignment="1">
      <alignment vertical="center"/>
    </xf>
    <xf numFmtId="0" fontId="39" fillId="22" borderId="0" xfId="4" applyFont="1" applyFill="1" applyAlignment="1">
      <alignment vertical="center"/>
    </xf>
    <xf numFmtId="0" fontId="31" fillId="22" borderId="0" xfId="5" applyFont="1" applyFill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38" fillId="0" borderId="22" xfId="5" applyFont="1" applyBorder="1" applyAlignment="1">
      <alignment horizontal="right" vertical="center"/>
    </xf>
    <xf numFmtId="0" fontId="39" fillId="23" borderId="0" xfId="4" applyFont="1" applyFill="1" applyAlignment="1">
      <alignment horizontal="center" vertical="center"/>
    </xf>
    <xf numFmtId="165" fontId="39" fillId="23" borderId="0" xfId="4" applyNumberFormat="1" applyFont="1" applyFill="1" applyAlignment="1">
      <alignment horizontal="center" vertical="center"/>
    </xf>
    <xf numFmtId="1" fontId="39" fillId="23" borderId="0" xfId="4" applyNumberFormat="1" applyFont="1" applyFill="1" applyAlignment="1">
      <alignment horizontal="center" vertical="center"/>
    </xf>
    <xf numFmtId="20" fontId="39" fillId="23" borderId="0" xfId="4" applyNumberFormat="1" applyFont="1" applyFill="1" applyAlignment="1">
      <alignment horizontal="center" vertical="center"/>
    </xf>
    <xf numFmtId="0" fontId="33" fillId="23" borderId="0" xfId="5" applyFont="1" applyFill="1" applyAlignment="1">
      <alignment horizontal="center" vertical="center"/>
    </xf>
    <xf numFmtId="0" fontId="39" fillId="0" borderId="0" xfId="4" applyFont="1" applyAlignment="1">
      <alignment horizontal="center" vertical="center"/>
    </xf>
    <xf numFmtId="1" fontId="39" fillId="12" borderId="27" xfId="4" applyNumberFormat="1" applyFont="1" applyFill="1" applyBorder="1" applyAlignment="1">
      <alignment horizontal="center" vertical="center"/>
    </xf>
    <xf numFmtId="1" fontId="39" fillId="22" borderId="27" xfId="4" applyNumberFormat="1" applyFont="1" applyFill="1" applyBorder="1" applyAlignment="1">
      <alignment horizontal="center" vertical="center"/>
    </xf>
    <xf numFmtId="0" fontId="31" fillId="20" borderId="33" xfId="5" applyFont="1" applyFill="1" applyBorder="1" applyAlignment="1">
      <alignment vertical="center"/>
    </xf>
    <xf numFmtId="0" fontId="38" fillId="20" borderId="38" xfId="5" applyFont="1" applyFill="1" applyBorder="1" applyAlignment="1">
      <alignment horizontal="right" vertical="center"/>
    </xf>
    <xf numFmtId="0" fontId="31" fillId="0" borderId="22" xfId="5" applyFont="1" applyBorder="1" applyAlignment="1">
      <alignment vertical="center"/>
    </xf>
    <xf numFmtId="0" fontId="38" fillId="0" borderId="0" xfId="5" applyFont="1" applyAlignment="1">
      <alignment horizontal="right" vertical="center"/>
    </xf>
    <xf numFmtId="0" fontId="40" fillId="0" borderId="22" xfId="5" applyFont="1" applyBorder="1" applyAlignment="1">
      <alignment horizontal="center" vertical="center"/>
    </xf>
    <xf numFmtId="0" fontId="31" fillId="0" borderId="58" xfId="5" applyFont="1" applyBorder="1" applyAlignment="1">
      <alignment vertical="center"/>
    </xf>
    <xf numFmtId="0" fontId="33" fillId="0" borderId="22" xfId="5" applyFont="1" applyBorder="1" applyAlignment="1">
      <alignment vertical="center"/>
    </xf>
    <xf numFmtId="0" fontId="39" fillId="24" borderId="0" xfId="4" applyFont="1" applyFill="1" applyAlignment="1">
      <alignment horizontal="center" vertical="center"/>
    </xf>
    <xf numFmtId="165" fontId="39" fillId="24" borderId="0" xfId="4" applyNumberFormat="1" applyFont="1" applyFill="1" applyAlignment="1">
      <alignment horizontal="center" vertical="center"/>
    </xf>
    <xf numFmtId="1" fontId="39" fillId="24" borderId="0" xfId="4" applyNumberFormat="1" applyFont="1" applyFill="1" applyAlignment="1">
      <alignment horizontal="center" vertical="center"/>
    </xf>
    <xf numFmtId="20" fontId="39" fillId="24" borderId="0" xfId="4" applyNumberFormat="1" applyFont="1" applyFill="1" applyAlignment="1">
      <alignment horizontal="center" vertical="center"/>
    </xf>
    <xf numFmtId="0" fontId="33" fillId="24" borderId="0" xfId="5" applyFont="1" applyFill="1" applyAlignment="1">
      <alignment horizontal="center" vertical="center"/>
    </xf>
    <xf numFmtId="0" fontId="39" fillId="25" borderId="0" xfId="4" applyFont="1" applyFill="1" applyAlignment="1">
      <alignment horizontal="center" vertical="center"/>
    </xf>
    <xf numFmtId="165" fontId="39" fillId="25" borderId="0" xfId="4" applyNumberFormat="1" applyFont="1" applyFill="1" applyAlignment="1">
      <alignment horizontal="center" vertical="center"/>
    </xf>
    <xf numFmtId="1" fontId="39" fillId="25" borderId="0" xfId="4" applyNumberFormat="1" applyFont="1" applyFill="1" applyAlignment="1">
      <alignment horizontal="center" vertical="center"/>
    </xf>
    <xf numFmtId="20" fontId="39" fillId="25" borderId="0" xfId="4" applyNumberFormat="1" applyFont="1" applyFill="1" applyAlignment="1">
      <alignment horizontal="center" vertical="center"/>
    </xf>
    <xf numFmtId="0" fontId="33" fillId="25" borderId="0" xfId="5" applyFont="1" applyFill="1" applyAlignment="1">
      <alignment horizontal="center" vertical="center"/>
    </xf>
    <xf numFmtId="0" fontId="39" fillId="26" borderId="0" xfId="4" applyFont="1" applyFill="1" applyAlignment="1">
      <alignment horizontal="center" vertical="center"/>
    </xf>
    <xf numFmtId="165" fontId="39" fillId="26" borderId="0" xfId="4" applyNumberFormat="1" applyFont="1" applyFill="1" applyAlignment="1">
      <alignment horizontal="center" vertical="center"/>
    </xf>
    <xf numFmtId="1" fontId="39" fillId="26" borderId="0" xfId="4" applyNumberFormat="1" applyFont="1" applyFill="1" applyAlignment="1">
      <alignment horizontal="center" vertical="center"/>
    </xf>
    <xf numFmtId="20" fontId="39" fillId="26" borderId="0" xfId="4" applyNumberFormat="1" applyFont="1" applyFill="1" applyAlignment="1">
      <alignment horizontal="center" vertical="center"/>
    </xf>
    <xf numFmtId="0" fontId="33" fillId="26" borderId="0" xfId="5" applyFont="1" applyFill="1" applyAlignment="1">
      <alignment horizontal="center" vertical="center"/>
    </xf>
    <xf numFmtId="0" fontId="36" fillId="0" borderId="0" xfId="5" applyFont="1" applyAlignment="1">
      <alignment horizontal="right" vertical="center"/>
    </xf>
    <xf numFmtId="0" fontId="31" fillId="20" borderId="62" xfId="5" applyFont="1" applyFill="1" applyBorder="1" applyAlignment="1">
      <alignment vertical="center"/>
    </xf>
    <xf numFmtId="0" fontId="33" fillId="20" borderId="63" xfId="5" applyFont="1" applyFill="1" applyBorder="1" applyAlignment="1">
      <alignment vertical="center"/>
    </xf>
    <xf numFmtId="0" fontId="38" fillId="20" borderId="28" xfId="5" applyFont="1" applyFill="1" applyBorder="1" applyAlignment="1">
      <alignment horizontal="right" vertical="center"/>
    </xf>
    <xf numFmtId="0" fontId="39" fillId="16" borderId="0" xfId="4" applyFont="1" applyFill="1" applyAlignment="1">
      <alignment horizontal="center" vertical="center"/>
    </xf>
    <xf numFmtId="165" fontId="39" fillId="16" borderId="0" xfId="4" applyNumberFormat="1" applyFont="1" applyFill="1" applyAlignment="1">
      <alignment horizontal="center" vertical="center"/>
    </xf>
    <xf numFmtId="1" fontId="39" fillId="16" borderId="0" xfId="4" applyNumberFormat="1" applyFont="1" applyFill="1" applyAlignment="1">
      <alignment horizontal="center" vertical="center"/>
    </xf>
    <xf numFmtId="20" fontId="39" fillId="16" borderId="0" xfId="4" applyNumberFormat="1" applyFont="1" applyFill="1" applyAlignment="1">
      <alignment horizontal="center" vertical="center"/>
    </xf>
    <xf numFmtId="0" fontId="33" fillId="16" borderId="0" xfId="5" applyFont="1" applyFill="1" applyAlignment="1">
      <alignment horizontal="center" vertical="center"/>
    </xf>
    <xf numFmtId="0" fontId="31" fillId="12" borderId="36" xfId="5" applyFont="1" applyFill="1" applyBorder="1" applyAlignment="1">
      <alignment vertical="center"/>
    </xf>
    <xf numFmtId="0" fontId="41" fillId="0" borderId="0" xfId="5" applyFont="1" applyAlignment="1">
      <alignment vertical="center"/>
    </xf>
    <xf numFmtId="0" fontId="31" fillId="20" borderId="63" xfId="5" applyFont="1" applyFill="1" applyBorder="1" applyAlignment="1">
      <alignment vertical="center"/>
    </xf>
    <xf numFmtId="0" fontId="36" fillId="0" borderId="0" xfId="5" applyFont="1" applyAlignment="1">
      <alignment vertical="center"/>
    </xf>
    <xf numFmtId="0" fontId="31" fillId="20" borderId="33" xfId="5" applyFont="1" applyFill="1" applyBorder="1" applyAlignment="1">
      <alignment vertical="center" shrinkToFit="1"/>
    </xf>
    <xf numFmtId="0" fontId="31" fillId="0" borderId="34" xfId="5" applyFont="1" applyBorder="1" applyAlignment="1">
      <alignment horizontal="center" vertical="center"/>
    </xf>
    <xf numFmtId="0" fontId="31" fillId="0" borderId="36" xfId="5" applyFont="1" applyBorder="1" applyAlignment="1">
      <alignment horizontal="center" vertical="center"/>
    </xf>
    <xf numFmtId="0" fontId="31" fillId="0" borderId="58" xfId="5" applyFont="1" applyBorder="1" applyAlignment="1">
      <alignment horizontal="center" vertical="center"/>
    </xf>
    <xf numFmtId="0" fontId="31" fillId="0" borderId="22" xfId="5" applyFont="1" applyBorder="1" applyAlignment="1">
      <alignment horizontal="center" vertical="center"/>
    </xf>
    <xf numFmtId="0" fontId="31" fillId="0" borderId="37" xfId="5" applyFont="1" applyBorder="1" applyAlignment="1">
      <alignment horizontal="center" vertical="center"/>
    </xf>
    <xf numFmtId="0" fontId="31" fillId="0" borderId="38" xfId="5" applyFont="1" applyBorder="1" applyAlignment="1">
      <alignment horizontal="center" vertical="center"/>
    </xf>
    <xf numFmtId="0" fontId="46" fillId="0" borderId="0" xfId="5" applyFont="1" applyAlignment="1">
      <alignment horizontal="center" vertical="center"/>
    </xf>
    <xf numFmtId="49" fontId="47" fillId="0" borderId="0" xfId="5" applyNumberFormat="1" applyFont="1" applyAlignment="1">
      <alignment horizontal="center" vertical="center"/>
    </xf>
    <xf numFmtId="0" fontId="48" fillId="0" borderId="0" xfId="5" applyFont="1" applyAlignment="1">
      <alignment horizontal="center" vertical="center"/>
    </xf>
    <xf numFmtId="0" fontId="47" fillId="0" borderId="0" xfId="5" applyFont="1" applyAlignment="1">
      <alignment horizontal="center" vertical="center"/>
    </xf>
    <xf numFmtId="49" fontId="49" fillId="0" borderId="0" xfId="5" applyNumberFormat="1" applyFont="1" applyAlignment="1">
      <alignment horizontal="center" vertical="center"/>
    </xf>
    <xf numFmtId="0" fontId="50" fillId="0" borderId="0" xfId="5" applyFont="1" applyAlignment="1">
      <alignment horizontal="center" vertical="center"/>
    </xf>
    <xf numFmtId="0" fontId="15" fillId="0" borderId="0" xfId="6" applyAlignment="1">
      <alignment vertical="center"/>
    </xf>
    <xf numFmtId="0" fontId="15" fillId="0" borderId="0" xfId="6" applyAlignment="1">
      <alignment horizontal="center" vertical="center"/>
    </xf>
    <xf numFmtId="0" fontId="51" fillId="0" borderId="0" xfId="6" applyFont="1" applyAlignment="1">
      <alignment vertical="center"/>
    </xf>
    <xf numFmtId="0" fontId="53" fillId="16" borderId="0" xfId="6" applyFont="1" applyFill="1" applyAlignment="1" applyProtection="1">
      <alignment vertical="center"/>
      <protection locked="0"/>
    </xf>
    <xf numFmtId="0" fontId="55" fillId="12" borderId="1" xfId="6" applyFont="1" applyFill="1" applyBorder="1" applyAlignment="1">
      <alignment horizontal="center" vertical="center"/>
    </xf>
    <xf numFmtId="0" fontId="15" fillId="12" borderId="34" xfId="6" applyFill="1" applyBorder="1" applyAlignment="1">
      <alignment horizontal="center" vertical="center"/>
    </xf>
    <xf numFmtId="0" fontId="55" fillId="12" borderId="35" xfId="6" applyFont="1" applyFill="1" applyBorder="1" applyAlignment="1">
      <alignment horizontal="center" vertical="center"/>
    </xf>
    <xf numFmtId="0" fontId="15" fillId="12" borderId="36" xfId="6" applyFill="1" applyBorder="1" applyAlignment="1">
      <alignment horizontal="center" vertical="center"/>
    </xf>
    <xf numFmtId="0" fontId="55" fillId="0" borderId="0" xfId="6" applyFont="1" applyAlignment="1">
      <alignment horizontal="center" vertical="center"/>
    </xf>
    <xf numFmtId="0" fontId="15" fillId="0" borderId="34" xfId="6" applyBorder="1" applyAlignment="1">
      <alignment vertical="center"/>
    </xf>
    <xf numFmtId="0" fontId="15" fillId="0" borderId="35" xfId="6" applyBorder="1" applyAlignment="1">
      <alignment vertical="center"/>
    </xf>
    <xf numFmtId="0" fontId="54" fillId="0" borderId="35" xfId="6" applyFont="1" applyBorder="1" applyAlignment="1">
      <alignment horizontal="center" vertical="center"/>
    </xf>
    <xf numFmtId="0" fontId="15" fillId="0" borderId="35" xfId="6" applyBorder="1" applyAlignment="1">
      <alignment horizontal="right" vertical="center"/>
    </xf>
    <xf numFmtId="0" fontId="56" fillId="0" borderId="27" xfId="6" applyFont="1" applyBorder="1" applyAlignment="1">
      <alignment horizontal="center" vertical="center"/>
    </xf>
    <xf numFmtId="0" fontId="56" fillId="0" borderId="62" xfId="6" applyFont="1" applyBorder="1" applyAlignment="1">
      <alignment horizontal="center" vertical="center"/>
    </xf>
    <xf numFmtId="0" fontId="57" fillId="0" borderId="68" xfId="6" applyFont="1" applyBorder="1" applyAlignment="1">
      <alignment horizontal="center" vertical="center"/>
    </xf>
    <xf numFmtId="0" fontId="39" fillId="12" borderId="69" xfId="6" applyFont="1" applyFill="1" applyBorder="1" applyAlignment="1">
      <alignment horizontal="center" vertical="center"/>
    </xf>
    <xf numFmtId="0" fontId="57" fillId="0" borderId="70" xfId="6" applyFont="1" applyBorder="1" applyAlignment="1">
      <alignment horizontal="center" vertical="center"/>
    </xf>
    <xf numFmtId="0" fontId="56" fillId="0" borderId="28" xfId="6" applyFont="1" applyBorder="1" applyAlignment="1">
      <alignment horizontal="center" vertical="center"/>
    </xf>
    <xf numFmtId="0" fontId="15" fillId="0" borderId="35" xfId="6" applyBorder="1" applyAlignment="1">
      <alignment horizontal="center" vertical="center"/>
    </xf>
    <xf numFmtId="0" fontId="58" fillId="0" borderId="35" xfId="6" applyFont="1" applyBorder="1" applyAlignment="1">
      <alignment horizontal="center" vertical="center"/>
    </xf>
    <xf numFmtId="0" fontId="15" fillId="0" borderId="36" xfId="6" applyBorder="1" applyAlignment="1">
      <alignment vertical="center"/>
    </xf>
    <xf numFmtId="0" fontId="15" fillId="0" borderId="58" xfId="6" applyBorder="1" applyAlignment="1">
      <alignment vertical="center"/>
    </xf>
    <xf numFmtId="0" fontId="54" fillId="0" borderId="0" xfId="6" applyFont="1" applyAlignment="1">
      <alignment horizontal="center" vertical="center"/>
    </xf>
    <xf numFmtId="0" fontId="54" fillId="0" borderId="22" xfId="6" applyFont="1" applyBorder="1" applyAlignment="1">
      <alignment horizontal="center" vertical="center"/>
    </xf>
    <xf numFmtId="0" fontId="57" fillId="0" borderId="71" xfId="6" applyFont="1" applyBorder="1" applyAlignment="1">
      <alignment horizontal="center" vertical="center"/>
    </xf>
    <xf numFmtId="0" fontId="39" fillId="12" borderId="27" xfId="6" applyFont="1" applyFill="1" applyBorder="1" applyAlignment="1">
      <alignment horizontal="center" vertical="center"/>
    </xf>
    <xf numFmtId="0" fontId="57" fillId="0" borderId="72" xfId="6" applyFont="1" applyBorder="1" applyAlignment="1">
      <alignment horizontal="center" vertical="center"/>
    </xf>
    <xf numFmtId="0" fontId="54" fillId="0" borderId="58" xfId="6" applyFont="1" applyBorder="1" applyAlignment="1">
      <alignment vertical="center"/>
    </xf>
    <xf numFmtId="0" fontId="54" fillId="0" borderId="0" xfId="6" applyFont="1" applyAlignment="1">
      <alignment vertical="center"/>
    </xf>
    <xf numFmtId="0" fontId="15" fillId="0" borderId="22" xfId="6" applyBorder="1" applyAlignment="1">
      <alignment vertical="center"/>
    </xf>
    <xf numFmtId="0" fontId="60" fillId="0" borderId="71" xfId="6" applyFont="1" applyBorder="1" applyAlignment="1">
      <alignment horizontal="center" vertical="center"/>
    </xf>
    <xf numFmtId="0" fontId="61" fillId="0" borderId="72" xfId="6" applyFont="1" applyBorder="1" applyAlignment="1">
      <alignment horizontal="center" vertical="center"/>
    </xf>
    <xf numFmtId="0" fontId="54" fillId="0" borderId="35" xfId="6" applyFont="1" applyBorder="1" applyAlignment="1">
      <alignment vertical="center"/>
    </xf>
    <xf numFmtId="0" fontId="61" fillId="0" borderId="73" xfId="6" applyFont="1" applyBorder="1" applyAlignment="1">
      <alignment horizontal="center" vertical="center"/>
    </xf>
    <xf numFmtId="0" fontId="15" fillId="0" borderId="22" xfId="6" applyBorder="1" applyAlignment="1">
      <alignment horizontal="center" vertical="center"/>
    </xf>
    <xf numFmtId="0" fontId="15" fillId="0" borderId="58" xfId="6" applyBorder="1" applyAlignment="1">
      <alignment horizontal="center" vertical="center"/>
    </xf>
    <xf numFmtId="0" fontId="15" fillId="0" borderId="37" xfId="6" applyBorder="1" applyAlignment="1">
      <alignment vertical="center"/>
    </xf>
    <xf numFmtId="0" fontId="15" fillId="0" borderId="38" xfId="6" applyBorder="1" applyAlignment="1">
      <alignment horizontal="center" vertical="center"/>
    </xf>
    <xf numFmtId="0" fontId="61" fillId="0" borderId="74" xfId="6" applyFont="1" applyBorder="1" applyAlignment="1">
      <alignment horizontal="center" vertical="center"/>
    </xf>
    <xf numFmtId="0" fontId="39" fillId="12" borderId="75" xfId="6" applyFont="1" applyFill="1" applyBorder="1" applyAlignment="1">
      <alignment horizontal="center" vertical="center"/>
    </xf>
    <xf numFmtId="0" fontId="15" fillId="0" borderId="37" xfId="6" applyBorder="1" applyAlignment="1">
      <alignment horizontal="center" vertical="center"/>
    </xf>
    <xf numFmtId="0" fontId="15" fillId="0" borderId="38" xfId="6" applyBorder="1" applyAlignment="1">
      <alignment vertical="center"/>
    </xf>
    <xf numFmtId="0" fontId="63" fillId="0" borderId="0" xfId="6" applyFont="1" applyAlignment="1">
      <alignment vertical="center"/>
    </xf>
    <xf numFmtId="0" fontId="63" fillId="0" borderId="76" xfId="6" applyFont="1" applyBorder="1" applyAlignment="1">
      <alignment horizontal="center" vertical="top"/>
    </xf>
    <xf numFmtId="0" fontId="64" fillId="0" borderId="79" xfId="6" applyFont="1" applyBorder="1" applyAlignment="1">
      <alignment horizontal="center" vertical="center"/>
    </xf>
    <xf numFmtId="0" fontId="39" fillId="0" borderId="63" xfId="6" applyFont="1" applyBorder="1" applyAlignment="1">
      <alignment horizontal="center" vertical="center"/>
    </xf>
    <xf numFmtId="0" fontId="39" fillId="0" borderId="63" xfId="6" applyFont="1" applyBorder="1" applyAlignment="1">
      <alignment vertical="center"/>
    </xf>
    <xf numFmtId="0" fontId="39" fillId="0" borderId="28" xfId="6" applyFont="1" applyBorder="1" applyAlignment="1">
      <alignment horizontal="center" vertical="center"/>
    </xf>
    <xf numFmtId="0" fontId="39" fillId="0" borderId="62" xfId="6" applyFont="1" applyBorder="1" applyAlignment="1">
      <alignment vertical="center"/>
    </xf>
    <xf numFmtId="0" fontId="65" fillId="0" borderId="62" xfId="6" applyFont="1" applyBorder="1" applyAlignment="1">
      <alignment horizontal="center" vertical="center"/>
    </xf>
    <xf numFmtId="0" fontId="65" fillId="0" borderId="28" xfId="6" applyFont="1" applyBorder="1" applyAlignment="1">
      <alignment horizontal="center" vertical="center" shrinkToFit="1"/>
    </xf>
    <xf numFmtId="0" fontId="15" fillId="0" borderId="63" xfId="6" applyBorder="1" applyAlignment="1">
      <alignment horizontal="center" vertical="center"/>
    </xf>
    <xf numFmtId="0" fontId="15" fillId="0" borderId="63" xfId="6" applyBorder="1" applyAlignment="1">
      <alignment vertical="center"/>
    </xf>
    <xf numFmtId="0" fontId="15" fillId="0" borderId="28" xfId="6" applyBorder="1" applyAlignment="1">
      <alignment horizontal="center" vertical="center"/>
    </xf>
    <xf numFmtId="0" fontId="15" fillId="0" borderId="33" xfId="6" applyBorder="1" applyAlignment="1">
      <alignment horizontal="center" vertical="center"/>
    </xf>
    <xf numFmtId="0" fontId="15" fillId="0" borderId="33" xfId="6" applyBorder="1" applyAlignment="1">
      <alignment vertical="center"/>
    </xf>
    <xf numFmtId="0" fontId="1" fillId="0" borderId="0" xfId="7"/>
    <xf numFmtId="0" fontId="68" fillId="30" borderId="87" xfId="7" applyFont="1" applyFill="1" applyBorder="1"/>
    <xf numFmtId="0" fontId="68" fillId="30" borderId="88" xfId="7" applyFont="1" applyFill="1" applyBorder="1"/>
    <xf numFmtId="0" fontId="68" fillId="30" borderId="89" xfId="7" applyFont="1" applyFill="1" applyBorder="1"/>
    <xf numFmtId="0" fontId="69" fillId="0" borderId="90" xfId="7" applyFont="1" applyBorder="1"/>
    <xf numFmtId="0" fontId="69" fillId="0" borderId="91" xfId="7" applyFont="1" applyBorder="1"/>
    <xf numFmtId="0" fontId="69" fillId="0" borderId="92" xfId="7" applyFont="1" applyBorder="1"/>
    <xf numFmtId="0" fontId="69" fillId="0" borderId="93" xfId="7" applyFont="1" applyBorder="1"/>
    <xf numFmtId="0" fontId="69" fillId="0" borderId="94" xfId="7" applyFont="1" applyBorder="1"/>
    <xf numFmtId="0" fontId="69" fillId="0" borderId="95" xfId="7" applyFont="1" applyBorder="1"/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17" fillId="11" borderId="0" xfId="3" applyFont="1" applyFill="1" applyAlignment="1">
      <alignment horizontal="center" vertical="center"/>
    </xf>
    <xf numFmtId="0" fontId="17" fillId="11" borderId="33" xfId="3" applyFont="1" applyFill="1" applyBorder="1" applyAlignment="1">
      <alignment horizontal="center" vertical="center"/>
    </xf>
    <xf numFmtId="0" fontId="24" fillId="13" borderId="34" xfId="3" applyFont="1" applyFill="1" applyBorder="1" applyAlignment="1">
      <alignment horizontal="center" vertical="center"/>
    </xf>
    <xf numFmtId="0" fontId="24" fillId="13" borderId="35" xfId="3" applyFont="1" applyFill="1" applyBorder="1" applyAlignment="1">
      <alignment horizontal="center" vertical="center"/>
    </xf>
    <xf numFmtId="0" fontId="24" fillId="13" borderId="37" xfId="3" applyFont="1" applyFill="1" applyBorder="1" applyAlignment="1">
      <alignment horizontal="center" vertical="center"/>
    </xf>
    <xf numFmtId="0" fontId="24" fillId="13" borderId="33" xfId="3" applyFont="1" applyFill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5" fillId="0" borderId="22" xfId="3" applyFont="1" applyBorder="1" applyAlignment="1">
      <alignment horizontal="center" vertical="center"/>
    </xf>
    <xf numFmtId="0" fontId="44" fillId="0" borderId="1" xfId="5" applyFont="1" applyBorder="1" applyAlignment="1">
      <alignment horizontal="center" vertical="center" textRotation="90"/>
    </xf>
    <xf numFmtId="0" fontId="44" fillId="0" borderId="64" xfId="5" applyFont="1" applyBorder="1" applyAlignment="1">
      <alignment horizontal="center" vertical="center" textRotation="90"/>
    </xf>
    <xf numFmtId="0" fontId="44" fillId="0" borderId="29" xfId="5" applyFont="1" applyBorder="1" applyAlignment="1">
      <alignment horizontal="center" vertical="center" textRotation="90"/>
    </xf>
    <xf numFmtId="0" fontId="31" fillId="0" borderId="1" xfId="5" applyFont="1" applyBorder="1" applyAlignment="1">
      <alignment horizontal="center" vertical="center" textRotation="90"/>
    </xf>
    <xf numFmtId="0" fontId="31" fillId="0" borderId="64" xfId="5" applyFont="1" applyBorder="1" applyAlignment="1">
      <alignment horizontal="center" vertical="center" textRotation="90"/>
    </xf>
    <xf numFmtId="0" fontId="31" fillId="0" borderId="29" xfId="5" applyFont="1" applyBorder="1" applyAlignment="1">
      <alignment horizontal="center" vertical="center" textRotation="90"/>
    </xf>
    <xf numFmtId="17" fontId="31" fillId="0" borderId="1" xfId="5" applyNumberFormat="1" applyFont="1" applyBorder="1" applyAlignment="1">
      <alignment horizontal="center" vertical="center" textRotation="90"/>
    </xf>
    <xf numFmtId="0" fontId="45" fillId="0" borderId="0" xfId="5" applyFont="1" applyAlignment="1">
      <alignment horizontal="center" vertical="center"/>
    </xf>
    <xf numFmtId="0" fontId="31" fillId="13" borderId="35" xfId="5" applyFont="1" applyFill="1" applyBorder="1" applyAlignment="1">
      <alignment horizontal="center" vertical="center"/>
    </xf>
    <xf numFmtId="0" fontId="31" fillId="13" borderId="33" xfId="5" applyFont="1" applyFill="1" applyBorder="1" applyAlignment="1">
      <alignment horizontal="center" vertical="center"/>
    </xf>
    <xf numFmtId="0" fontId="31" fillId="13" borderId="36" xfId="5" applyFont="1" applyFill="1" applyBorder="1" applyAlignment="1">
      <alignment horizontal="center" vertical="center"/>
    </xf>
    <xf numFmtId="0" fontId="31" fillId="13" borderId="38" xfId="5" applyFont="1" applyFill="1" applyBorder="1" applyAlignment="1">
      <alignment horizontal="center" vertical="center"/>
    </xf>
    <xf numFmtId="0" fontId="42" fillId="16" borderId="34" xfId="5" applyFont="1" applyFill="1" applyBorder="1" applyAlignment="1">
      <alignment horizontal="center" vertical="center" wrapText="1" shrinkToFit="1"/>
    </xf>
    <xf numFmtId="0" fontId="42" fillId="16" borderId="35" xfId="5" applyFont="1" applyFill="1" applyBorder="1" applyAlignment="1">
      <alignment horizontal="center" vertical="center" wrapText="1" shrinkToFit="1"/>
    </xf>
    <xf numFmtId="0" fontId="42" fillId="16" borderId="58" xfId="5" applyFont="1" applyFill="1" applyBorder="1" applyAlignment="1">
      <alignment horizontal="center" vertical="center" wrapText="1" shrinkToFit="1"/>
    </xf>
    <xf numFmtId="0" fontId="42" fillId="16" borderId="0" xfId="5" applyFont="1" applyFill="1" applyAlignment="1">
      <alignment horizontal="center" vertical="center" wrapText="1" shrinkToFit="1"/>
    </xf>
    <xf numFmtId="0" fontId="42" fillId="16" borderId="37" xfId="5" applyFont="1" applyFill="1" applyBorder="1" applyAlignment="1">
      <alignment horizontal="center" vertical="center" wrapText="1" shrinkToFit="1"/>
    </xf>
    <xf numFmtId="0" fontId="42" fillId="16" borderId="33" xfId="5" applyFont="1" applyFill="1" applyBorder="1" applyAlignment="1">
      <alignment horizontal="center" vertical="center" wrapText="1" shrinkToFit="1"/>
    </xf>
    <xf numFmtId="0" fontId="43" fillId="19" borderId="21" xfId="5" applyFont="1" applyFill="1" applyBorder="1" applyAlignment="1">
      <alignment horizontal="center" vertical="center"/>
    </xf>
    <xf numFmtId="0" fontId="43" fillId="19" borderId="25" xfId="5" applyFont="1" applyFill="1" applyBorder="1" applyAlignment="1">
      <alignment horizontal="center" vertical="center"/>
    </xf>
    <xf numFmtId="0" fontId="43" fillId="19" borderId="26" xfId="5" applyFont="1" applyFill="1" applyBorder="1" applyAlignment="1">
      <alignment horizontal="center" vertical="center"/>
    </xf>
    <xf numFmtId="0" fontId="31" fillId="13" borderId="34" xfId="5" applyFont="1" applyFill="1" applyBorder="1" applyAlignment="1">
      <alignment horizontal="center" vertical="center"/>
    </xf>
    <xf numFmtId="0" fontId="31" fillId="13" borderId="37" xfId="5" applyFont="1" applyFill="1" applyBorder="1" applyAlignment="1">
      <alignment horizontal="center" vertical="center"/>
    </xf>
    <xf numFmtId="164" fontId="37" fillId="13" borderId="35" xfId="5" applyNumberFormat="1" applyFont="1" applyFill="1" applyBorder="1" applyAlignment="1">
      <alignment horizontal="center" vertical="center"/>
    </xf>
    <xf numFmtId="164" fontId="37" fillId="13" borderId="33" xfId="5" applyNumberFormat="1" applyFont="1" applyFill="1" applyBorder="1" applyAlignment="1">
      <alignment horizontal="center" vertical="center"/>
    </xf>
    <xf numFmtId="0" fontId="36" fillId="0" borderId="0" xfId="5" applyFont="1" applyAlignment="1">
      <alignment horizontal="center" vertical="center"/>
    </xf>
    <xf numFmtId="17" fontId="31" fillId="13" borderId="34" xfId="5" quotePrefix="1" applyNumberFormat="1" applyFont="1" applyFill="1" applyBorder="1" applyAlignment="1">
      <alignment horizontal="center" vertical="center"/>
    </xf>
    <xf numFmtId="17" fontId="31" fillId="13" borderId="37" xfId="5" quotePrefix="1" applyNumberFormat="1" applyFont="1" applyFill="1" applyBorder="1" applyAlignment="1">
      <alignment horizontal="center" vertical="center"/>
    </xf>
    <xf numFmtId="49" fontId="31" fillId="13" borderId="35" xfId="5" applyNumberFormat="1" applyFont="1" applyFill="1" applyBorder="1" applyAlignment="1">
      <alignment horizontal="center" vertical="center"/>
    </xf>
    <xf numFmtId="49" fontId="31" fillId="13" borderId="33" xfId="5" applyNumberFormat="1" applyFont="1" applyFill="1" applyBorder="1" applyAlignment="1">
      <alignment horizontal="center" vertical="center"/>
    </xf>
    <xf numFmtId="0" fontId="31" fillId="29" borderId="35" xfId="5" applyFont="1" applyFill="1" applyBorder="1" applyAlignment="1">
      <alignment horizontal="center" vertical="center"/>
    </xf>
    <xf numFmtId="0" fontId="31" fillId="29" borderId="33" xfId="5" applyFont="1" applyFill="1" applyBorder="1" applyAlignment="1">
      <alignment horizontal="center" vertical="center"/>
    </xf>
    <xf numFmtId="0" fontId="31" fillId="29" borderId="34" xfId="5" applyFont="1" applyFill="1" applyBorder="1" applyAlignment="1">
      <alignment horizontal="center" vertical="center"/>
    </xf>
    <xf numFmtId="0" fontId="31" fillId="29" borderId="37" xfId="5" applyFont="1" applyFill="1" applyBorder="1" applyAlignment="1">
      <alignment horizontal="center" vertical="center"/>
    </xf>
    <xf numFmtId="164" fontId="37" fillId="29" borderId="35" xfId="5" applyNumberFormat="1" applyFont="1" applyFill="1" applyBorder="1" applyAlignment="1">
      <alignment horizontal="center" vertical="center"/>
    </xf>
    <xf numFmtId="164" fontId="37" fillId="29" borderId="33" xfId="5" applyNumberFormat="1" applyFont="1" applyFill="1" applyBorder="1" applyAlignment="1">
      <alignment horizontal="center" vertical="center"/>
    </xf>
    <xf numFmtId="17" fontId="31" fillId="29" borderId="34" xfId="5" applyNumberFormat="1" applyFont="1" applyFill="1" applyBorder="1" applyAlignment="1">
      <alignment horizontal="center" vertical="center"/>
    </xf>
    <xf numFmtId="17" fontId="31" fillId="29" borderId="37" xfId="5" quotePrefix="1" applyNumberFormat="1" applyFont="1" applyFill="1" applyBorder="1" applyAlignment="1">
      <alignment horizontal="center" vertical="center"/>
    </xf>
    <xf numFmtId="49" fontId="31" fillId="29" borderId="35" xfId="5" applyNumberFormat="1" applyFont="1" applyFill="1" applyBorder="1" applyAlignment="1">
      <alignment horizontal="center" vertical="center"/>
    </xf>
    <xf numFmtId="49" fontId="31" fillId="29" borderId="33" xfId="5" applyNumberFormat="1" applyFont="1" applyFill="1" applyBorder="1" applyAlignment="1">
      <alignment horizontal="center" vertical="center"/>
    </xf>
    <xf numFmtId="0" fontId="31" fillId="20" borderId="35" xfId="5" applyFont="1" applyFill="1" applyBorder="1" applyAlignment="1">
      <alignment horizontal="center" vertical="center"/>
    </xf>
    <xf numFmtId="0" fontId="31" fillId="20" borderId="33" xfId="5" applyFont="1" applyFill="1" applyBorder="1" applyAlignment="1">
      <alignment horizontal="center" vertical="center"/>
    </xf>
    <xf numFmtId="0" fontId="31" fillId="20" borderId="36" xfId="5" applyFont="1" applyFill="1" applyBorder="1" applyAlignment="1">
      <alignment horizontal="center" vertical="center"/>
    </xf>
    <xf numFmtId="0" fontId="31" fillId="20" borderId="38" xfId="5" applyFont="1" applyFill="1" applyBorder="1" applyAlignment="1">
      <alignment horizontal="center" vertical="center"/>
    </xf>
    <xf numFmtId="0" fontId="31" fillId="0" borderId="0" xfId="5" applyFont="1" applyAlignment="1">
      <alignment horizontal="center" vertical="center"/>
    </xf>
    <xf numFmtId="0" fontId="31" fillId="29" borderId="36" xfId="5" applyFont="1" applyFill="1" applyBorder="1" applyAlignment="1">
      <alignment horizontal="center" vertical="center"/>
    </xf>
    <xf numFmtId="0" fontId="31" fillId="29" borderId="38" xfId="5" applyFont="1" applyFill="1" applyBorder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31" fillId="20" borderId="34" xfId="5" applyFont="1" applyFill="1" applyBorder="1" applyAlignment="1">
      <alignment horizontal="center" vertical="center"/>
    </xf>
    <xf numFmtId="0" fontId="31" fillId="20" borderId="37" xfId="5" applyFont="1" applyFill="1" applyBorder="1" applyAlignment="1">
      <alignment horizontal="center" vertical="center"/>
    </xf>
    <xf numFmtId="17" fontId="31" fillId="20" borderId="34" xfId="5" applyNumberFormat="1" applyFont="1" applyFill="1" applyBorder="1" applyAlignment="1">
      <alignment horizontal="center" vertical="center"/>
    </xf>
    <xf numFmtId="17" fontId="31" fillId="20" borderId="37" xfId="5" quotePrefix="1" applyNumberFormat="1" applyFont="1" applyFill="1" applyBorder="1" applyAlignment="1">
      <alignment horizontal="center" vertical="center"/>
    </xf>
    <xf numFmtId="49" fontId="31" fillId="20" borderId="35" xfId="5" applyNumberFormat="1" applyFont="1" applyFill="1" applyBorder="1" applyAlignment="1">
      <alignment horizontal="center" vertical="center"/>
    </xf>
    <xf numFmtId="49" fontId="31" fillId="20" borderId="33" xfId="5" applyNumberFormat="1" applyFont="1" applyFill="1" applyBorder="1" applyAlignment="1">
      <alignment horizontal="center" vertical="center"/>
    </xf>
    <xf numFmtId="0" fontId="31" fillId="28" borderId="35" xfId="5" applyFont="1" applyFill="1" applyBorder="1" applyAlignment="1">
      <alignment horizontal="center" vertical="center"/>
    </xf>
    <xf numFmtId="0" fontId="31" fillId="28" borderId="33" xfId="5" applyFont="1" applyFill="1" applyBorder="1" applyAlignment="1">
      <alignment horizontal="center" vertical="center"/>
    </xf>
    <xf numFmtId="0" fontId="31" fillId="28" borderId="34" xfId="5" applyFont="1" applyFill="1" applyBorder="1" applyAlignment="1">
      <alignment horizontal="center" vertical="center"/>
    </xf>
    <xf numFmtId="0" fontId="31" fillId="28" borderId="37" xfId="5" applyFont="1" applyFill="1" applyBorder="1" applyAlignment="1">
      <alignment horizontal="center" vertical="center"/>
    </xf>
    <xf numFmtId="164" fontId="37" fillId="28" borderId="35" xfId="5" applyNumberFormat="1" applyFont="1" applyFill="1" applyBorder="1" applyAlignment="1">
      <alignment horizontal="center" vertical="center"/>
    </xf>
    <xf numFmtId="164" fontId="37" fillId="28" borderId="33" xfId="5" applyNumberFormat="1" applyFont="1" applyFill="1" applyBorder="1" applyAlignment="1">
      <alignment horizontal="center" vertical="center"/>
    </xf>
    <xf numFmtId="17" fontId="31" fillId="28" borderId="34" xfId="5" applyNumberFormat="1" applyFont="1" applyFill="1" applyBorder="1" applyAlignment="1">
      <alignment horizontal="center" vertical="center"/>
    </xf>
    <xf numFmtId="17" fontId="31" fillId="28" borderId="37" xfId="5" quotePrefix="1" applyNumberFormat="1" applyFont="1" applyFill="1" applyBorder="1" applyAlignment="1">
      <alignment horizontal="center" vertical="center"/>
    </xf>
    <xf numFmtId="49" fontId="31" fillId="28" borderId="35" xfId="5" applyNumberFormat="1" applyFont="1" applyFill="1" applyBorder="1" applyAlignment="1">
      <alignment horizontal="center" vertical="center"/>
    </xf>
    <xf numFmtId="49" fontId="31" fillId="28" borderId="33" xfId="5" applyNumberFormat="1" applyFont="1" applyFill="1" applyBorder="1" applyAlignment="1">
      <alignment horizontal="center" vertical="center"/>
    </xf>
    <xf numFmtId="164" fontId="37" fillId="20" borderId="35" xfId="5" applyNumberFormat="1" applyFont="1" applyFill="1" applyBorder="1" applyAlignment="1">
      <alignment horizontal="center" vertical="center"/>
    </xf>
    <xf numFmtId="164" fontId="37" fillId="20" borderId="33" xfId="5" applyNumberFormat="1" applyFont="1" applyFill="1" applyBorder="1" applyAlignment="1">
      <alignment horizontal="center" vertical="center"/>
    </xf>
    <xf numFmtId="0" fontId="31" fillId="23" borderId="35" xfId="5" applyFont="1" applyFill="1" applyBorder="1" applyAlignment="1">
      <alignment horizontal="center" vertical="center"/>
    </xf>
    <xf numFmtId="0" fontId="31" fillId="23" borderId="33" xfId="5" applyFont="1" applyFill="1" applyBorder="1" applyAlignment="1">
      <alignment horizontal="center" vertical="center"/>
    </xf>
    <xf numFmtId="0" fontId="31" fillId="23" borderId="36" xfId="5" applyFont="1" applyFill="1" applyBorder="1" applyAlignment="1">
      <alignment horizontal="center" vertical="center"/>
    </xf>
    <xf numFmtId="0" fontId="31" fillId="23" borderId="38" xfId="5" applyFont="1" applyFill="1" applyBorder="1" applyAlignment="1">
      <alignment horizontal="center" vertical="center"/>
    </xf>
    <xf numFmtId="0" fontId="31" fillId="28" borderId="36" xfId="5" applyFont="1" applyFill="1" applyBorder="1" applyAlignment="1">
      <alignment horizontal="center" vertical="center"/>
    </xf>
    <xf numFmtId="0" fontId="31" fillId="28" borderId="38" xfId="5" applyFont="1" applyFill="1" applyBorder="1" applyAlignment="1">
      <alignment horizontal="center" vertical="center"/>
    </xf>
    <xf numFmtId="0" fontId="31" fillId="23" borderId="34" xfId="5" applyFont="1" applyFill="1" applyBorder="1" applyAlignment="1">
      <alignment horizontal="center" vertical="center"/>
    </xf>
    <xf numFmtId="0" fontId="31" fillId="23" borderId="37" xfId="5" applyFont="1" applyFill="1" applyBorder="1" applyAlignment="1">
      <alignment horizontal="center" vertical="center"/>
    </xf>
    <xf numFmtId="17" fontId="31" fillId="23" borderId="34" xfId="5" applyNumberFormat="1" applyFont="1" applyFill="1" applyBorder="1" applyAlignment="1">
      <alignment horizontal="center" vertical="center"/>
    </xf>
    <xf numFmtId="17" fontId="31" fillId="23" borderId="37" xfId="5" quotePrefix="1" applyNumberFormat="1" applyFont="1" applyFill="1" applyBorder="1" applyAlignment="1">
      <alignment horizontal="center" vertical="center"/>
    </xf>
    <xf numFmtId="49" fontId="31" fillId="23" borderId="35" xfId="5" applyNumberFormat="1" applyFont="1" applyFill="1" applyBorder="1" applyAlignment="1">
      <alignment horizontal="center" vertical="center"/>
    </xf>
    <xf numFmtId="49" fontId="31" fillId="23" borderId="33" xfId="5" applyNumberFormat="1" applyFont="1" applyFill="1" applyBorder="1" applyAlignment="1">
      <alignment horizontal="center" vertical="center"/>
    </xf>
    <xf numFmtId="0" fontId="31" fillId="27" borderId="35" xfId="5" applyFont="1" applyFill="1" applyBorder="1" applyAlignment="1">
      <alignment horizontal="center" vertical="center"/>
    </xf>
    <xf numFmtId="0" fontId="31" fillId="27" borderId="33" xfId="5" applyFont="1" applyFill="1" applyBorder="1" applyAlignment="1">
      <alignment horizontal="center" vertical="center"/>
    </xf>
    <xf numFmtId="0" fontId="31" fillId="27" borderId="34" xfId="5" applyFont="1" applyFill="1" applyBorder="1" applyAlignment="1">
      <alignment horizontal="center" vertical="center"/>
    </xf>
    <xf numFmtId="0" fontId="31" fillId="27" borderId="37" xfId="5" applyFont="1" applyFill="1" applyBorder="1" applyAlignment="1">
      <alignment horizontal="center" vertical="center"/>
    </xf>
    <xf numFmtId="164" fontId="37" fillId="27" borderId="35" xfId="5" applyNumberFormat="1" applyFont="1" applyFill="1" applyBorder="1" applyAlignment="1">
      <alignment horizontal="center" vertical="center"/>
    </xf>
    <xf numFmtId="164" fontId="37" fillId="27" borderId="33" xfId="5" applyNumberFormat="1" applyFont="1" applyFill="1" applyBorder="1" applyAlignment="1">
      <alignment horizontal="center" vertical="center"/>
    </xf>
    <xf numFmtId="17" fontId="31" fillId="27" borderId="34" xfId="5" applyNumberFormat="1" applyFont="1" applyFill="1" applyBorder="1" applyAlignment="1">
      <alignment horizontal="center" vertical="center"/>
    </xf>
    <xf numFmtId="17" fontId="31" fillId="27" borderId="37" xfId="5" quotePrefix="1" applyNumberFormat="1" applyFont="1" applyFill="1" applyBorder="1" applyAlignment="1">
      <alignment horizontal="center" vertical="center"/>
    </xf>
    <xf numFmtId="49" fontId="31" fillId="27" borderId="35" xfId="5" applyNumberFormat="1" applyFont="1" applyFill="1" applyBorder="1" applyAlignment="1">
      <alignment horizontal="center" vertical="center"/>
    </xf>
    <xf numFmtId="49" fontId="31" fillId="27" borderId="33" xfId="5" applyNumberFormat="1" applyFont="1" applyFill="1" applyBorder="1" applyAlignment="1">
      <alignment horizontal="center" vertical="center"/>
    </xf>
    <xf numFmtId="164" fontId="37" fillId="23" borderId="35" xfId="5" applyNumberFormat="1" applyFont="1" applyFill="1" applyBorder="1" applyAlignment="1">
      <alignment horizontal="center" vertical="center"/>
    </xf>
    <xf numFmtId="164" fontId="37" fillId="23" borderId="33" xfId="5" applyNumberFormat="1" applyFont="1" applyFill="1" applyBorder="1" applyAlignment="1">
      <alignment horizontal="center" vertical="center"/>
    </xf>
    <xf numFmtId="0" fontId="31" fillId="27" borderId="36" xfId="5" applyFont="1" applyFill="1" applyBorder="1" applyAlignment="1">
      <alignment horizontal="center" vertical="center"/>
    </xf>
    <xf numFmtId="0" fontId="31" fillId="27" borderId="38" xfId="5" applyFont="1" applyFill="1" applyBorder="1" applyAlignment="1">
      <alignment horizontal="center" vertical="center"/>
    </xf>
    <xf numFmtId="17" fontId="31" fillId="20" borderId="34" xfId="5" quotePrefix="1" applyNumberFormat="1" applyFont="1" applyFill="1" applyBorder="1" applyAlignment="1">
      <alignment horizontal="center" vertical="center"/>
    </xf>
    <xf numFmtId="0" fontId="31" fillId="26" borderId="35" xfId="5" applyFont="1" applyFill="1" applyBorder="1" applyAlignment="1">
      <alignment horizontal="center" vertical="center"/>
    </xf>
    <xf numFmtId="0" fontId="31" fillId="26" borderId="33" xfId="5" applyFont="1" applyFill="1" applyBorder="1" applyAlignment="1">
      <alignment horizontal="center" vertical="center"/>
    </xf>
    <xf numFmtId="0" fontId="31" fillId="26" borderId="34" xfId="5" applyFont="1" applyFill="1" applyBorder="1" applyAlignment="1">
      <alignment horizontal="center" vertical="center"/>
    </xf>
    <xf numFmtId="0" fontId="31" fillId="26" borderId="37" xfId="5" applyFont="1" applyFill="1" applyBorder="1" applyAlignment="1">
      <alignment horizontal="center" vertical="center"/>
    </xf>
    <xf numFmtId="164" fontId="37" fillId="26" borderId="35" xfId="5" applyNumberFormat="1" applyFont="1" applyFill="1" applyBorder="1" applyAlignment="1">
      <alignment horizontal="center" vertical="center"/>
    </xf>
    <xf numFmtId="164" fontId="37" fillId="26" borderId="33" xfId="5" applyNumberFormat="1" applyFont="1" applyFill="1" applyBorder="1" applyAlignment="1">
      <alignment horizontal="center" vertical="center"/>
    </xf>
    <xf numFmtId="17" fontId="31" fillId="26" borderId="34" xfId="5" quotePrefix="1" applyNumberFormat="1" applyFont="1" applyFill="1" applyBorder="1" applyAlignment="1">
      <alignment horizontal="center" vertical="center"/>
    </xf>
    <xf numFmtId="17" fontId="31" fillId="26" borderId="37" xfId="5" quotePrefix="1" applyNumberFormat="1" applyFont="1" applyFill="1" applyBorder="1" applyAlignment="1">
      <alignment horizontal="center" vertical="center"/>
    </xf>
    <xf numFmtId="49" fontId="31" fillId="26" borderId="35" xfId="5" applyNumberFormat="1" applyFont="1" applyFill="1" applyBorder="1" applyAlignment="1">
      <alignment horizontal="center" vertical="center"/>
    </xf>
    <xf numFmtId="49" fontId="31" fillId="26" borderId="33" xfId="5" applyNumberFormat="1" applyFont="1" applyFill="1" applyBorder="1" applyAlignment="1">
      <alignment horizontal="center" vertical="center"/>
    </xf>
    <xf numFmtId="0" fontId="31" fillId="26" borderId="36" xfId="5" applyFont="1" applyFill="1" applyBorder="1" applyAlignment="1">
      <alignment horizontal="center" vertical="center"/>
    </xf>
    <xf numFmtId="0" fontId="31" fillId="26" borderId="38" xfId="5" applyFont="1" applyFill="1" applyBorder="1" applyAlignment="1">
      <alignment horizontal="center" vertical="center"/>
    </xf>
    <xf numFmtId="0" fontId="31" fillId="12" borderId="35" xfId="5" applyFont="1" applyFill="1" applyBorder="1" applyAlignment="1">
      <alignment horizontal="center" vertical="center"/>
    </xf>
    <xf numFmtId="0" fontId="31" fillId="12" borderId="33" xfId="5" applyFont="1" applyFill="1" applyBorder="1" applyAlignment="1">
      <alignment horizontal="center" vertical="center"/>
    </xf>
    <xf numFmtId="0" fontId="31" fillId="12" borderId="34" xfId="5" applyFont="1" applyFill="1" applyBorder="1" applyAlignment="1">
      <alignment horizontal="center" vertical="center"/>
    </xf>
    <xf numFmtId="0" fontId="31" fillId="12" borderId="37" xfId="5" applyFont="1" applyFill="1" applyBorder="1" applyAlignment="1">
      <alignment horizontal="center" vertical="center"/>
    </xf>
    <xf numFmtId="17" fontId="31" fillId="12" borderId="34" xfId="5" quotePrefix="1" applyNumberFormat="1" applyFont="1" applyFill="1" applyBorder="1" applyAlignment="1">
      <alignment horizontal="center" vertical="center"/>
    </xf>
    <xf numFmtId="17" fontId="31" fillId="12" borderId="37" xfId="5" quotePrefix="1" applyNumberFormat="1" applyFont="1" applyFill="1" applyBorder="1" applyAlignment="1">
      <alignment horizontal="center" vertical="center"/>
    </xf>
    <xf numFmtId="49" fontId="31" fillId="12" borderId="35" xfId="5" applyNumberFormat="1" applyFont="1" applyFill="1" applyBorder="1" applyAlignment="1">
      <alignment horizontal="center" vertical="center"/>
    </xf>
    <xf numFmtId="49" fontId="31" fillId="12" borderId="33" xfId="5" applyNumberFormat="1" applyFont="1" applyFill="1" applyBorder="1" applyAlignment="1">
      <alignment horizontal="center" vertical="center"/>
    </xf>
    <xf numFmtId="164" fontId="37" fillId="12" borderId="35" xfId="5" applyNumberFormat="1" applyFont="1" applyFill="1" applyBorder="1" applyAlignment="1">
      <alignment horizontal="center" vertical="center"/>
    </xf>
    <xf numFmtId="164" fontId="37" fillId="12" borderId="33" xfId="5" applyNumberFormat="1" applyFont="1" applyFill="1" applyBorder="1" applyAlignment="1">
      <alignment horizontal="center" vertical="center"/>
    </xf>
    <xf numFmtId="0" fontId="31" fillId="19" borderId="35" xfId="5" applyFont="1" applyFill="1" applyBorder="1" applyAlignment="1">
      <alignment horizontal="center" vertical="center"/>
    </xf>
    <xf numFmtId="0" fontId="31" fillId="19" borderId="33" xfId="5" applyFont="1" applyFill="1" applyBorder="1" applyAlignment="1">
      <alignment horizontal="center" vertical="center"/>
    </xf>
    <xf numFmtId="0" fontId="31" fillId="19" borderId="36" xfId="5" applyFont="1" applyFill="1" applyBorder="1" applyAlignment="1">
      <alignment horizontal="center" vertical="center"/>
    </xf>
    <xf numFmtId="0" fontId="31" fillId="19" borderId="38" xfId="5" applyFont="1" applyFill="1" applyBorder="1" applyAlignment="1">
      <alignment horizontal="center" vertical="center"/>
    </xf>
    <xf numFmtId="164" fontId="37" fillId="19" borderId="35" xfId="5" applyNumberFormat="1" applyFont="1" applyFill="1" applyBorder="1" applyAlignment="1">
      <alignment horizontal="center" vertical="center"/>
    </xf>
    <xf numFmtId="164" fontId="37" fillId="19" borderId="33" xfId="5" applyNumberFormat="1" applyFont="1" applyFill="1" applyBorder="1" applyAlignment="1">
      <alignment horizontal="center" vertical="center"/>
    </xf>
    <xf numFmtId="0" fontId="31" fillId="12" borderId="36" xfId="5" applyFont="1" applyFill="1" applyBorder="1" applyAlignment="1">
      <alignment horizontal="center" vertical="center"/>
    </xf>
    <xf numFmtId="0" fontId="31" fillId="12" borderId="38" xfId="5" applyFont="1" applyFill="1" applyBorder="1" applyAlignment="1">
      <alignment horizontal="center" vertical="center"/>
    </xf>
    <xf numFmtId="0" fontId="31" fillId="19" borderId="34" xfId="5" applyFont="1" applyFill="1" applyBorder="1" applyAlignment="1">
      <alignment horizontal="center" vertical="center"/>
    </xf>
    <xf numFmtId="0" fontId="31" fillId="19" borderId="37" xfId="5" applyFont="1" applyFill="1" applyBorder="1" applyAlignment="1">
      <alignment horizontal="center" vertical="center"/>
    </xf>
    <xf numFmtId="17" fontId="31" fillId="19" borderId="34" xfId="5" quotePrefix="1" applyNumberFormat="1" applyFont="1" applyFill="1" applyBorder="1" applyAlignment="1">
      <alignment horizontal="center" vertical="center"/>
    </xf>
    <xf numFmtId="17" fontId="31" fillId="19" borderId="37" xfId="5" quotePrefix="1" applyNumberFormat="1" applyFont="1" applyFill="1" applyBorder="1" applyAlignment="1">
      <alignment horizontal="center" vertical="center"/>
    </xf>
    <xf numFmtId="49" fontId="31" fillId="19" borderId="35" xfId="5" applyNumberFormat="1" applyFont="1" applyFill="1" applyBorder="1" applyAlignment="1">
      <alignment horizontal="center" vertical="center"/>
    </xf>
    <xf numFmtId="49" fontId="31" fillId="19" borderId="33" xfId="5" applyNumberFormat="1" applyFont="1" applyFill="1" applyBorder="1" applyAlignment="1">
      <alignment horizontal="center" vertical="center"/>
    </xf>
    <xf numFmtId="0" fontId="1" fillId="0" borderId="0" xfId="4" applyAlignment="1">
      <alignment horizontal="center"/>
    </xf>
    <xf numFmtId="0" fontId="32" fillId="0" borderId="0" xfId="5" applyFont="1" applyAlignment="1">
      <alignment horizontal="center" vertical="center"/>
    </xf>
    <xf numFmtId="0" fontId="35" fillId="0" borderId="0" xfId="5" applyFont="1" applyAlignment="1">
      <alignment horizontal="center" vertical="center"/>
    </xf>
    <xf numFmtId="0" fontId="15" fillId="12" borderId="37" xfId="6" applyFill="1" applyBorder="1" applyAlignment="1">
      <alignment horizontal="center" vertical="center"/>
    </xf>
    <xf numFmtId="0" fontId="15" fillId="12" borderId="33" xfId="6" applyFill="1" applyBorder="1" applyAlignment="1">
      <alignment horizontal="center" vertical="center"/>
    </xf>
    <xf numFmtId="0" fontId="15" fillId="12" borderId="38" xfId="6" applyFill="1" applyBorder="1" applyAlignment="1">
      <alignment horizontal="center" vertical="center"/>
    </xf>
    <xf numFmtId="0" fontId="65" fillId="0" borderId="80" xfId="6" applyFont="1" applyBorder="1" applyAlignment="1">
      <alignment horizontal="left" vertical="center"/>
    </xf>
    <xf numFmtId="0" fontId="65" fillId="0" borderId="63" xfId="6" applyFont="1" applyBorder="1" applyAlignment="1">
      <alignment horizontal="left" vertical="center"/>
    </xf>
    <xf numFmtId="0" fontId="65" fillId="0" borderId="78" xfId="6" applyFont="1" applyBorder="1" applyAlignment="1">
      <alignment horizontal="left" vertical="center"/>
    </xf>
    <xf numFmtId="0" fontId="17" fillId="12" borderId="62" xfId="6" applyFont="1" applyFill="1" applyBorder="1" applyAlignment="1">
      <alignment horizontal="center" vertical="center"/>
    </xf>
    <xf numFmtId="0" fontId="17" fillId="12" borderId="63" xfId="6" applyFont="1" applyFill="1" applyBorder="1" applyAlignment="1">
      <alignment horizontal="center" vertical="center"/>
    </xf>
    <xf numFmtId="0" fontId="17" fillId="12" borderId="78" xfId="6" applyFont="1" applyFill="1" applyBorder="1" applyAlignment="1">
      <alignment horizontal="center" vertical="center"/>
    </xf>
    <xf numFmtId="0" fontId="15" fillId="12" borderId="5" xfId="6" applyFill="1" applyBorder="1" applyAlignment="1">
      <alignment horizontal="center" vertical="center"/>
    </xf>
    <xf numFmtId="0" fontId="15" fillId="12" borderId="65" xfId="6" applyFill="1" applyBorder="1" applyAlignment="1">
      <alignment horizontal="center" vertical="center"/>
    </xf>
    <xf numFmtId="0" fontId="63" fillId="0" borderId="77" xfId="6" applyFont="1" applyBorder="1" applyAlignment="1">
      <alignment vertical="top"/>
    </xf>
    <xf numFmtId="0" fontId="63" fillId="0" borderId="10" xfId="6" applyFont="1" applyBorder="1" applyAlignment="1">
      <alignment vertical="top"/>
    </xf>
    <xf numFmtId="0" fontId="63" fillId="0" borderId="11" xfId="6" applyFont="1" applyBorder="1" applyAlignment="1">
      <alignment vertical="top"/>
    </xf>
    <xf numFmtId="0" fontId="15" fillId="12" borderId="62" xfId="6" applyFill="1" applyBorder="1" applyAlignment="1">
      <alignment horizontal="center" vertical="center"/>
    </xf>
    <xf numFmtId="0" fontId="15" fillId="12" borderId="63" xfId="6" applyFill="1" applyBorder="1" applyAlignment="1">
      <alignment horizontal="center" vertical="center"/>
    </xf>
    <xf numFmtId="0" fontId="15" fillId="12" borderId="78" xfId="6" applyFill="1" applyBorder="1" applyAlignment="1">
      <alignment horizontal="center" vertical="center"/>
    </xf>
    <xf numFmtId="0" fontId="39" fillId="12" borderId="62" xfId="6" applyFont="1" applyFill="1" applyBorder="1" applyAlignment="1">
      <alignment horizontal="center" vertical="center"/>
    </xf>
    <xf numFmtId="0" fontId="39" fillId="12" borderId="63" xfId="6" applyFont="1" applyFill="1" applyBorder="1" applyAlignment="1">
      <alignment horizontal="center" vertical="center"/>
    </xf>
    <xf numFmtId="0" fontId="39" fillId="12" borderId="28" xfId="6" applyFont="1" applyFill="1" applyBorder="1" applyAlignment="1">
      <alignment horizontal="center" vertical="center"/>
    </xf>
    <xf numFmtId="0" fontId="15" fillId="12" borderId="28" xfId="6" applyFill="1" applyBorder="1" applyAlignment="1">
      <alignment horizontal="center" vertical="center"/>
    </xf>
    <xf numFmtId="0" fontId="54" fillId="0" borderId="67" xfId="6" applyFont="1" applyBorder="1" applyAlignment="1">
      <alignment horizontal="center" vertical="center" shrinkToFit="1"/>
    </xf>
    <xf numFmtId="0" fontId="54" fillId="0" borderId="11" xfId="6" applyFont="1" applyBorder="1" applyAlignment="1">
      <alignment horizontal="center" vertical="center" shrinkToFit="1"/>
    </xf>
    <xf numFmtId="0" fontId="29" fillId="12" borderId="1" xfId="6" applyFont="1" applyFill="1" applyBorder="1" applyAlignment="1">
      <alignment horizontal="center" vertical="center" textRotation="90"/>
    </xf>
    <xf numFmtId="0" fontId="29" fillId="12" borderId="64" xfId="6" applyFont="1" applyFill="1" applyBorder="1" applyAlignment="1">
      <alignment horizontal="center" vertical="center" textRotation="90"/>
    </xf>
    <xf numFmtId="0" fontId="29" fillId="12" borderId="29" xfId="6" applyFont="1" applyFill="1" applyBorder="1" applyAlignment="1">
      <alignment horizontal="center" vertical="center" textRotation="90"/>
    </xf>
    <xf numFmtId="0" fontId="59" fillId="0" borderId="58" xfId="6" applyFont="1" applyBorder="1" applyAlignment="1">
      <alignment horizontal="center" vertical="center" shrinkToFit="1"/>
    </xf>
    <xf numFmtId="0" fontId="59" fillId="0" borderId="0" xfId="6" applyFont="1" applyAlignment="1">
      <alignment horizontal="center" vertical="center" shrinkToFit="1"/>
    </xf>
    <xf numFmtId="0" fontId="59" fillId="0" borderId="22" xfId="6" applyFont="1" applyBorder="1" applyAlignment="1">
      <alignment horizontal="center" vertical="center" shrinkToFit="1"/>
    </xf>
    <xf numFmtId="0" fontId="62" fillId="0" borderId="34" xfId="6" applyFont="1" applyBorder="1" applyAlignment="1">
      <alignment horizontal="center" vertical="center"/>
    </xf>
    <xf numFmtId="0" fontId="62" fillId="0" borderId="35" xfId="6" applyFont="1" applyBorder="1" applyAlignment="1">
      <alignment horizontal="center" vertical="center"/>
    </xf>
    <xf numFmtId="0" fontId="62" fillId="0" borderId="36" xfId="6" applyFont="1" applyBorder="1" applyAlignment="1">
      <alignment horizontal="center" vertical="center"/>
    </xf>
    <xf numFmtId="0" fontId="62" fillId="0" borderId="37" xfId="6" applyFont="1" applyBorder="1" applyAlignment="1">
      <alignment horizontal="center" vertical="center"/>
    </xf>
    <xf numFmtId="0" fontId="62" fillId="0" borderId="33" xfId="6" applyFont="1" applyBorder="1" applyAlignment="1">
      <alignment horizontal="center" vertical="center"/>
    </xf>
    <xf numFmtId="0" fontId="62" fillId="0" borderId="38" xfId="6" applyFont="1" applyBorder="1" applyAlignment="1">
      <alignment horizontal="center" vertical="center"/>
    </xf>
    <xf numFmtId="0" fontId="54" fillId="0" borderId="10" xfId="6" applyFont="1" applyBorder="1" applyAlignment="1">
      <alignment horizontal="center" vertical="center" shrinkToFit="1"/>
    </xf>
    <xf numFmtId="166" fontId="54" fillId="0" borderId="5" xfId="6" applyNumberFormat="1" applyFont="1" applyBorder="1" applyAlignment="1">
      <alignment horizontal="center" vertical="center" shrinkToFit="1"/>
    </xf>
    <xf numFmtId="166" fontId="54" fillId="0" borderId="66" xfId="6" applyNumberFormat="1" applyFont="1" applyBorder="1" applyAlignment="1">
      <alignment horizontal="center" vertical="center" shrinkToFit="1"/>
    </xf>
    <xf numFmtId="20" fontId="54" fillId="0" borderId="67" xfId="6" applyNumberFormat="1" applyFont="1" applyBorder="1" applyAlignment="1">
      <alignment horizontal="center" vertical="center" shrinkToFit="1"/>
    </xf>
    <xf numFmtId="0" fontId="54" fillId="0" borderId="66" xfId="6" applyFont="1" applyBorder="1" applyAlignment="1">
      <alignment horizontal="center" vertical="center" shrinkToFit="1"/>
    </xf>
    <xf numFmtId="0" fontId="35" fillId="0" borderId="10" xfId="6" applyFont="1" applyBorder="1" applyAlignment="1">
      <alignment horizontal="center" vertical="center" shrinkToFit="1"/>
    </xf>
    <xf numFmtId="0" fontId="35" fillId="0" borderId="11" xfId="6" applyFont="1" applyBorder="1" applyAlignment="1">
      <alignment horizontal="center" vertical="center" shrinkToFit="1"/>
    </xf>
    <xf numFmtId="0" fontId="52" fillId="12" borderId="5" xfId="6" applyFont="1" applyFill="1" applyBorder="1" applyAlignment="1">
      <alignment horizontal="center" vertical="center" shrinkToFit="1"/>
    </xf>
    <xf numFmtId="0" fontId="52" fillId="12" borderId="10" xfId="6" applyFont="1" applyFill="1" applyBorder="1" applyAlignment="1">
      <alignment horizontal="center" vertical="center" shrinkToFit="1"/>
    </xf>
    <xf numFmtId="0" fontId="52" fillId="12" borderId="11" xfId="6" applyFont="1" applyFill="1" applyBorder="1" applyAlignment="1">
      <alignment horizontal="center" vertical="center" shrinkToFit="1"/>
    </xf>
    <xf numFmtId="0" fontId="1" fillId="0" borderId="0" xfId="7" applyAlignment="1">
      <alignment horizontal="center"/>
    </xf>
    <xf numFmtId="0" fontId="66" fillId="30" borderId="81" xfId="7" applyFont="1" applyFill="1" applyBorder="1" applyAlignment="1">
      <alignment horizontal="center"/>
    </xf>
    <xf numFmtId="0" fontId="67" fillId="0" borderId="82" xfId="7" applyFont="1" applyBorder="1"/>
    <xf numFmtId="0" fontId="67" fillId="0" borderId="83" xfId="7" applyFont="1" applyBorder="1"/>
    <xf numFmtId="0" fontId="66" fillId="30" borderId="84" xfId="7" applyFont="1" applyFill="1" applyBorder="1" applyAlignment="1">
      <alignment horizontal="center"/>
    </xf>
    <xf numFmtId="0" fontId="66" fillId="30" borderId="85" xfId="7" applyFont="1" applyFill="1" applyBorder="1" applyAlignment="1">
      <alignment horizontal="center"/>
    </xf>
    <xf numFmtId="0" fontId="66" fillId="30" borderId="86" xfId="7" applyFont="1" applyFill="1" applyBorder="1" applyAlignment="1">
      <alignment horizontal="center"/>
    </xf>
  </cellXfs>
  <cellStyles count="8">
    <cellStyle name="Normal" xfId="0" builtinId="0"/>
    <cellStyle name="Normal 2" xfId="7" xr:uid="{D776B325-628C-4B3E-A38C-65C4C583E8EB}"/>
    <cellStyle name="Normal 2 2" xfId="6" xr:uid="{BF5F68CD-BE02-4F91-A2B5-C9EEABBC286C}"/>
    <cellStyle name="Normal 4" xfId="2" xr:uid="{F32FE857-A3FC-4335-BB22-76430BD0406F}"/>
    <cellStyle name="Normal 5" xfId="4" xr:uid="{F59E5F43-F85E-4250-832D-9A485D9ADCCD}"/>
    <cellStyle name="Normal 7" xfId="1" xr:uid="{ACBD72F4-595E-4489-82D1-FA5E1F5B7A1B}"/>
    <cellStyle name="Normal_LINZ" xfId="3" xr:uid="{0340437C-9371-4712-BC5A-71667B224F63}"/>
    <cellStyle name="Normal_SYOC 2006" xfId="5" xr:uid="{727267D0-B60C-43B4-AD8D-1AEE35F93819}"/>
  </cellStyles>
  <dxfs count="12">
    <dxf>
      <font>
        <condense val="0"/>
        <extend val="0"/>
        <color indexed="9"/>
      </font>
    </dxf>
    <dxf>
      <fill>
        <patternFill>
          <bgColor indexed="35"/>
        </patternFill>
      </fill>
    </dxf>
    <dxf>
      <font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149087</xdr:colOff>
      <xdr:row>2</xdr:row>
      <xdr:rowOff>93869</xdr:rowOff>
    </xdr:from>
    <xdr:to>
      <xdr:col>9</xdr:col>
      <xdr:colOff>570014</xdr:colOff>
      <xdr:row>5</xdr:row>
      <xdr:rowOff>196764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0058FD-A09B-4B87-AFF7-B500FB166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087" y="447260"/>
          <a:ext cx="5959231" cy="6716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364435</xdr:colOff>
      <xdr:row>2</xdr:row>
      <xdr:rowOff>138043</xdr:rowOff>
    </xdr:from>
    <xdr:to>
      <xdr:col>9</xdr:col>
      <xdr:colOff>454058</xdr:colOff>
      <xdr:row>5</xdr:row>
      <xdr:rowOff>240938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BBE446-6B6B-4673-9B74-37131087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131" y="491434"/>
          <a:ext cx="5959231" cy="6716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425174</xdr:colOff>
      <xdr:row>2</xdr:row>
      <xdr:rowOff>165652</xdr:rowOff>
    </xdr:from>
    <xdr:to>
      <xdr:col>9</xdr:col>
      <xdr:colOff>448536</xdr:colOff>
      <xdr:row>5</xdr:row>
      <xdr:rowOff>268547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6E2436-279A-4F87-A26B-87E3138D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70" y="519043"/>
          <a:ext cx="5959231" cy="6716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392043</xdr:colOff>
      <xdr:row>2</xdr:row>
      <xdr:rowOff>132521</xdr:rowOff>
    </xdr:from>
    <xdr:to>
      <xdr:col>9</xdr:col>
      <xdr:colOff>376753</xdr:colOff>
      <xdr:row>5</xdr:row>
      <xdr:rowOff>235416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BFD254-0000-4388-8A75-734525AD2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39" y="485912"/>
          <a:ext cx="5959231" cy="6716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480391</xdr:colOff>
      <xdr:row>2</xdr:row>
      <xdr:rowOff>49696</xdr:rowOff>
    </xdr:from>
    <xdr:to>
      <xdr:col>9</xdr:col>
      <xdr:colOff>78579</xdr:colOff>
      <xdr:row>5</xdr:row>
      <xdr:rowOff>152591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8DA98A-0C30-4C33-8FA9-449D8925D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087" y="403087"/>
          <a:ext cx="5959231" cy="6716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546652</xdr:colOff>
      <xdr:row>2</xdr:row>
      <xdr:rowOff>171174</xdr:rowOff>
    </xdr:from>
    <xdr:to>
      <xdr:col>9</xdr:col>
      <xdr:colOff>487188</xdr:colOff>
      <xdr:row>5</xdr:row>
      <xdr:rowOff>274069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CBC07F-4EC4-49AD-A580-9218486C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48" y="524565"/>
          <a:ext cx="5959231" cy="6716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320260</xdr:colOff>
      <xdr:row>2</xdr:row>
      <xdr:rowOff>143565</xdr:rowOff>
    </xdr:from>
    <xdr:to>
      <xdr:col>9</xdr:col>
      <xdr:colOff>459578</xdr:colOff>
      <xdr:row>5</xdr:row>
      <xdr:rowOff>246460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4F584C-8F2B-401C-A8C6-0A562164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956" y="496956"/>
          <a:ext cx="5959231" cy="6716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11043</xdr:colOff>
      <xdr:row>3</xdr:row>
      <xdr:rowOff>77303</xdr:rowOff>
    </xdr:from>
    <xdr:to>
      <xdr:col>6</xdr:col>
      <xdr:colOff>807448</xdr:colOff>
      <xdr:row>6</xdr:row>
      <xdr:rowOff>25589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A80EE6-1443-4652-ABBE-6BC5DF2CE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739" y="607390"/>
          <a:ext cx="5959231" cy="67163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360241</xdr:colOff>
      <xdr:row>3</xdr:row>
      <xdr:rowOff>164855</xdr:rowOff>
    </xdr:from>
    <xdr:to>
      <xdr:col>9</xdr:col>
      <xdr:colOff>219809</xdr:colOff>
      <xdr:row>5</xdr:row>
      <xdr:rowOff>323604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39A752-E58F-41BD-A916-4A6106358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41" y="696057"/>
          <a:ext cx="5959231" cy="6716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31750</xdr:rowOff>
    </xdr:from>
    <xdr:to>
      <xdr:col>11</xdr:col>
      <xdr:colOff>34681</xdr:colOff>
      <xdr:row>4</xdr:row>
      <xdr:rowOff>119184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70EBB8-CF46-413C-B4E8-D57A8F8BD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31750"/>
          <a:ext cx="5959231" cy="67163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730251</xdr:colOff>
      <xdr:row>0</xdr:row>
      <xdr:rowOff>50801</xdr:rowOff>
    </xdr:from>
    <xdr:to>
      <xdr:col>54</xdr:col>
      <xdr:colOff>1102879</xdr:colOff>
      <xdr:row>0</xdr:row>
      <xdr:rowOff>488079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0EEA83-0EA7-4C31-8C9D-5292A3986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4201" y="50801"/>
          <a:ext cx="3879849" cy="4372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203200</xdr:colOff>
      <xdr:row>22</xdr:row>
      <xdr:rowOff>69850</xdr:rowOff>
    </xdr:from>
    <xdr:to>
      <xdr:col>8</xdr:col>
      <xdr:colOff>171449</xdr:colOff>
      <xdr:row>22</xdr:row>
      <xdr:rowOff>507128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F07095-A469-4E9E-8207-C6768629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6781800"/>
          <a:ext cx="3879849" cy="437278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2</xdr:row>
      <xdr:rowOff>12700</xdr:rowOff>
    </xdr:from>
    <xdr:to>
      <xdr:col>8</xdr:col>
      <xdr:colOff>171449</xdr:colOff>
      <xdr:row>2</xdr:row>
      <xdr:rowOff>449978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8F17B3-BFBA-4352-A7E9-8892D06C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495300"/>
          <a:ext cx="3879849" cy="4372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69850</xdr:colOff>
      <xdr:row>6</xdr:row>
      <xdr:rowOff>95250</xdr:rowOff>
    </xdr:from>
    <xdr:to>
      <xdr:col>5</xdr:col>
      <xdr:colOff>2105199</xdr:colOff>
      <xdr:row>9</xdr:row>
      <xdr:rowOff>146050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763614-BEA6-4D1C-A381-97F95B5D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150" y="1238250"/>
          <a:ext cx="5521499" cy="622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AF0F-8A08-447F-A909-CA7B141DD4C5}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AB3D-7534-4BDE-AC89-BE73FFF9DCA5}">
  <sheetPr published="0" codeName="Sheet1">
    <tabColor rgb="FFFF0000"/>
  </sheetPr>
  <dimension ref="B1:P31"/>
  <sheetViews>
    <sheetView zoomScaleNormal="100" workbookViewId="0"/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362" t="s">
        <v>0</v>
      </c>
      <c r="D1" s="362"/>
      <c r="F1" s="363" t="s">
        <v>1</v>
      </c>
      <c r="G1" s="363"/>
      <c r="K1" s="2">
        <v>14</v>
      </c>
      <c r="L1" s="3" t="e" cm="1">
        <f t="array" aca="1" ref="L1" ca="1">VLOOKUP(INDIRECT("'Grupo " &amp; K1 &amp; "'!J18"),INDIRECT("'Grupo " &amp; K1 &amp; "'!B12"):INDIRECT("'Grupo " &amp; K1 &amp; "'!J15"),2,FALSE)</f>
        <v>#REF!</v>
      </c>
      <c r="M1" s="4" t="e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O1" s="5" t="e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P1" s="6" t="e" cm="1">
        <f t="array" aca="1" ref="P1" ca="1">VLOOKUP(INDIRECT("'Grupo " &amp; K1 &amp; "'!J18"),INDIRECT("'Grupo " &amp; K1 &amp; "'!B12"):INDIRECT("'Grupo " &amp; K1 &amp; "'!J15"),2,FALSE)</f>
        <v>#REF!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4159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4276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4276</v>
      </c>
      <c r="G2" s="6" cm="1">
        <f t="array" aca="1" ref="G2" ca="1">VLOOKUP(INDIRECT("'Grupo " &amp; B2 &amp; "'!J18"),INDIRECT("'Grupo " &amp; B2 &amp; "'!B12"):INDIRECT("'Grupo " &amp; B2 &amp; "'!J15"),2,FALSE)</f>
        <v>4159</v>
      </c>
      <c r="L2" s="8" t="e" cm="1">
        <f t="array" aca="1" ref="L2" ca="1">VLOOKUP(INDIRECT("'Grupo " &amp; K1 &amp; "'!J20"),INDIRECT("'Grupo " &amp; K1 &amp; "'!B12"):INDIRECT("'Grupo " &amp; K1 &amp; "'!J15"),2,FALSE)</f>
        <v>#REF!</v>
      </c>
      <c r="M2" s="9" t="e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O2" s="10" t="e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P2" s="11" t="e" cm="1">
        <f t="array" aca="1" ref="P2" ca="1">VLOOKUP(INDIRECT("'Grupo " &amp; K1 &amp; "'!J20"),INDIRECT("'Grupo " &amp; K1 &amp; "'!B12"):INDIRECT("'Grupo " &amp; K1 &amp; "'!J15"),2,FALSE)</f>
        <v>#REF!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4159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4601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4601</v>
      </c>
      <c r="G3" s="11" cm="1">
        <f t="array" aca="1" ref="G3" ca="1">VLOOKUP(INDIRECT("'Grupo " &amp; B2 &amp; "'!J20"),INDIRECT("'Grupo " &amp; B2 &amp; "'!B12"):INDIRECT("'Grupo " &amp; B2 &amp; "'!J15"),2,FALSE)</f>
        <v>4159</v>
      </c>
      <c r="L3" s="8" t="e" cm="1">
        <f t="array" aca="1" ref="L3" ca="1">VLOOKUP(INDIRECT("'Grupo " &amp; K1 &amp; "'!J22"),INDIRECT("'Grupo " &amp; K1 &amp; "'!B12"):INDIRECT("'Grupo " &amp; K1 &amp; "'!J15"),2,FALSE)</f>
        <v>#REF!</v>
      </c>
      <c r="M3" s="9" t="e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O3" s="10" t="e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P3" s="11" t="e" cm="1">
        <f t="array" aca="1" ref="P3" ca="1">VLOOKUP(INDIRECT("'Grupo " &amp; K1 &amp; "'!J22"),INDIRECT("'Grupo " &amp; K1 &amp; "'!B12"):INDIRECT("'Grupo " &amp; K1 &amp; "'!J15"),2,FALSE)</f>
        <v>#REF!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4276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4601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4601</v>
      </c>
      <c r="G4" s="15" cm="1">
        <f t="array" aca="1" ref="G4" ca="1">VLOOKUP(INDIRECT("'Grupo " &amp; B2 &amp; "'!J22"),INDIRECT("'Grupo " &amp; B2 &amp; "'!B12"):INDIRECT("'Grupo " &amp; B2 &amp; "'!J15"),2,FALSE)</f>
        <v>4276</v>
      </c>
      <c r="L4" s="8" t="e" cm="1">
        <f t="array" aca="1" ref="L4" ca="1">VLOOKUP(INDIRECT("'Grupo " &amp; K1 &amp; "'!J24"),INDIRECT("'Grupo " &amp; K1 &amp; "'!B12"):INDIRECT("'Grupo " &amp; K1 &amp; "'!J15"),2,FALSE)</f>
        <v>#REF!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P4" s="11" t="e" cm="1">
        <f t="array" aca="1" ref="P4" ca="1">VLOOKUP(INDIRECT("'Grupo " &amp; K1 &amp; "'!J24"),INDIRECT("'Grupo " &amp; K1 &amp; "'!B12"):INDIRECT("'Grupo " &amp; K1 &amp; "'!J15"),2,FALSE)</f>
        <v>#REF!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4101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4164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4164</v>
      </c>
      <c r="G5" s="6" cm="1">
        <f t="array" aca="1" ref="G5" ca="1">VLOOKUP(INDIRECT("'Grupo " &amp; B5 &amp; "'!J18"),INDIRECT("'Grupo " &amp; B5 &amp; "'!B12"):INDIRECT("'Grupo " &amp; B5 &amp; "'!J15"),2,FALSE)</f>
        <v>4101</v>
      </c>
      <c r="L5" s="8" t="e" cm="1">
        <f t="array" aca="1" ref="L5" ca="1">VLOOKUP(INDIRECT("'Grupo " &amp; K1 &amp; "'!J26"),INDIRECT("'Grupo " &amp; K1 &amp; "'!B12"):INDIRECT("'Grupo " &amp; K1 &amp; "'!J15"),2,FALSE)</f>
        <v>#REF!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P5" s="11" t="e" cm="1">
        <f t="array" aca="1" ref="P5" ca="1">VLOOKUP(INDIRECT("'Grupo " &amp; K1 &amp; "'!J26"),INDIRECT("'Grupo " &amp; K1 &amp; "'!B12"):INDIRECT("'Grupo " &amp; K1 &amp; "'!J15"),2,FALSE)</f>
        <v>#REF!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4101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4348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4348</v>
      </c>
      <c r="G6" s="11" cm="1">
        <f t="array" aca="1" ref="G6" ca="1">VLOOKUP(INDIRECT("'Grupo " &amp; B5 &amp; "'!J20"),INDIRECT("'Grupo " &amp; B5 &amp; "'!B12"):INDIRECT("'Grupo " &amp; B5 &amp; "'!J15"),2,FALSE)</f>
        <v>4101</v>
      </c>
      <c r="L6" s="12" t="e" cm="1">
        <f t="array" aca="1" ref="L6" ca="1">VLOOKUP(INDIRECT("'Grupo " &amp; K1 &amp; "'!J28"),INDIRECT("'Grupo " &amp; K1 &amp; "'!B12"):INDIRECT("'Grupo " &amp; K1 &amp; "'!J15"),2,FALSE)</f>
        <v>#REF!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P6" s="15" t="e" cm="1">
        <f t="array" aca="1" ref="P6" ca="1">VLOOKUP(INDIRECT("'Grupo " &amp; K1 &amp; "'!J28"),INDIRECT("'Grupo " &amp; K1 &amp; "'!B12"):INDIRECT("'Grupo " &amp; K1 &amp; "'!J15"),2,FALSE)</f>
        <v>#REF!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4348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4164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4164</v>
      </c>
      <c r="G7" s="15" cm="1">
        <f t="array" aca="1" ref="G7" ca="1">VLOOKUP(INDIRECT("'Grupo " &amp; B5 &amp; "'!J22"),INDIRECT("'Grupo " &amp; B5 &amp; "'!B12"):INDIRECT("'Grupo " &amp; B5 &amp; "'!J15"),2,FALSE)</f>
        <v>4348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3918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4535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4535</v>
      </c>
      <c r="G8" s="6" cm="1">
        <f t="array" aca="1" ref="G8" ca="1">VLOOKUP(INDIRECT("'Grupo " &amp; B8 &amp; "'!J18"),INDIRECT("'Grupo " &amp; B8 &amp; "'!B12"):INDIRECT("'Grupo " &amp; B8 &amp; "'!J15"),2,FALSE)</f>
        <v>3918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3918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3907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3907</v>
      </c>
      <c r="G9" s="11" cm="1">
        <f t="array" aca="1" ref="G9" ca="1">VLOOKUP(INDIRECT("'Grupo " &amp; B8 &amp; "'!J20"),INDIRECT("'Grupo " &amp; B8 &amp; "'!B12"):INDIRECT("'Grupo " &amp; B8 &amp; "'!J15"),2,FALSE)</f>
        <v>3918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3907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4535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4535</v>
      </c>
      <c r="G10" s="15" cm="1">
        <f t="array" aca="1" ref="G10" ca="1">VLOOKUP(INDIRECT("'Grupo " &amp; B8 &amp; "'!J22"),INDIRECT("'Grupo " &amp; B8 &amp; "'!B12"):INDIRECT("'Grupo " &amp; B8 &amp; "'!J15"),2,FALSE)</f>
        <v>3907</v>
      </c>
    </row>
    <row r="11" spans="2:16" ht="15.75" thickBot="1" x14ac:dyDescent="0.3">
      <c r="B11" s="7">
        <f>B8+1</f>
        <v>4</v>
      </c>
      <c r="C11" s="3" cm="1">
        <f t="array" aca="1" ref="C11" ca="1">VLOOKUP(INDIRECT("'Grupo " &amp; B11 &amp; "'!J18"),INDIRECT("'Grupo " &amp; B11 &amp; "'!B12"):INDIRECT("'Grupo " &amp; B11 &amp; "'!J15"),2,FALSE)</f>
        <v>4176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4380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4380</v>
      </c>
      <c r="G11" s="6" cm="1">
        <f t="array" aca="1" ref="G11" ca="1">VLOOKUP(INDIRECT("'Grupo " &amp; B11 &amp; "'!J18"),INDIRECT("'Grupo " &amp; B11 &amp; "'!B12"):INDIRECT("'Grupo " &amp; B11 &amp; "'!J15"),2,FALSE)</f>
        <v>4176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4176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4212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4212</v>
      </c>
      <c r="G12" s="11" cm="1">
        <f t="array" aca="1" ref="G12" ca="1">VLOOKUP(INDIRECT("'Grupo " &amp; B11 &amp; "'!J20"),INDIRECT("'Grupo " &amp; B11 &amp; "'!B12"):INDIRECT("'Grupo " &amp; B11 &amp; "'!J15"),2,FALSE)</f>
        <v>4176</v>
      </c>
      <c r="N12" s="16"/>
    </row>
    <row r="13" spans="2:16" ht="15.75" thickBot="1" x14ac:dyDescent="0.3">
      <c r="C13" s="12" cm="1">
        <f t="array" aca="1" ref="C13" ca="1">VLOOKUP(INDIRECT("'Grupo " &amp; B11 &amp; "'!J22"),INDIRECT("'Grupo " &amp; B11 &amp; "'!B12"):INDIRECT("'Grupo " &amp; B11 &amp; "'!J15"),2,FALSE)</f>
        <v>4212</v>
      </c>
      <c r="D13" s="13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4380</v>
      </c>
      <c r="F13" s="14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4380</v>
      </c>
      <c r="G13" s="15" cm="1">
        <f t="array" aca="1" ref="G13" ca="1">VLOOKUP(INDIRECT("'Grupo " &amp; B11 &amp; "'!J22"),INDIRECT("'Grupo " &amp; B11 &amp; "'!B12"):INDIRECT("'Grupo " &amp; B11 &amp; "'!J15"),2,FALSE)</f>
        <v>4212</v>
      </c>
    </row>
    <row r="14" spans="2:16" ht="15.75" thickBot="1" x14ac:dyDescent="0.3">
      <c r="B14" s="7">
        <f>B11+1</f>
        <v>5</v>
      </c>
      <c r="C14" s="3" cm="1">
        <f t="array" aca="1" ref="C14" ca="1">VLOOKUP(INDIRECT("'Grupo " &amp; B14 &amp; "'!J18"),INDIRECT("'Grupo " &amp; B14 &amp; "'!B12"):INDIRECT("'Grupo " &amp; B14 &amp; "'!J15"),2,FALSE)</f>
        <v>4673</v>
      </c>
      <c r="D14" s="4" cm="1">
        <f t="array" aca="1" ref="D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4274</v>
      </c>
      <c r="F14" s="5" cm="1">
        <f t="array" aca="1" ref="F14" ca="1">VLOOKUP(IF(INDIRECT("'Grupo " &amp; B14 &amp; "'!J18")=INDIRECT("'Grupo " &amp; B14 &amp; "'!C18"),INDIRECT("'Grupo " &amp; B14 &amp; "'!C19"),INDIRECT("'Grupo " &amp; B14 &amp; "'!C18")),INDIRECT("'Grupo " &amp; B14 &amp; "'!B12"):INDIRECT("'Grupo " &amp; B14 &amp; "'!G15"),2,FALSE)</f>
        <v>4274</v>
      </c>
      <c r="G14" s="6" cm="1">
        <f t="array" aca="1" ref="G14" ca="1">VLOOKUP(INDIRECT("'Grupo " &amp; B14 &amp; "'!J18"),INDIRECT("'Grupo " &amp; B14 &amp; "'!B12"):INDIRECT("'Grupo " &amp; B14 &amp; "'!J15"),2,FALSE)</f>
        <v>4673</v>
      </c>
    </row>
    <row r="15" spans="2:16" x14ac:dyDescent="0.25">
      <c r="C15" s="8" cm="1">
        <f t="array" aca="1" ref="C15" ca="1">VLOOKUP(INDIRECT("'Grupo " &amp; B14 &amp; "'!J20"),INDIRECT("'Grupo " &amp; B14 &amp; "'!B12"):INDIRECT("'Grupo " &amp; B14 &amp; "'!J15"),2,FALSE)</f>
        <v>4274</v>
      </c>
      <c r="D15" s="9" cm="1">
        <f t="array" aca="1" ref="D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4579</v>
      </c>
      <c r="F15" s="10" cm="1">
        <f t="array" aca="1" ref="F15" ca="1">VLOOKUP(IF(INDIRECT("'Grupo " &amp; B14 &amp; "'!J20")=INDIRECT("'Grupo " &amp; B14 &amp; "'!C20"),INDIRECT("'Grupo " &amp; B14 &amp; "'!C21"),INDIRECT("'Grupo " &amp; B14 &amp; "'!C20")),INDIRECT("'Grupo " &amp; B14 &amp; "'!B12"):INDIRECT("'Grupo " &amp; B14 &amp; "'!G15"),2,FALSE)</f>
        <v>4579</v>
      </c>
      <c r="G15" s="11" cm="1">
        <f t="array" aca="1" ref="G15" ca="1">VLOOKUP(INDIRECT("'Grupo " &amp; B14 &amp; "'!J20"),INDIRECT("'Grupo " &amp; B14 &amp; "'!B12"):INDIRECT("'Grupo " &amp; B14 &amp; "'!J15"),2,FALSE)</f>
        <v>4274</v>
      </c>
    </row>
    <row r="16" spans="2:16" ht="15.75" thickBot="1" x14ac:dyDescent="0.3">
      <c r="C16" s="12" cm="1">
        <f t="array" aca="1" ref="C16" ca="1">VLOOKUP(INDIRECT("'Grupo " &amp; B14 &amp; "'!J22"),INDIRECT("'Grupo " &amp; B14 &amp; "'!B12"):INDIRECT("'Grupo " &amp; B14 &amp; "'!J15"),2,FALSE)</f>
        <v>4579</v>
      </c>
      <c r="D16" s="13" cm="1">
        <f t="array" aca="1" ref="D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4673</v>
      </c>
      <c r="F16" s="14" cm="1">
        <f t="array" aca="1" ref="F16" ca="1">VLOOKUP(IF(INDIRECT("'Grupo " &amp; B14 &amp; "'!J22")=INDIRECT("'Grupo " &amp; B14 &amp; "'!C22"),INDIRECT("'Grupo " &amp; B14 &amp; "'!C23"),INDIRECT("'Grupo " &amp; B14 &amp; "'!C22")),INDIRECT("'Grupo " &amp; B14 &amp; "'!B12"):INDIRECT("'Grupo " &amp; B14 &amp; "'!G15"),2,FALSE)</f>
        <v>4673</v>
      </c>
      <c r="G16" s="15" cm="1">
        <f t="array" aca="1" ref="G16" ca="1">VLOOKUP(INDIRECT("'Grupo " &amp; B14 &amp; "'!J22"),INDIRECT("'Grupo " &amp; B14 &amp; "'!B12"):INDIRECT("'Grupo " &amp; B14 &amp; "'!J15"),2,FALSE)</f>
        <v>4579</v>
      </c>
    </row>
    <row r="17" spans="2:7" ht="15.75" thickBot="1" x14ac:dyDescent="0.3">
      <c r="B17" s="7">
        <f>B14+1</f>
        <v>6</v>
      </c>
      <c r="C17" s="3" cm="1">
        <f t="array" aca="1" ref="C17" ca="1">VLOOKUP(INDIRECT("'Grupo " &amp; B17 &amp; "'!J18"),INDIRECT("'Grupo " &amp; B17 &amp; "'!B12"):INDIRECT("'Grupo " &amp; B17 &amp; "'!J15"),2,FALSE)</f>
        <v>4273</v>
      </c>
      <c r="D17" s="4" cm="1">
        <f t="array" aca="1" ref="D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3912</v>
      </c>
      <c r="F17" s="5" cm="1">
        <f t="array" aca="1" ref="F17" ca="1">VLOOKUP(IF(INDIRECT("'Grupo " &amp; B17 &amp; "'!J18")=INDIRECT("'Grupo " &amp; B17 &amp; "'!C18"),INDIRECT("'Grupo " &amp; B17 &amp; "'!C19"),INDIRECT("'Grupo " &amp; B17 &amp; "'!C18")),INDIRECT("'Grupo " &amp; B17 &amp; "'!B12"):INDIRECT("'Grupo " &amp; B17 &amp; "'!G15"),2,FALSE)</f>
        <v>3912</v>
      </c>
      <c r="G17" s="6" cm="1">
        <f t="array" aca="1" ref="G17" ca="1">VLOOKUP(INDIRECT("'Grupo " &amp; B17 &amp; "'!J18"),INDIRECT("'Grupo " &amp; B17 &amp; "'!B12"):INDIRECT("'Grupo " &amp; B17 &amp; "'!J15"),2,FALSE)</f>
        <v>4273</v>
      </c>
    </row>
    <row r="18" spans="2:7" x14ac:dyDescent="0.25">
      <c r="C18" s="8" cm="1">
        <f t="array" aca="1" ref="C18" ca="1">VLOOKUP(INDIRECT("'Grupo " &amp; B17 &amp; "'!J20"),INDIRECT("'Grupo " &amp; B17 &amp; "'!B12"):INDIRECT("'Grupo " &amp; B17 &amp; "'!J15"),2,FALSE)</f>
        <v>4273</v>
      </c>
      <c r="D18" s="9" cm="1">
        <f t="array" aca="1" ref="D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4047</v>
      </c>
      <c r="F18" s="10" cm="1">
        <f t="array" aca="1" ref="F18" ca="1">VLOOKUP(IF(INDIRECT("'Grupo " &amp; B17 &amp; "'!J20")=INDIRECT("'Grupo " &amp; B17 &amp; "'!C20"),INDIRECT("'Grupo " &amp; B17 &amp; "'!C21"),INDIRECT("'Grupo " &amp; B17 &amp; "'!C20")),INDIRECT("'Grupo " &amp; B17 &amp; "'!B12"):INDIRECT("'Grupo " &amp; B17 &amp; "'!G15"),2,FALSE)</f>
        <v>4047</v>
      </c>
      <c r="G18" s="11" cm="1">
        <f t="array" aca="1" ref="G18" ca="1">VLOOKUP(INDIRECT("'Grupo " &amp; B17 &amp; "'!J20"),INDIRECT("'Grupo " &amp; B17 &amp; "'!B12"):INDIRECT("'Grupo " &amp; B17 &amp; "'!J15"),2,FALSE)</f>
        <v>4273</v>
      </c>
    </row>
    <row r="19" spans="2:7" ht="15.75" thickBot="1" x14ac:dyDescent="0.3">
      <c r="C19" s="12" cm="1">
        <f t="array" aca="1" ref="C19" ca="1">VLOOKUP(INDIRECT("'Grupo " &amp; B17 &amp; "'!J22"),INDIRECT("'Grupo " &amp; B17 &amp; "'!B12"):INDIRECT("'Grupo " &amp; B17 &amp; "'!J15"),2,FALSE)</f>
        <v>3912</v>
      </c>
      <c r="D19" s="13" cm="1">
        <f t="array" aca="1" ref="D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4047</v>
      </c>
      <c r="F19" s="14" cm="1">
        <f t="array" aca="1" ref="F19" ca="1">VLOOKUP(IF(INDIRECT("'Grupo " &amp; B17 &amp; "'!J22")=INDIRECT("'Grupo " &amp; B17 &amp; "'!C22"),INDIRECT("'Grupo " &amp; B17 &amp; "'!C23"),INDIRECT("'Grupo " &amp; B17 &amp; "'!C22")),INDIRECT("'Grupo " &amp; B17 &amp; "'!B12"):INDIRECT("'Grupo " &amp; B17 &amp; "'!G15"),2,FALSE)</f>
        <v>4047</v>
      </c>
      <c r="G19" s="15" cm="1">
        <f t="array" aca="1" ref="G19" ca="1">VLOOKUP(INDIRECT("'Grupo " &amp; B17 &amp; "'!J22"),INDIRECT("'Grupo " &amp; B17 &amp; "'!B12"):INDIRECT("'Grupo " &amp; B17 &amp; "'!J15"),2,FALSE)</f>
        <v>3912</v>
      </c>
    </row>
    <row r="20" spans="2:7" ht="15.75" thickBot="1" x14ac:dyDescent="0.3">
      <c r="B20" s="7">
        <f>B17+1</f>
        <v>7</v>
      </c>
      <c r="C20" s="3" cm="1">
        <f t="array" aca="1" ref="C20" ca="1">VLOOKUP(INDIRECT("'Grupo " &amp; B20 &amp; "'!J18"),INDIRECT("'Grupo " &amp; B20 &amp; "'!B12"):INDIRECT("'Grupo " &amp; B20 &amp; "'!J15"),2,FALSE)</f>
        <v>4100</v>
      </c>
      <c r="D20" s="4" cm="1">
        <f t="array" aca="1" ref="D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4278</v>
      </c>
      <c r="F20" s="5" cm="1">
        <f t="array" aca="1" ref="F20" ca="1">VLOOKUP(IF(INDIRECT("'Grupo " &amp; B20 &amp; "'!J18")=INDIRECT("'Grupo " &amp; B20 &amp; "'!C18"),INDIRECT("'Grupo " &amp; B20 &amp; "'!C19"),INDIRECT("'Grupo " &amp; B20 &amp; "'!C18")),INDIRECT("'Grupo " &amp; B20 &amp; "'!B12"):INDIRECT("'Grupo " &amp; B20 &amp; "'!G15"),2,FALSE)</f>
        <v>4278</v>
      </c>
      <c r="G20" s="6" cm="1">
        <f t="array" aca="1" ref="G20" ca="1">VLOOKUP(INDIRECT("'Grupo " &amp; B20 &amp; "'!J18"),INDIRECT("'Grupo " &amp; B20 &amp; "'!B12"):INDIRECT("'Grupo " &amp; B20 &amp; "'!J15"),2,FALSE)</f>
        <v>4100</v>
      </c>
    </row>
    <row r="21" spans="2:7" x14ac:dyDescent="0.25">
      <c r="C21" s="8" cm="1">
        <f t="array" aca="1" ref="C21" ca="1">VLOOKUP(INDIRECT("'Grupo " &amp; B20 &amp; "'!J20"),INDIRECT("'Grupo " &amp; B20 &amp; "'!B12"):INDIRECT("'Grupo " &amp; B20 &amp; "'!J15"),2,FALSE)</f>
        <v>4100</v>
      </c>
      <c r="D21" s="9" cm="1">
        <f t="array" aca="1" ref="D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4104</v>
      </c>
      <c r="F21" s="10" cm="1">
        <f t="array" aca="1" ref="F21" ca="1">VLOOKUP(IF(INDIRECT("'Grupo " &amp; B20 &amp; "'!J20")=INDIRECT("'Grupo " &amp; B20 &amp; "'!C20"),INDIRECT("'Grupo " &amp; B20 &amp; "'!C21"),INDIRECT("'Grupo " &amp; B20 &amp; "'!C20")),INDIRECT("'Grupo " &amp; B20 &amp; "'!B12"):INDIRECT("'Grupo " &amp; B20 &amp; "'!G15"),2,FALSE)</f>
        <v>4104</v>
      </c>
      <c r="G21" s="11" cm="1">
        <f t="array" aca="1" ref="G21" ca="1">VLOOKUP(INDIRECT("'Grupo " &amp; B20 &amp; "'!J20"),INDIRECT("'Grupo " &amp; B20 &amp; "'!B12"):INDIRECT("'Grupo " &amp; B20 &amp; "'!J15"),2,FALSE)</f>
        <v>4100</v>
      </c>
    </row>
    <row r="22" spans="2:7" ht="15.75" thickBot="1" x14ac:dyDescent="0.3">
      <c r="C22" s="12" cm="1">
        <f t="array" aca="1" ref="C22" ca="1">VLOOKUP(INDIRECT("'Grupo " &amp; B20 &amp; "'!J22"),INDIRECT("'Grupo " &amp; B20 &amp; "'!B12"):INDIRECT("'Grupo " &amp; B20 &amp; "'!J15"),2,FALSE)</f>
        <v>4104</v>
      </c>
      <c r="D22" s="13" cm="1">
        <f t="array" aca="1" ref="D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4278</v>
      </c>
      <c r="F22" s="14" cm="1">
        <f t="array" aca="1" ref="F22" ca="1">VLOOKUP(IF(INDIRECT("'Grupo " &amp; B20 &amp; "'!J22")=INDIRECT("'Grupo " &amp; B20 &amp; "'!C22"),INDIRECT("'Grupo " &amp; B20 &amp; "'!C23"),INDIRECT("'Grupo " &amp; B20 &amp; "'!C22")),INDIRECT("'Grupo " &amp; B20 &amp; "'!B12"):INDIRECT("'Grupo " &amp; B20 &amp; "'!G15"),2,FALSE)</f>
        <v>4278</v>
      </c>
      <c r="G22" s="15" cm="1">
        <f t="array" aca="1" ref="G22" ca="1">VLOOKUP(INDIRECT("'Grupo " &amp; B20 &amp; "'!J22"),INDIRECT("'Grupo " &amp; B20 &amp; "'!B12"):INDIRECT("'Grupo " &amp; B20 &amp; "'!J15"),2,FALSE)</f>
        <v>4104</v>
      </c>
    </row>
    <row r="23" spans="2:7" ht="15.75" thickBot="1" x14ac:dyDescent="0.3">
      <c r="B23" s="7">
        <f>B20+1</f>
        <v>8</v>
      </c>
      <c r="C23" s="3" cm="1">
        <f t="array" aca="1" ref="C23" ca="1">VLOOKUP(INDIRECT("'Grupo " &amp; B23 &amp; "'!J18"),INDIRECT("'Grupo " &amp; B23 &amp; "'!B12"):INDIRECT("'Grupo " &amp; B23 &amp; "'!J15"),2,FALSE)</f>
        <v>4183</v>
      </c>
      <c r="D23" s="4" cm="1">
        <f t="array" aca="1" ref="D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4787</v>
      </c>
      <c r="F23" s="5" cm="1">
        <f t="array" aca="1" ref="F23" ca="1">VLOOKUP(IF(INDIRECT("'Grupo " &amp; B23 &amp; "'!J18")=INDIRECT("'Grupo " &amp; B23 &amp; "'!C18"),INDIRECT("'Grupo " &amp; B23 &amp; "'!C19"),INDIRECT("'Grupo " &amp; B23 &amp; "'!C18")),INDIRECT("'Grupo " &amp; B23 &amp; "'!B12"):INDIRECT("'Grupo " &amp; B23 &amp; "'!G15"),2,FALSE)</f>
        <v>4787</v>
      </c>
      <c r="G23" s="6" cm="1">
        <f t="array" aca="1" ref="G23" ca="1">VLOOKUP(INDIRECT("'Grupo " &amp; B23 &amp; "'!J18"),INDIRECT("'Grupo " &amp; B23 &amp; "'!B12"):INDIRECT("'Grupo " &amp; B23 &amp; "'!J15"),2,FALSE)</f>
        <v>4183</v>
      </c>
    </row>
    <row r="24" spans="2:7" x14ac:dyDescent="0.25">
      <c r="C24" s="8" cm="1">
        <f t="array" aca="1" ref="C24" ca="1">VLOOKUP(INDIRECT("'Grupo " &amp; B23 &amp; "'!J20"),INDIRECT("'Grupo " &amp; B23 &amp; "'!B12"):INDIRECT("'Grupo " &amp; B23 &amp; "'!J15"),2,FALSE)</f>
        <v>4183</v>
      </c>
      <c r="D24" s="9" cm="1">
        <f t="array" aca="1" ref="D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4275</v>
      </c>
      <c r="F24" s="10" cm="1">
        <f t="array" aca="1" ref="F24" ca="1">VLOOKUP(IF(INDIRECT("'Grupo " &amp; B23 &amp; "'!J20")=INDIRECT("'Grupo " &amp; B23 &amp; "'!C20"),INDIRECT("'Grupo " &amp; B23 &amp; "'!C21"),INDIRECT("'Grupo " &amp; B23 &amp; "'!C20")),INDIRECT("'Grupo " &amp; B23 &amp; "'!B12"):INDIRECT("'Grupo " &amp; B23 &amp; "'!G15"),2,FALSE)</f>
        <v>4275</v>
      </c>
      <c r="G24" s="11" cm="1">
        <f t="array" aca="1" ref="G24" ca="1">VLOOKUP(INDIRECT("'Grupo " &amp; B23 &amp; "'!J20"),INDIRECT("'Grupo " &amp; B23 &amp; "'!B12"):INDIRECT("'Grupo " &amp; B23 &amp; "'!J15"),2,FALSE)</f>
        <v>4183</v>
      </c>
    </row>
    <row r="25" spans="2:7" ht="15.75" thickBot="1" x14ac:dyDescent="0.3">
      <c r="C25" s="12" cm="1">
        <f t="array" aca="1" ref="C25" ca="1">VLOOKUP(INDIRECT("'Grupo " &amp; B23 &amp; "'!J22"),INDIRECT("'Grupo " &amp; B23 &amp; "'!B12"):INDIRECT("'Grupo " &amp; B23 &amp; "'!J15"),2,FALSE)</f>
        <v>4275</v>
      </c>
      <c r="D25" s="13" cm="1">
        <f t="array" aca="1" ref="D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4787</v>
      </c>
      <c r="F25" s="14" cm="1">
        <f t="array" aca="1" ref="F25" ca="1">VLOOKUP(IF(INDIRECT("'Grupo " &amp; B23 &amp; "'!J22")=INDIRECT("'Grupo " &amp; B23 &amp; "'!C22"),INDIRECT("'Grupo " &amp; B23 &amp; "'!C23"),INDIRECT("'Grupo " &amp; B23 &amp; "'!C22")),INDIRECT("'Grupo " &amp; B23 &amp; "'!B12"):INDIRECT("'Grupo " &amp; B23 &amp; "'!G15"),2,FALSE)</f>
        <v>4787</v>
      </c>
      <c r="G25" s="15" cm="1">
        <f t="array" aca="1" ref="G25" ca="1">VLOOKUP(INDIRECT("'Grupo " &amp; B23 &amp; "'!J22"),INDIRECT("'Grupo " &amp; B23 &amp; "'!B12"):INDIRECT("'Grupo " &amp; B23 &amp; "'!J15"),2,FALSE)</f>
        <v>4275</v>
      </c>
    </row>
    <row r="26" spans="2:7" ht="15.75" thickBot="1" x14ac:dyDescent="0.3">
      <c r="B26" s="2">
        <v>9</v>
      </c>
      <c r="C26" s="3" cm="1">
        <f t="array" aca="1" ref="C26" ca="1">VLOOKUP(INDIRECT("'Grupo " &amp; B26 &amp; "'!J18"),INDIRECT("'Grupo " &amp; B26 &amp; "'!B12"):INDIRECT("'Grupo " &amp; B26 &amp; "'!J15"),2,FALSE)</f>
        <v>4191</v>
      </c>
      <c r="D26" s="4" cm="1">
        <f t="array" aca="1" ref="D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4470</v>
      </c>
      <c r="F26" s="5" cm="1">
        <f t="array" aca="1" ref="F26" ca="1">VLOOKUP(IF(INDIRECT("'Grupo " &amp; B26 &amp; "'!J18")=INDIRECT("'Grupo " &amp; B26 &amp; "'!C18"),INDIRECT("'Grupo " &amp; B26 &amp; "'!C19"),INDIRECT("'Grupo " &amp; B26 &amp; "'!C18")),INDIRECT("'Grupo " &amp; B26 &amp; "'!B12"):INDIRECT("'Grupo " &amp; B26 &amp; "'!G15"),2,FALSE)</f>
        <v>4470</v>
      </c>
      <c r="G26" s="6" cm="1">
        <f t="array" aca="1" ref="G26" ca="1">VLOOKUP(INDIRECT("'Grupo " &amp; B26 &amp; "'!J18"),INDIRECT("'Grupo " &amp; B26 &amp; "'!B12"):INDIRECT("'Grupo " &amp; B26 &amp; "'!J15"),2,FALSE)</f>
        <v>4191</v>
      </c>
    </row>
    <row r="27" spans="2:7" x14ac:dyDescent="0.25">
      <c r="C27" s="8" cm="1">
        <f t="array" aca="1" ref="C27" ca="1">VLOOKUP(INDIRECT("'Grupo " &amp; B26 &amp; "'!J20"),INDIRECT("'Grupo " &amp; B26 &amp; "'!B12"):INDIRECT("'Grupo " &amp; B26 &amp; "'!J15"),2,FALSE)</f>
        <v>3828</v>
      </c>
      <c r="D27" s="9" cm="1">
        <f t="array" aca="1" ref="D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4433</v>
      </c>
      <c r="F27" s="10" cm="1">
        <f t="array" aca="1" ref="F27" ca="1">VLOOKUP(IF(INDIRECT("'Grupo " &amp; B26 &amp; "'!J20")=INDIRECT("'Grupo " &amp; B26 &amp; "'!C20"),INDIRECT("'Grupo " &amp; B26 &amp; "'!C21"),INDIRECT("'Grupo " &amp; B26 &amp; "'!C20")),INDIRECT("'Grupo " &amp; B26 &amp; "'!B12"):INDIRECT("'Grupo " &amp; B26 &amp; "'!G15"),2,FALSE)</f>
        <v>4433</v>
      </c>
      <c r="G27" s="11" cm="1">
        <f t="array" aca="1" ref="G27" ca="1">VLOOKUP(INDIRECT("'Grupo " &amp; B26 &amp; "'!J20"),INDIRECT("'Grupo " &amp; B26 &amp; "'!B12"):INDIRECT("'Grupo " &amp; B26 &amp; "'!J15"),2,FALSE)</f>
        <v>3828</v>
      </c>
    </row>
    <row r="28" spans="2:7" x14ac:dyDescent="0.25">
      <c r="C28" s="8" cm="1">
        <f t="array" aca="1" ref="C28" ca="1">VLOOKUP(INDIRECT("'Grupo " &amp; B26 &amp; "'!J22"),INDIRECT("'Grupo " &amp; B26 &amp; "'!B12"):INDIRECT("'Grupo " &amp; B26 &amp; "'!J15"),2,FALSE)</f>
        <v>3828</v>
      </c>
      <c r="D28" s="9" cm="1">
        <f t="array" aca="1" ref="D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4191</v>
      </c>
      <c r="F28" s="10" cm="1">
        <f t="array" aca="1" ref="F28" ca="1">VLOOKUP(IF(INDIRECT("'Grupo " &amp; B26 &amp; "'!J22")=INDIRECT("'Grupo " &amp; B26 &amp; "'!C22"),INDIRECT("'Grupo " &amp; B26 &amp; "'!C23"),INDIRECT("'Grupo " &amp; B26 &amp; "'!C22")),INDIRECT("'Grupo " &amp; B26 &amp; "'!B12"):INDIRECT("'Grupo " &amp; B26 &amp; "'!G15"),2,FALSE)</f>
        <v>4191</v>
      </c>
      <c r="G28" s="11" cm="1">
        <f t="array" aca="1" ref="G28" ca="1">VLOOKUP(INDIRECT("'Grupo " &amp; B26 &amp; "'!J22"),INDIRECT("'Grupo " &amp; B26 &amp; "'!B12"):INDIRECT("'Grupo " &amp; B26 &amp; "'!J15"),2,FALSE)</f>
        <v>3828</v>
      </c>
    </row>
    <row r="29" spans="2:7" x14ac:dyDescent="0.25">
      <c r="C29" s="8" cm="1">
        <f t="array" aca="1" ref="C29" ca="1">VLOOKUP(INDIRECT("'Grupo " &amp; B26 &amp; "'!J24"),INDIRECT("'Grupo " &amp; B26 &amp; "'!B12"):INDIRECT("'Grupo " &amp; B26 &amp; "'!J15"),2,FALSE)</f>
        <v>4470</v>
      </c>
      <c r="D29" s="9" cm="1">
        <f t="array" aca="1" ref="D29" ca="1">VLOOKUP(IF(INDIRECT("'Grupo " &amp; B26 &amp; "'!J24")=INDIRECT("'Grupo " &amp; B26 &amp; "'!C24"),INDIRECT("'Grupo " &amp; B26 &amp; "'!C25"),INDIRECT("'Grupo " &amp; B26 &amp; "'!C24")),INDIRECT("'Grupo " &amp; B26 &amp; "'!B12"):INDIRECT("'Grupo " &amp; B26 &amp; "'!G15"),2,FALSE)</f>
        <v>4433</v>
      </c>
      <c r="F29" s="10" cm="1">
        <f t="array" aca="1" ref="F29" ca="1">VLOOKUP(IF(INDIRECT("'Grupo " &amp; B26 &amp; "'!J24")=INDIRECT("'Grupo " &amp; B26 &amp; "'!C24"),INDIRECT("'Grupo " &amp; B26 &amp; "'!C25"),INDIRECT("'Grupo " &amp; B26 &amp; "'!C24")),INDIRECT("'Grupo " &amp; B26 &amp; "'!B12"):INDIRECT("'Grupo " &amp; B26 &amp; "'!G15"),2,FALSE)</f>
        <v>4433</v>
      </c>
      <c r="G29" s="11" cm="1">
        <f t="array" aca="1" ref="G29" ca="1">VLOOKUP(INDIRECT("'Grupo " &amp; B26 &amp; "'!J24"),INDIRECT("'Grupo " &amp; B26 &amp; "'!B12"):INDIRECT("'Grupo " &amp; B26 &amp; "'!J15"),2,FALSE)</f>
        <v>4470</v>
      </c>
    </row>
    <row r="30" spans="2:7" x14ac:dyDescent="0.25">
      <c r="C30" s="8" cm="1">
        <f t="array" aca="1" ref="C30" ca="1">VLOOKUP(INDIRECT("'Grupo " &amp; B26 &amp; "'!J26"),INDIRECT("'Grupo " &amp; B26 &amp; "'!B12"):INDIRECT("'Grupo " &amp; B26 &amp; "'!J15"),2,FALSE)</f>
        <v>4191</v>
      </c>
      <c r="D30" s="9" cm="1">
        <f t="array" aca="1" ref="D30" ca="1">VLOOKUP(IF(INDIRECT("'Grupo " &amp; B26 &amp; "'!J26")=INDIRECT("'Grupo " &amp; B26 &amp; "'!C26"),INDIRECT("'Grupo " &amp; B26 &amp; "'!C27"),INDIRECT("'Grupo " &amp; B26 &amp; "'!C26")),INDIRECT("'Grupo " &amp; B26 &amp; "'!B12"):INDIRECT("'Grupo " &amp; B26 &amp; "'!G15"),2,FALSE)</f>
        <v>4433</v>
      </c>
      <c r="F30" s="10" cm="1">
        <f t="array" aca="1" ref="F30" ca="1">VLOOKUP(IF(INDIRECT("'Grupo " &amp; B26 &amp; "'!J26")=INDIRECT("'Grupo " &amp; B26 &amp; "'!C26"),INDIRECT("'Grupo " &amp; B26 &amp; "'!C27"),INDIRECT("'Grupo " &amp; B26 &amp; "'!C26")),INDIRECT("'Grupo " &amp; B26 &amp; "'!B12"):INDIRECT("'Grupo " &amp; B26 &amp; "'!G15"),2,FALSE)</f>
        <v>4433</v>
      </c>
      <c r="G30" s="11" cm="1">
        <f t="array" aca="1" ref="G30" ca="1">VLOOKUP(INDIRECT("'Grupo " &amp; B26 &amp; "'!J26"),INDIRECT("'Grupo " &amp; B26 &amp; "'!B12"):INDIRECT("'Grupo " &amp; B26 &amp; "'!J15"),2,FALSE)</f>
        <v>4191</v>
      </c>
    </row>
    <row r="31" spans="2:7" ht="15.75" thickBot="1" x14ac:dyDescent="0.3">
      <c r="C31" s="12" cm="1">
        <f t="array" aca="1" ref="C31" ca="1">VLOOKUP(INDIRECT("'Grupo " &amp; B26 &amp; "'!J28"),INDIRECT("'Grupo " &amp; B26 &amp; "'!B12"):INDIRECT("'Grupo " &amp; B26 &amp; "'!J15"),2,FALSE)</f>
        <v>3828</v>
      </c>
      <c r="D31" s="13" cm="1">
        <f t="array" aca="1" ref="D31" ca="1">VLOOKUP(IF(INDIRECT("'Grupo " &amp; B26 &amp; "'!J28")=INDIRECT("'Grupo " &amp; B26 &amp; "'!C28"),INDIRECT("'Grupo " &amp; B26 &amp; "'!C29"),INDIRECT("'Grupo " &amp; B26 &amp; "'!C28")),INDIRECT("'Grupo " &amp; B26 &amp; "'!B12"):INDIRECT("'Grupo " &amp; B26 &amp; "'!G15"),2,FALSE)</f>
        <v>4470</v>
      </c>
      <c r="F31" s="14" cm="1">
        <f t="array" aca="1" ref="F31" ca="1">VLOOKUP(IF(INDIRECT("'Grupo " &amp; B26 &amp; "'!J28")=INDIRECT("'Grupo " &amp; B26 &amp; "'!C28"),INDIRECT("'Grupo " &amp; B26 &amp; "'!C29"),INDIRECT("'Grupo " &amp; B26 &amp; "'!C28")),INDIRECT("'Grupo " &amp; B26 &amp; "'!B12"):INDIRECT("'Grupo " &amp; B26 &amp; "'!G15"),2,FALSE)</f>
        <v>4470</v>
      </c>
      <c r="G31" s="15" cm="1">
        <f t="array" aca="1" ref="G31" ca="1">VLOOKUP(INDIRECT("'Grupo " &amp; B26 &amp; "'!J28"),INDIRECT("'Grupo " &amp; B26 &amp; "'!B12"):INDIRECT("'Grupo " &amp; B26 &amp; "'!J15"),2,FALSE)</f>
        <v>3828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CF61-7697-45F9-82CF-9CF64E89C2AD}">
  <dimension ref="A1:E110"/>
  <sheetViews>
    <sheetView tabSelected="1" workbookViewId="0">
      <selection activeCell="A2" sqref="A2:E110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27</v>
      </c>
      <c r="B1" t="s">
        <v>239</v>
      </c>
      <c r="C1" t="s">
        <v>5</v>
      </c>
      <c r="D1" t="s">
        <v>6</v>
      </c>
      <c r="E1" t="s">
        <v>8</v>
      </c>
    </row>
    <row r="2" spans="1:5" x14ac:dyDescent="0.25">
      <c r="A2">
        <v>1</v>
      </c>
      <c r="B2">
        <v>4159</v>
      </c>
      <c r="C2" t="s">
        <v>205</v>
      </c>
      <c r="D2" t="s">
        <v>12</v>
      </c>
      <c r="E2">
        <v>764</v>
      </c>
    </row>
    <row r="3" spans="1:5" x14ac:dyDescent="0.25">
      <c r="A3">
        <v>2</v>
      </c>
      <c r="B3">
        <v>4101</v>
      </c>
      <c r="C3" t="s">
        <v>208</v>
      </c>
      <c r="D3" t="s">
        <v>12</v>
      </c>
      <c r="E3">
        <v>701</v>
      </c>
    </row>
    <row r="4" spans="1:5" x14ac:dyDescent="0.25">
      <c r="A4">
        <v>3</v>
      </c>
      <c r="B4">
        <v>3918</v>
      </c>
      <c r="C4" t="s">
        <v>212</v>
      </c>
      <c r="D4" t="s">
        <v>12</v>
      </c>
      <c r="E4">
        <v>689</v>
      </c>
    </row>
    <row r="5" spans="1:5" x14ac:dyDescent="0.25">
      <c r="A5">
        <v>4</v>
      </c>
      <c r="B5">
        <v>4274</v>
      </c>
      <c r="C5" t="s">
        <v>218</v>
      </c>
      <c r="D5" t="s">
        <v>13</v>
      </c>
      <c r="E5">
        <v>645</v>
      </c>
    </row>
    <row r="6" spans="1:5" x14ac:dyDescent="0.25">
      <c r="A6">
        <v>5</v>
      </c>
      <c r="B6">
        <v>4176</v>
      </c>
      <c r="C6" t="s">
        <v>215</v>
      </c>
      <c r="D6" t="s">
        <v>12</v>
      </c>
      <c r="E6">
        <v>644</v>
      </c>
    </row>
    <row r="7" spans="1:5" x14ac:dyDescent="0.25">
      <c r="A7">
        <v>6</v>
      </c>
      <c r="B7">
        <v>4273</v>
      </c>
      <c r="C7" t="s">
        <v>221</v>
      </c>
      <c r="D7" t="s">
        <v>13</v>
      </c>
      <c r="E7">
        <v>632</v>
      </c>
    </row>
    <row r="8" spans="1:5" x14ac:dyDescent="0.25">
      <c r="A8">
        <v>7</v>
      </c>
      <c r="B8">
        <v>4100</v>
      </c>
      <c r="C8" t="s">
        <v>224</v>
      </c>
      <c r="D8" t="s">
        <v>12</v>
      </c>
      <c r="E8">
        <v>628</v>
      </c>
    </row>
    <row r="9" spans="1:5" x14ac:dyDescent="0.25">
      <c r="A9">
        <v>8</v>
      </c>
      <c r="B9">
        <v>4183</v>
      </c>
      <c r="C9" t="s">
        <v>227</v>
      </c>
      <c r="D9" t="s">
        <v>17</v>
      </c>
      <c r="E9">
        <v>601</v>
      </c>
    </row>
    <row r="10" spans="1:5" x14ac:dyDescent="0.25">
      <c r="A10">
        <v>9</v>
      </c>
      <c r="B10">
        <v>4191</v>
      </c>
      <c r="C10" t="s">
        <v>230</v>
      </c>
      <c r="D10" t="s">
        <v>15</v>
      </c>
      <c r="E10">
        <v>581</v>
      </c>
    </row>
    <row r="11" spans="1:5" x14ac:dyDescent="0.25">
      <c r="A11">
        <v>10</v>
      </c>
      <c r="B11">
        <v>4275</v>
      </c>
      <c r="C11" t="s">
        <v>228</v>
      </c>
      <c r="D11" t="s">
        <v>12</v>
      </c>
      <c r="E11">
        <v>562</v>
      </c>
    </row>
    <row r="12" spans="1:5" x14ac:dyDescent="0.25">
      <c r="A12">
        <v>11</v>
      </c>
      <c r="B12">
        <v>4047</v>
      </c>
      <c r="C12" t="s">
        <v>222</v>
      </c>
      <c r="D12" t="s">
        <v>12</v>
      </c>
      <c r="E12">
        <v>556</v>
      </c>
    </row>
    <row r="13" spans="1:5" x14ac:dyDescent="0.25">
      <c r="A13">
        <v>11</v>
      </c>
      <c r="B13">
        <v>3828</v>
      </c>
      <c r="C13" t="s">
        <v>231</v>
      </c>
      <c r="D13" t="s">
        <v>13</v>
      </c>
      <c r="E13">
        <v>556</v>
      </c>
    </row>
    <row r="14" spans="1:5" x14ac:dyDescent="0.25">
      <c r="A14">
        <v>13</v>
      </c>
      <c r="B14">
        <v>4104</v>
      </c>
      <c r="C14" t="s">
        <v>225</v>
      </c>
      <c r="D14" t="s">
        <v>13</v>
      </c>
      <c r="E14">
        <v>555</v>
      </c>
    </row>
    <row r="15" spans="1:5" x14ac:dyDescent="0.25">
      <c r="A15">
        <v>14</v>
      </c>
      <c r="B15">
        <v>4579</v>
      </c>
      <c r="C15" t="s">
        <v>219</v>
      </c>
      <c r="D15" t="s">
        <v>12</v>
      </c>
      <c r="E15">
        <v>530</v>
      </c>
    </row>
    <row r="16" spans="1:5" x14ac:dyDescent="0.25">
      <c r="A16">
        <v>15</v>
      </c>
      <c r="B16">
        <v>3907</v>
      </c>
      <c r="C16" t="s">
        <v>213</v>
      </c>
      <c r="D16" t="s">
        <v>11</v>
      </c>
      <c r="E16">
        <v>519</v>
      </c>
    </row>
    <row r="17" spans="1:5" x14ac:dyDescent="0.25">
      <c r="A17">
        <v>16</v>
      </c>
      <c r="B17">
        <v>4348</v>
      </c>
      <c r="C17" t="s">
        <v>209</v>
      </c>
      <c r="D17" t="s">
        <v>16</v>
      </c>
      <c r="E17">
        <v>517</v>
      </c>
    </row>
    <row r="18" spans="1:5" x14ac:dyDescent="0.25">
      <c r="A18">
        <v>17</v>
      </c>
      <c r="B18">
        <v>4276</v>
      </c>
      <c r="C18" t="s">
        <v>207</v>
      </c>
      <c r="D18" t="s">
        <v>12</v>
      </c>
      <c r="E18">
        <v>515</v>
      </c>
    </row>
    <row r="19" spans="1:5" x14ac:dyDescent="0.25">
      <c r="A19">
        <v>18</v>
      </c>
      <c r="B19">
        <v>4212</v>
      </c>
      <c r="C19" t="s">
        <v>216</v>
      </c>
      <c r="D19" t="s">
        <v>211</v>
      </c>
      <c r="E19">
        <v>512</v>
      </c>
    </row>
    <row r="20" spans="1:5" x14ac:dyDescent="0.25">
      <c r="A20">
        <v>19</v>
      </c>
      <c r="B20">
        <v>4673</v>
      </c>
      <c r="C20" t="s">
        <v>220</v>
      </c>
      <c r="D20" t="s">
        <v>17</v>
      </c>
      <c r="E20">
        <v>500</v>
      </c>
    </row>
    <row r="21" spans="1:5" x14ac:dyDescent="0.25">
      <c r="A21">
        <v>20</v>
      </c>
      <c r="B21">
        <v>4601</v>
      </c>
      <c r="C21" t="s">
        <v>206</v>
      </c>
      <c r="D21" t="s">
        <v>13</v>
      </c>
      <c r="E21">
        <v>496</v>
      </c>
    </row>
    <row r="22" spans="1:5" x14ac:dyDescent="0.25">
      <c r="A22">
        <v>21</v>
      </c>
      <c r="B22">
        <v>3912</v>
      </c>
      <c r="C22" t="s">
        <v>223</v>
      </c>
      <c r="D22" t="s">
        <v>14</v>
      </c>
      <c r="E22">
        <v>487</v>
      </c>
    </row>
    <row r="23" spans="1:5" x14ac:dyDescent="0.25">
      <c r="A23">
        <v>22</v>
      </c>
      <c r="B23">
        <v>4164</v>
      </c>
      <c r="C23" t="s">
        <v>210</v>
      </c>
      <c r="D23" t="s">
        <v>211</v>
      </c>
      <c r="E23">
        <v>483</v>
      </c>
    </row>
    <row r="24" spans="1:5" x14ac:dyDescent="0.25">
      <c r="A24">
        <v>23</v>
      </c>
      <c r="B24">
        <v>4535</v>
      </c>
      <c r="C24" t="s">
        <v>214</v>
      </c>
      <c r="D24" t="s">
        <v>10</v>
      </c>
      <c r="E24">
        <v>475</v>
      </c>
    </row>
    <row r="25" spans="1:5" x14ac:dyDescent="0.25">
      <c r="A25">
        <v>23</v>
      </c>
      <c r="B25">
        <v>4380</v>
      </c>
      <c r="C25" t="s">
        <v>217</v>
      </c>
      <c r="D25" t="s">
        <v>13</v>
      </c>
      <c r="E25">
        <v>475</v>
      </c>
    </row>
    <row r="26" spans="1:5" x14ac:dyDescent="0.25">
      <c r="A26">
        <v>25</v>
      </c>
      <c r="B26">
        <v>4239</v>
      </c>
      <c r="C26" t="s">
        <v>240</v>
      </c>
      <c r="D26" t="s">
        <v>241</v>
      </c>
      <c r="E26">
        <v>472</v>
      </c>
    </row>
    <row r="27" spans="1:5" x14ac:dyDescent="0.25">
      <c r="A27">
        <v>26</v>
      </c>
      <c r="B27">
        <v>4456</v>
      </c>
      <c r="C27" t="s">
        <v>242</v>
      </c>
      <c r="D27" t="s">
        <v>12</v>
      </c>
      <c r="E27">
        <v>469</v>
      </c>
    </row>
    <row r="28" spans="1:5" x14ac:dyDescent="0.25">
      <c r="A28">
        <v>27</v>
      </c>
      <c r="B28">
        <v>4470</v>
      </c>
      <c r="C28" t="s">
        <v>232</v>
      </c>
      <c r="D28" t="s">
        <v>12</v>
      </c>
      <c r="E28">
        <v>467</v>
      </c>
    </row>
    <row r="29" spans="1:5" x14ac:dyDescent="0.25">
      <c r="A29">
        <v>28</v>
      </c>
      <c r="B29">
        <v>4278</v>
      </c>
      <c r="C29" t="s">
        <v>226</v>
      </c>
      <c r="D29" t="s">
        <v>11</v>
      </c>
      <c r="E29">
        <v>463</v>
      </c>
    </row>
    <row r="30" spans="1:5" x14ac:dyDescent="0.25">
      <c r="A30">
        <v>29</v>
      </c>
      <c r="B30">
        <v>4787</v>
      </c>
      <c r="C30" t="s">
        <v>229</v>
      </c>
      <c r="D30" t="s">
        <v>211</v>
      </c>
      <c r="E30">
        <v>459</v>
      </c>
    </row>
    <row r="31" spans="1:5" x14ac:dyDescent="0.25">
      <c r="A31">
        <v>30</v>
      </c>
      <c r="B31">
        <v>4390</v>
      </c>
      <c r="C31" t="s">
        <v>243</v>
      </c>
      <c r="D31" t="s">
        <v>244</v>
      </c>
      <c r="E31">
        <v>451</v>
      </c>
    </row>
    <row r="32" spans="1:5" x14ac:dyDescent="0.25">
      <c r="A32">
        <v>31</v>
      </c>
      <c r="B32">
        <v>4521</v>
      </c>
      <c r="C32" t="s">
        <v>245</v>
      </c>
      <c r="D32" t="s">
        <v>12</v>
      </c>
      <c r="E32">
        <v>450</v>
      </c>
    </row>
    <row r="33" spans="1:5" x14ac:dyDescent="0.25">
      <c r="A33">
        <v>31</v>
      </c>
      <c r="B33">
        <v>4433</v>
      </c>
      <c r="C33" t="s">
        <v>233</v>
      </c>
      <c r="D33" t="s">
        <v>11</v>
      </c>
      <c r="E33">
        <v>450</v>
      </c>
    </row>
    <row r="34" spans="1:5" x14ac:dyDescent="0.25">
      <c r="A34">
        <v>33</v>
      </c>
      <c r="B34">
        <v>4384</v>
      </c>
      <c r="C34" t="s">
        <v>246</v>
      </c>
      <c r="D34" t="s">
        <v>244</v>
      </c>
      <c r="E34">
        <v>442</v>
      </c>
    </row>
    <row r="35" spans="1:5" x14ac:dyDescent="0.25">
      <c r="A35">
        <v>34</v>
      </c>
      <c r="B35">
        <v>4349</v>
      </c>
      <c r="C35" t="s">
        <v>247</v>
      </c>
      <c r="D35" t="s">
        <v>12</v>
      </c>
      <c r="E35">
        <v>440</v>
      </c>
    </row>
    <row r="36" spans="1:5" x14ac:dyDescent="0.25">
      <c r="A36">
        <v>35</v>
      </c>
      <c r="B36">
        <v>4105</v>
      </c>
      <c r="C36" t="s">
        <v>248</v>
      </c>
      <c r="D36" t="s">
        <v>249</v>
      </c>
      <c r="E36">
        <v>430</v>
      </c>
    </row>
    <row r="37" spans="1:5" x14ac:dyDescent="0.25">
      <c r="A37">
        <v>35</v>
      </c>
      <c r="B37">
        <v>4396</v>
      </c>
      <c r="C37" t="s">
        <v>250</v>
      </c>
      <c r="D37" t="s">
        <v>241</v>
      </c>
      <c r="E37">
        <v>430</v>
      </c>
    </row>
    <row r="38" spans="1:5" x14ac:dyDescent="0.25">
      <c r="A38">
        <v>35</v>
      </c>
      <c r="B38">
        <v>4722</v>
      </c>
      <c r="C38" t="s">
        <v>251</v>
      </c>
      <c r="D38" t="s">
        <v>10</v>
      </c>
      <c r="E38">
        <v>430</v>
      </c>
    </row>
    <row r="39" spans="1:5" x14ac:dyDescent="0.25">
      <c r="A39">
        <v>38</v>
      </c>
      <c r="B39">
        <v>4856</v>
      </c>
      <c r="C39" t="s">
        <v>252</v>
      </c>
      <c r="D39" t="s">
        <v>15</v>
      </c>
      <c r="E39">
        <v>427</v>
      </c>
    </row>
    <row r="40" spans="1:5" x14ac:dyDescent="0.25">
      <c r="A40">
        <v>39</v>
      </c>
      <c r="B40">
        <v>3916</v>
      </c>
      <c r="C40" t="s">
        <v>253</v>
      </c>
      <c r="D40" t="s">
        <v>241</v>
      </c>
      <c r="E40">
        <v>420</v>
      </c>
    </row>
    <row r="41" spans="1:5" x14ac:dyDescent="0.25">
      <c r="A41">
        <v>39</v>
      </c>
      <c r="B41">
        <v>3425</v>
      </c>
      <c r="C41" t="s">
        <v>254</v>
      </c>
      <c r="D41" t="s">
        <v>11</v>
      </c>
      <c r="E41">
        <v>420</v>
      </c>
    </row>
    <row r="42" spans="1:5" x14ac:dyDescent="0.25">
      <c r="A42">
        <v>39</v>
      </c>
      <c r="B42">
        <v>3427</v>
      </c>
      <c r="C42" t="s">
        <v>255</v>
      </c>
      <c r="D42" t="s">
        <v>12</v>
      </c>
      <c r="E42">
        <v>420</v>
      </c>
    </row>
    <row r="43" spans="1:5" x14ac:dyDescent="0.25">
      <c r="A43">
        <v>39</v>
      </c>
      <c r="B43">
        <v>3430</v>
      </c>
      <c r="C43" t="s">
        <v>256</v>
      </c>
      <c r="D43" t="s">
        <v>12</v>
      </c>
      <c r="E43">
        <v>420</v>
      </c>
    </row>
    <row r="44" spans="1:5" x14ac:dyDescent="0.25">
      <c r="A44">
        <v>39</v>
      </c>
      <c r="B44">
        <v>3431</v>
      </c>
      <c r="C44" t="s">
        <v>257</v>
      </c>
      <c r="D44" t="s">
        <v>12</v>
      </c>
      <c r="E44">
        <v>420</v>
      </c>
    </row>
    <row r="45" spans="1:5" x14ac:dyDescent="0.25">
      <c r="A45">
        <v>39</v>
      </c>
      <c r="B45">
        <v>3494</v>
      </c>
      <c r="C45" t="s">
        <v>258</v>
      </c>
      <c r="D45" t="s">
        <v>15</v>
      </c>
      <c r="E45">
        <v>420</v>
      </c>
    </row>
    <row r="46" spans="1:5" x14ac:dyDescent="0.25">
      <c r="A46">
        <v>39</v>
      </c>
      <c r="B46">
        <v>3549</v>
      </c>
      <c r="C46" t="s">
        <v>259</v>
      </c>
      <c r="D46" t="s">
        <v>14</v>
      </c>
      <c r="E46">
        <v>420</v>
      </c>
    </row>
    <row r="47" spans="1:5" x14ac:dyDescent="0.25">
      <c r="A47">
        <v>39</v>
      </c>
      <c r="B47">
        <v>3758</v>
      </c>
      <c r="C47" t="s">
        <v>260</v>
      </c>
      <c r="D47" t="s">
        <v>261</v>
      </c>
      <c r="E47">
        <v>420</v>
      </c>
    </row>
    <row r="48" spans="1:5" x14ac:dyDescent="0.25">
      <c r="A48">
        <v>39</v>
      </c>
      <c r="B48">
        <v>3759</v>
      </c>
      <c r="C48" t="s">
        <v>262</v>
      </c>
      <c r="D48" t="s">
        <v>11</v>
      </c>
      <c r="E48">
        <v>420</v>
      </c>
    </row>
    <row r="49" spans="1:5" x14ac:dyDescent="0.25">
      <c r="A49">
        <v>39</v>
      </c>
      <c r="B49">
        <v>3768</v>
      </c>
      <c r="C49" t="s">
        <v>263</v>
      </c>
      <c r="D49" t="s">
        <v>211</v>
      </c>
      <c r="E49">
        <v>420</v>
      </c>
    </row>
    <row r="50" spans="1:5" x14ac:dyDescent="0.25">
      <c r="A50">
        <v>39</v>
      </c>
      <c r="B50">
        <v>3771</v>
      </c>
      <c r="C50" t="s">
        <v>264</v>
      </c>
      <c r="D50" t="s">
        <v>265</v>
      </c>
      <c r="E50">
        <v>420</v>
      </c>
    </row>
    <row r="51" spans="1:5" x14ac:dyDescent="0.25">
      <c r="A51">
        <v>39</v>
      </c>
      <c r="B51">
        <v>3772</v>
      </c>
      <c r="C51" t="s">
        <v>266</v>
      </c>
      <c r="D51" t="s">
        <v>241</v>
      </c>
      <c r="E51">
        <v>420</v>
      </c>
    </row>
    <row r="52" spans="1:5" x14ac:dyDescent="0.25">
      <c r="A52">
        <v>39</v>
      </c>
      <c r="B52">
        <v>3827</v>
      </c>
      <c r="C52" t="s">
        <v>267</v>
      </c>
      <c r="D52" t="s">
        <v>249</v>
      </c>
      <c r="E52">
        <v>420</v>
      </c>
    </row>
    <row r="53" spans="1:5" x14ac:dyDescent="0.25">
      <c r="A53">
        <v>39</v>
      </c>
      <c r="B53">
        <v>3829</v>
      </c>
      <c r="C53" t="s">
        <v>268</v>
      </c>
      <c r="D53" t="s">
        <v>13</v>
      </c>
      <c r="E53">
        <v>420</v>
      </c>
    </row>
    <row r="54" spans="1:5" x14ac:dyDescent="0.25">
      <c r="A54">
        <v>39</v>
      </c>
      <c r="B54">
        <v>3830</v>
      </c>
      <c r="C54" t="s">
        <v>269</v>
      </c>
      <c r="D54" t="s">
        <v>13</v>
      </c>
      <c r="E54">
        <v>420</v>
      </c>
    </row>
    <row r="55" spans="1:5" x14ac:dyDescent="0.25">
      <c r="A55">
        <v>39</v>
      </c>
      <c r="B55">
        <v>3864</v>
      </c>
      <c r="C55" t="s">
        <v>270</v>
      </c>
      <c r="D55" t="s">
        <v>13</v>
      </c>
      <c r="E55">
        <v>420</v>
      </c>
    </row>
    <row r="56" spans="1:5" x14ac:dyDescent="0.25">
      <c r="A56">
        <v>39</v>
      </c>
      <c r="B56">
        <v>3865</v>
      </c>
      <c r="C56" t="s">
        <v>271</v>
      </c>
      <c r="D56" t="s">
        <v>265</v>
      </c>
      <c r="E56">
        <v>420</v>
      </c>
    </row>
    <row r="57" spans="1:5" x14ac:dyDescent="0.25">
      <c r="A57">
        <v>39</v>
      </c>
      <c r="B57">
        <v>3868</v>
      </c>
      <c r="C57" t="s">
        <v>272</v>
      </c>
      <c r="D57" t="s">
        <v>11</v>
      </c>
      <c r="E57">
        <v>420</v>
      </c>
    </row>
    <row r="58" spans="1:5" x14ac:dyDescent="0.25">
      <c r="A58">
        <v>39</v>
      </c>
      <c r="B58">
        <v>3888</v>
      </c>
      <c r="C58" t="s">
        <v>273</v>
      </c>
      <c r="D58" t="s">
        <v>13</v>
      </c>
      <c r="E58">
        <v>420</v>
      </c>
    </row>
    <row r="59" spans="1:5" x14ac:dyDescent="0.25">
      <c r="A59">
        <v>39</v>
      </c>
      <c r="B59">
        <v>4462</v>
      </c>
      <c r="C59" t="s">
        <v>274</v>
      </c>
      <c r="D59" t="s">
        <v>12</v>
      </c>
      <c r="E59">
        <v>420</v>
      </c>
    </row>
    <row r="60" spans="1:5" x14ac:dyDescent="0.25">
      <c r="A60">
        <v>39</v>
      </c>
      <c r="B60">
        <v>4303</v>
      </c>
      <c r="C60" t="s">
        <v>275</v>
      </c>
      <c r="D60" t="s">
        <v>276</v>
      </c>
      <c r="E60">
        <v>420</v>
      </c>
    </row>
    <row r="61" spans="1:5" x14ac:dyDescent="0.25">
      <c r="A61">
        <v>39</v>
      </c>
      <c r="B61">
        <v>3498</v>
      </c>
      <c r="C61" t="s">
        <v>277</v>
      </c>
      <c r="D61" t="s">
        <v>11</v>
      </c>
      <c r="E61">
        <v>420</v>
      </c>
    </row>
    <row r="62" spans="1:5" x14ac:dyDescent="0.25">
      <c r="A62">
        <v>39</v>
      </c>
      <c r="B62">
        <v>3909</v>
      </c>
      <c r="C62" t="s">
        <v>278</v>
      </c>
      <c r="D62" t="s">
        <v>12</v>
      </c>
      <c r="E62">
        <v>420</v>
      </c>
    </row>
    <row r="63" spans="1:5" x14ac:dyDescent="0.25">
      <c r="A63">
        <v>39</v>
      </c>
      <c r="B63">
        <v>3915</v>
      </c>
      <c r="C63" t="s">
        <v>279</v>
      </c>
      <c r="D63" t="s">
        <v>15</v>
      </c>
      <c r="E63">
        <v>420</v>
      </c>
    </row>
    <row r="64" spans="1:5" x14ac:dyDescent="0.25">
      <c r="A64">
        <v>39</v>
      </c>
      <c r="B64">
        <v>4213</v>
      </c>
      <c r="C64" t="s">
        <v>280</v>
      </c>
      <c r="D64" t="s">
        <v>14</v>
      </c>
      <c r="E64">
        <v>420</v>
      </c>
    </row>
    <row r="65" spans="1:5" x14ac:dyDescent="0.25">
      <c r="A65">
        <v>39</v>
      </c>
      <c r="B65">
        <v>4320</v>
      </c>
      <c r="C65" t="s">
        <v>281</v>
      </c>
      <c r="D65" t="s">
        <v>11</v>
      </c>
      <c r="E65">
        <v>420</v>
      </c>
    </row>
    <row r="66" spans="1:5" x14ac:dyDescent="0.25">
      <c r="A66">
        <v>39</v>
      </c>
      <c r="B66">
        <v>4436</v>
      </c>
      <c r="C66" t="s">
        <v>282</v>
      </c>
      <c r="D66" t="s">
        <v>16</v>
      </c>
      <c r="E66">
        <v>420</v>
      </c>
    </row>
    <row r="67" spans="1:5" x14ac:dyDescent="0.25">
      <c r="A67">
        <v>39</v>
      </c>
      <c r="B67">
        <v>4160</v>
      </c>
      <c r="C67" t="s">
        <v>283</v>
      </c>
      <c r="D67" t="s">
        <v>284</v>
      </c>
      <c r="E67">
        <v>420</v>
      </c>
    </row>
    <row r="68" spans="1:5" x14ac:dyDescent="0.25">
      <c r="A68">
        <v>39</v>
      </c>
      <c r="B68">
        <v>4574</v>
      </c>
      <c r="C68" t="s">
        <v>285</v>
      </c>
      <c r="D68" t="s">
        <v>211</v>
      </c>
      <c r="E68">
        <v>420</v>
      </c>
    </row>
    <row r="69" spans="1:5" x14ac:dyDescent="0.25">
      <c r="A69">
        <v>39</v>
      </c>
      <c r="B69">
        <v>4580</v>
      </c>
      <c r="C69" t="s">
        <v>219</v>
      </c>
      <c r="D69" t="s">
        <v>12</v>
      </c>
      <c r="E69">
        <v>420</v>
      </c>
    </row>
    <row r="70" spans="1:5" x14ac:dyDescent="0.25">
      <c r="A70">
        <v>39</v>
      </c>
      <c r="B70">
        <v>3906</v>
      </c>
      <c r="C70" t="s">
        <v>286</v>
      </c>
      <c r="D70" t="s">
        <v>287</v>
      </c>
      <c r="E70">
        <v>420</v>
      </c>
    </row>
    <row r="71" spans="1:5" x14ac:dyDescent="0.25">
      <c r="A71">
        <v>39</v>
      </c>
      <c r="B71">
        <v>3908</v>
      </c>
      <c r="C71" t="s">
        <v>288</v>
      </c>
      <c r="D71" t="s">
        <v>289</v>
      </c>
      <c r="E71">
        <v>420</v>
      </c>
    </row>
    <row r="72" spans="1:5" x14ac:dyDescent="0.25">
      <c r="A72">
        <v>39</v>
      </c>
      <c r="B72">
        <v>4098</v>
      </c>
      <c r="C72" t="s">
        <v>290</v>
      </c>
      <c r="D72" t="s">
        <v>10</v>
      </c>
      <c r="E72">
        <v>420</v>
      </c>
    </row>
    <row r="73" spans="1:5" x14ac:dyDescent="0.25">
      <c r="A73">
        <v>39</v>
      </c>
      <c r="B73">
        <v>4277</v>
      </c>
      <c r="C73" t="s">
        <v>291</v>
      </c>
      <c r="D73" t="s">
        <v>12</v>
      </c>
      <c r="E73">
        <v>420</v>
      </c>
    </row>
    <row r="74" spans="1:5" x14ac:dyDescent="0.25">
      <c r="A74">
        <v>39</v>
      </c>
      <c r="B74">
        <v>4323</v>
      </c>
      <c r="C74" t="s">
        <v>292</v>
      </c>
      <c r="D74" t="s">
        <v>276</v>
      </c>
      <c r="E74">
        <v>420</v>
      </c>
    </row>
    <row r="75" spans="1:5" x14ac:dyDescent="0.25">
      <c r="A75">
        <v>39</v>
      </c>
      <c r="B75">
        <v>4457</v>
      </c>
      <c r="C75" t="s">
        <v>293</v>
      </c>
      <c r="D75" t="s">
        <v>12</v>
      </c>
      <c r="E75">
        <v>420</v>
      </c>
    </row>
    <row r="76" spans="1:5" x14ac:dyDescent="0.25">
      <c r="A76">
        <v>39</v>
      </c>
      <c r="B76">
        <v>4461</v>
      </c>
      <c r="C76" t="s">
        <v>294</v>
      </c>
      <c r="D76" t="s">
        <v>12</v>
      </c>
      <c r="E76">
        <v>420</v>
      </c>
    </row>
    <row r="77" spans="1:5" x14ac:dyDescent="0.25">
      <c r="A77">
        <v>39</v>
      </c>
      <c r="B77">
        <v>4472</v>
      </c>
      <c r="C77" t="s">
        <v>295</v>
      </c>
      <c r="D77" t="s">
        <v>10</v>
      </c>
      <c r="E77">
        <v>420</v>
      </c>
    </row>
    <row r="78" spans="1:5" x14ac:dyDescent="0.25">
      <c r="A78">
        <v>39</v>
      </c>
      <c r="B78">
        <v>4515</v>
      </c>
      <c r="C78" t="s">
        <v>296</v>
      </c>
      <c r="D78" t="s">
        <v>10</v>
      </c>
      <c r="E78">
        <v>420</v>
      </c>
    </row>
    <row r="79" spans="1:5" x14ac:dyDescent="0.25">
      <c r="A79">
        <v>39</v>
      </c>
      <c r="B79">
        <v>4009</v>
      </c>
      <c r="C79" t="s">
        <v>297</v>
      </c>
      <c r="D79" t="s">
        <v>13</v>
      </c>
      <c r="E79">
        <v>420</v>
      </c>
    </row>
    <row r="80" spans="1:5" x14ac:dyDescent="0.25">
      <c r="A80">
        <v>39</v>
      </c>
      <c r="B80">
        <v>4010</v>
      </c>
      <c r="C80" t="s">
        <v>298</v>
      </c>
      <c r="D80" t="s">
        <v>249</v>
      </c>
      <c r="E80">
        <v>420</v>
      </c>
    </row>
    <row r="81" spans="1:5" x14ac:dyDescent="0.25">
      <c r="A81">
        <v>39</v>
      </c>
      <c r="B81">
        <v>4042</v>
      </c>
      <c r="C81" t="s">
        <v>299</v>
      </c>
      <c r="D81" t="s">
        <v>10</v>
      </c>
      <c r="E81">
        <v>420</v>
      </c>
    </row>
    <row r="82" spans="1:5" x14ac:dyDescent="0.25">
      <c r="A82">
        <v>39</v>
      </c>
      <c r="B82">
        <v>4043</v>
      </c>
      <c r="C82" t="s">
        <v>300</v>
      </c>
      <c r="D82" t="s">
        <v>10</v>
      </c>
      <c r="E82">
        <v>420</v>
      </c>
    </row>
    <row r="83" spans="1:5" x14ac:dyDescent="0.25">
      <c r="A83">
        <v>39</v>
      </c>
      <c r="B83">
        <v>4165</v>
      </c>
      <c r="C83" t="s">
        <v>301</v>
      </c>
      <c r="D83" t="s">
        <v>244</v>
      </c>
      <c r="E83">
        <v>420</v>
      </c>
    </row>
    <row r="84" spans="1:5" x14ac:dyDescent="0.25">
      <c r="A84">
        <v>39</v>
      </c>
      <c r="B84">
        <v>4173</v>
      </c>
      <c r="C84" t="s">
        <v>302</v>
      </c>
      <c r="D84" t="s">
        <v>12</v>
      </c>
      <c r="E84">
        <v>420</v>
      </c>
    </row>
    <row r="85" spans="1:5" x14ac:dyDescent="0.25">
      <c r="A85">
        <v>39</v>
      </c>
      <c r="B85">
        <v>4174</v>
      </c>
      <c r="C85" t="s">
        <v>303</v>
      </c>
      <c r="D85" t="s">
        <v>12</v>
      </c>
      <c r="E85">
        <v>420</v>
      </c>
    </row>
    <row r="86" spans="1:5" x14ac:dyDescent="0.25">
      <c r="A86">
        <v>39</v>
      </c>
      <c r="B86">
        <v>4251</v>
      </c>
      <c r="C86" t="s">
        <v>304</v>
      </c>
      <c r="D86" t="s">
        <v>15</v>
      </c>
      <c r="E86">
        <v>420</v>
      </c>
    </row>
    <row r="87" spans="1:5" x14ac:dyDescent="0.25">
      <c r="A87">
        <v>39</v>
      </c>
      <c r="B87">
        <v>4350</v>
      </c>
      <c r="C87" t="s">
        <v>305</v>
      </c>
      <c r="D87" t="s">
        <v>211</v>
      </c>
      <c r="E87">
        <v>420</v>
      </c>
    </row>
    <row r="88" spans="1:5" x14ac:dyDescent="0.25">
      <c r="A88">
        <v>39</v>
      </c>
      <c r="B88">
        <v>4440</v>
      </c>
      <c r="C88" t="s">
        <v>306</v>
      </c>
      <c r="D88" t="s">
        <v>307</v>
      </c>
      <c r="E88">
        <v>420</v>
      </c>
    </row>
    <row r="89" spans="1:5" x14ac:dyDescent="0.25">
      <c r="A89">
        <v>39</v>
      </c>
      <c r="B89">
        <v>4445</v>
      </c>
      <c r="C89" t="s">
        <v>308</v>
      </c>
      <c r="D89" t="s">
        <v>309</v>
      </c>
      <c r="E89">
        <v>420</v>
      </c>
    </row>
    <row r="90" spans="1:5" x14ac:dyDescent="0.25">
      <c r="A90">
        <v>39</v>
      </c>
      <c r="B90">
        <v>4531</v>
      </c>
      <c r="C90" t="s">
        <v>310</v>
      </c>
      <c r="D90" t="s">
        <v>311</v>
      </c>
      <c r="E90">
        <v>420</v>
      </c>
    </row>
    <row r="91" spans="1:5" x14ac:dyDescent="0.25">
      <c r="A91">
        <v>39</v>
      </c>
      <c r="B91">
        <v>4589</v>
      </c>
      <c r="C91" t="s">
        <v>312</v>
      </c>
      <c r="D91" t="s">
        <v>11</v>
      </c>
      <c r="E91">
        <v>420</v>
      </c>
    </row>
    <row r="92" spans="1:5" x14ac:dyDescent="0.25">
      <c r="A92">
        <v>39</v>
      </c>
      <c r="B92">
        <v>4609</v>
      </c>
      <c r="C92" t="s">
        <v>313</v>
      </c>
      <c r="D92" t="s">
        <v>314</v>
      </c>
      <c r="E92">
        <v>420</v>
      </c>
    </row>
    <row r="93" spans="1:5" x14ac:dyDescent="0.25">
      <c r="A93">
        <v>39</v>
      </c>
      <c r="B93">
        <v>4654</v>
      </c>
      <c r="C93" t="s">
        <v>315</v>
      </c>
      <c r="D93" t="s">
        <v>316</v>
      </c>
      <c r="E93">
        <v>420</v>
      </c>
    </row>
    <row r="94" spans="1:5" x14ac:dyDescent="0.25">
      <c r="A94">
        <v>39</v>
      </c>
      <c r="B94">
        <v>4697</v>
      </c>
      <c r="C94" t="s">
        <v>317</v>
      </c>
      <c r="D94" t="s">
        <v>12</v>
      </c>
      <c r="E94">
        <v>420</v>
      </c>
    </row>
    <row r="95" spans="1:5" x14ac:dyDescent="0.25">
      <c r="A95">
        <v>39</v>
      </c>
      <c r="B95">
        <v>4724</v>
      </c>
      <c r="C95" t="s">
        <v>318</v>
      </c>
      <c r="D95" t="s">
        <v>249</v>
      </c>
      <c r="E95">
        <v>420</v>
      </c>
    </row>
    <row r="96" spans="1:5" x14ac:dyDescent="0.25">
      <c r="A96">
        <v>39</v>
      </c>
      <c r="B96">
        <v>4728</v>
      </c>
      <c r="C96" t="s">
        <v>319</v>
      </c>
      <c r="D96" t="s">
        <v>320</v>
      </c>
      <c r="E96">
        <v>420</v>
      </c>
    </row>
    <row r="97" spans="1:5" x14ac:dyDescent="0.25">
      <c r="A97">
        <v>39</v>
      </c>
      <c r="B97">
        <v>4729</v>
      </c>
      <c r="C97" t="s">
        <v>319</v>
      </c>
      <c r="D97" t="s">
        <v>320</v>
      </c>
      <c r="E97">
        <v>420</v>
      </c>
    </row>
    <row r="98" spans="1:5" x14ac:dyDescent="0.25">
      <c r="A98">
        <v>39</v>
      </c>
      <c r="B98">
        <v>4730</v>
      </c>
      <c r="C98" t="s">
        <v>319</v>
      </c>
      <c r="D98" t="s">
        <v>320</v>
      </c>
      <c r="E98">
        <v>420</v>
      </c>
    </row>
    <row r="99" spans="1:5" x14ac:dyDescent="0.25">
      <c r="A99">
        <v>39</v>
      </c>
      <c r="B99">
        <v>4731</v>
      </c>
      <c r="C99" t="s">
        <v>319</v>
      </c>
      <c r="D99" t="s">
        <v>320</v>
      </c>
      <c r="E99">
        <v>420</v>
      </c>
    </row>
    <row r="100" spans="1:5" x14ac:dyDescent="0.25">
      <c r="A100">
        <v>39</v>
      </c>
      <c r="B100">
        <v>4732</v>
      </c>
      <c r="C100" t="s">
        <v>319</v>
      </c>
      <c r="D100" t="s">
        <v>307</v>
      </c>
      <c r="E100">
        <v>420</v>
      </c>
    </row>
    <row r="101" spans="1:5" x14ac:dyDescent="0.25">
      <c r="A101">
        <v>39</v>
      </c>
      <c r="B101">
        <v>4735</v>
      </c>
      <c r="C101" t="s">
        <v>321</v>
      </c>
      <c r="D101" t="s">
        <v>307</v>
      </c>
      <c r="E101">
        <v>420</v>
      </c>
    </row>
    <row r="102" spans="1:5" x14ac:dyDescent="0.25">
      <c r="A102">
        <v>39</v>
      </c>
      <c r="B102">
        <v>4011</v>
      </c>
      <c r="C102" t="s">
        <v>322</v>
      </c>
      <c r="D102" t="s">
        <v>265</v>
      </c>
      <c r="E102">
        <v>420</v>
      </c>
    </row>
    <row r="103" spans="1:5" x14ac:dyDescent="0.25">
      <c r="A103">
        <v>39</v>
      </c>
      <c r="B103">
        <v>4093</v>
      </c>
      <c r="C103" t="s">
        <v>323</v>
      </c>
      <c r="D103" t="s">
        <v>324</v>
      </c>
      <c r="E103">
        <v>420</v>
      </c>
    </row>
    <row r="104" spans="1:5" x14ac:dyDescent="0.25">
      <c r="A104">
        <v>39</v>
      </c>
      <c r="B104">
        <v>4094</v>
      </c>
      <c r="C104" t="s">
        <v>325</v>
      </c>
      <c r="D104" t="s">
        <v>324</v>
      </c>
      <c r="E104">
        <v>420</v>
      </c>
    </row>
    <row r="105" spans="1:5" x14ac:dyDescent="0.25">
      <c r="A105">
        <v>39</v>
      </c>
      <c r="B105">
        <v>4106</v>
      </c>
      <c r="C105" t="s">
        <v>326</v>
      </c>
      <c r="D105" t="s">
        <v>249</v>
      </c>
      <c r="E105">
        <v>420</v>
      </c>
    </row>
    <row r="106" spans="1:5" x14ac:dyDescent="0.25">
      <c r="A106">
        <v>39</v>
      </c>
      <c r="B106">
        <v>4161</v>
      </c>
      <c r="C106" t="s">
        <v>327</v>
      </c>
      <c r="D106" t="s">
        <v>244</v>
      </c>
      <c r="E106">
        <v>420</v>
      </c>
    </row>
    <row r="107" spans="1:5" x14ac:dyDescent="0.25">
      <c r="A107">
        <v>39</v>
      </c>
      <c r="B107">
        <v>4179</v>
      </c>
      <c r="C107" t="s">
        <v>328</v>
      </c>
      <c r="D107" t="s">
        <v>12</v>
      </c>
      <c r="E107">
        <v>420</v>
      </c>
    </row>
    <row r="108" spans="1:5" x14ac:dyDescent="0.25">
      <c r="A108">
        <v>39</v>
      </c>
      <c r="B108">
        <v>4279</v>
      </c>
      <c r="C108" t="s">
        <v>329</v>
      </c>
      <c r="D108" t="s">
        <v>244</v>
      </c>
      <c r="E108">
        <v>420</v>
      </c>
    </row>
    <row r="109" spans="1:5" x14ac:dyDescent="0.25">
      <c r="A109">
        <v>39</v>
      </c>
      <c r="B109">
        <v>4317</v>
      </c>
      <c r="C109" t="s">
        <v>330</v>
      </c>
      <c r="D109" t="s">
        <v>244</v>
      </c>
      <c r="E109">
        <v>420</v>
      </c>
    </row>
    <row r="110" spans="1:5" x14ac:dyDescent="0.25">
      <c r="A110">
        <v>39</v>
      </c>
      <c r="B110">
        <v>4817</v>
      </c>
      <c r="C110" t="s">
        <v>331</v>
      </c>
      <c r="D110" t="s">
        <v>307</v>
      </c>
      <c r="E110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5B0E-3AAE-49E2-8DF3-7CDC79B4B3CF}">
  <sheetPr codeName="Sheet2">
    <pageSetUpPr fitToPage="1"/>
  </sheetPr>
  <dimension ref="A1:Z119"/>
  <sheetViews>
    <sheetView view="pageBreakPreview" zoomScale="60" zoomScaleNormal="85" workbookViewId="0">
      <selection activeCell="B4" sqref="B4"/>
    </sheetView>
  </sheetViews>
  <sheetFormatPr defaultColWidth="9.140625" defaultRowHeight="15" x14ac:dyDescent="0.25"/>
  <cols>
    <col min="1" max="1" width="8.28515625" style="17" bestFit="1" customWidth="1"/>
    <col min="2" max="2" width="15.140625" style="17" bestFit="1" customWidth="1"/>
    <col min="3" max="3" width="69.7109375" style="17" bestFit="1" customWidth="1"/>
    <col min="4" max="4" width="44.5703125" style="17" bestFit="1" customWidth="1"/>
    <col min="5" max="5" width="20.42578125" style="17" bestFit="1" customWidth="1"/>
    <col min="6" max="6" width="17.7109375" style="17" bestFit="1" customWidth="1"/>
    <col min="7" max="7" width="13.7109375" style="100" bestFit="1" customWidth="1"/>
    <col min="8" max="10" width="9.140625" style="17"/>
    <col min="11" max="11" width="14.42578125" style="17" bestFit="1" customWidth="1"/>
    <col min="12" max="12" width="36.42578125" style="17" bestFit="1" customWidth="1"/>
    <col min="13" max="16384" width="9.140625" style="17"/>
  </cols>
  <sheetData>
    <row r="1" spans="1:26" ht="32.25" thickBot="1" x14ac:dyDescent="0.55000000000000004">
      <c r="B1" s="364" t="s">
        <v>3</v>
      </c>
      <c r="C1" s="365"/>
      <c r="D1" s="365"/>
      <c r="E1" s="365"/>
      <c r="F1" s="365"/>
      <c r="G1" s="366"/>
    </row>
    <row r="2" spans="1:26" ht="15" customHeight="1" x14ac:dyDescent="0.25">
      <c r="B2" s="367" t="s">
        <v>237</v>
      </c>
      <c r="C2" s="368"/>
      <c r="D2" s="368"/>
      <c r="E2" s="368"/>
      <c r="F2" s="368"/>
      <c r="G2" s="369"/>
    </row>
    <row r="3" spans="1:26" ht="15.75" customHeight="1" thickBot="1" x14ac:dyDescent="0.3">
      <c r="B3" s="370"/>
      <c r="C3" s="371"/>
      <c r="D3" s="371"/>
      <c r="E3" s="371"/>
      <c r="F3" s="371"/>
      <c r="G3" s="372"/>
    </row>
    <row r="4" spans="1:26" ht="32.25" thickBot="1" x14ac:dyDescent="0.55000000000000004">
      <c r="B4" s="18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20" t="s">
        <v>9</v>
      </c>
    </row>
    <row r="5" spans="1:26" s="21" customFormat="1" ht="37.5" customHeight="1" thickBot="1" x14ac:dyDescent="0.45">
      <c r="A5" s="21">
        <f>G5+0.1</f>
        <v>1.1000000000000001</v>
      </c>
      <c r="B5" s="22">
        <v>4159</v>
      </c>
      <c r="C5" s="23" t="s">
        <v>205</v>
      </c>
      <c r="D5" s="23" t="s">
        <v>12</v>
      </c>
      <c r="E5" s="24">
        <v>1</v>
      </c>
      <c r="F5" s="25">
        <v>706</v>
      </c>
      <c r="G5" s="26">
        <v>1</v>
      </c>
      <c r="H5" s="27"/>
    </row>
    <row r="6" spans="1:26" s="21" customFormat="1" ht="37.5" customHeight="1" thickBot="1" x14ac:dyDescent="0.45">
      <c r="A6" s="21">
        <f>G6+0.2</f>
        <v>1.2</v>
      </c>
      <c r="B6" s="28">
        <v>4601</v>
      </c>
      <c r="C6" s="29" t="s">
        <v>206</v>
      </c>
      <c r="D6" s="29" t="s">
        <v>13</v>
      </c>
      <c r="E6" s="30">
        <v>18</v>
      </c>
      <c r="F6" s="31">
        <v>504</v>
      </c>
      <c r="G6" s="26">
        <v>1</v>
      </c>
      <c r="H6" s="27"/>
    </row>
    <row r="7" spans="1:26" s="21" customFormat="1" ht="37.5" customHeight="1" thickBot="1" x14ac:dyDescent="0.45">
      <c r="A7" s="21">
        <f>G7+0.3</f>
        <v>1.3</v>
      </c>
      <c r="B7" s="32">
        <v>4276</v>
      </c>
      <c r="C7" s="33" t="s">
        <v>207</v>
      </c>
      <c r="D7" s="33" t="s">
        <v>12</v>
      </c>
      <c r="E7" s="34">
        <v>19</v>
      </c>
      <c r="F7" s="35">
        <v>502</v>
      </c>
      <c r="G7" s="26">
        <v>1</v>
      </c>
      <c r="H7" s="27"/>
    </row>
    <row r="8" spans="1:26" s="21" customFormat="1" ht="37.5" customHeight="1" thickBot="1" x14ac:dyDescent="0.45">
      <c r="A8" s="21">
        <f t="shared" ref="A8" si="0">G8+0.1</f>
        <v>2.1</v>
      </c>
      <c r="B8" s="36">
        <v>4101</v>
      </c>
      <c r="C8" s="37" t="s">
        <v>208</v>
      </c>
      <c r="D8" s="37" t="s">
        <v>12</v>
      </c>
      <c r="E8" s="38">
        <v>2</v>
      </c>
      <c r="F8" s="39">
        <v>668</v>
      </c>
      <c r="G8" s="40">
        <v>2</v>
      </c>
      <c r="H8" s="27"/>
      <c r="U8" s="41"/>
      <c r="V8" s="29"/>
      <c r="W8" s="29"/>
      <c r="X8" s="42"/>
      <c r="Y8" s="42"/>
      <c r="Z8" s="43"/>
    </row>
    <row r="9" spans="1:26" s="21" customFormat="1" ht="37.5" customHeight="1" thickBot="1" x14ac:dyDescent="0.45">
      <c r="A9" s="21">
        <f t="shared" ref="A9" si="1">G9+0.2</f>
        <v>2.2000000000000002</v>
      </c>
      <c r="B9" s="44">
        <v>4348</v>
      </c>
      <c r="C9" s="45" t="s">
        <v>209</v>
      </c>
      <c r="D9" s="45" t="s">
        <v>16</v>
      </c>
      <c r="E9" s="46">
        <v>17</v>
      </c>
      <c r="F9" s="47">
        <v>505</v>
      </c>
      <c r="G9" s="40">
        <v>2</v>
      </c>
      <c r="H9" s="27"/>
      <c r="U9" s="41"/>
      <c r="V9" s="29"/>
      <c r="W9" s="29"/>
      <c r="X9" s="42"/>
      <c r="Y9" s="42"/>
      <c r="Z9" s="48"/>
    </row>
    <row r="10" spans="1:26" s="21" customFormat="1" ht="37.5" customHeight="1" thickBot="1" x14ac:dyDescent="0.45">
      <c r="A10" s="21">
        <f t="shared" ref="A10" si="2">G10+0.3</f>
        <v>2.2999999999999998</v>
      </c>
      <c r="B10" s="49">
        <v>4164</v>
      </c>
      <c r="C10" s="50" t="s">
        <v>210</v>
      </c>
      <c r="D10" s="50" t="s">
        <v>211</v>
      </c>
      <c r="E10" s="51">
        <v>21</v>
      </c>
      <c r="F10" s="52">
        <v>491</v>
      </c>
      <c r="G10" s="40">
        <v>2</v>
      </c>
      <c r="H10" s="27"/>
      <c r="U10" s="53"/>
      <c r="V10" s="33"/>
      <c r="W10" s="33"/>
      <c r="X10" s="54"/>
      <c r="Y10" s="54"/>
      <c r="Z10" s="55"/>
    </row>
    <row r="11" spans="1:26" s="21" customFormat="1" ht="37.5" customHeight="1" thickBot="1" x14ac:dyDescent="0.45">
      <c r="A11" s="21">
        <f t="shared" ref="A11" si="3">G11+0.1</f>
        <v>3.1</v>
      </c>
      <c r="B11" s="22">
        <v>3918</v>
      </c>
      <c r="C11" s="23" t="s">
        <v>212</v>
      </c>
      <c r="D11" s="23" t="s">
        <v>12</v>
      </c>
      <c r="E11" s="24">
        <v>3</v>
      </c>
      <c r="F11" s="25">
        <v>640</v>
      </c>
      <c r="G11" s="26">
        <v>3</v>
      </c>
      <c r="H11" s="27"/>
      <c r="U11" s="56"/>
      <c r="V11" s="57"/>
      <c r="W11" s="57"/>
      <c r="X11" s="58"/>
      <c r="Y11" s="58"/>
      <c r="Z11" s="59"/>
    </row>
    <row r="12" spans="1:26" s="21" customFormat="1" ht="37.5" customHeight="1" thickBot="1" x14ac:dyDescent="0.45">
      <c r="A12" s="21">
        <f t="shared" ref="A12" si="4">G12+0.2</f>
        <v>3.2</v>
      </c>
      <c r="B12" s="28">
        <v>3907</v>
      </c>
      <c r="C12" s="29" t="s">
        <v>213</v>
      </c>
      <c r="D12" s="29" t="s">
        <v>11</v>
      </c>
      <c r="E12" s="30">
        <v>16</v>
      </c>
      <c r="F12" s="31">
        <v>507</v>
      </c>
      <c r="G12" s="26">
        <v>3</v>
      </c>
      <c r="H12" s="27"/>
      <c r="J12" s="60"/>
      <c r="K12" s="61"/>
      <c r="L12" s="61"/>
      <c r="M12" s="62"/>
      <c r="N12" s="62"/>
      <c r="U12" s="63"/>
      <c r="V12" s="64"/>
      <c r="W12" s="64"/>
      <c r="X12" s="65"/>
      <c r="Y12" s="65"/>
      <c r="Z12" s="66"/>
    </row>
    <row r="13" spans="1:26" s="21" customFormat="1" ht="37.5" customHeight="1" thickBot="1" x14ac:dyDescent="0.45">
      <c r="A13" s="21">
        <f t="shared" ref="A13" si="5">G13+0.3</f>
        <v>3.3</v>
      </c>
      <c r="B13" s="32">
        <v>4535</v>
      </c>
      <c r="C13" s="33" t="s">
        <v>214</v>
      </c>
      <c r="D13" s="33" t="s">
        <v>10</v>
      </c>
      <c r="E13" s="34">
        <v>24</v>
      </c>
      <c r="F13" s="35">
        <v>483</v>
      </c>
      <c r="G13" s="26">
        <v>3</v>
      </c>
      <c r="H13" s="27"/>
      <c r="U13" s="60"/>
      <c r="V13" s="61"/>
      <c r="W13" s="61"/>
      <c r="X13" s="62"/>
      <c r="Y13" s="62"/>
      <c r="Z13" s="67"/>
    </row>
    <row r="14" spans="1:26" s="21" customFormat="1" ht="37.5" customHeight="1" thickBot="1" x14ac:dyDescent="0.45">
      <c r="A14" s="21">
        <f t="shared" ref="A14" si="6">G14+0.1</f>
        <v>4.0999999999999996</v>
      </c>
      <c r="B14" s="36">
        <v>4176</v>
      </c>
      <c r="C14" s="37" t="s">
        <v>215</v>
      </c>
      <c r="D14" s="37" t="s">
        <v>12</v>
      </c>
      <c r="E14" s="38">
        <v>4</v>
      </c>
      <c r="F14" s="39">
        <v>622</v>
      </c>
      <c r="G14" s="40">
        <v>4</v>
      </c>
      <c r="H14" s="27"/>
    </row>
    <row r="15" spans="1:26" s="21" customFormat="1" ht="37.5" customHeight="1" thickBot="1" x14ac:dyDescent="0.45">
      <c r="A15" s="21">
        <f t="shared" ref="A15" si="7">G15+0.2</f>
        <v>4.2</v>
      </c>
      <c r="B15" s="44">
        <v>4212</v>
      </c>
      <c r="C15" s="45" t="s">
        <v>216</v>
      </c>
      <c r="D15" s="45" t="s">
        <v>211</v>
      </c>
      <c r="E15" s="46">
        <v>15</v>
      </c>
      <c r="F15" s="47">
        <v>512</v>
      </c>
      <c r="G15" s="40">
        <v>4</v>
      </c>
      <c r="H15" s="27"/>
      <c r="J15" s="41"/>
      <c r="K15" s="29"/>
      <c r="L15" s="29"/>
      <c r="M15" s="42"/>
      <c r="N15" s="42"/>
      <c r="O15" s="43"/>
    </row>
    <row r="16" spans="1:26" s="21" customFormat="1" ht="37.5" customHeight="1" thickBot="1" x14ac:dyDescent="0.45">
      <c r="A16" s="21">
        <f t="shared" ref="A16" si="8">G16+0.3</f>
        <v>4.3</v>
      </c>
      <c r="B16" s="49">
        <v>4380</v>
      </c>
      <c r="C16" s="50" t="s">
        <v>217</v>
      </c>
      <c r="D16" s="50" t="s">
        <v>13</v>
      </c>
      <c r="E16" s="51">
        <v>23</v>
      </c>
      <c r="F16" s="52">
        <v>483</v>
      </c>
      <c r="G16" s="40">
        <v>4</v>
      </c>
      <c r="H16" s="27"/>
      <c r="J16" s="41"/>
      <c r="K16" s="29"/>
      <c r="L16" s="29"/>
      <c r="M16" s="42"/>
      <c r="N16" s="42"/>
      <c r="O16" s="48"/>
    </row>
    <row r="17" spans="1:15" s="21" customFormat="1" ht="37.5" customHeight="1" thickBot="1" x14ac:dyDescent="0.45">
      <c r="A17" s="21">
        <f t="shared" ref="A17" si="9">G17+0.1</f>
        <v>5.0999999999999996</v>
      </c>
      <c r="B17" s="22">
        <v>4274</v>
      </c>
      <c r="C17" s="23" t="s">
        <v>218</v>
      </c>
      <c r="D17" s="23" t="s">
        <v>13</v>
      </c>
      <c r="E17" s="24">
        <v>5</v>
      </c>
      <c r="F17" s="25">
        <v>617</v>
      </c>
      <c r="G17" s="26">
        <v>5</v>
      </c>
      <c r="H17" s="27"/>
      <c r="J17" s="53"/>
      <c r="K17" s="33"/>
      <c r="L17" s="33"/>
      <c r="M17" s="54"/>
      <c r="N17" s="54"/>
      <c r="O17" s="55"/>
    </row>
    <row r="18" spans="1:15" s="21" customFormat="1" ht="37.5" customHeight="1" thickBot="1" x14ac:dyDescent="0.45">
      <c r="A18" s="21">
        <f t="shared" ref="A18" si="10">G18+0.2</f>
        <v>5.2</v>
      </c>
      <c r="B18" s="28">
        <v>4579</v>
      </c>
      <c r="C18" s="29" t="s">
        <v>219</v>
      </c>
      <c r="D18" s="29" t="s">
        <v>12</v>
      </c>
      <c r="E18" s="30">
        <v>14</v>
      </c>
      <c r="F18" s="31">
        <v>526</v>
      </c>
      <c r="G18" s="26">
        <v>5</v>
      </c>
      <c r="H18" s="27"/>
      <c r="J18" s="56"/>
      <c r="K18" s="57"/>
      <c r="L18" s="57"/>
      <c r="M18" s="58"/>
      <c r="N18" s="58"/>
      <c r="O18" s="59"/>
    </row>
    <row r="19" spans="1:15" s="21" customFormat="1" ht="37.5" customHeight="1" thickBot="1" x14ac:dyDescent="0.45">
      <c r="A19" s="21">
        <f t="shared" ref="A19" si="11">G19+0.3</f>
        <v>5.3</v>
      </c>
      <c r="B19" s="32">
        <v>4673</v>
      </c>
      <c r="C19" s="33" t="s">
        <v>220</v>
      </c>
      <c r="D19" s="33" t="s">
        <v>17</v>
      </c>
      <c r="E19" s="34">
        <v>25</v>
      </c>
      <c r="F19" s="35">
        <v>483</v>
      </c>
      <c r="G19" s="26">
        <v>5</v>
      </c>
      <c r="H19" s="27"/>
      <c r="J19" s="63"/>
      <c r="K19" s="64"/>
      <c r="L19" s="64"/>
      <c r="M19" s="65"/>
      <c r="N19" s="65"/>
      <c r="O19" s="66"/>
    </row>
    <row r="20" spans="1:15" s="21" customFormat="1" ht="37.5" customHeight="1" thickBot="1" x14ac:dyDescent="0.45">
      <c r="A20" s="21">
        <f t="shared" ref="A20" si="12">G20+0.1</f>
        <v>6.1</v>
      </c>
      <c r="B20" s="36">
        <v>4273</v>
      </c>
      <c r="C20" s="37" t="s">
        <v>221</v>
      </c>
      <c r="D20" s="37" t="s">
        <v>13</v>
      </c>
      <c r="E20" s="38">
        <v>6</v>
      </c>
      <c r="F20" s="39">
        <v>603</v>
      </c>
      <c r="G20" s="40">
        <v>6</v>
      </c>
      <c r="H20" s="27"/>
      <c r="J20" s="60"/>
      <c r="K20" s="61"/>
      <c r="L20" s="61"/>
      <c r="M20" s="62"/>
      <c r="N20" s="62"/>
      <c r="O20" s="67"/>
    </row>
    <row r="21" spans="1:15" s="21" customFormat="1" ht="37.5" customHeight="1" thickBot="1" x14ac:dyDescent="0.45">
      <c r="A21" s="21">
        <f t="shared" ref="A21" si="13">G21+0.2</f>
        <v>6.2</v>
      </c>
      <c r="B21" s="44">
        <v>4047</v>
      </c>
      <c r="C21" s="45" t="s">
        <v>222</v>
      </c>
      <c r="D21" s="45" t="s">
        <v>12</v>
      </c>
      <c r="E21" s="46">
        <v>11</v>
      </c>
      <c r="F21" s="47">
        <v>566</v>
      </c>
      <c r="G21" s="40">
        <v>6</v>
      </c>
      <c r="H21" s="27"/>
    </row>
    <row r="22" spans="1:15" s="21" customFormat="1" ht="37.5" customHeight="1" thickBot="1" x14ac:dyDescent="0.45">
      <c r="A22" s="21">
        <f t="shared" ref="A22" si="14">G22+0.3</f>
        <v>6.3</v>
      </c>
      <c r="B22" s="49">
        <v>3912</v>
      </c>
      <c r="C22" s="50" t="s">
        <v>223</v>
      </c>
      <c r="D22" s="50" t="s">
        <v>14</v>
      </c>
      <c r="E22" s="51">
        <v>26</v>
      </c>
      <c r="F22" s="52">
        <v>473</v>
      </c>
      <c r="G22" s="40">
        <v>6</v>
      </c>
      <c r="H22" s="27"/>
    </row>
    <row r="23" spans="1:15" s="21" customFormat="1" ht="37.5" customHeight="1" thickBot="1" x14ac:dyDescent="0.45">
      <c r="A23" s="21">
        <f t="shared" ref="A23" si="15">G23+0.1</f>
        <v>7.1</v>
      </c>
      <c r="B23" s="22">
        <v>4100</v>
      </c>
      <c r="C23" s="23" t="s">
        <v>224</v>
      </c>
      <c r="D23" s="23" t="s">
        <v>12</v>
      </c>
      <c r="E23" s="24">
        <v>7</v>
      </c>
      <c r="F23" s="25">
        <v>602</v>
      </c>
      <c r="G23" s="26">
        <v>7</v>
      </c>
      <c r="H23" s="27"/>
    </row>
    <row r="24" spans="1:15" s="21" customFormat="1" ht="37.5" customHeight="1" thickBot="1" x14ac:dyDescent="0.45">
      <c r="A24" s="21">
        <f t="shared" ref="A24" si="16">G24+0.2</f>
        <v>7.2</v>
      </c>
      <c r="B24" s="28">
        <v>4104</v>
      </c>
      <c r="C24" s="29" t="s">
        <v>225</v>
      </c>
      <c r="D24" s="29" t="s">
        <v>13</v>
      </c>
      <c r="E24" s="30">
        <v>12</v>
      </c>
      <c r="F24" s="31">
        <v>549</v>
      </c>
      <c r="G24" s="26">
        <v>7</v>
      </c>
      <c r="H24" s="27"/>
    </row>
    <row r="25" spans="1:15" s="21" customFormat="1" ht="37.5" customHeight="1" thickBot="1" x14ac:dyDescent="0.45">
      <c r="A25" s="21">
        <f t="shared" ref="A25" si="17">G25+0.3</f>
        <v>7.3</v>
      </c>
      <c r="B25" s="32">
        <v>4278</v>
      </c>
      <c r="C25" s="33" t="s">
        <v>226</v>
      </c>
      <c r="D25" s="33" t="s">
        <v>11</v>
      </c>
      <c r="E25" s="34">
        <v>28</v>
      </c>
      <c r="F25" s="35">
        <v>470</v>
      </c>
      <c r="G25" s="26">
        <v>7</v>
      </c>
      <c r="H25" s="27"/>
    </row>
    <row r="26" spans="1:15" s="21" customFormat="1" ht="37.5" customHeight="1" thickBot="1" x14ac:dyDescent="0.45">
      <c r="A26" s="21">
        <f t="shared" ref="A26" si="18">G26+0.1</f>
        <v>8.1</v>
      </c>
      <c r="B26" s="36">
        <v>4183</v>
      </c>
      <c r="C26" s="37" t="s">
        <v>227</v>
      </c>
      <c r="D26" s="37" t="s">
        <v>17</v>
      </c>
      <c r="E26" s="38">
        <v>8</v>
      </c>
      <c r="F26" s="39">
        <v>572</v>
      </c>
      <c r="G26" s="40">
        <v>8</v>
      </c>
      <c r="H26" s="27"/>
    </row>
    <row r="27" spans="1:15" s="21" customFormat="1" ht="37.5" customHeight="1" thickBot="1" x14ac:dyDescent="0.45">
      <c r="A27" s="21">
        <f t="shared" ref="A27" si="19">G27+0.2</f>
        <v>8.1999999999999993</v>
      </c>
      <c r="B27" s="44">
        <v>4275</v>
      </c>
      <c r="C27" s="45" t="s">
        <v>228</v>
      </c>
      <c r="D27" s="45" t="s">
        <v>12</v>
      </c>
      <c r="E27" s="46">
        <v>10</v>
      </c>
      <c r="F27" s="47">
        <v>566</v>
      </c>
      <c r="G27" s="40">
        <v>8</v>
      </c>
      <c r="H27" s="27"/>
    </row>
    <row r="28" spans="1:15" s="21" customFormat="1" ht="37.5" customHeight="1" thickBot="1" x14ac:dyDescent="0.45">
      <c r="A28" s="21">
        <f t="shared" ref="A28" si="20">G28+0.3</f>
        <v>8.3000000000000007</v>
      </c>
      <c r="B28" s="49">
        <v>4787</v>
      </c>
      <c r="C28" s="50" t="s">
        <v>229</v>
      </c>
      <c r="D28" s="50" t="s">
        <v>211</v>
      </c>
      <c r="E28" s="51">
        <v>30</v>
      </c>
      <c r="F28" s="52">
        <v>466</v>
      </c>
      <c r="G28" s="40">
        <v>8</v>
      </c>
      <c r="H28" s="27"/>
    </row>
    <row r="29" spans="1:15" s="21" customFormat="1" ht="37.5" customHeight="1" thickBot="1" x14ac:dyDescent="0.45">
      <c r="A29" s="21">
        <f t="shared" ref="A29" si="21">G29+0.1</f>
        <v>9.1</v>
      </c>
      <c r="B29" s="22">
        <v>4191</v>
      </c>
      <c r="C29" s="23" t="s">
        <v>230</v>
      </c>
      <c r="D29" s="23" t="s">
        <v>15</v>
      </c>
      <c r="E29" s="24">
        <v>9</v>
      </c>
      <c r="F29" s="25">
        <v>571</v>
      </c>
      <c r="G29" s="26">
        <v>9</v>
      </c>
      <c r="H29" s="27"/>
    </row>
    <row r="30" spans="1:15" s="21" customFormat="1" ht="37.5" customHeight="1" thickBot="1" x14ac:dyDescent="0.45">
      <c r="A30" s="21">
        <f t="shared" ref="A30" si="22">G30+0.2</f>
        <v>9.1999999999999993</v>
      </c>
      <c r="B30" s="28">
        <v>3828</v>
      </c>
      <c r="C30" s="29" t="s">
        <v>231</v>
      </c>
      <c r="D30" s="29" t="s">
        <v>13</v>
      </c>
      <c r="E30" s="30">
        <v>13</v>
      </c>
      <c r="F30" s="31">
        <v>527</v>
      </c>
      <c r="G30" s="26">
        <v>9</v>
      </c>
      <c r="H30" s="27"/>
    </row>
    <row r="31" spans="1:15" s="21" customFormat="1" ht="37.5" customHeight="1" thickBot="1" x14ac:dyDescent="0.45">
      <c r="A31" s="21">
        <f t="shared" ref="A31" si="23">G31+0.3</f>
        <v>9.3000000000000007</v>
      </c>
      <c r="B31" s="28">
        <v>4470</v>
      </c>
      <c r="C31" s="29" t="s">
        <v>232</v>
      </c>
      <c r="D31" s="29" t="s">
        <v>12</v>
      </c>
      <c r="E31" s="30">
        <v>31</v>
      </c>
      <c r="F31" s="31">
        <v>466</v>
      </c>
      <c r="G31" s="26">
        <v>9</v>
      </c>
      <c r="H31" s="27"/>
    </row>
    <row r="32" spans="1:15" s="21" customFormat="1" ht="37.5" customHeight="1" thickBot="1" x14ac:dyDescent="0.45">
      <c r="A32" s="21">
        <f>G32+0.4</f>
        <v>9.4</v>
      </c>
      <c r="B32" s="32">
        <v>4433</v>
      </c>
      <c r="C32" s="33" t="s">
        <v>233</v>
      </c>
      <c r="D32" s="33" t="s">
        <v>11</v>
      </c>
      <c r="E32" s="34">
        <v>32</v>
      </c>
      <c r="F32" s="35">
        <v>462</v>
      </c>
      <c r="G32" s="26">
        <v>9</v>
      </c>
      <c r="H32" s="27"/>
      <c r="J32" s="41"/>
      <c r="K32" s="29"/>
      <c r="L32" s="29"/>
      <c r="M32" s="42"/>
      <c r="N32" s="68"/>
    </row>
    <row r="33" spans="1:12" s="21" customFormat="1" ht="37.5" customHeight="1" thickBot="1" x14ac:dyDescent="0.45">
      <c r="A33" s="21">
        <f t="shared" ref="A33" si="24">G33+0.2</f>
        <v>0.2</v>
      </c>
      <c r="B33" s="44" t="s">
        <v>234</v>
      </c>
      <c r="C33" s="45" t="s">
        <v>235</v>
      </c>
      <c r="D33" s="45" t="s">
        <v>235</v>
      </c>
      <c r="E33" s="46"/>
      <c r="F33" s="47"/>
      <c r="G33" s="40"/>
      <c r="H33" s="27"/>
    </row>
    <row r="34" spans="1:12" s="21" customFormat="1" ht="37.5" customHeight="1" thickBot="1" x14ac:dyDescent="0.45">
      <c r="A34" s="21">
        <f t="shared" ref="A34" si="25">G34+0.3</f>
        <v>0.3</v>
      </c>
      <c r="B34" s="49"/>
      <c r="C34" s="50"/>
      <c r="D34" s="50"/>
      <c r="E34" s="51"/>
      <c r="F34" s="52"/>
      <c r="G34" s="40"/>
      <c r="H34" s="27"/>
    </row>
    <row r="35" spans="1:12" s="21" customFormat="1" ht="37.5" customHeight="1" thickBot="1" x14ac:dyDescent="0.45">
      <c r="A35" s="21">
        <f>G35+0.1</f>
        <v>0.1</v>
      </c>
      <c r="B35" s="22"/>
      <c r="C35" s="23"/>
      <c r="D35" s="23"/>
      <c r="E35" s="24"/>
      <c r="F35" s="25"/>
      <c r="G35" s="26"/>
      <c r="H35" s="27"/>
    </row>
    <row r="36" spans="1:12" s="21" customFormat="1" ht="37.5" customHeight="1" thickBot="1" x14ac:dyDescent="0.45">
      <c r="A36" s="21">
        <f t="shared" ref="A36" si="26">G36+0.2</f>
        <v>0.2</v>
      </c>
      <c r="B36" s="28"/>
      <c r="C36" s="29"/>
      <c r="D36" s="29"/>
      <c r="E36" s="30"/>
      <c r="F36" s="31"/>
      <c r="G36" s="26"/>
      <c r="H36" s="27"/>
    </row>
    <row r="37" spans="1:12" s="21" customFormat="1" ht="37.5" customHeight="1" thickBot="1" x14ac:dyDescent="0.45">
      <c r="A37" s="21">
        <f t="shared" ref="A37" si="27">G37+0.3</f>
        <v>0.3</v>
      </c>
      <c r="B37" s="32"/>
      <c r="C37" s="33"/>
      <c r="D37" s="33"/>
      <c r="E37" s="34"/>
      <c r="F37" s="35"/>
      <c r="G37" s="26"/>
      <c r="H37" s="27"/>
    </row>
    <row r="38" spans="1:12" s="21" customFormat="1" ht="37.5" customHeight="1" thickBot="1" x14ac:dyDescent="0.45">
      <c r="A38" s="21">
        <f t="shared" ref="A38" si="28">G38+0.1</f>
        <v>0.1</v>
      </c>
      <c r="B38" s="36"/>
      <c r="C38" s="37"/>
      <c r="D38" s="37"/>
      <c r="E38" s="38"/>
      <c r="F38" s="39"/>
      <c r="G38" s="40"/>
      <c r="H38" s="27"/>
    </row>
    <row r="39" spans="1:12" s="21" customFormat="1" ht="37.5" customHeight="1" thickBot="1" x14ac:dyDescent="0.45">
      <c r="A39" s="21">
        <f t="shared" ref="A39:A87" si="29">G39+0.2</f>
        <v>0.2</v>
      </c>
      <c r="B39" s="44"/>
      <c r="C39" s="45"/>
      <c r="D39" s="45"/>
      <c r="E39" s="46"/>
      <c r="F39" s="47"/>
      <c r="G39" s="40"/>
      <c r="H39" s="27"/>
    </row>
    <row r="40" spans="1:12" s="21" customFormat="1" ht="37.5" customHeight="1" thickBot="1" x14ac:dyDescent="0.45">
      <c r="A40" s="21">
        <f t="shared" ref="A40:A88" si="30">G40+0.3</f>
        <v>0.3</v>
      </c>
      <c r="B40" s="49"/>
      <c r="C40" s="50"/>
      <c r="D40" s="50"/>
      <c r="E40" s="51"/>
      <c r="F40" s="52"/>
      <c r="G40" s="40"/>
      <c r="H40" s="27"/>
    </row>
    <row r="41" spans="1:12" s="21" customFormat="1" ht="37.5" customHeight="1" thickBot="1" x14ac:dyDescent="0.45">
      <c r="A41" s="21">
        <f t="shared" ref="A41" si="31">G41+0.1</f>
        <v>0.1</v>
      </c>
      <c r="B41" s="22"/>
      <c r="C41" s="23"/>
      <c r="D41" s="23"/>
      <c r="E41" s="24"/>
      <c r="F41" s="25"/>
      <c r="G41" s="26"/>
      <c r="H41" s="27"/>
    </row>
    <row r="42" spans="1:12" s="21" customFormat="1" ht="37.5" customHeight="1" thickBot="1" x14ac:dyDescent="0.45">
      <c r="A42" s="21">
        <f t="shared" si="29"/>
        <v>0.2</v>
      </c>
      <c r="B42" s="28"/>
      <c r="C42" s="29"/>
      <c r="D42" s="29"/>
      <c r="E42" s="30"/>
      <c r="F42" s="31"/>
      <c r="G42" s="26"/>
      <c r="H42" s="27"/>
    </row>
    <row r="43" spans="1:12" s="21" customFormat="1" ht="37.5" customHeight="1" thickBot="1" x14ac:dyDescent="0.45">
      <c r="A43" s="21">
        <f t="shared" si="30"/>
        <v>0.3</v>
      </c>
      <c r="B43" s="32"/>
      <c r="C43" s="33"/>
      <c r="D43" s="33"/>
      <c r="E43" s="34"/>
      <c r="F43" s="35"/>
      <c r="G43" s="26"/>
      <c r="H43" s="27"/>
      <c r="K43" s="54"/>
      <c r="L43" s="54"/>
    </row>
    <row r="44" spans="1:12" s="21" customFormat="1" ht="37.5" customHeight="1" thickBot="1" x14ac:dyDescent="0.45">
      <c r="A44" s="21">
        <f t="shared" ref="A44:A89" si="32">G44+0.1</f>
        <v>0.1</v>
      </c>
      <c r="B44" s="36"/>
      <c r="C44" s="37"/>
      <c r="D44" s="37"/>
      <c r="E44" s="38"/>
      <c r="F44" s="39"/>
      <c r="G44" s="40"/>
      <c r="H44" s="27"/>
      <c r="K44" s="58"/>
      <c r="L44" s="58"/>
    </row>
    <row r="45" spans="1:12" ht="37.5" customHeight="1" thickBot="1" x14ac:dyDescent="0.45">
      <c r="A45" s="21">
        <f t="shared" si="29"/>
        <v>0.2</v>
      </c>
      <c r="B45" s="44"/>
      <c r="C45" s="45"/>
      <c r="D45" s="45"/>
      <c r="E45" s="46"/>
      <c r="F45" s="47"/>
      <c r="G45" s="40"/>
      <c r="H45" s="27"/>
      <c r="K45" s="69"/>
      <c r="L45" s="69"/>
    </row>
    <row r="46" spans="1:12" ht="37.5" customHeight="1" thickBot="1" x14ac:dyDescent="0.45">
      <c r="A46" s="21">
        <f t="shared" si="30"/>
        <v>0.3</v>
      </c>
      <c r="B46" s="49"/>
      <c r="C46" s="50"/>
      <c r="D46" s="50"/>
      <c r="E46" s="51"/>
      <c r="F46" s="52"/>
      <c r="G46" s="40"/>
      <c r="H46" s="27"/>
      <c r="K46" s="70"/>
      <c r="L46" s="70"/>
    </row>
    <row r="47" spans="1:12" ht="37.5" customHeight="1" thickBot="1" x14ac:dyDescent="0.45">
      <c r="A47" s="21">
        <f t="shared" si="32"/>
        <v>0.1</v>
      </c>
      <c r="B47" s="22"/>
      <c r="C47" s="23"/>
      <c r="D47" s="23"/>
      <c r="E47" s="24"/>
      <c r="F47" s="25"/>
      <c r="G47" s="26"/>
      <c r="H47" s="27"/>
      <c r="K47" s="71"/>
      <c r="L47" s="71"/>
    </row>
    <row r="48" spans="1:12" ht="37.5" customHeight="1" thickBot="1" x14ac:dyDescent="0.45">
      <c r="A48" s="21">
        <f t="shared" si="29"/>
        <v>0.2</v>
      </c>
      <c r="B48" s="41"/>
      <c r="C48" s="29"/>
      <c r="D48" s="29"/>
      <c r="E48" s="42"/>
      <c r="F48" s="68"/>
      <c r="G48" s="26"/>
      <c r="H48" s="27"/>
      <c r="K48" s="71"/>
      <c r="L48" s="71"/>
    </row>
    <row r="49" spans="1:12" ht="37.5" customHeight="1" thickBot="1" x14ac:dyDescent="0.45">
      <c r="A49" s="21">
        <f t="shared" si="30"/>
        <v>0.3</v>
      </c>
      <c r="B49" s="53"/>
      <c r="C49" s="33"/>
      <c r="D49" s="33"/>
      <c r="E49" s="54"/>
      <c r="F49" s="72"/>
      <c r="G49" s="26"/>
      <c r="H49" s="27"/>
      <c r="K49" s="73"/>
      <c r="L49" s="73"/>
    </row>
    <row r="50" spans="1:12" ht="37.5" customHeight="1" thickBot="1" x14ac:dyDescent="0.45">
      <c r="A50" s="21">
        <f t="shared" si="32"/>
        <v>0.1</v>
      </c>
      <c r="B50" s="74"/>
      <c r="C50" s="37"/>
      <c r="D50" s="37"/>
      <c r="E50" s="75"/>
      <c r="F50" s="76"/>
      <c r="G50" s="40"/>
      <c r="H50" s="27"/>
      <c r="K50" s="77"/>
    </row>
    <row r="51" spans="1:12" ht="37.5" customHeight="1" thickBot="1" x14ac:dyDescent="0.45">
      <c r="A51" s="21">
        <f t="shared" si="29"/>
        <v>0.2</v>
      </c>
      <c r="B51" s="78"/>
      <c r="C51" s="45"/>
      <c r="D51" s="45"/>
      <c r="E51" s="79"/>
      <c r="F51" s="80"/>
      <c r="G51" s="40"/>
      <c r="H51" s="27"/>
      <c r="K51" s="69"/>
      <c r="L51" s="69"/>
    </row>
    <row r="52" spans="1:12" ht="37.5" customHeight="1" thickBot="1" x14ac:dyDescent="0.45">
      <c r="A52" s="21">
        <f t="shared" si="30"/>
        <v>0.3</v>
      </c>
      <c r="B52" s="81"/>
      <c r="C52" s="50"/>
      <c r="D52" s="50"/>
      <c r="E52" s="82"/>
      <c r="F52" s="83"/>
      <c r="G52" s="40"/>
      <c r="H52" s="27"/>
      <c r="K52" s="70"/>
      <c r="L52" s="70"/>
    </row>
    <row r="53" spans="1:12" ht="37.5" customHeight="1" thickBot="1" x14ac:dyDescent="0.45">
      <c r="A53" s="21">
        <f t="shared" si="32"/>
        <v>0.1</v>
      </c>
      <c r="B53" s="84"/>
      <c r="C53" s="23"/>
      <c r="D53" s="23"/>
      <c r="E53" s="85"/>
      <c r="F53" s="86"/>
      <c r="G53" s="26"/>
      <c r="H53" s="27"/>
      <c r="K53" s="71"/>
      <c r="L53" s="71"/>
    </row>
    <row r="54" spans="1:12" ht="37.5" customHeight="1" thickBot="1" x14ac:dyDescent="0.45">
      <c r="A54" s="21">
        <f t="shared" si="29"/>
        <v>0.2</v>
      </c>
      <c r="B54" s="41"/>
      <c r="C54" s="29"/>
      <c r="D54" s="29"/>
      <c r="E54" s="42"/>
      <c r="F54" s="68"/>
      <c r="G54" s="26"/>
      <c r="H54" s="27"/>
      <c r="K54" s="71"/>
      <c r="L54" s="71"/>
    </row>
    <row r="55" spans="1:12" ht="37.5" customHeight="1" thickBot="1" x14ac:dyDescent="0.45">
      <c r="A55" s="21">
        <f t="shared" si="30"/>
        <v>0.3</v>
      </c>
      <c r="B55" s="53"/>
      <c r="C55" s="33"/>
      <c r="D55" s="33"/>
      <c r="E55" s="54"/>
      <c r="F55" s="72"/>
      <c r="G55" s="26"/>
      <c r="H55" s="27"/>
      <c r="K55" s="73"/>
      <c r="L55" s="73"/>
    </row>
    <row r="56" spans="1:12" ht="37.5" customHeight="1" thickBot="1" x14ac:dyDescent="0.45">
      <c r="A56" s="21">
        <f t="shared" si="32"/>
        <v>0.1</v>
      </c>
      <c r="B56" s="74"/>
      <c r="C56" s="37"/>
      <c r="D56" s="37"/>
      <c r="E56" s="75"/>
      <c r="F56" s="76"/>
      <c r="G56" s="40"/>
      <c r="H56" s="27"/>
      <c r="K56" s="77"/>
      <c r="L56" s="77"/>
    </row>
    <row r="57" spans="1:12" ht="37.5" customHeight="1" thickBot="1" x14ac:dyDescent="0.45">
      <c r="A57" s="21">
        <f t="shared" si="29"/>
        <v>0.2</v>
      </c>
      <c r="B57" s="78"/>
      <c r="C57" s="45"/>
      <c r="D57" s="45"/>
      <c r="E57" s="79"/>
      <c r="F57" s="80"/>
      <c r="G57" s="40"/>
      <c r="H57" s="27"/>
      <c r="K57" s="69"/>
      <c r="L57" s="69"/>
    </row>
    <row r="58" spans="1:12" ht="37.5" customHeight="1" thickBot="1" x14ac:dyDescent="0.45">
      <c r="A58" s="21">
        <f t="shared" si="30"/>
        <v>0.3</v>
      </c>
      <c r="B58" s="81"/>
      <c r="C58" s="50"/>
      <c r="D58" s="50"/>
      <c r="E58" s="82"/>
      <c r="F58" s="83"/>
      <c r="G58" s="40"/>
      <c r="H58" s="27"/>
      <c r="K58" s="70"/>
      <c r="L58" s="70"/>
    </row>
    <row r="59" spans="1:12" ht="37.5" customHeight="1" thickBot="1" x14ac:dyDescent="0.45">
      <c r="A59" s="21">
        <f t="shared" si="32"/>
        <v>0.1</v>
      </c>
      <c r="B59" s="84"/>
      <c r="C59" s="23"/>
      <c r="D59" s="23"/>
      <c r="E59" s="85"/>
      <c r="F59" s="86"/>
      <c r="G59" s="26"/>
      <c r="H59" s="27"/>
      <c r="K59" s="71"/>
      <c r="L59" s="71"/>
    </row>
    <row r="60" spans="1:12" ht="37.5" customHeight="1" thickBot="1" x14ac:dyDescent="0.45">
      <c r="A60" s="21">
        <f t="shared" si="29"/>
        <v>0.2</v>
      </c>
      <c r="B60" s="41"/>
      <c r="C60" s="29"/>
      <c r="D60" s="29"/>
      <c r="E60" s="42"/>
      <c r="F60" s="68"/>
      <c r="G60" s="26"/>
      <c r="H60" s="27"/>
      <c r="K60" s="71"/>
      <c r="L60" s="71"/>
    </row>
    <row r="61" spans="1:12" ht="37.5" customHeight="1" thickBot="1" x14ac:dyDescent="0.45">
      <c r="A61" s="21">
        <f t="shared" si="30"/>
        <v>0.3</v>
      </c>
      <c r="B61" s="53"/>
      <c r="C61" s="33"/>
      <c r="D61" s="33"/>
      <c r="E61" s="54"/>
      <c r="F61" s="72"/>
      <c r="G61" s="26"/>
      <c r="H61" s="27"/>
      <c r="K61" s="73"/>
      <c r="L61" s="73"/>
    </row>
    <row r="62" spans="1:12" ht="37.5" customHeight="1" thickBot="1" x14ac:dyDescent="0.45">
      <c r="A62" s="21">
        <f t="shared" si="32"/>
        <v>0.1</v>
      </c>
      <c r="B62" s="74"/>
      <c r="C62" s="37"/>
      <c r="D62" s="37"/>
      <c r="E62" s="75"/>
      <c r="F62" s="76"/>
      <c r="G62" s="40"/>
      <c r="H62" s="27"/>
      <c r="K62" s="77"/>
      <c r="L62" s="77"/>
    </row>
    <row r="63" spans="1:12" ht="37.5" customHeight="1" thickBot="1" x14ac:dyDescent="0.45">
      <c r="A63" s="21">
        <f t="shared" si="29"/>
        <v>0.2</v>
      </c>
      <c r="B63" s="78"/>
      <c r="C63" s="45"/>
      <c r="D63" s="45"/>
      <c r="E63" s="79"/>
      <c r="F63" s="80"/>
      <c r="G63" s="40"/>
      <c r="H63" s="27"/>
      <c r="K63" s="69"/>
      <c r="L63" s="69"/>
    </row>
    <row r="64" spans="1:12" ht="37.5" customHeight="1" thickBot="1" x14ac:dyDescent="0.45">
      <c r="A64" s="21">
        <f t="shared" si="30"/>
        <v>0.3</v>
      </c>
      <c r="B64" s="81"/>
      <c r="C64" s="50"/>
      <c r="D64" s="50"/>
      <c r="E64" s="82"/>
      <c r="F64" s="83"/>
      <c r="G64" s="40"/>
      <c r="H64" s="27"/>
      <c r="K64" s="70"/>
      <c r="L64" s="70"/>
    </row>
    <row r="65" spans="1:12" ht="37.5" customHeight="1" thickBot="1" x14ac:dyDescent="0.45">
      <c r="A65" s="21">
        <f t="shared" si="32"/>
        <v>0.1</v>
      </c>
      <c r="B65" s="84"/>
      <c r="C65" s="23"/>
      <c r="D65" s="23"/>
      <c r="E65" s="85"/>
      <c r="F65" s="86"/>
      <c r="G65" s="26"/>
      <c r="H65" s="27"/>
      <c r="K65" s="71"/>
      <c r="L65" s="71"/>
    </row>
    <row r="66" spans="1:12" ht="37.5" customHeight="1" thickBot="1" x14ac:dyDescent="0.45">
      <c r="A66" s="21">
        <f t="shared" si="29"/>
        <v>0.2</v>
      </c>
      <c r="B66" s="41"/>
      <c r="C66" s="29"/>
      <c r="D66" s="29"/>
      <c r="E66" s="42"/>
      <c r="F66" s="68"/>
      <c r="G66" s="26"/>
      <c r="H66" s="27"/>
      <c r="K66" s="71"/>
      <c r="L66" s="71"/>
    </row>
    <row r="67" spans="1:12" ht="37.5" customHeight="1" thickBot="1" x14ac:dyDescent="0.45">
      <c r="A67" s="21">
        <f t="shared" si="30"/>
        <v>0.3</v>
      </c>
      <c r="B67" s="53"/>
      <c r="C67" s="33"/>
      <c r="D67" s="33"/>
      <c r="E67" s="54"/>
      <c r="F67" s="72"/>
      <c r="G67" s="26"/>
      <c r="H67" s="27"/>
      <c r="K67" s="73"/>
      <c r="L67" s="73"/>
    </row>
    <row r="68" spans="1:12" ht="37.5" customHeight="1" thickBot="1" x14ac:dyDescent="0.45">
      <c r="A68" s="21">
        <f t="shared" si="32"/>
        <v>0.1</v>
      </c>
      <c r="B68" s="74"/>
      <c r="C68" s="37"/>
      <c r="D68" s="37"/>
      <c r="E68" s="75"/>
      <c r="F68" s="76"/>
      <c r="G68" s="40"/>
      <c r="H68" s="27"/>
      <c r="K68" s="77"/>
      <c r="L68" s="77"/>
    </row>
    <row r="69" spans="1:12" ht="37.5" customHeight="1" thickBot="1" x14ac:dyDescent="0.45">
      <c r="A69" s="21">
        <f t="shared" si="29"/>
        <v>0.2</v>
      </c>
      <c r="B69" s="78"/>
      <c r="C69" s="45"/>
      <c r="D69" s="45"/>
      <c r="E69" s="79"/>
      <c r="F69" s="80"/>
      <c r="G69" s="40"/>
      <c r="H69" s="27"/>
      <c r="K69" s="69"/>
      <c r="L69" s="69"/>
    </row>
    <row r="70" spans="1:12" ht="37.5" customHeight="1" thickBot="1" x14ac:dyDescent="0.45">
      <c r="A70" s="21">
        <f t="shared" si="30"/>
        <v>0.3</v>
      </c>
      <c r="B70" s="81"/>
      <c r="C70" s="50"/>
      <c r="D70" s="50"/>
      <c r="E70" s="82"/>
      <c r="F70" s="83"/>
      <c r="G70" s="40"/>
      <c r="H70" s="27"/>
      <c r="K70" s="70"/>
      <c r="L70" s="70"/>
    </row>
    <row r="71" spans="1:12" ht="37.5" customHeight="1" thickBot="1" x14ac:dyDescent="0.45">
      <c r="A71" s="21">
        <f t="shared" si="32"/>
        <v>0.1</v>
      </c>
      <c r="B71" s="84"/>
      <c r="C71" s="23"/>
      <c r="D71" s="23"/>
      <c r="E71" s="85"/>
      <c r="F71" s="86"/>
      <c r="G71" s="26"/>
      <c r="H71" s="27"/>
      <c r="K71" s="71"/>
      <c r="L71" s="71"/>
    </row>
    <row r="72" spans="1:12" ht="37.5" customHeight="1" thickBot="1" x14ac:dyDescent="0.45">
      <c r="A72" s="21">
        <f t="shared" si="29"/>
        <v>0.2</v>
      </c>
      <c r="B72" s="41"/>
      <c r="C72" s="29"/>
      <c r="D72" s="29"/>
      <c r="E72" s="42"/>
      <c r="F72" s="68"/>
      <c r="G72" s="26"/>
      <c r="H72" s="27"/>
      <c r="K72" s="71"/>
      <c r="L72" s="71"/>
    </row>
    <row r="73" spans="1:12" ht="37.5" customHeight="1" thickBot="1" x14ac:dyDescent="0.45">
      <c r="A73" s="21">
        <f t="shared" si="30"/>
        <v>0.3</v>
      </c>
      <c r="B73" s="53"/>
      <c r="C73" s="33"/>
      <c r="D73" s="33"/>
      <c r="E73" s="54"/>
      <c r="F73" s="72"/>
      <c r="G73" s="26"/>
      <c r="H73" s="27"/>
      <c r="K73" s="73"/>
      <c r="L73" s="73"/>
    </row>
    <row r="74" spans="1:12" ht="37.5" customHeight="1" thickBot="1" x14ac:dyDescent="0.45">
      <c r="A74" s="21">
        <f t="shared" si="32"/>
        <v>0.1</v>
      </c>
      <c r="B74" s="74"/>
      <c r="C74" s="37"/>
      <c r="D74" s="37"/>
      <c r="E74" s="75"/>
      <c r="F74" s="76"/>
      <c r="G74" s="40"/>
      <c r="H74" s="27"/>
      <c r="K74" s="77"/>
      <c r="L74" s="77"/>
    </row>
    <row r="75" spans="1:12" ht="37.5" customHeight="1" thickBot="1" x14ac:dyDescent="0.45">
      <c r="A75" s="21">
        <f t="shared" si="29"/>
        <v>0.2</v>
      </c>
      <c r="B75" s="78"/>
      <c r="C75" s="45"/>
      <c r="D75" s="45"/>
      <c r="E75" s="79"/>
      <c r="F75" s="80"/>
      <c r="G75" s="40"/>
      <c r="H75" s="27"/>
      <c r="K75" s="69"/>
    </row>
    <row r="76" spans="1:12" ht="37.5" customHeight="1" thickBot="1" x14ac:dyDescent="0.45">
      <c r="A76" s="21">
        <f t="shared" si="30"/>
        <v>0.3</v>
      </c>
      <c r="B76" s="81"/>
      <c r="C76" s="50"/>
      <c r="D76" s="50"/>
      <c r="E76" s="82"/>
      <c r="F76" s="83"/>
      <c r="G76" s="40"/>
      <c r="H76" s="27"/>
      <c r="K76" s="70"/>
      <c r="L76" s="70"/>
    </row>
    <row r="77" spans="1:12" ht="37.5" customHeight="1" thickBot="1" x14ac:dyDescent="0.45">
      <c r="A77" s="21">
        <f t="shared" si="32"/>
        <v>0.1</v>
      </c>
      <c r="B77" s="84"/>
      <c r="C77" s="23"/>
      <c r="D77" s="23"/>
      <c r="E77" s="85"/>
      <c r="F77" s="86"/>
      <c r="G77" s="26"/>
      <c r="H77" s="27"/>
      <c r="K77" s="71"/>
      <c r="L77" s="71"/>
    </row>
    <row r="78" spans="1:12" ht="37.5" customHeight="1" thickBot="1" x14ac:dyDescent="0.45">
      <c r="A78" s="21">
        <f t="shared" si="29"/>
        <v>0.2</v>
      </c>
      <c r="B78" s="41"/>
      <c r="C78" s="29"/>
      <c r="D78" s="29"/>
      <c r="E78" s="42"/>
      <c r="F78" s="68"/>
      <c r="G78" s="26"/>
      <c r="H78" s="27"/>
      <c r="K78" s="71"/>
      <c r="L78" s="71"/>
    </row>
    <row r="79" spans="1:12" ht="37.5" customHeight="1" thickBot="1" x14ac:dyDescent="0.45">
      <c r="A79" s="21">
        <f t="shared" si="30"/>
        <v>0.3</v>
      </c>
      <c r="B79" s="53"/>
      <c r="C79" s="33"/>
      <c r="D79" s="33"/>
      <c r="E79" s="54"/>
      <c r="F79" s="72"/>
      <c r="G79" s="26"/>
      <c r="H79" s="27"/>
      <c r="K79" s="73"/>
      <c r="L79" s="73"/>
    </row>
    <row r="80" spans="1:12" ht="37.5" customHeight="1" thickBot="1" x14ac:dyDescent="0.45">
      <c r="A80" s="21">
        <f t="shared" si="32"/>
        <v>0.1</v>
      </c>
      <c r="B80" s="74"/>
      <c r="C80" s="37"/>
      <c r="D80" s="37"/>
      <c r="E80" s="75"/>
      <c r="F80" s="76"/>
      <c r="G80" s="40"/>
      <c r="H80" s="27"/>
      <c r="K80" s="77"/>
      <c r="L80" s="77"/>
    </row>
    <row r="81" spans="1:12" ht="37.5" customHeight="1" thickBot="1" x14ac:dyDescent="0.45">
      <c r="A81" s="21">
        <f t="shared" si="29"/>
        <v>0.2</v>
      </c>
      <c r="B81" s="78"/>
      <c r="C81" s="45"/>
      <c r="D81" s="45"/>
      <c r="E81" s="79"/>
      <c r="F81" s="80"/>
      <c r="G81" s="40"/>
      <c r="H81" s="27"/>
      <c r="K81" s="69"/>
      <c r="L81" s="69"/>
    </row>
    <row r="82" spans="1:12" ht="37.5" customHeight="1" thickBot="1" x14ac:dyDescent="0.45">
      <c r="A82" s="21">
        <f t="shared" si="30"/>
        <v>0.3</v>
      </c>
      <c r="B82" s="81"/>
      <c r="C82" s="50"/>
      <c r="D82" s="50"/>
      <c r="E82" s="82"/>
      <c r="F82" s="83"/>
      <c r="G82" s="40"/>
      <c r="H82" s="27"/>
      <c r="K82" s="70"/>
      <c r="L82" s="70"/>
    </row>
    <row r="83" spans="1:12" ht="37.5" customHeight="1" thickBot="1" x14ac:dyDescent="0.45">
      <c r="A83" s="21">
        <f t="shared" si="32"/>
        <v>0.1</v>
      </c>
      <c r="B83" s="84"/>
      <c r="C83" s="23"/>
      <c r="D83" s="23"/>
      <c r="E83" s="85"/>
      <c r="F83" s="86"/>
      <c r="G83" s="26"/>
      <c r="H83" s="27"/>
      <c r="K83" s="71"/>
      <c r="L83" s="71"/>
    </row>
    <row r="84" spans="1:12" ht="37.5" customHeight="1" thickBot="1" x14ac:dyDescent="0.45">
      <c r="A84" s="21">
        <f t="shared" si="29"/>
        <v>0.2</v>
      </c>
      <c r="B84" s="41"/>
      <c r="C84" s="29"/>
      <c r="D84" s="29"/>
      <c r="E84" s="42"/>
      <c r="F84" s="68"/>
      <c r="G84" s="26"/>
      <c r="H84" s="27"/>
      <c r="K84" s="71"/>
      <c r="L84" s="71"/>
    </row>
    <row r="85" spans="1:12" ht="37.5" customHeight="1" thickBot="1" x14ac:dyDescent="0.45">
      <c r="A85" s="21">
        <f t="shared" si="30"/>
        <v>0.3</v>
      </c>
      <c r="B85" s="53"/>
      <c r="C85" s="33"/>
      <c r="D85" s="33"/>
      <c r="E85" s="54"/>
      <c r="F85" s="72"/>
      <c r="G85" s="26"/>
      <c r="H85" s="27"/>
      <c r="K85" s="73"/>
      <c r="L85" s="73"/>
    </row>
    <row r="86" spans="1:12" ht="37.5" customHeight="1" thickBot="1" x14ac:dyDescent="0.45">
      <c r="A86" s="21">
        <f t="shared" si="32"/>
        <v>0.1</v>
      </c>
      <c r="B86" s="74"/>
      <c r="C86" s="37"/>
      <c r="D86" s="37"/>
      <c r="E86" s="75"/>
      <c r="F86" s="76"/>
      <c r="G86" s="40"/>
      <c r="H86" s="27"/>
      <c r="K86" s="77"/>
      <c r="L86" s="77"/>
    </row>
    <row r="87" spans="1:12" ht="37.5" customHeight="1" thickBot="1" x14ac:dyDescent="0.45">
      <c r="A87" s="21">
        <f t="shared" si="29"/>
        <v>0.2</v>
      </c>
      <c r="B87" s="78"/>
      <c r="C87" s="45"/>
      <c r="D87" s="45"/>
      <c r="E87" s="79"/>
      <c r="F87" s="80"/>
      <c r="G87" s="40"/>
      <c r="K87" s="69"/>
      <c r="L87" s="69"/>
    </row>
    <row r="88" spans="1:12" ht="37.5" customHeight="1" thickBot="1" x14ac:dyDescent="0.45">
      <c r="A88" s="21">
        <f t="shared" si="30"/>
        <v>0.3</v>
      </c>
      <c r="B88" s="81"/>
      <c r="C88" s="50"/>
      <c r="D88" s="50"/>
      <c r="E88" s="82"/>
      <c r="F88" s="83"/>
      <c r="G88" s="40"/>
      <c r="K88" s="70"/>
      <c r="L88" s="70"/>
    </row>
    <row r="89" spans="1:12" ht="37.5" customHeight="1" thickBot="1" x14ac:dyDescent="0.45">
      <c r="A89" s="21">
        <f t="shared" si="32"/>
        <v>0.1</v>
      </c>
      <c r="B89" s="84"/>
      <c r="C89" s="23"/>
      <c r="D89" s="23"/>
      <c r="E89" s="85"/>
      <c r="F89" s="85"/>
      <c r="G89" s="87"/>
      <c r="K89" s="71"/>
      <c r="L89" s="71"/>
    </row>
    <row r="90" spans="1:12" ht="37.5" customHeight="1" thickBot="1" x14ac:dyDescent="0.45">
      <c r="A90" s="21">
        <f t="shared" ref="A90" si="33">G90+0.2</f>
        <v>0.2</v>
      </c>
      <c r="B90" s="41"/>
      <c r="C90" s="29"/>
      <c r="D90" s="29"/>
      <c r="E90" s="42"/>
      <c r="F90" s="42"/>
      <c r="G90" s="87"/>
      <c r="K90" s="71"/>
      <c r="L90" s="71"/>
    </row>
    <row r="91" spans="1:12" ht="37.5" customHeight="1" thickBot="1" x14ac:dyDescent="0.45">
      <c r="A91" s="21">
        <f t="shared" ref="A91" si="34">G91+0.3</f>
        <v>0.3</v>
      </c>
      <c r="B91" s="41"/>
      <c r="C91" s="29"/>
      <c r="D91" s="29"/>
      <c r="E91" s="42"/>
      <c r="F91" s="42"/>
      <c r="G91" s="87"/>
      <c r="K91" s="73"/>
      <c r="L91" s="73"/>
    </row>
    <row r="92" spans="1:12" ht="37.5" customHeight="1" thickBot="1" x14ac:dyDescent="0.45">
      <c r="A92" s="21">
        <f>G92+0.4</f>
        <v>0.4</v>
      </c>
      <c r="B92" s="53"/>
      <c r="C92" s="33"/>
      <c r="D92" s="33"/>
      <c r="E92" s="54"/>
      <c r="F92" s="54"/>
      <c r="G92" s="87"/>
      <c r="K92" s="77"/>
      <c r="L92" s="77"/>
    </row>
    <row r="93" spans="1:12" ht="37.5" customHeight="1" thickBot="1" x14ac:dyDescent="0.45">
      <c r="A93" s="21">
        <f t="shared" ref="A93" si="35">G93+0.1</f>
        <v>0.1</v>
      </c>
      <c r="B93" s="74"/>
      <c r="C93" s="37"/>
      <c r="D93" s="37"/>
      <c r="E93" s="75"/>
      <c r="F93" s="75"/>
      <c r="G93" s="88"/>
      <c r="K93" s="69"/>
      <c r="L93" s="69"/>
    </row>
    <row r="94" spans="1:12" ht="37.5" customHeight="1" thickBot="1" x14ac:dyDescent="0.45">
      <c r="A94" s="21">
        <f t="shared" ref="A94" si="36">G94+0.2</f>
        <v>0.2</v>
      </c>
      <c r="B94" s="78"/>
      <c r="C94" s="45"/>
      <c r="D94" s="45"/>
      <c r="E94" s="79"/>
      <c r="F94" s="79"/>
      <c r="G94" s="88"/>
      <c r="K94" s="70"/>
      <c r="L94" s="70"/>
    </row>
    <row r="95" spans="1:12" ht="37.5" customHeight="1" thickBot="1" x14ac:dyDescent="0.45">
      <c r="A95" s="21">
        <f t="shared" ref="A95" si="37">G95+0.3</f>
        <v>0.3</v>
      </c>
      <c r="B95" s="78"/>
      <c r="C95" s="45"/>
      <c r="D95" s="45"/>
      <c r="E95" s="79"/>
      <c r="F95" s="79"/>
      <c r="G95" s="88"/>
      <c r="K95" s="71"/>
      <c r="L95" s="71"/>
    </row>
    <row r="96" spans="1:12" ht="37.5" customHeight="1" thickBot="1" x14ac:dyDescent="0.45">
      <c r="A96" s="21">
        <f>G96+0.4</f>
        <v>0.4</v>
      </c>
      <c r="B96" s="81"/>
      <c r="C96" s="50"/>
      <c r="D96" s="50"/>
      <c r="E96" s="82"/>
      <c r="F96" s="82"/>
      <c r="G96" s="88"/>
      <c r="K96" s="71"/>
      <c r="L96" s="71"/>
    </row>
    <row r="97" spans="1:12" ht="24" thickBot="1" x14ac:dyDescent="0.3">
      <c r="A97" s="17">
        <f t="shared" ref="A97" si="38">G97+0.3</f>
        <v>0.3</v>
      </c>
      <c r="B97" s="53"/>
      <c r="C97" s="33"/>
      <c r="D97" s="33"/>
      <c r="E97" s="54"/>
      <c r="F97" s="72"/>
      <c r="G97" s="89"/>
      <c r="K97" s="73"/>
      <c r="L97" s="73"/>
    </row>
    <row r="98" spans="1:12" ht="24" thickBot="1" x14ac:dyDescent="0.3">
      <c r="A98" s="17">
        <f t="shared" ref="A98" si="39">G98+0.1</f>
        <v>0.1</v>
      </c>
      <c r="B98" s="90"/>
      <c r="C98" s="91"/>
      <c r="D98" s="91"/>
      <c r="E98" s="77"/>
      <c r="F98" s="77"/>
      <c r="G98" s="26"/>
      <c r="K98" s="77"/>
      <c r="L98" s="77"/>
    </row>
    <row r="99" spans="1:12" ht="24" thickBot="1" x14ac:dyDescent="0.3">
      <c r="A99" s="17">
        <f t="shared" ref="A99" si="40">G99+0.2</f>
        <v>0.2</v>
      </c>
      <c r="B99" s="92"/>
      <c r="C99" s="93"/>
      <c r="D99" s="93"/>
      <c r="E99" s="69"/>
      <c r="F99" s="69"/>
      <c r="G99" s="26"/>
      <c r="K99" s="69"/>
      <c r="L99" s="69"/>
    </row>
    <row r="100" spans="1:12" ht="24" thickBot="1" x14ac:dyDescent="0.3">
      <c r="A100" s="17">
        <f t="shared" ref="A100" si="41">G100+0.3</f>
        <v>0.3</v>
      </c>
      <c r="B100" s="94"/>
      <c r="C100" s="95"/>
      <c r="D100" s="95"/>
      <c r="E100" s="70"/>
      <c r="F100" s="70"/>
      <c r="G100" s="26"/>
      <c r="K100" s="70"/>
      <c r="L100" s="70"/>
    </row>
    <row r="101" spans="1:12" ht="24" thickBot="1" x14ac:dyDescent="0.3">
      <c r="A101" s="17">
        <f t="shared" ref="A101" si="42">G101+0.1</f>
        <v>0.1</v>
      </c>
      <c r="B101" s="96"/>
      <c r="C101" s="97"/>
      <c r="D101" s="97"/>
      <c r="E101" s="71"/>
      <c r="F101" s="71"/>
      <c r="G101" s="26"/>
      <c r="K101" s="71"/>
      <c r="L101" s="71"/>
    </row>
    <row r="102" spans="1:12" ht="24" thickBot="1" x14ac:dyDescent="0.3">
      <c r="A102" s="17">
        <f t="shared" ref="A102" si="43">G102+0.2</f>
        <v>0.2</v>
      </c>
      <c r="B102" s="96"/>
      <c r="C102" s="97"/>
      <c r="D102" s="97"/>
      <c r="E102" s="71"/>
      <c r="F102" s="71"/>
      <c r="G102" s="26"/>
      <c r="K102" s="71"/>
      <c r="L102" s="71"/>
    </row>
    <row r="103" spans="1:12" ht="24" thickBot="1" x14ac:dyDescent="0.3">
      <c r="A103" s="17">
        <f t="shared" ref="A103" si="44">G103+0.3</f>
        <v>0.3</v>
      </c>
      <c r="B103" s="98"/>
      <c r="C103" s="99"/>
      <c r="D103" s="99"/>
      <c r="E103" s="73"/>
      <c r="F103" s="73"/>
      <c r="G103" s="26"/>
      <c r="K103" s="73"/>
      <c r="L103" s="73"/>
    </row>
    <row r="104" spans="1:12" ht="24" thickBot="1" x14ac:dyDescent="0.3">
      <c r="A104" s="17">
        <f t="shared" ref="A104" si="45">G104+0.1</f>
        <v>0.1</v>
      </c>
      <c r="B104" s="90"/>
      <c r="C104" s="91"/>
      <c r="D104" s="91"/>
      <c r="E104" s="77"/>
      <c r="F104" s="77"/>
      <c r="G104" s="26"/>
      <c r="K104" s="77"/>
      <c r="L104" s="77"/>
    </row>
    <row r="105" spans="1:12" ht="24" thickBot="1" x14ac:dyDescent="0.3">
      <c r="A105" s="17">
        <f t="shared" ref="A105" si="46">G105+0.2</f>
        <v>0.2</v>
      </c>
      <c r="B105" s="92"/>
      <c r="C105" s="93"/>
      <c r="D105" s="93"/>
      <c r="E105" s="69"/>
      <c r="F105" s="69"/>
      <c r="G105" s="26"/>
      <c r="K105" s="69"/>
      <c r="L105" s="69"/>
    </row>
    <row r="106" spans="1:12" ht="24" thickBot="1" x14ac:dyDescent="0.3">
      <c r="A106" s="17">
        <f t="shared" ref="A106" si="47">G106+0.3</f>
        <v>0.3</v>
      </c>
      <c r="B106" s="94"/>
      <c r="C106" s="95"/>
      <c r="D106" s="95"/>
      <c r="E106" s="70"/>
      <c r="F106" s="70"/>
      <c r="G106" s="26"/>
      <c r="K106" s="70"/>
      <c r="L106" s="70"/>
    </row>
    <row r="107" spans="1:12" ht="24" thickBot="1" x14ac:dyDescent="0.3">
      <c r="A107" s="17">
        <f t="shared" ref="A107" si="48">G107+0.1</f>
        <v>0.1</v>
      </c>
      <c r="B107" s="96"/>
      <c r="C107" s="97"/>
      <c r="D107" s="97"/>
      <c r="E107" s="71"/>
      <c r="F107" s="71"/>
      <c r="G107" s="26"/>
      <c r="K107" s="71"/>
      <c r="L107" s="71"/>
    </row>
    <row r="108" spans="1:12" ht="24" thickBot="1" x14ac:dyDescent="0.3">
      <c r="A108" s="17">
        <f t="shared" ref="A108" si="49">G108+0.2</f>
        <v>0.2</v>
      </c>
      <c r="B108" s="96"/>
      <c r="C108" s="97"/>
      <c r="D108" s="97"/>
      <c r="E108" s="71"/>
      <c r="F108" s="71"/>
      <c r="G108" s="26"/>
      <c r="K108" s="71"/>
      <c r="L108" s="71"/>
    </row>
    <row r="109" spans="1:12" ht="24" thickBot="1" x14ac:dyDescent="0.3">
      <c r="A109" s="17">
        <f t="shared" ref="A109" si="50">G109+0.3</f>
        <v>0.3</v>
      </c>
      <c r="B109" s="98"/>
      <c r="C109" s="99"/>
      <c r="D109" s="99"/>
      <c r="E109" s="73"/>
      <c r="F109" s="73"/>
      <c r="G109" s="26"/>
      <c r="K109" s="73"/>
      <c r="L109" s="73"/>
    </row>
    <row r="110" spans="1:12" ht="24" thickBot="1" x14ac:dyDescent="0.3">
      <c r="A110" s="17">
        <f t="shared" ref="A110" si="51">G110+0.1</f>
        <v>0.1</v>
      </c>
      <c r="B110" s="90"/>
      <c r="C110" s="91"/>
      <c r="D110" s="91"/>
      <c r="E110" s="77"/>
      <c r="F110" s="77"/>
      <c r="G110" s="26"/>
      <c r="K110" s="77"/>
      <c r="L110" s="77"/>
    </row>
    <row r="111" spans="1:12" ht="24" thickBot="1" x14ac:dyDescent="0.3">
      <c r="A111" s="17">
        <f t="shared" ref="A111" si="52">G111+0.2</f>
        <v>0.2</v>
      </c>
      <c r="B111" s="92"/>
      <c r="C111" s="93"/>
      <c r="D111" s="93"/>
      <c r="E111" s="69"/>
      <c r="F111" s="69"/>
      <c r="G111" s="26"/>
      <c r="K111" s="69"/>
      <c r="L111" s="69"/>
    </row>
    <row r="112" spans="1:12" ht="24" thickBot="1" x14ac:dyDescent="0.3">
      <c r="A112" s="17">
        <f t="shared" ref="A112" si="53">G112+0.3</f>
        <v>0.3</v>
      </c>
      <c r="B112" s="94"/>
      <c r="C112" s="95"/>
      <c r="D112" s="95"/>
      <c r="E112" s="70"/>
      <c r="F112" s="70"/>
      <c r="G112" s="26"/>
      <c r="K112" s="70"/>
      <c r="L112" s="70"/>
    </row>
    <row r="113" spans="1:12" ht="24" thickBot="1" x14ac:dyDescent="0.3">
      <c r="A113" s="17">
        <f t="shared" ref="A113" si="54">G113+0.1</f>
        <v>0.1</v>
      </c>
      <c r="B113" s="96"/>
      <c r="C113" s="97"/>
      <c r="D113" s="97"/>
      <c r="E113" s="71"/>
      <c r="F113" s="71"/>
      <c r="G113" s="26"/>
      <c r="K113" s="71"/>
      <c r="L113" s="71"/>
    </row>
    <row r="114" spans="1:12" ht="24" thickBot="1" x14ac:dyDescent="0.3">
      <c r="A114" s="17">
        <f t="shared" ref="A114" si="55">G114+0.2</f>
        <v>0.2</v>
      </c>
      <c r="B114" s="96"/>
      <c r="C114" s="97"/>
      <c r="D114" s="97"/>
      <c r="E114" s="71"/>
      <c r="F114" s="71"/>
      <c r="G114" s="26"/>
      <c r="K114" s="71"/>
      <c r="L114" s="71"/>
    </row>
    <row r="115" spans="1:12" ht="24" thickBot="1" x14ac:dyDescent="0.3">
      <c r="A115" s="17">
        <f t="shared" ref="A115" si="56">G115+0.3</f>
        <v>0.3</v>
      </c>
      <c r="B115" s="98"/>
      <c r="C115" s="99"/>
      <c r="D115" s="99"/>
      <c r="E115" s="73"/>
      <c r="F115" s="73"/>
      <c r="G115" s="26"/>
      <c r="K115" s="73"/>
      <c r="L115" s="73"/>
    </row>
    <row r="116" spans="1:12" ht="24" thickBot="1" x14ac:dyDescent="0.3">
      <c r="A116" s="17">
        <f>G116+0.1</f>
        <v>0.1</v>
      </c>
      <c r="B116" s="90"/>
      <c r="C116" s="91"/>
      <c r="D116" s="91"/>
      <c r="E116" s="77"/>
      <c r="F116" s="77"/>
      <c r="G116" s="26"/>
      <c r="K116" s="77"/>
      <c r="L116" s="77"/>
    </row>
    <row r="117" spans="1:12" ht="24" thickBot="1" x14ac:dyDescent="0.3">
      <c r="A117" s="17">
        <f>G117+0.2</f>
        <v>0.2</v>
      </c>
      <c r="B117" s="92"/>
      <c r="C117" s="93"/>
      <c r="D117" s="93"/>
      <c r="E117" s="69"/>
      <c r="F117" s="69"/>
      <c r="G117" s="26"/>
      <c r="K117" s="69"/>
      <c r="L117" s="69"/>
    </row>
    <row r="118" spans="1:12" ht="24" thickBot="1" x14ac:dyDescent="0.3">
      <c r="A118" s="17">
        <f>G118+0.3</f>
        <v>0.3</v>
      </c>
      <c r="B118" s="92"/>
      <c r="C118" s="93"/>
      <c r="D118" s="93"/>
      <c r="E118" s="69"/>
      <c r="F118" s="69"/>
      <c r="G118" s="26"/>
      <c r="K118" s="69"/>
      <c r="L118" s="69"/>
    </row>
    <row r="119" spans="1:12" ht="24" thickBot="1" x14ac:dyDescent="0.3">
      <c r="A119" s="17">
        <f>G119+0.4</f>
        <v>0.4</v>
      </c>
      <c r="B119" s="94"/>
      <c r="C119" s="95"/>
      <c r="D119" s="95"/>
      <c r="E119" s="70"/>
      <c r="F119" s="70"/>
      <c r="G119" s="26"/>
      <c r="K119" s="70"/>
      <c r="L119" s="70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E3EC-6ECC-439B-AC1D-B78F01A6478F}">
  <sheetPr published="0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CA48-DF02-4066-99EE-3CAF8B5031B6}">
  <sheetPr codeName="Sheet4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30.14062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1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1.1000000000000001</v>
      </c>
      <c r="B12" s="109">
        <v>1</v>
      </c>
      <c r="C12" s="110">
        <f>VLOOKUP(A12,Inscripciones!A5:G167,2,FALSE)</f>
        <v>4159</v>
      </c>
      <c r="D12" s="111" t="str">
        <f>IF(ISBLANK(C12),"",VLOOKUP(C12,Inscripciones!$B$5:$F$200,2,FALSE))</f>
        <v>MARÍA FERNANDA ZELEDÓN HERRERA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1</v>
      </c>
      <c r="G12" s="112">
        <f>IF(ISBLANK(C12),"",VLOOKUP(C12,Inscripciones!$B$5:$F$200,5,FALSE))</f>
        <v>706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1.2</v>
      </c>
      <c r="B13" s="109">
        <v>2</v>
      </c>
      <c r="C13" s="110">
        <f>VLOOKUP(A13,Inscripciones!A5:G168,2,FALSE)</f>
        <v>4601</v>
      </c>
      <c r="D13" s="111" t="str">
        <f>IF(ISBLANK(C13),"",VLOOKUP(C13,Inscripciones!$B$5:$F$200,2,FALSE))</f>
        <v>ANNETTE CARRANZA SOLÍS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18</v>
      </c>
      <c r="G13" s="112">
        <f>IF(ISBLANK(C13),"",VLOOKUP(C13,Inscripciones!$B$5:$F$200,5,FALSE))</f>
        <v>504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1.3</v>
      </c>
      <c r="B14" s="109">
        <v>3</v>
      </c>
      <c r="C14" s="110">
        <f>VLOOKUP(A14,Inscripciones!A6:G169,2,FALSE)</f>
        <v>4276</v>
      </c>
      <c r="D14" s="111" t="str">
        <f>IF(ISBLANK(C14),"",VLOOKUP(C14,Inscripciones!$B$7:$F$200,2,FALSE))</f>
        <v>SILOÉ MUÑOZ CÓRDOBA</v>
      </c>
      <c r="E14" s="112" t="str">
        <f>IF(ISBLANK(C14),"",VLOOKUP(C14,Inscripciones!$B$7:$F$200,3,FALSE))</f>
        <v>ESPARZA</v>
      </c>
      <c r="F14" s="112">
        <f>IF(ISBLANK(C14),"",VLOOKUP(C14,Inscripciones!$B$7:$F$200,4,FALSE))</f>
        <v>19</v>
      </c>
      <c r="G14" s="112">
        <f>IF(ISBLANK(C14),"",VLOOKUP(C14,Inscripciones!$B$7:$F$200,5,FALSE))</f>
        <v>502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MARÍA FERNANDA ZELEDÓN HERRERA</v>
      </c>
      <c r="E18" s="119">
        <v>15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SILOÉ MUÑOZ CÓRDOBA</v>
      </c>
      <c r="E19" s="119">
        <v>13</v>
      </c>
      <c r="F19" s="119">
        <v>7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MARÍA FERNANDA ZELEDÓN HERRERA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ANNETTE CARRANZA SOLÍS</v>
      </c>
      <c r="E21" s="119">
        <v>2</v>
      </c>
      <c r="F21" s="119">
        <v>9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ANNETTE CARRANZA SOLÍS</v>
      </c>
      <c r="E22" s="119">
        <v>7</v>
      </c>
      <c r="F22" s="119">
        <v>11</v>
      </c>
      <c r="G22" s="119">
        <v>9</v>
      </c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SILOÉ MUÑOZ CÓRDOBA</v>
      </c>
      <c r="E23" s="119">
        <v>11</v>
      </c>
      <c r="F23" s="119">
        <v>8</v>
      </c>
      <c r="G23" s="119">
        <v>11</v>
      </c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4159</v>
      </c>
      <c r="D34" s="126" t="str">
        <f>IF(ISBLANK(C34),"",VLOOKUP(C34,Inscripciones!$B$5:$F$200,2,FALSE))</f>
        <v>MARÍA FERNANDA ZELEDÓN HERRERA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4276</v>
      </c>
      <c r="D35" s="126" t="str">
        <f>IF(ISBLANK(C35),"",VLOOKUP(C35,Inscripciones!$B$5:$F$200,2,FALSE))</f>
        <v>SILOÉ MUÑOZ CÓRDOBA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2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A757-B3CD-4248-BBFE-652B37C9242D}">
  <sheetPr codeName="Sheet5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3.4257812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2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2.1</v>
      </c>
      <c r="B12" s="109">
        <v>1</v>
      </c>
      <c r="C12" s="110">
        <f>VLOOKUP(A12,Inscripciones!A5:G167,2,FALSE)</f>
        <v>4101</v>
      </c>
      <c r="D12" s="111" t="str">
        <f>IF(ISBLANK(C12),"",VLOOKUP(C12,Inscripciones!$B$5:$F$200,2,FALSE))</f>
        <v>ABIGAIL QUIROS BALTODANO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2</v>
      </c>
      <c r="G12" s="112">
        <f>IF(ISBLANK(C12),"",VLOOKUP(C12,Inscripciones!$B$5:$F$200,5,FALSE))</f>
        <v>668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2.2000000000000002</v>
      </c>
      <c r="B13" s="109">
        <v>2</v>
      </c>
      <c r="C13" s="110">
        <f>VLOOKUP(A13,Inscripciones!A5:G168,2,FALSE)</f>
        <v>4348</v>
      </c>
      <c r="D13" s="111" t="str">
        <f>IF(ISBLANK(C13),"",VLOOKUP(C13,Inscripciones!$B$5:$F$200,2,FALSE))</f>
        <v>AMANDA PEREZ CABEZAS</v>
      </c>
      <c r="E13" s="112" t="str">
        <f>IF(ISBLANK(C13),"",VLOOKUP(C13,Inscripciones!$B$5:$F$200,3,FALSE))</f>
        <v>CORREDORES</v>
      </c>
      <c r="F13" s="112">
        <f>IF(ISBLANK(C13),"",VLOOKUP(C13,Inscripciones!$B$5:$F$200,4,FALSE))</f>
        <v>17</v>
      </c>
      <c r="G13" s="112">
        <f>IF(ISBLANK(C13),"",VLOOKUP(C13,Inscripciones!$B$5:$F$200,5,FALSE))</f>
        <v>505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2.2999999999999998</v>
      </c>
      <c r="B14" s="109">
        <v>3</v>
      </c>
      <c r="C14" s="110">
        <f>VLOOKUP(A14,Inscripciones!A6:G169,2,FALSE)</f>
        <v>4164</v>
      </c>
      <c r="D14" s="111" t="str">
        <f>IF(ISBLANK(C14),"",VLOOKUP(C14,Inscripciones!$B$7:$F$200,2,FALSE))</f>
        <v>FIORELLA PEREIRA OBANDO</v>
      </c>
      <c r="E14" s="112" t="str">
        <f>IF(ISBLANK(C14),"",VLOOKUP(C14,Inscripciones!$B$7:$F$200,3,FALSE))</f>
        <v>CURRIDABAT</v>
      </c>
      <c r="F14" s="112">
        <f>IF(ISBLANK(C14),"",VLOOKUP(C14,Inscripciones!$B$7:$F$200,4,FALSE))</f>
        <v>21</v>
      </c>
      <c r="G14" s="112">
        <f>IF(ISBLANK(C14),"",VLOOKUP(C14,Inscripciones!$B$7:$F$200,5,FALSE))</f>
        <v>491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ABIGAIL QUIROS BALTODANO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FIORELLA PEREIRA OBANDO</v>
      </c>
      <c r="E19" s="119">
        <v>5</v>
      </c>
      <c r="F19" s="119">
        <v>3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ABIGAIL QUIROS BALTODANO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AMANDA PEREZ CABEZAS</v>
      </c>
      <c r="E21" s="119">
        <v>5</v>
      </c>
      <c r="F21" s="119">
        <v>5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AMANDA PEREZ CABEZAS</v>
      </c>
      <c r="E22" s="119">
        <v>11</v>
      </c>
      <c r="F22" s="119">
        <v>11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FIORELLA PEREIRA OBANDO</v>
      </c>
      <c r="E23" s="119">
        <v>2</v>
      </c>
      <c r="F23" s="119">
        <v>8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4101</v>
      </c>
      <c r="D34" s="126" t="str">
        <f>IF(ISBLANK(C34),"",VLOOKUP(C34,Inscripciones!$B$5:$F$200,2,FALSE))</f>
        <v>ABIGAIL QUIROS BALTODANO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4348</v>
      </c>
      <c r="D35" s="126" t="str">
        <f>IF(ISBLANK(C35),"",VLOOKUP(C35,Inscripciones!$B$5:$F$200,2,FALSE))</f>
        <v>AMANDA PEREZ CABEZAS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661B-52BE-4E8A-B332-F051429A5B0F}">
  <sheetPr codeName="Sheet6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4.2851562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3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3.1</v>
      </c>
      <c r="B12" s="109">
        <v>1</v>
      </c>
      <c r="C12" s="110">
        <f>VLOOKUP(A12,Inscripciones!A5:G167,2,FALSE)</f>
        <v>3918</v>
      </c>
      <c r="D12" s="111" t="str">
        <f>IF(ISBLANK(C12),"",VLOOKUP(C12,Inscripciones!$B$5:$F$200,2,FALSE))</f>
        <v>MARIANA SOTO CALDERON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3</v>
      </c>
      <c r="G12" s="112">
        <f>IF(ISBLANK(C12),"",VLOOKUP(C12,Inscripciones!$B$5:$F$200,5,FALSE))</f>
        <v>640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3.2</v>
      </c>
      <c r="B13" s="109">
        <v>2</v>
      </c>
      <c r="C13" s="110">
        <f>VLOOKUP(A13,Inscripciones!A5:G168,2,FALSE)</f>
        <v>3907</v>
      </c>
      <c r="D13" s="111" t="str">
        <f>IF(ISBLANK(C13),"",VLOOKUP(C13,Inscripciones!$B$5:$F$200,2,FALSE))</f>
        <v>LUCIANA CASCANTE BARBOZA</v>
      </c>
      <c r="E13" s="112" t="str">
        <f>IF(ISBLANK(C13),"",VLOOKUP(C13,Inscripciones!$B$5:$F$200,3,FALSE))</f>
        <v>ASERRÍ</v>
      </c>
      <c r="F13" s="112">
        <f>IF(ISBLANK(C13),"",VLOOKUP(C13,Inscripciones!$B$5:$F$200,4,FALSE))</f>
        <v>16</v>
      </c>
      <c r="G13" s="112">
        <f>IF(ISBLANK(C13),"",VLOOKUP(C13,Inscripciones!$B$5:$F$200,5,FALSE))</f>
        <v>507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3.3</v>
      </c>
      <c r="B14" s="109">
        <v>3</v>
      </c>
      <c r="C14" s="110">
        <f>VLOOKUP(A14,Inscripciones!A6:G169,2,FALSE)</f>
        <v>4535</v>
      </c>
      <c r="D14" s="111" t="str">
        <f>IF(ISBLANK(C14),"",VLOOKUP(C14,Inscripciones!$B$7:$F$200,2,FALSE))</f>
        <v>VALENTINA LOPEZ ALVARADO</v>
      </c>
      <c r="E14" s="112" t="str">
        <f>IF(ISBLANK(C14),"",VLOOKUP(C14,Inscripciones!$B$7:$F$200,3,FALSE))</f>
        <v>ALAJUELA</v>
      </c>
      <c r="F14" s="112">
        <f>IF(ISBLANK(C14),"",VLOOKUP(C14,Inscripciones!$B$7:$F$200,4,FALSE))</f>
        <v>24</v>
      </c>
      <c r="G14" s="112">
        <f>IF(ISBLANK(C14),"",VLOOKUP(C14,Inscripciones!$B$7:$F$200,5,FALSE))</f>
        <v>483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MARIANA SOTO CALDERON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VALENTINA LOPEZ ALVARADO</v>
      </c>
      <c r="E19" s="119">
        <v>2</v>
      </c>
      <c r="F19" s="119">
        <v>2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MARIANA SOTO CALDERON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LUCIANA CASCANTE BARBOZA</v>
      </c>
      <c r="E21" s="119">
        <v>7</v>
      </c>
      <c r="F21" s="119">
        <v>3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LUCIANA CASCANTE BARBOZA</v>
      </c>
      <c r="E22" s="119">
        <v>11</v>
      </c>
      <c r="F22" s="119">
        <v>11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VALENTINA LOPEZ ALVARADO</v>
      </c>
      <c r="E23" s="119">
        <v>7</v>
      </c>
      <c r="F23" s="119">
        <v>3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3918</v>
      </c>
      <c r="D34" s="126" t="str">
        <f>IF(ISBLANK(C34),"",VLOOKUP(C34,Inscripciones!$B$5:$F$200,2,FALSE))</f>
        <v>MARIANA SOTO CALDERON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3907</v>
      </c>
      <c r="D35" s="126" t="str">
        <f>IF(ISBLANK(C35),"",VLOOKUP(C35,Inscripciones!$B$5:$F$200,2,FALSE))</f>
        <v>LUCIANA CASCANTE BARBOZA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6837-9400-4466-B3A3-73A3958ED5CB}">
  <sheetPr codeName="Sheet7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4.710937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4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4.0999999999999996</v>
      </c>
      <c r="B12" s="109">
        <v>1</v>
      </c>
      <c r="C12" s="110">
        <f>VLOOKUP(A12,Inscripciones!A5:G167,2,FALSE)</f>
        <v>4176</v>
      </c>
      <c r="D12" s="111" t="str">
        <f>IF(ISBLANK(C12),"",VLOOKUP(C12,Inscripciones!$B$5:$F$200,2,FALSE))</f>
        <v>LÍA SOFÍA SOLÍS VÁSQUEZ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4</v>
      </c>
      <c r="G12" s="112">
        <f>IF(ISBLANK(C12),"",VLOOKUP(C12,Inscripciones!$B$5:$F$200,5,FALSE))</f>
        <v>622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4.2</v>
      </c>
      <c r="B13" s="109">
        <v>2</v>
      </c>
      <c r="C13" s="110">
        <f>VLOOKUP(A13,Inscripciones!A5:G168,2,FALSE)</f>
        <v>4212</v>
      </c>
      <c r="D13" s="111" t="str">
        <f>IF(ISBLANK(C13),"",VLOOKUP(C13,Inscripciones!$B$5:$F$200,2,FALSE))</f>
        <v>FIORELLA RETANA AGUILAR</v>
      </c>
      <c r="E13" s="112" t="str">
        <f>IF(ISBLANK(C13),"",VLOOKUP(C13,Inscripciones!$B$5:$F$200,3,FALSE))</f>
        <v>CURRIDABAT</v>
      </c>
      <c r="F13" s="112">
        <f>IF(ISBLANK(C13),"",VLOOKUP(C13,Inscripciones!$B$5:$F$200,4,FALSE))</f>
        <v>15</v>
      </c>
      <c r="G13" s="112">
        <f>IF(ISBLANK(C13),"",VLOOKUP(C13,Inscripciones!$B$5:$F$200,5,FALSE))</f>
        <v>512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4.3</v>
      </c>
      <c r="B14" s="109">
        <v>3</v>
      </c>
      <c r="C14" s="110">
        <f>VLOOKUP(A14,Inscripciones!A6:G169,2,FALSE)</f>
        <v>4380</v>
      </c>
      <c r="D14" s="111" t="str">
        <f>IF(ISBLANK(C14),"",VLOOKUP(C14,Inscripciones!$B$7:$F$200,2,FALSE))</f>
        <v>VALENTINA FERNANDEZ REYES</v>
      </c>
      <c r="E14" s="112" t="str">
        <f>IF(ISBLANK(C14),"",VLOOKUP(C14,Inscripciones!$B$7:$F$200,3,FALSE))</f>
        <v>ESCAZÚ</v>
      </c>
      <c r="F14" s="112">
        <f>IF(ISBLANK(C14),"",VLOOKUP(C14,Inscripciones!$B$7:$F$200,4,FALSE))</f>
        <v>23</v>
      </c>
      <c r="G14" s="112">
        <f>IF(ISBLANK(C14),"",VLOOKUP(C14,Inscripciones!$B$7:$F$200,5,FALSE))</f>
        <v>483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LÍA SOFÍA SOLÍS VÁSQUEZ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VALENTINA FERNANDEZ REYES</v>
      </c>
      <c r="E19" s="119">
        <v>4</v>
      </c>
      <c r="F19" s="119">
        <v>3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LÍA SOFÍA SOLÍS VÁSQUEZ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FIORELLA RETANA AGUILAR</v>
      </c>
      <c r="E21" s="119">
        <v>5</v>
      </c>
      <c r="F21" s="119">
        <v>8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FIORELLA RETANA AGUILAR</v>
      </c>
      <c r="E22" s="119">
        <v>11</v>
      </c>
      <c r="F22" s="119">
        <v>11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VALENTINA FERNANDEZ REYES</v>
      </c>
      <c r="E23" s="119">
        <v>7</v>
      </c>
      <c r="F23" s="119">
        <v>7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4176</v>
      </c>
      <c r="D34" s="126" t="str">
        <f>IF(ISBLANK(C34),"",VLOOKUP(C34,Inscripciones!$B$5:$F$200,2,FALSE))</f>
        <v>LÍA SOFÍA SOLÍS VÁSQUEZ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4212</v>
      </c>
      <c r="D35" s="126" t="str">
        <f>IF(ISBLANK(C35),"",VLOOKUP(C35,Inscripciones!$B$5:$F$200,2,FALSE))</f>
        <v>FIORELLA RETANA AGUILAR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06C0-14CA-470F-AAC7-D299ADD6CAF4}">
  <sheetPr codeName="Sheet8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9.8554687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5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5.0999999999999996</v>
      </c>
      <c r="B12" s="109">
        <v>1</v>
      </c>
      <c r="C12" s="110">
        <f>VLOOKUP(A12,Inscripciones!A5:G167,2,FALSE)</f>
        <v>4274</v>
      </c>
      <c r="D12" s="111" t="str">
        <f>IF(ISBLANK(C12),"",VLOOKUP(C12,Inscripciones!$B$5:$F$200,2,FALSE))</f>
        <v>MARÍA PAULA HERNÁNDEZ ZÚÑIGA</v>
      </c>
      <c r="E12" s="112" t="str">
        <f>IF(ISBLANK(C12),"",VLOOKUP(C12,Inscripciones!$B$5:$F$200,3,FALSE))</f>
        <v>ESCAZÚ</v>
      </c>
      <c r="F12" s="112">
        <f>IF(ISBLANK(C12),"",VLOOKUP(C12,Inscripciones!$B$5:$F$200,4,FALSE))</f>
        <v>5</v>
      </c>
      <c r="G12" s="112">
        <f>IF(ISBLANK(C12),"",VLOOKUP(C12,Inscripciones!$B$5:$F$200,5,FALSE))</f>
        <v>617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5.2</v>
      </c>
      <c r="B13" s="109">
        <v>2</v>
      </c>
      <c r="C13" s="110">
        <f>VLOOKUP(A13,Inscripciones!A5:G168,2,FALSE)</f>
        <v>4579</v>
      </c>
      <c r="D13" s="111" t="str">
        <f>IF(ISBLANK(C13),"",VLOOKUP(C13,Inscripciones!$B$5:$F$200,2,FALSE))</f>
        <v>EMMA GIOCONDA BERTARIONI ARAYA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14</v>
      </c>
      <c r="G13" s="112">
        <f>IF(ISBLANK(C13),"",VLOOKUP(C13,Inscripciones!$B$5:$F$200,5,FALSE))</f>
        <v>526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5.3</v>
      </c>
      <c r="B14" s="109">
        <v>3</v>
      </c>
      <c r="C14" s="110">
        <f>VLOOKUP(A14,Inscripciones!A6:G169,2,FALSE)</f>
        <v>4673</v>
      </c>
      <c r="D14" s="111" t="str">
        <f>IF(ISBLANK(C14),"",VLOOKUP(C14,Inscripciones!$B$7:$F$200,2,FALSE))</f>
        <v>ALINA CHACON RETANA</v>
      </c>
      <c r="E14" s="112" t="str">
        <f>IF(ISBLANK(C14),"",VLOOKUP(C14,Inscripciones!$B$7:$F$200,3,FALSE))</f>
        <v>SAN CARLOS</v>
      </c>
      <c r="F14" s="112">
        <f>IF(ISBLANK(C14),"",VLOOKUP(C14,Inscripciones!$B$7:$F$200,4,FALSE))</f>
        <v>25</v>
      </c>
      <c r="G14" s="112">
        <f>IF(ISBLANK(C14),"",VLOOKUP(C14,Inscripciones!$B$7:$F$200,5,FALSE))</f>
        <v>483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MARÍA PAULA HERNÁNDEZ ZÚÑIGA</v>
      </c>
      <c r="E18" s="119">
        <v>8</v>
      </c>
      <c r="F18" s="119">
        <v>8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3</v>
      </c>
    </row>
    <row r="19" spans="2:10" ht="21" customHeight="1" x14ac:dyDescent="0.25">
      <c r="B19" s="120"/>
      <c r="C19" s="117">
        <v>3</v>
      </c>
      <c r="D19" s="118" t="str">
        <f>D14</f>
        <v>ALINA CHACON RETANA</v>
      </c>
      <c r="E19" s="119">
        <v>11</v>
      </c>
      <c r="F19" s="119">
        <v>11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MARÍA PAULA HERNÁNDEZ ZÚÑIGA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EMMA GIOCONDA BERTARIONI ARAYA</v>
      </c>
      <c r="E21" s="119">
        <v>2</v>
      </c>
      <c r="F21" s="119">
        <v>3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EMMA GIOCONDA BERTARIONI ARAYA</v>
      </c>
      <c r="E22" s="119">
        <v>11</v>
      </c>
      <c r="F22" s="119">
        <v>12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ALINA CHACON RETANA</v>
      </c>
      <c r="E23" s="119">
        <v>9</v>
      </c>
      <c r="F23" s="119">
        <v>10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4274</v>
      </c>
      <c r="D34" s="126" t="str">
        <f>IF(ISBLANK(C34),"",VLOOKUP(C34,Inscripciones!$B$5:$F$200,2,FALSE))</f>
        <v>MARÍA PAULA HERNÁNDEZ ZÚÑIGA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4673</v>
      </c>
      <c r="D35" s="126" t="str">
        <f>IF(ISBLANK(C35),"",VLOOKUP(C35,Inscripciones!$B$5:$F$200,2,FALSE))</f>
        <v>ALINA CHACON RETANA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3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C53-30A9-4400-8875-6AAF6D4B2E83}">
  <sheetPr codeName="Sheet9">
    <pageSetUpPr fitToPage="1"/>
  </sheetPr>
  <dimension ref="A2:M35"/>
  <sheetViews>
    <sheetView topLeftCell="A19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5.2851562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6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6.1</v>
      </c>
      <c r="B12" s="109">
        <v>1</v>
      </c>
      <c r="C12" s="110">
        <f>VLOOKUP(A12,Inscripciones!A5:G167,2,FALSE)</f>
        <v>4273</v>
      </c>
      <c r="D12" s="111" t="str">
        <f>IF(ISBLANK(C12),"",VLOOKUP(C12,Inscripciones!$B$5:$F$200,2,FALSE))</f>
        <v>JAQUELINE HERNÁNDEZ ZUÑIGA</v>
      </c>
      <c r="E12" s="112" t="str">
        <f>IF(ISBLANK(C12),"",VLOOKUP(C12,Inscripciones!$B$5:$F$200,3,FALSE))</f>
        <v>ESCAZÚ</v>
      </c>
      <c r="F12" s="112">
        <f>IF(ISBLANK(C12),"",VLOOKUP(C12,Inscripciones!$B$5:$F$200,4,FALSE))</f>
        <v>6</v>
      </c>
      <c r="G12" s="112">
        <f>IF(ISBLANK(C12),"",VLOOKUP(C12,Inscripciones!$B$5:$F$200,5,FALSE))</f>
        <v>603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6.2</v>
      </c>
      <c r="B13" s="109">
        <v>2</v>
      </c>
      <c r="C13" s="110">
        <f>VLOOKUP(A13,Inscripciones!A5:G168,2,FALSE)</f>
        <v>4047</v>
      </c>
      <c r="D13" s="111" t="str">
        <f>IF(ISBLANK(C13),"",VLOOKUP(C13,Inscripciones!$B$5:$F$200,2,FALSE))</f>
        <v>MARIANGEL JIMENEZ QUESADA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11</v>
      </c>
      <c r="G13" s="112">
        <f>IF(ISBLANK(C13),"",VLOOKUP(C13,Inscripciones!$B$5:$F$200,5,FALSE))</f>
        <v>566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6.3</v>
      </c>
      <c r="B14" s="109">
        <v>3</v>
      </c>
      <c r="C14" s="110">
        <f>VLOOKUP(A14,Inscripciones!A6:G169,2,FALSE)</f>
        <v>3912</v>
      </c>
      <c r="D14" s="111" t="str">
        <f>IF(ISBLANK(C14),"",VLOOKUP(C14,Inscripciones!$B$7:$F$200,2,FALSE))</f>
        <v>AMBAR PADILLA GRANADOS</v>
      </c>
      <c r="E14" s="112" t="str">
        <f>IF(ISBLANK(C14),"",VLOOKUP(C14,Inscripciones!$B$7:$F$200,3,FALSE))</f>
        <v>PÉREZ ZELEDÓN</v>
      </c>
      <c r="F14" s="112">
        <f>IF(ISBLANK(C14),"",VLOOKUP(C14,Inscripciones!$B$7:$F$200,4,FALSE))</f>
        <v>26</v>
      </c>
      <c r="G14" s="112">
        <f>IF(ISBLANK(C14),"",VLOOKUP(C14,Inscripciones!$B$7:$F$200,5,FALSE))</f>
        <v>473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JAQUELINE HERNÁNDEZ ZUÑIGA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AMBAR PADILLA GRANADOS</v>
      </c>
      <c r="E19" s="119">
        <v>5</v>
      </c>
      <c r="F19" s="119">
        <v>8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JAQUELINE HERNÁNDEZ ZUÑIGA</v>
      </c>
      <c r="E20" s="119">
        <v>11</v>
      </c>
      <c r="F20" s="119">
        <v>14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MARIANGEL JIMENEZ QUESADA</v>
      </c>
      <c r="E21" s="119">
        <v>4</v>
      </c>
      <c r="F21" s="119">
        <v>12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MARIANGEL JIMENEZ QUESADA</v>
      </c>
      <c r="E22" s="119">
        <v>9</v>
      </c>
      <c r="F22" s="119">
        <v>4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20"/>
      <c r="C23" s="119">
        <v>3</v>
      </c>
      <c r="D23" s="118" t="str">
        <f>D14</f>
        <v>AMBAR PADILLA GRANADOS</v>
      </c>
      <c r="E23" s="119">
        <v>11</v>
      </c>
      <c r="F23" s="119">
        <v>11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4273</v>
      </c>
      <c r="D34" s="126" t="str">
        <f>IF(ISBLANK(C34),"",VLOOKUP(C34,Inscripciones!$B$5:$F$200,2,FALSE))</f>
        <v>JAQUELINE HERNÁNDEZ ZUÑIGA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3912</v>
      </c>
      <c r="D35" s="126" t="str">
        <f>IF(ISBLANK(C35),"",VLOOKUP(C35,Inscripciones!$B$5:$F$200,2,FALSE))</f>
        <v>AMBAR PADILLA GRANADOS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6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ADAF-7B1B-4F6F-87FF-75778CA725F0}">
  <sheetPr codeName="Sheet10">
    <pageSetUpPr fitToPage="1"/>
  </sheetPr>
  <dimension ref="A2:M35"/>
  <sheetViews>
    <sheetView topLeftCell="A19" zoomScale="115" zoomScaleNormal="115" workbookViewId="0">
      <selection activeCell="L23" sqref="L23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2.710937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7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7.1</v>
      </c>
      <c r="B12" s="109">
        <v>1</v>
      </c>
      <c r="C12" s="110">
        <f>VLOOKUP(A12,Inscripciones!A5:G167,2,FALSE)</f>
        <v>4100</v>
      </c>
      <c r="D12" s="111" t="str">
        <f>IF(ISBLANK(C12),"",VLOOKUP(C12,Inscripciones!$B$5:$F$200,2,FALSE))</f>
        <v>BRENDA HERRERA RIVAS</v>
      </c>
      <c r="E12" s="112" t="str">
        <f>IF(ISBLANK(C12),"",VLOOKUP(C12,Inscripciones!$B$5:$F$200,3,FALSE))</f>
        <v>ESPARZA</v>
      </c>
      <c r="F12" s="112">
        <f>IF(ISBLANK(C12),"",VLOOKUP(C12,Inscripciones!$B$5:$F$200,4,FALSE))</f>
        <v>7</v>
      </c>
      <c r="G12" s="112">
        <f>IF(ISBLANK(C12),"",VLOOKUP(C12,Inscripciones!$B$5:$F$200,5,FALSE))</f>
        <v>602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7.2</v>
      </c>
      <c r="B13" s="109">
        <v>2</v>
      </c>
      <c r="C13" s="110">
        <f>VLOOKUP(A13,Inscripciones!A5:G168,2,FALSE)</f>
        <v>4104</v>
      </c>
      <c r="D13" s="111" t="str">
        <f>IF(ISBLANK(C13),"",VLOOKUP(C13,Inscripciones!$B$5:$F$200,2,FALSE))</f>
        <v>ARIANA SANCHEZ DELGADO</v>
      </c>
      <c r="E13" s="112" t="str">
        <f>IF(ISBLANK(C13),"",VLOOKUP(C13,Inscripciones!$B$5:$F$200,3,FALSE))</f>
        <v>ESCAZÚ</v>
      </c>
      <c r="F13" s="112">
        <f>IF(ISBLANK(C13),"",VLOOKUP(C13,Inscripciones!$B$5:$F$200,4,FALSE))</f>
        <v>12</v>
      </c>
      <c r="G13" s="112">
        <f>IF(ISBLANK(C13),"",VLOOKUP(C13,Inscripciones!$B$5:$F$200,5,FALSE))</f>
        <v>549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7.3</v>
      </c>
      <c r="B14" s="109">
        <v>3</v>
      </c>
      <c r="C14" s="110">
        <f>VLOOKUP(A14,Inscripciones!A6:G169,2,FALSE)</f>
        <v>4278</v>
      </c>
      <c r="D14" s="111" t="str">
        <f>IF(ISBLANK(C14),"",VLOOKUP(C14,Inscripciones!$B$7:$F$200,2,FALSE))</f>
        <v>EMA MELISSA ANGULO CRUZ</v>
      </c>
      <c r="E14" s="112" t="str">
        <f>IF(ISBLANK(C14),"",VLOOKUP(C14,Inscripciones!$B$7:$F$200,3,FALSE))</f>
        <v>ASERRÍ</v>
      </c>
      <c r="F14" s="112">
        <f>IF(ISBLANK(C14),"",VLOOKUP(C14,Inscripciones!$B$7:$F$200,4,FALSE))</f>
        <v>28</v>
      </c>
      <c r="G14" s="112">
        <f>IF(ISBLANK(C14),"",VLOOKUP(C14,Inscripciones!$B$7:$F$200,5,FALSE))</f>
        <v>470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BRENDA HERRERA RIVAS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EMA MELISSA ANGULO CRUZ</v>
      </c>
      <c r="E19" s="119">
        <v>6</v>
      </c>
      <c r="F19" s="119">
        <v>6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BRENDA HERRERA RIVAS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ARIANA SANCHEZ DELGADO</v>
      </c>
      <c r="E21" s="119">
        <v>4</v>
      </c>
      <c r="F21" s="119">
        <v>6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ARIANA SANCHEZ DELGADO</v>
      </c>
      <c r="E22" s="119">
        <v>11</v>
      </c>
      <c r="F22" s="119">
        <v>12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EMA MELISSA ANGULO CRUZ</v>
      </c>
      <c r="E23" s="119">
        <v>7</v>
      </c>
      <c r="F23" s="119">
        <v>10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4100</v>
      </c>
      <c r="D34" s="126" t="str">
        <f>IF(ISBLANK(C34),"",VLOOKUP(C34,Inscripciones!$B$5:$F$200,2,FALSE))</f>
        <v>BRENDA HERRERA RIVAS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4104</v>
      </c>
      <c r="D35" s="126" t="str">
        <f>IF(ISBLANK(C35),"",VLOOKUP(C35,Inscripciones!$B$5:$F$200,2,FALSE))</f>
        <v>ARIANA SANCHEZ DELGADO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A4B6-2451-490C-AF5E-A6B9C485BF44}">
  <sheetPr codeName="Sheet11">
    <pageSetUpPr fitToPage="1"/>
  </sheetPr>
  <dimension ref="A2:M35"/>
  <sheetViews>
    <sheetView zoomScale="115" zoomScaleNormal="115" workbookViewId="0">
      <selection activeCell="D38" sqref="D38"/>
    </sheetView>
  </sheetViews>
  <sheetFormatPr defaultColWidth="9.140625" defaultRowHeight="15" x14ac:dyDescent="0.25"/>
  <cols>
    <col min="1" max="1" width="4" style="17" bestFit="1" customWidth="1"/>
    <col min="2" max="2" width="11" style="17" customWidth="1"/>
    <col min="3" max="3" width="7.28515625" style="17" customWidth="1"/>
    <col min="4" max="4" width="24.85546875" style="17" bestFit="1" customWidth="1"/>
    <col min="5" max="5" width="14.140625" style="17" customWidth="1"/>
    <col min="6" max="6" width="10.42578125" style="17" bestFit="1" customWidth="1"/>
    <col min="7" max="7" width="10.7109375" style="17" customWidth="1"/>
    <col min="8" max="9" width="10.7109375" style="17" hidden="1" customWidth="1"/>
    <col min="10" max="10" width="11.7109375" style="17" customWidth="1"/>
    <col min="11" max="11" width="11.42578125" style="17" customWidth="1"/>
    <col min="12" max="16384" width="9.140625" style="17"/>
  </cols>
  <sheetData>
    <row r="2" spans="1:13" x14ac:dyDescent="0.25">
      <c r="B2" s="381"/>
      <c r="C2" s="381"/>
      <c r="D2" s="381"/>
      <c r="E2" s="381"/>
      <c r="F2" s="381"/>
      <c r="G2" s="381"/>
      <c r="H2" s="381"/>
      <c r="I2" s="381"/>
      <c r="J2" s="381"/>
    </row>
    <row r="3" spans="1:13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3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3" ht="15.7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2" t="s">
        <v>18</v>
      </c>
      <c r="M5" s="382"/>
    </row>
    <row r="6" spans="1:13" ht="26.2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83"/>
      <c r="M6" s="383"/>
    </row>
    <row r="7" spans="1:13" ht="26.25" customHeight="1" x14ac:dyDescent="0.35">
      <c r="C7" s="101"/>
      <c r="D7" s="101"/>
      <c r="G7" s="101" t="s">
        <v>19</v>
      </c>
      <c r="H7" s="101"/>
      <c r="I7" s="101"/>
      <c r="J7" s="102">
        <f ca="1">TODAY()</f>
        <v>46288</v>
      </c>
      <c r="L7" s="383"/>
      <c r="M7" s="383"/>
    </row>
    <row r="8" spans="1:13" ht="26.25" customHeight="1" x14ac:dyDescent="0.35">
      <c r="C8" s="101"/>
      <c r="D8" s="101"/>
      <c r="L8" s="383"/>
      <c r="M8" s="383"/>
    </row>
    <row r="9" spans="1:13" ht="21" customHeight="1" x14ac:dyDescent="0.35">
      <c r="B9" s="103" t="s">
        <v>20</v>
      </c>
      <c r="C9" s="104"/>
      <c r="D9" s="105" t="str">
        <f>Inscripciones!B2</f>
        <v>U13 FEMENINO</v>
      </c>
      <c r="E9" s="103" t="s">
        <v>21</v>
      </c>
      <c r="F9" s="105">
        <v>8</v>
      </c>
      <c r="G9" s="103" t="s">
        <v>22</v>
      </c>
      <c r="H9" s="103"/>
      <c r="I9" s="103"/>
      <c r="J9" s="106"/>
    </row>
    <row r="10" spans="1:13" ht="21" customHeight="1" x14ac:dyDescent="0.25"/>
    <row r="11" spans="1:13" ht="21" customHeight="1" x14ac:dyDescent="0.25">
      <c r="B11" s="107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  <c r="J11" s="108"/>
    </row>
    <row r="12" spans="1:13" ht="21" customHeight="1" x14ac:dyDescent="0.35">
      <c r="A12" s="17">
        <f>F9+0.1</f>
        <v>8.1</v>
      </c>
      <c r="B12" s="109">
        <v>1</v>
      </c>
      <c r="C12" s="110">
        <f>VLOOKUP(A12,Inscripciones!A5:G167,2,FALSE)</f>
        <v>4183</v>
      </c>
      <c r="D12" s="111" t="str">
        <f>IF(ISBLANK(C12),"",VLOOKUP(C12,Inscripciones!$B$5:$F$200,2,FALSE))</f>
        <v>MONSERRAT RODRÍGUEZ SOLÍS</v>
      </c>
      <c r="E12" s="112" t="str">
        <f>IF(ISBLANK(C12),"",VLOOKUP(C12,Inscripciones!$B$5:$F$200,3,FALSE))</f>
        <v>SAN CARLOS</v>
      </c>
      <c r="F12" s="112">
        <f>IF(ISBLANK(C12),"",VLOOKUP(C12,Inscripciones!$B$5:$F$200,4,FALSE))</f>
        <v>8</v>
      </c>
      <c r="G12" s="112">
        <f>IF(ISBLANK(C12),"",VLOOKUP(C12,Inscripciones!$B$5:$F$200,5,FALSE))</f>
        <v>572</v>
      </c>
      <c r="H12" s="113"/>
      <c r="I12" s="113"/>
      <c r="J12" s="17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7">
        <f>F9+0.2</f>
        <v>8.1999999999999993</v>
      </c>
      <c r="B13" s="109">
        <v>2</v>
      </c>
      <c r="C13" s="110">
        <f>VLOOKUP(A13,Inscripciones!A5:G168,2,FALSE)</f>
        <v>4275</v>
      </c>
      <c r="D13" s="111" t="str">
        <f>IF(ISBLANK(C13),"",VLOOKUP(C13,Inscripciones!$B$5:$F$200,2,FALSE))</f>
        <v>CLARISSA MORA JIMÉNEZ</v>
      </c>
      <c r="E13" s="112" t="str">
        <f>IF(ISBLANK(C13),"",VLOOKUP(C13,Inscripciones!$B$5:$F$200,3,FALSE))</f>
        <v>ESPARZA</v>
      </c>
      <c r="F13" s="112">
        <f>IF(ISBLANK(C13),"",VLOOKUP(C13,Inscripciones!$B$5:$F$200,4,FALSE))</f>
        <v>10</v>
      </c>
      <c r="G13" s="112">
        <f>IF(ISBLANK(C13),"",VLOOKUP(C13,Inscripciones!$B$5:$F$200,5,FALSE))</f>
        <v>566</v>
      </c>
      <c r="H13" s="113"/>
      <c r="I13" s="113"/>
      <c r="J13" s="17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7">
        <f>+F9+0.3</f>
        <v>8.3000000000000007</v>
      </c>
      <c r="B14" s="109">
        <v>3</v>
      </c>
      <c r="C14" s="110">
        <f>VLOOKUP(A14,Inscripciones!A6:G169,2,FALSE)</f>
        <v>4787</v>
      </c>
      <c r="D14" s="111" t="str">
        <f>IF(ISBLANK(C14),"",VLOOKUP(C14,Inscripciones!$B$7:$F$200,2,FALSE))</f>
        <v>KENYA DEL VALLE ARAO</v>
      </c>
      <c r="E14" s="112" t="str">
        <f>IF(ISBLANK(C14),"",VLOOKUP(C14,Inscripciones!$B$7:$F$200,3,FALSE))</f>
        <v>CURRIDABAT</v>
      </c>
      <c r="F14" s="112">
        <f>IF(ISBLANK(C14),"",VLOOKUP(C14,Inscripciones!$B$7:$F$200,4,FALSE))</f>
        <v>30</v>
      </c>
      <c r="G14" s="112">
        <f>IF(ISBLANK(C14),"",VLOOKUP(C14,Inscripciones!$B$7:$F$200,5,FALSE))</f>
        <v>466</v>
      </c>
      <c r="H14" s="113"/>
      <c r="I14" s="113"/>
      <c r="J14" s="17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4" t="s">
        <v>29</v>
      </c>
      <c r="C17" s="114"/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18" t="str">
        <f>D12</f>
        <v>MONSERRAT RODRÍGUEZ SOLÍS</v>
      </c>
      <c r="E18" s="119">
        <v>11</v>
      </c>
      <c r="F18" s="119">
        <v>11</v>
      </c>
      <c r="G18" s="119"/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18" t="str">
        <f>D14</f>
        <v>KENYA DEL VALLE ARAO</v>
      </c>
      <c r="E19" s="119">
        <v>2</v>
      </c>
      <c r="F19" s="119">
        <v>2</v>
      </c>
      <c r="G19" s="119"/>
      <c r="H19" s="119"/>
      <c r="I19" s="119"/>
      <c r="J19" s="385"/>
    </row>
    <row r="20" spans="2:10" ht="21" customHeight="1" x14ac:dyDescent="0.25">
      <c r="B20" s="116">
        <v>2</v>
      </c>
      <c r="C20" s="119">
        <v>1</v>
      </c>
      <c r="D20" s="118" t="str">
        <f>D12</f>
        <v>MONSERRAT RODRÍGUEZ SOLÍS</v>
      </c>
      <c r="E20" s="119">
        <v>11</v>
      </c>
      <c r="F20" s="119">
        <v>11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20"/>
      <c r="C21" s="119">
        <v>2</v>
      </c>
      <c r="D21" s="118" t="str">
        <f>D13</f>
        <v>CLARISSA MORA JIMÉNEZ</v>
      </c>
      <c r="E21" s="119">
        <v>6</v>
      </c>
      <c r="F21" s="119">
        <v>5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9">
        <v>2</v>
      </c>
      <c r="D22" s="118" t="str">
        <f>D13</f>
        <v>CLARISSA MORA JIMÉNEZ</v>
      </c>
      <c r="E22" s="119">
        <v>11</v>
      </c>
      <c r="F22" s="119">
        <v>11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9">
        <v>3</v>
      </c>
      <c r="D23" s="118" t="str">
        <f>D14</f>
        <v>KENYA DEL VALLE ARAO</v>
      </c>
      <c r="E23" s="119">
        <v>1</v>
      </c>
      <c r="F23" s="119">
        <v>3</v>
      </c>
      <c r="G23" s="119"/>
      <c r="H23" s="119"/>
      <c r="I23" s="119"/>
      <c r="J23" s="385"/>
    </row>
    <row r="24" spans="2:10" ht="6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</row>
    <row r="25" spans="2:10" ht="6" customHeight="1" x14ac:dyDescent="0.25">
      <c r="B25" s="104"/>
      <c r="E25" s="104"/>
      <c r="F25" s="104"/>
      <c r="G25" s="104"/>
      <c r="H25" s="104"/>
      <c r="I25" s="104"/>
      <c r="J25" s="104"/>
    </row>
    <row r="26" spans="2:10" s="122" customFormat="1" ht="6" customHeight="1" x14ac:dyDescent="0.25">
      <c r="B26" s="121"/>
      <c r="E26" s="121"/>
      <c r="F26" s="121"/>
      <c r="G26" s="121"/>
      <c r="H26" s="121"/>
      <c r="I26" s="121"/>
      <c r="J26" s="121"/>
    </row>
    <row r="27" spans="2:10" ht="6" customHeight="1" x14ac:dyDescent="0.25">
      <c r="E27" s="104"/>
      <c r="F27" s="104"/>
    </row>
    <row r="28" spans="2:10" ht="6" customHeight="1" x14ac:dyDescent="0.25">
      <c r="E28" s="104"/>
      <c r="F28" s="104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ht="18" customHeight="1" thickBot="1" x14ac:dyDescent="0.3">
      <c r="C33" s="124" t="s">
        <v>39</v>
      </c>
      <c r="D33" s="124" t="s">
        <v>40</v>
      </c>
      <c r="F33" s="373" t="s">
        <v>41</v>
      </c>
      <c r="G33" s="374"/>
      <c r="H33" s="374"/>
      <c r="I33" s="374"/>
      <c r="J33" s="374"/>
    </row>
    <row r="34" spans="3:10" ht="25.5" customHeight="1" thickBot="1" x14ac:dyDescent="0.3">
      <c r="C34" s="125">
        <v>4183</v>
      </c>
      <c r="D34" s="126" t="str">
        <f>IF(ISBLANK(C34),"",VLOOKUP(C34,Inscripciones!$B$5:$F$200,2,FALSE))</f>
        <v>MONSERRAT RODRÍGUEZ SOLÍS</v>
      </c>
      <c r="F34" s="127" t="s">
        <v>42</v>
      </c>
      <c r="G34" s="375"/>
      <c r="H34" s="376"/>
      <c r="I34" s="376"/>
      <c r="J34" s="377"/>
    </row>
    <row r="35" spans="3:10" ht="25.5" customHeight="1" thickBot="1" x14ac:dyDescent="0.3">
      <c r="C35" s="125">
        <v>4275</v>
      </c>
      <c r="D35" s="126" t="str">
        <f>IF(ISBLANK(C35),"",VLOOKUP(C35,Inscripciones!$B$5:$F$200,2,FALSE))</f>
        <v>CLARISSA MORA JIMÉNEZ</v>
      </c>
      <c r="F35" s="378" t="s">
        <v>43</v>
      </c>
      <c r="G35" s="379"/>
      <c r="H35" s="379"/>
      <c r="I35" s="380"/>
      <c r="J35" s="128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7A25-6C8D-42BD-A562-19E3361E8EB8}">
  <sheetPr codeName="Sheet12">
    <pageSetUpPr fitToPage="1"/>
  </sheetPr>
  <dimension ref="A2:P35"/>
  <sheetViews>
    <sheetView topLeftCell="A5" zoomScaleNormal="100" workbookViewId="0">
      <selection activeCell="M35" sqref="M35"/>
    </sheetView>
  </sheetViews>
  <sheetFormatPr defaultColWidth="9.140625" defaultRowHeight="15" x14ac:dyDescent="0.25"/>
  <cols>
    <col min="1" max="1" width="5" style="17" bestFit="1" customWidth="1"/>
    <col min="2" max="2" width="7.7109375" style="17" customWidth="1"/>
    <col min="3" max="3" width="7.28515625" style="17" customWidth="1"/>
    <col min="4" max="4" width="23.42578125" style="17" bestFit="1" customWidth="1"/>
    <col min="5" max="5" width="14.140625" style="17" customWidth="1"/>
    <col min="6" max="6" width="10.85546875" style="17" customWidth="1"/>
    <col min="7" max="7" width="11.5703125" style="17" customWidth="1"/>
    <col min="8" max="9" width="11.5703125" style="17" hidden="1" customWidth="1"/>
    <col min="10" max="10" width="14.5703125" style="17" customWidth="1"/>
    <col min="11" max="11" width="11.42578125" style="17" customWidth="1"/>
    <col min="12" max="14" width="9.140625" style="17"/>
    <col min="15" max="15" width="9.140625" style="17" hidden="1" customWidth="1"/>
    <col min="16" max="16384" width="9.140625" style="17"/>
  </cols>
  <sheetData>
    <row r="2" spans="1:16" x14ac:dyDescent="0.25">
      <c r="B2" s="381" t="e" vm="1">
        <v>#VALUE!</v>
      </c>
      <c r="C2" s="381"/>
      <c r="D2" s="381"/>
      <c r="E2" s="381"/>
      <c r="F2" s="381"/>
      <c r="G2" s="381"/>
      <c r="H2" s="381"/>
      <c r="I2" s="381"/>
      <c r="J2" s="381"/>
    </row>
    <row r="3" spans="1:16" x14ac:dyDescent="0.25">
      <c r="B3" s="381"/>
      <c r="C3" s="381"/>
      <c r="D3" s="381"/>
      <c r="E3" s="381"/>
      <c r="F3" s="381"/>
      <c r="G3" s="381"/>
      <c r="H3" s="381"/>
      <c r="I3" s="381"/>
      <c r="J3" s="381"/>
    </row>
    <row r="4" spans="1:16" ht="15" customHeight="1" thickBot="1" x14ac:dyDescent="0.3">
      <c r="B4" s="381"/>
      <c r="C4" s="381"/>
      <c r="D4" s="381"/>
      <c r="E4" s="381"/>
      <c r="F4" s="381"/>
      <c r="G4" s="381"/>
      <c r="H4" s="381"/>
      <c r="I4" s="381"/>
      <c r="J4" s="381"/>
    </row>
    <row r="5" spans="1:16" ht="25.5" customHeight="1" x14ac:dyDescent="0.25">
      <c r="B5" s="381"/>
      <c r="C5" s="381"/>
      <c r="D5" s="381"/>
      <c r="E5" s="381"/>
      <c r="F5" s="381"/>
      <c r="G5" s="381"/>
      <c r="H5" s="381"/>
      <c r="I5" s="381"/>
      <c r="J5" s="381"/>
      <c r="L5" s="389" t="s">
        <v>44</v>
      </c>
      <c r="M5" s="390"/>
      <c r="O5" s="129" t="s">
        <v>45</v>
      </c>
      <c r="P5" s="130" t="s">
        <v>46</v>
      </c>
    </row>
    <row r="6" spans="1:16" ht="25.5" customHeight="1" x14ac:dyDescent="0.25">
      <c r="B6" s="381"/>
      <c r="C6" s="381"/>
      <c r="D6" s="381"/>
      <c r="E6" s="381"/>
      <c r="F6" s="381"/>
      <c r="G6" s="381"/>
      <c r="H6" s="381"/>
      <c r="I6" s="381"/>
      <c r="J6" s="381"/>
      <c r="L6" s="391"/>
      <c r="M6" s="392"/>
      <c r="O6" s="129" t="s">
        <v>47</v>
      </c>
      <c r="P6" s="125" t="s">
        <v>45</v>
      </c>
    </row>
    <row r="7" spans="1:16" ht="29.25" customHeight="1" x14ac:dyDescent="0.35">
      <c r="C7" s="395"/>
      <c r="D7" s="395"/>
      <c r="E7" s="395"/>
      <c r="F7" s="395"/>
      <c r="G7" s="131" t="s">
        <v>48</v>
      </c>
      <c r="H7" s="131"/>
      <c r="I7" s="131"/>
      <c r="J7" s="132">
        <f ca="1">TODAY()</f>
        <v>46288</v>
      </c>
      <c r="L7" s="391"/>
      <c r="M7" s="392"/>
      <c r="O7" s="129" t="s">
        <v>49</v>
      </c>
    </row>
    <row r="8" spans="1:16" ht="20.25" customHeight="1" thickBot="1" x14ac:dyDescent="0.4">
      <c r="D8" s="101"/>
      <c r="G8" s="103"/>
      <c r="H8" s="103"/>
      <c r="I8" s="103"/>
      <c r="L8" s="393"/>
      <c r="M8" s="394"/>
      <c r="O8" s="129"/>
    </row>
    <row r="9" spans="1:16" ht="21" customHeight="1" x14ac:dyDescent="0.35">
      <c r="B9" s="103" t="s">
        <v>50</v>
      </c>
      <c r="C9" s="103"/>
      <c r="D9" s="105" t="str">
        <f>Inscripciones!B2</f>
        <v>U13 FEMENINO</v>
      </c>
      <c r="E9" s="103" t="s">
        <v>21</v>
      </c>
      <c r="F9" s="105">
        <v>9</v>
      </c>
      <c r="G9" s="103" t="s">
        <v>22</v>
      </c>
      <c r="H9" s="103"/>
      <c r="I9" s="103"/>
      <c r="J9" s="106"/>
    </row>
    <row r="10" spans="1:16" ht="30" customHeight="1" x14ac:dyDescent="0.25"/>
    <row r="11" spans="1:16" ht="21" customHeight="1" x14ac:dyDescent="0.25">
      <c r="B11" s="103" t="s">
        <v>23</v>
      </c>
      <c r="C11" s="107" t="s">
        <v>24</v>
      </c>
      <c r="D11" s="107" t="s">
        <v>25</v>
      </c>
      <c r="E11" s="107" t="s">
        <v>26</v>
      </c>
      <c r="F11" s="107" t="s">
        <v>27</v>
      </c>
      <c r="G11" s="107" t="s">
        <v>28</v>
      </c>
      <c r="H11" s="107"/>
      <c r="I11" s="107"/>
    </row>
    <row r="12" spans="1:16" ht="21" customHeight="1" x14ac:dyDescent="0.3">
      <c r="A12" s="17">
        <f>$F$9+0.1</f>
        <v>9.1</v>
      </c>
      <c r="B12" s="133">
        <v>1</v>
      </c>
      <c r="C12" s="110">
        <f>VLOOKUP(A12,Inscripciones!$A$5:$G$167,2,FALSE)</f>
        <v>4191</v>
      </c>
      <c r="D12" s="111" t="str">
        <f>IF(ISBLANK(C12),"",VLOOKUP(C12,Inscripciones!$B$7:$F$200,2,FALSE))</f>
        <v>ISABELA CHACÓN ALVARADO</v>
      </c>
      <c r="E12" s="112" t="str">
        <f>IF(ISBLANK(C12),"",VLOOKUP(C12,Inscripciones!$B$7:$F$200,3,FALSE))</f>
        <v>CCDR SAN JOSÉ</v>
      </c>
      <c r="F12" s="112">
        <f>IF(ISBLANK(C12),"",VLOOKUP(C12,Inscripciones!$B$7:$F$200,4,FALSE))</f>
        <v>9</v>
      </c>
      <c r="G12" s="112">
        <f>IF(ISBLANK(C12),"",VLOOKUP(C12,Inscripciones!$B$7:$F$200,5,FALSE))</f>
        <v>571</v>
      </c>
      <c r="H12" s="113"/>
      <c r="I12" s="113"/>
    </row>
    <row r="13" spans="1:16" ht="21" customHeight="1" x14ac:dyDescent="0.3">
      <c r="A13" s="17">
        <f>$F$9+0.2</f>
        <v>9.1999999999999993</v>
      </c>
      <c r="B13" s="133">
        <v>2</v>
      </c>
      <c r="C13" s="110">
        <f>VLOOKUP(A13,Inscripciones!$A$5:$G$167,2,FALSE)</f>
        <v>3828</v>
      </c>
      <c r="D13" s="111" t="str">
        <f>IF(ISBLANK(C13),"",VLOOKUP(C13,Inscripciones!$B$7:$F$200,2,FALSE))</f>
        <v>AMANDA CHEN CEN</v>
      </c>
      <c r="E13" s="112" t="str">
        <f>IF(ISBLANK(C13),"",VLOOKUP(C13,Inscripciones!$B$7:$F$200,3,FALSE))</f>
        <v>ESCAZÚ</v>
      </c>
      <c r="F13" s="112">
        <f>IF(ISBLANK(C13),"",VLOOKUP(C13,Inscripciones!$B$7:$F$200,4,FALSE))</f>
        <v>13</v>
      </c>
      <c r="G13" s="112">
        <f>IF(ISBLANK(C13),"",VLOOKUP(C13,Inscripciones!$B$7:$F$200,5,FALSE))</f>
        <v>527</v>
      </c>
      <c r="H13" s="113"/>
      <c r="I13" s="113"/>
    </row>
    <row r="14" spans="1:16" ht="21" customHeight="1" x14ac:dyDescent="0.3">
      <c r="A14" s="17">
        <f>$F$9+0.3</f>
        <v>9.3000000000000007</v>
      </c>
      <c r="B14" s="133">
        <v>3</v>
      </c>
      <c r="C14" s="110">
        <f>VLOOKUP(A14,Inscripciones!$A$5:$G$167,2,FALSE)</f>
        <v>4470</v>
      </c>
      <c r="D14" s="111" t="str">
        <f>IF(ISBLANK(C14),"",VLOOKUP(C14,Inscripciones!$B$7:$F$200,2,FALSE))</f>
        <v>MARIPAZ VALVERDE VARELA</v>
      </c>
      <c r="E14" s="112" t="str">
        <f>IF(ISBLANK(C14),"",VLOOKUP(C14,Inscripciones!$B$7:$F$200,3,FALSE))</f>
        <v>ESPARZA</v>
      </c>
      <c r="F14" s="112">
        <f>IF(ISBLANK(C14),"",VLOOKUP(C14,Inscripciones!$B$7:$F$200,4,FALSE))</f>
        <v>31</v>
      </c>
      <c r="G14" s="112">
        <f>IF(ISBLANK(C14),"",VLOOKUP(C14,Inscripciones!$B$7:$F$200,5,FALSE))</f>
        <v>466</v>
      </c>
      <c r="H14" s="113"/>
      <c r="I14" s="113"/>
    </row>
    <row r="15" spans="1:16" ht="21" customHeight="1" x14ac:dyDescent="0.3">
      <c r="A15" s="17">
        <f>$F$9+0.4</f>
        <v>9.4</v>
      </c>
      <c r="B15" s="133">
        <v>4</v>
      </c>
      <c r="C15" s="110">
        <f>VLOOKUP(A15,Inscripciones!$A$5:$G$167,2,FALSE)</f>
        <v>4433</v>
      </c>
      <c r="D15" s="111" t="str">
        <f>IF(ISBLANK(C15),"",VLOOKUP(C15,Inscripciones!$B$7:$F$200,2,FALSE))</f>
        <v>PAULA ALFARO MORA</v>
      </c>
      <c r="E15" s="112" t="str">
        <f>IF(ISBLANK(C15),"",VLOOKUP(C15,Inscripciones!$B$7:$F$200,3,FALSE))</f>
        <v>ASERRÍ</v>
      </c>
      <c r="F15" s="112">
        <f>IF(ISBLANK(C15),"",VLOOKUP(C15,Inscripciones!$B$7:$F$200,4,FALSE))</f>
        <v>32</v>
      </c>
      <c r="G15" s="112">
        <f>IF(ISBLANK(C15),"",VLOOKUP(C15,Inscripciones!$B$7:$F$200,5,FALSE))</f>
        <v>462</v>
      </c>
      <c r="H15" s="113"/>
      <c r="I15" s="113"/>
    </row>
    <row r="16" spans="1:16" ht="21" customHeight="1" x14ac:dyDescent="0.25"/>
    <row r="17" spans="2:10" ht="21" customHeight="1" x14ac:dyDescent="0.25">
      <c r="B17" s="114" t="s">
        <v>29</v>
      </c>
      <c r="C17" s="114" t="s">
        <v>51</v>
      </c>
      <c r="D17" s="114" t="s">
        <v>30</v>
      </c>
      <c r="E17" s="114" t="s">
        <v>31</v>
      </c>
      <c r="F17" s="114" t="s">
        <v>32</v>
      </c>
      <c r="G17" s="114" t="s">
        <v>33</v>
      </c>
      <c r="H17" s="114" t="s">
        <v>34</v>
      </c>
      <c r="I17" s="114" t="s">
        <v>35</v>
      </c>
      <c r="J17" s="115" t="s">
        <v>36</v>
      </c>
    </row>
    <row r="18" spans="2:10" ht="21" customHeight="1" x14ac:dyDescent="0.25">
      <c r="B18" s="116">
        <v>1</v>
      </c>
      <c r="C18" s="117">
        <v>1</v>
      </c>
      <c r="D18" s="134" t="str">
        <f>D12</f>
        <v>ISABELA CHACÓN ALVARADO</v>
      </c>
      <c r="E18" s="119">
        <v>7</v>
      </c>
      <c r="F18" s="119">
        <v>11</v>
      </c>
      <c r="G18" s="119">
        <v>11</v>
      </c>
      <c r="H18" s="119"/>
      <c r="I18" s="119"/>
      <c r="J18" s="384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20"/>
      <c r="C19" s="117">
        <v>3</v>
      </c>
      <c r="D19" s="134" t="str">
        <f>D14</f>
        <v>MARIPAZ VALVERDE VARELA</v>
      </c>
      <c r="E19" s="119">
        <v>11</v>
      </c>
      <c r="F19" s="119">
        <v>7</v>
      </c>
      <c r="G19" s="119">
        <v>3</v>
      </c>
      <c r="H19" s="119"/>
      <c r="I19" s="119"/>
      <c r="J19" s="385"/>
    </row>
    <row r="20" spans="2:10" ht="21" customHeight="1" x14ac:dyDescent="0.25">
      <c r="B20" s="116">
        <v>2</v>
      </c>
      <c r="C20" s="119">
        <v>4</v>
      </c>
      <c r="D20" s="134" t="str">
        <f>D15</f>
        <v>PAULA ALFARO MORA</v>
      </c>
      <c r="E20" s="119" t="s">
        <v>238</v>
      </c>
      <c r="F20" s="119" t="s">
        <v>238</v>
      </c>
      <c r="G20" s="119"/>
      <c r="H20" s="119"/>
      <c r="I20" s="119"/>
      <c r="J20" s="384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20"/>
      <c r="C21" s="119">
        <v>2</v>
      </c>
      <c r="D21" s="134" t="str">
        <f>D13</f>
        <v>AMANDA CHEN CEN</v>
      </c>
      <c r="E21" s="119">
        <v>11</v>
      </c>
      <c r="F21" s="119">
        <v>11</v>
      </c>
      <c r="G21" s="119"/>
      <c r="H21" s="119"/>
      <c r="I21" s="119"/>
      <c r="J21" s="385"/>
    </row>
    <row r="22" spans="2:10" ht="21" customHeight="1" x14ac:dyDescent="0.25">
      <c r="B22" s="116">
        <v>3</v>
      </c>
      <c r="C22" s="117">
        <v>1</v>
      </c>
      <c r="D22" s="134" t="str">
        <f>D12</f>
        <v>ISABELA CHACÓN ALVARADO</v>
      </c>
      <c r="E22" s="119">
        <v>7</v>
      </c>
      <c r="F22" s="119">
        <v>6</v>
      </c>
      <c r="G22" s="119"/>
      <c r="H22" s="119"/>
      <c r="I22" s="119"/>
      <c r="J22" s="384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20"/>
      <c r="C23" s="117">
        <v>2</v>
      </c>
      <c r="D23" s="134" t="str">
        <f>D13</f>
        <v>AMANDA CHEN CEN</v>
      </c>
      <c r="E23" s="119">
        <v>11</v>
      </c>
      <c r="F23" s="119">
        <v>11</v>
      </c>
      <c r="G23" s="119"/>
      <c r="H23" s="119"/>
      <c r="I23" s="119"/>
      <c r="J23" s="385"/>
    </row>
    <row r="24" spans="2:10" ht="21" customHeight="1" x14ac:dyDescent="0.25">
      <c r="B24" s="116">
        <v>4</v>
      </c>
      <c r="C24" s="119">
        <v>3</v>
      </c>
      <c r="D24" s="134" t="str">
        <f>D19</f>
        <v>MARIPAZ VALVERDE VARELA</v>
      </c>
      <c r="E24" s="119">
        <v>11</v>
      </c>
      <c r="F24" s="119">
        <v>11</v>
      </c>
      <c r="G24" s="119"/>
      <c r="H24" s="119"/>
      <c r="I24" s="119"/>
      <c r="J24" s="384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3</v>
      </c>
    </row>
    <row r="25" spans="2:10" ht="21" customHeight="1" x14ac:dyDescent="0.25">
      <c r="B25" s="120"/>
      <c r="C25" s="119">
        <v>4</v>
      </c>
      <c r="D25" s="134" t="str">
        <f>D20</f>
        <v>PAULA ALFARO MORA</v>
      </c>
      <c r="E25" s="119" t="s">
        <v>238</v>
      </c>
      <c r="F25" s="119" t="s">
        <v>238</v>
      </c>
      <c r="G25" s="119"/>
      <c r="H25" s="119"/>
      <c r="I25" s="119"/>
      <c r="J25" s="385"/>
    </row>
    <row r="26" spans="2:10" ht="21" customHeight="1" x14ac:dyDescent="0.25">
      <c r="B26" s="116">
        <v>5</v>
      </c>
      <c r="C26" s="117">
        <v>1</v>
      </c>
      <c r="D26" s="134" t="str">
        <f>D12</f>
        <v>ISABELA CHACÓN ALVARADO</v>
      </c>
      <c r="E26" s="119">
        <v>11</v>
      </c>
      <c r="F26" s="119">
        <v>11</v>
      </c>
      <c r="G26" s="119"/>
      <c r="H26" s="119"/>
      <c r="I26" s="119"/>
      <c r="J26" s="384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20"/>
      <c r="C27" s="117">
        <v>4</v>
      </c>
      <c r="D27" s="134" t="str">
        <f>D15</f>
        <v>PAULA ALFARO MORA</v>
      </c>
      <c r="E27" s="119" t="s">
        <v>238</v>
      </c>
      <c r="F27" s="119" t="s">
        <v>238</v>
      </c>
      <c r="G27" s="119"/>
      <c r="H27" s="119"/>
      <c r="I27" s="119"/>
      <c r="J27" s="385"/>
    </row>
    <row r="28" spans="2:10" ht="21" customHeight="1" x14ac:dyDescent="0.25">
      <c r="B28" s="116">
        <v>6</v>
      </c>
      <c r="C28" s="119">
        <v>2</v>
      </c>
      <c r="D28" s="134" t="str">
        <f>D13</f>
        <v>AMANDA CHEN CEN</v>
      </c>
      <c r="E28" s="119">
        <v>11</v>
      </c>
      <c r="F28" s="119">
        <v>11</v>
      </c>
      <c r="G28" s="119"/>
      <c r="H28" s="119"/>
      <c r="I28" s="119"/>
      <c r="J28" s="384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20"/>
      <c r="C29" s="119">
        <v>3</v>
      </c>
      <c r="D29" s="134" t="str">
        <f>D24</f>
        <v>MARIPAZ VALVERDE VARELA</v>
      </c>
      <c r="E29" s="119">
        <v>4</v>
      </c>
      <c r="F29" s="119">
        <v>7</v>
      </c>
      <c r="G29" s="119"/>
      <c r="H29" s="119"/>
      <c r="I29" s="119"/>
      <c r="J29" s="385"/>
    </row>
    <row r="32" spans="2:10" ht="22.5" customHeight="1" x14ac:dyDescent="0.25">
      <c r="C32" s="386" t="s">
        <v>37</v>
      </c>
      <c r="D32" s="386"/>
      <c r="F32" s="387" t="s">
        <v>38</v>
      </c>
      <c r="G32" s="388"/>
      <c r="H32" s="388"/>
      <c r="I32" s="388"/>
      <c r="J32" s="388"/>
    </row>
    <row r="33" spans="3:10" s="122" customFormat="1" ht="20.25" customHeight="1" thickBot="1" x14ac:dyDescent="0.3">
      <c r="C33" s="123" t="s">
        <v>39</v>
      </c>
      <c r="D33" s="123" t="s">
        <v>40</v>
      </c>
      <c r="F33" s="373" t="s">
        <v>41</v>
      </c>
      <c r="G33" s="374"/>
      <c r="H33" s="374"/>
      <c r="I33" s="374"/>
      <c r="J33" s="374"/>
    </row>
    <row r="34" spans="3:10" ht="20.25" customHeight="1" thickBot="1" x14ac:dyDescent="0.3">
      <c r="C34" s="125">
        <v>3828</v>
      </c>
      <c r="D34" s="126" t="str">
        <f>IF(ISBLANK(C34),"",VLOOKUP(C34,Inscripciones!$B$5:$F$200,2,FALSE))</f>
        <v>AMANDA CHEN CEN</v>
      </c>
      <c r="F34" s="127" t="s">
        <v>42</v>
      </c>
      <c r="G34" s="375"/>
      <c r="H34" s="376"/>
      <c r="I34" s="376"/>
      <c r="J34" s="377"/>
    </row>
    <row r="35" spans="3:10" ht="20.25" customHeight="1" thickBot="1" x14ac:dyDescent="0.3">
      <c r="C35" s="125">
        <v>4191</v>
      </c>
      <c r="D35" s="126" t="str">
        <f>IF(ISBLANK(C35),"",VLOOKUP(C35,Inscripciones!$B$5:$F$200,2,FALSE))</f>
        <v>ISABELA CHACÓN ALVARADO</v>
      </c>
      <c r="F35" s="378" t="s">
        <v>43</v>
      </c>
      <c r="G35" s="379"/>
      <c r="H35" s="379"/>
      <c r="I35" s="380"/>
      <c r="J35" s="128"/>
    </row>
  </sheetData>
  <mergeCells count="14">
    <mergeCell ref="C32:D32"/>
    <mergeCell ref="F32:J32"/>
    <mergeCell ref="F33:J33"/>
    <mergeCell ref="B2:J6"/>
    <mergeCell ref="L5:M8"/>
    <mergeCell ref="C7:F7"/>
    <mergeCell ref="J18:J19"/>
    <mergeCell ref="J20:J21"/>
    <mergeCell ref="J22:J23"/>
    <mergeCell ref="G34:J34"/>
    <mergeCell ref="F35:I35"/>
    <mergeCell ref="J24:J25"/>
    <mergeCell ref="J26:J27"/>
    <mergeCell ref="J28:J29"/>
  </mergeCells>
  <conditionalFormatting sqref="B18:J19">
    <cfRule type="expression" dxfId="11" priority="6">
      <formula>$P$6=$O$6</formula>
    </cfRule>
  </conditionalFormatting>
  <conditionalFormatting sqref="B20:J21">
    <cfRule type="expression" dxfId="10" priority="3">
      <formula>$P$6=$O$7</formula>
    </cfRule>
  </conditionalFormatting>
  <conditionalFormatting sqref="B22:J23">
    <cfRule type="expression" dxfId="9" priority="5">
      <formula>$P$6=$O$6</formula>
    </cfRule>
  </conditionalFormatting>
  <conditionalFormatting sqref="B24:J25">
    <cfRule type="expression" dxfId="8" priority="2">
      <formula>$P$6=$O$7</formula>
    </cfRule>
  </conditionalFormatting>
  <conditionalFormatting sqref="B26:J27">
    <cfRule type="expression" dxfId="7" priority="4">
      <formula>$P$6=$O$6</formula>
    </cfRule>
  </conditionalFormatting>
  <conditionalFormatting sqref="B28:J29">
    <cfRule type="expression" dxfId="6" priority="1">
      <formula>$P$6=$O$7</formula>
    </cfRule>
  </conditionalFormatting>
  <dataValidations count="1">
    <dataValidation type="list" allowBlank="1" showInputMessage="1" showErrorMessage="1" sqref="P6" xr:uid="{9AA077D3-860B-4959-8ECF-B6280041D1F5}">
      <formula1>$O$5:$O$7</formula1>
    </dataValidation>
  </dataValidations>
  <pageMargins left="0.7" right="0.7" top="0.75" bottom="0.75" header="0.3" footer="0.3"/>
  <pageSetup scale="86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08F1-A067-4456-A951-5CE60E6F5569}">
  <sheetPr codeName="Sheet13">
    <tabColor rgb="FFFFFF00"/>
  </sheetPr>
  <dimension ref="A1:AC76"/>
  <sheetViews>
    <sheetView topLeftCell="B22" workbookViewId="0">
      <selection activeCell="F17" sqref="F17:K20"/>
    </sheetView>
  </sheetViews>
  <sheetFormatPr defaultColWidth="0" defaultRowHeight="15" x14ac:dyDescent="0.25"/>
  <cols>
    <col min="1" max="1" width="4.7109375" style="216" customWidth="1"/>
    <col min="2" max="2" width="8.7109375" style="216" customWidth="1"/>
    <col min="3" max="3" width="3.28515625" style="216" bestFit="1" customWidth="1"/>
    <col min="4" max="4" width="4.28515625" style="216" bestFit="1" customWidth="1"/>
    <col min="5" max="5" width="27.28515625" style="216" customWidth="1"/>
    <col min="6" max="6" width="24.5703125" style="216" bestFit="1" customWidth="1"/>
    <col min="7" max="11" width="1.7109375" style="216" customWidth="1"/>
    <col min="12" max="15" width="0.85546875" style="216" customWidth="1"/>
    <col min="16" max="16" width="2.85546875" style="216" customWidth="1"/>
    <col min="17" max="17" width="3" style="216" customWidth="1"/>
    <col min="18" max="18" width="5.85546875" style="216" bestFit="1" customWidth="1"/>
    <col min="19" max="19" width="29" style="216" customWidth="1"/>
    <col min="20" max="20" width="22.7109375" style="216" bestFit="1" customWidth="1"/>
    <col min="21" max="21" width="3" style="216" customWidth="1"/>
    <col min="22" max="22" width="0" style="216" hidden="1" customWidth="1"/>
    <col min="23" max="23" width="3.42578125" style="216" customWidth="1"/>
    <col min="24" max="27" width="3.7109375" style="216" customWidth="1"/>
    <col min="28" max="29" width="4.7109375" style="216" customWidth="1"/>
    <col min="30" max="16384" width="0" style="216" hidden="1"/>
  </cols>
  <sheetData>
    <row r="1" spans="1:29" s="135" customFormat="1" ht="12" x14ac:dyDescent="0.25">
      <c r="G1" s="136"/>
      <c r="H1" s="136"/>
      <c r="I1" s="136"/>
      <c r="J1" s="136"/>
      <c r="K1" s="136"/>
      <c r="L1" s="136"/>
      <c r="M1" s="136"/>
      <c r="N1" s="136"/>
      <c r="O1" s="136"/>
      <c r="X1" s="137"/>
      <c r="Y1" s="138"/>
      <c r="AA1" s="138"/>
      <c r="AC1" s="139"/>
    </row>
    <row r="2" spans="1:29" s="135" customFormat="1" ht="12" x14ac:dyDescent="0.25">
      <c r="B2" s="396" t="e" vm="1">
        <v>#VALUE!</v>
      </c>
      <c r="C2" s="396"/>
      <c r="D2" s="396"/>
      <c r="E2" s="396"/>
      <c r="F2" s="396"/>
      <c r="G2" s="136"/>
      <c r="H2" s="136"/>
      <c r="I2" s="136"/>
      <c r="J2" s="136"/>
      <c r="K2" s="136"/>
      <c r="L2" s="136"/>
      <c r="M2" s="136"/>
      <c r="N2" s="136"/>
      <c r="O2" s="136"/>
      <c r="X2" s="137"/>
      <c r="Y2" s="138"/>
      <c r="AA2" s="138"/>
      <c r="AC2" s="139"/>
    </row>
    <row r="3" spans="1:29" s="135" customFormat="1" ht="12" x14ac:dyDescent="0.25">
      <c r="B3" s="396"/>
      <c r="C3" s="396"/>
      <c r="D3" s="396"/>
      <c r="E3" s="396"/>
      <c r="F3" s="396"/>
      <c r="G3" s="136"/>
      <c r="H3" s="136"/>
      <c r="I3" s="136"/>
      <c r="J3" s="136"/>
      <c r="K3" s="136"/>
      <c r="L3" s="136"/>
      <c r="M3" s="136"/>
      <c r="N3" s="136"/>
      <c r="O3" s="136"/>
      <c r="X3" s="137"/>
      <c r="Y3" s="138"/>
      <c r="AA3" s="138"/>
      <c r="AC3" s="139"/>
    </row>
    <row r="4" spans="1:29" s="135" customFormat="1" ht="12" x14ac:dyDescent="0.25">
      <c r="B4" s="396"/>
      <c r="C4" s="396"/>
      <c r="D4" s="396"/>
      <c r="E4" s="396"/>
      <c r="F4" s="396"/>
      <c r="G4" s="136"/>
      <c r="H4" s="136"/>
      <c r="I4" s="136"/>
      <c r="J4" s="136"/>
      <c r="K4" s="136"/>
      <c r="L4" s="136"/>
      <c r="M4" s="136"/>
      <c r="N4" s="136"/>
      <c r="O4" s="136"/>
      <c r="X4" s="137"/>
      <c r="Y4" s="138"/>
      <c r="AA4" s="138"/>
      <c r="AC4" s="139"/>
    </row>
    <row r="5" spans="1:29" s="135" customFormat="1" ht="12" x14ac:dyDescent="0.25">
      <c r="B5" s="397"/>
      <c r="C5" s="397"/>
      <c r="D5" s="397"/>
      <c r="E5" s="397"/>
      <c r="F5" s="397"/>
      <c r="G5" s="136"/>
      <c r="H5" s="136"/>
      <c r="I5" s="136"/>
      <c r="J5" s="136"/>
      <c r="K5" s="136"/>
      <c r="L5" s="136"/>
      <c r="M5" s="136"/>
      <c r="N5" s="136"/>
      <c r="O5" s="136"/>
      <c r="Y5" s="138"/>
      <c r="AA5" s="138"/>
      <c r="AC5" s="139"/>
    </row>
    <row r="6" spans="1:29" s="135" customFormat="1" ht="12" customHeight="1" x14ac:dyDescent="0.25">
      <c r="B6" s="398" t="s">
        <v>236</v>
      </c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1"/>
      <c r="Y6" s="138"/>
      <c r="AA6" s="138"/>
      <c r="AC6" s="139"/>
    </row>
    <row r="7" spans="1:29" s="135" customFormat="1" ht="12" customHeight="1" x14ac:dyDescent="0.25">
      <c r="B7" s="400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3"/>
      <c r="Y7" s="138"/>
      <c r="AA7" s="138"/>
      <c r="AC7" s="139"/>
    </row>
    <row r="8" spans="1:29" s="135" customFormat="1" ht="16.5" thickBot="1" x14ac:dyDescent="0.3">
      <c r="G8" s="136"/>
      <c r="H8" s="136"/>
      <c r="I8" s="136"/>
      <c r="J8" s="136"/>
      <c r="K8" s="136"/>
      <c r="L8" s="136"/>
      <c r="M8" s="136"/>
      <c r="N8" s="136"/>
      <c r="O8" s="136"/>
      <c r="R8" s="402" t="s">
        <v>52</v>
      </c>
      <c r="S8" s="403"/>
      <c r="T8" s="403"/>
      <c r="U8" s="403"/>
      <c r="V8" s="403"/>
      <c r="W8" s="404"/>
      <c r="X8" s="136"/>
      <c r="Y8" s="138"/>
      <c r="AA8" s="138"/>
      <c r="AC8" s="138"/>
    </row>
    <row r="9" spans="1:29" s="135" customFormat="1" x14ac:dyDescent="0.25">
      <c r="B9" s="144" t="s">
        <v>53</v>
      </c>
      <c r="C9" s="145">
        <v>1</v>
      </c>
      <c r="D9" s="146">
        <f t="shared" ref="D9:D40" ca="1" si="0">VLOOKUP(C9,$U$8:$W$313,2,FALSE)</f>
        <v>4159</v>
      </c>
      <c r="E9" s="147" t="str">
        <f ca="1">IF(D9=0,0,VLOOKUP(D9,Inscripciones!$B$1:$K$159,2,FALSE))</f>
        <v>MARÍA FERNANDA ZELEDÓN HERRERA</v>
      </c>
      <c r="F9" s="148" t="str">
        <f ca="1">IF(D9=0,0,VLOOKUP(D9,Inscripciones!$B$1:$K$159,3,FALSE))</f>
        <v>ESPARZA</v>
      </c>
      <c r="L9" s="136"/>
      <c r="M9" s="136"/>
      <c r="P9" s="144" t="s">
        <v>54</v>
      </c>
      <c r="Q9" s="149">
        <v>1</v>
      </c>
      <c r="R9" s="150" cm="1">
        <f t="array" aca="1" ref="R9" ca="1">INDIRECT("'Grupo " &amp; Q9 &amp; "'!C34")</f>
        <v>4159</v>
      </c>
      <c r="S9" s="151" t="str">
        <f ca="1">IF(ISBLANK(R9),"",VLOOKUP(R9,Inscripciones!$B$1:$K$159,2,FALSE))</f>
        <v>MARÍA FERNANDA ZELEDÓN HERRERA</v>
      </c>
      <c r="T9" s="152" t="str">
        <f ca="1">IF(ISBLANK(R9),"",VLOOKUP(R9,Inscripciones!$B$1:$K$159,3,FALSE))</f>
        <v>ESPARZA</v>
      </c>
      <c r="U9" s="153">
        <v>1</v>
      </c>
      <c r="V9" s="154">
        <f ca="1">R9</f>
        <v>4159</v>
      </c>
      <c r="W9" s="155" t="str">
        <f>IF(U9=0,0,IF(U9&lt;17,"UP","DO"))</f>
        <v>UP</v>
      </c>
      <c r="Y9" s="138"/>
      <c r="AA9" s="138"/>
      <c r="AC9" s="138"/>
    </row>
    <row r="10" spans="1:29" s="135" customFormat="1" ht="15.75" thickBot="1" x14ac:dyDescent="0.3">
      <c r="B10" s="156" t="s">
        <v>55</v>
      </c>
      <c r="C10" s="157">
        <v>2</v>
      </c>
      <c r="D10" s="158" t="str">
        <f t="shared" si="0"/>
        <v>X</v>
      </c>
      <c r="E10" s="159" t="str">
        <f>IF(D10=0,0,VLOOKUP(D10,Inscripciones!$B$1:$K$159,2,FALSE))</f>
        <v>BYE</v>
      </c>
      <c r="F10" s="160" t="str">
        <f>IF(D10=0,0,VLOOKUP(D10,Inscripciones!$B$1:$K$159,3,FALSE))</f>
        <v>BYE</v>
      </c>
      <c r="G10" s="161"/>
      <c r="L10" s="136"/>
      <c r="M10" s="136"/>
      <c r="P10" s="162" t="s">
        <v>54</v>
      </c>
      <c r="Q10" s="163">
        <v>2</v>
      </c>
      <c r="R10" s="164" cm="1">
        <f t="array" aca="1" ref="R10" ca="1">INDIRECT("'Grupo " &amp; Q10 &amp; "'!C34")</f>
        <v>4101</v>
      </c>
      <c r="S10" s="165" t="str">
        <f ca="1">IF(ISBLANK(R10),"",VLOOKUP(R10,Inscripciones!$B$1:$K$159,2,FALSE))</f>
        <v>ABIGAIL QUIROS BALTODANO</v>
      </c>
      <c r="T10" s="166" t="str">
        <f ca="1">IF(ISBLANK(R10),"",VLOOKUP(R10,Inscripciones!$B$1:$K$159,3,FALSE))</f>
        <v>ESPARZA</v>
      </c>
      <c r="U10" s="167">
        <v>32</v>
      </c>
      <c r="V10" s="168">
        <f t="shared" ref="V10:V22" ca="1" si="1">R10</f>
        <v>4101</v>
      </c>
      <c r="W10" s="169" t="str">
        <f t="shared" ref="W10:W22" si="2">IF(U10=0,0,IF(U10&lt;17,"UP","DO"))</f>
        <v>DO</v>
      </c>
      <c r="Y10" s="138"/>
      <c r="AA10" s="138"/>
      <c r="AC10" s="138"/>
    </row>
    <row r="11" spans="1:29" s="135" customFormat="1" x14ac:dyDescent="0.25">
      <c r="B11" s="156" t="s">
        <v>55</v>
      </c>
      <c r="C11" s="157">
        <v>3</v>
      </c>
      <c r="D11" s="146" t="str">
        <f t="shared" si="0"/>
        <v>X</v>
      </c>
      <c r="E11" s="170" t="str">
        <f>IF(D11=0,0,VLOOKUP(D11,Inscripciones!$B$1:$K$159,2,FALSE))</f>
        <v>BYE</v>
      </c>
      <c r="F11" s="171" t="str">
        <f>IF(D11=0,0,VLOOKUP(D11,Inscripciones!$B$1:$K$159,3,FALSE))</f>
        <v>BYE</v>
      </c>
      <c r="G11" s="172"/>
      <c r="H11" s="161"/>
      <c r="L11" s="136"/>
      <c r="M11" s="136"/>
      <c r="N11" s="136"/>
      <c r="O11" s="136"/>
      <c r="P11" s="173" t="s">
        <v>54</v>
      </c>
      <c r="Q11" s="174">
        <v>3</v>
      </c>
      <c r="R11" s="164" cm="1">
        <f t="array" aca="1" ref="R11" ca="1">INDIRECT("'Grupo " &amp; Q11 &amp; "'!C34")</f>
        <v>3918</v>
      </c>
      <c r="S11" s="165" t="str">
        <f ca="1">IF(ISBLANK(R11),"",VLOOKUP(R11,Inscripciones!$B$1:$K$159,2,FALSE))</f>
        <v>MARIANA SOTO CALDERON</v>
      </c>
      <c r="T11" s="166" t="str">
        <f ca="1">IF(ISBLANK(R11),"",VLOOKUP(R11,Inscripciones!$B$1:$K$159,3,FALSE))</f>
        <v>ESPARZA</v>
      </c>
      <c r="U11" s="167">
        <v>17</v>
      </c>
      <c r="V11" s="168">
        <f t="shared" ca="1" si="1"/>
        <v>3918</v>
      </c>
      <c r="W11" s="169" t="str">
        <f t="shared" si="2"/>
        <v>DO</v>
      </c>
      <c r="X11" s="175"/>
      <c r="Y11" s="138"/>
      <c r="AA11" s="138"/>
      <c r="AC11" s="138"/>
    </row>
    <row r="12" spans="1:29" s="135" customFormat="1" ht="15.75" thickBot="1" x14ac:dyDescent="0.3">
      <c r="B12" s="176" t="s">
        <v>56</v>
      </c>
      <c r="C12" s="157">
        <v>4</v>
      </c>
      <c r="D12" s="158">
        <f t="shared" ca="1" si="0"/>
        <v>4191</v>
      </c>
      <c r="E12" s="177" t="str">
        <f ca="1">IF(D12=0,0,VLOOKUP(D12,Inscripciones!$B$1:$K$159,2,FALSE))</f>
        <v>ISABELA CHACÓN ALVARADO</v>
      </c>
      <c r="F12" s="178" t="str">
        <f ca="1">IF(D12=0,0,VLOOKUP(D12,Inscripciones!$B$1:$K$159,3,FALSE))</f>
        <v>CCDR SAN JOSÉ</v>
      </c>
      <c r="H12" s="179"/>
      <c r="L12" s="136"/>
      <c r="M12" s="136"/>
      <c r="N12" s="136"/>
      <c r="O12" s="136"/>
      <c r="P12" s="173" t="s">
        <v>54</v>
      </c>
      <c r="Q12" s="174">
        <v>4</v>
      </c>
      <c r="R12" s="164" cm="1">
        <f t="array" aca="1" ref="R12" ca="1">INDIRECT("'Grupo " &amp; Q12 &amp; "'!C34")</f>
        <v>4176</v>
      </c>
      <c r="S12" s="165" t="str">
        <f ca="1">IF(ISBLANK(R12),"",VLOOKUP(R12,Inscripciones!$B$1:$K$159,2,FALSE))</f>
        <v>LÍA SOFÍA SOLÍS VÁSQUEZ</v>
      </c>
      <c r="T12" s="166" t="str">
        <f ca="1">IF(ISBLANK(R12),"",VLOOKUP(R12,Inscripciones!$B$1:$K$159,3,FALSE))</f>
        <v>ESPARZA</v>
      </c>
      <c r="U12" s="167">
        <v>16</v>
      </c>
      <c r="V12" s="168">
        <f t="shared" ca="1" si="1"/>
        <v>4176</v>
      </c>
      <c r="W12" s="169" t="str">
        <f t="shared" si="2"/>
        <v>UP</v>
      </c>
      <c r="X12" s="175"/>
      <c r="Y12" s="138"/>
      <c r="AA12" s="138"/>
      <c r="AC12" s="138"/>
    </row>
    <row r="13" spans="1:29" s="135" customFormat="1" x14ac:dyDescent="0.25">
      <c r="B13" s="176" t="s">
        <v>56</v>
      </c>
      <c r="C13" s="157">
        <v>5</v>
      </c>
      <c r="D13" s="146">
        <f t="shared" ca="1" si="0"/>
        <v>3912</v>
      </c>
      <c r="E13" s="180" t="str">
        <f ca="1">IF(D13=0,0,VLOOKUP(D13,Inscripciones!$B$1:$K$159,2,FALSE))</f>
        <v>AMBAR PADILLA GRANADOS</v>
      </c>
      <c r="F13" s="181" t="str">
        <f ca="1">IF(D13=0,0,VLOOKUP(D13,Inscripciones!$B$1:$K$159,3,FALSE))</f>
        <v>PÉREZ ZELEDÓN</v>
      </c>
      <c r="H13" s="179"/>
      <c r="I13" s="161"/>
      <c r="L13" s="136"/>
      <c r="M13" s="136"/>
      <c r="N13" s="136"/>
      <c r="O13" s="136"/>
      <c r="P13" s="182" t="s">
        <v>54</v>
      </c>
      <c r="Q13" s="183">
        <v>5</v>
      </c>
      <c r="R13" s="164" cm="1">
        <f t="array" aca="1" ref="R13" ca="1">INDIRECT("'Grupo " &amp; Q13 &amp; "'!C34")</f>
        <v>4274</v>
      </c>
      <c r="S13" s="165" t="str">
        <f ca="1">IF(ISBLANK(R13),"",VLOOKUP(R13,Inscripciones!$B$1:$K$159,2,FALSE))</f>
        <v>MARÍA PAULA HERNÁNDEZ ZÚÑIGA</v>
      </c>
      <c r="T13" s="166" t="str">
        <f ca="1">IF(ISBLANK(R13),"",VLOOKUP(R13,Inscripciones!$B$1:$K$159,3,FALSE))</f>
        <v>ESCAZÚ</v>
      </c>
      <c r="U13" s="167">
        <v>9</v>
      </c>
      <c r="V13" s="168">
        <f t="shared" ca="1" si="1"/>
        <v>4274</v>
      </c>
      <c r="W13" s="169" t="str">
        <f t="shared" si="2"/>
        <v>UP</v>
      </c>
      <c r="X13" s="175"/>
      <c r="Y13" s="184"/>
      <c r="AA13" s="138"/>
      <c r="AC13" s="138"/>
    </row>
    <row r="14" spans="1:29" s="135" customFormat="1" ht="15.75" thickBot="1" x14ac:dyDescent="0.3">
      <c r="B14" s="156" t="s">
        <v>55</v>
      </c>
      <c r="C14" s="157">
        <v>6</v>
      </c>
      <c r="D14" s="158">
        <f t="shared" ca="1" si="0"/>
        <v>4275</v>
      </c>
      <c r="E14" s="159" t="str">
        <f ca="1">IF(D14=0,0,VLOOKUP(D14,Inscripciones!$B$1:$K$159,2,FALSE))</f>
        <v>CLARISSA MORA JIMÉNEZ</v>
      </c>
      <c r="F14" s="160" t="str">
        <f ca="1">IF(D14=0,0,VLOOKUP(D14,Inscripciones!$B$1:$K$159,3,FALSE))</f>
        <v>ESPARZA</v>
      </c>
      <c r="G14" s="161"/>
      <c r="H14" s="172"/>
      <c r="I14" s="179"/>
      <c r="L14" s="136"/>
      <c r="M14" s="136"/>
      <c r="N14" s="136"/>
      <c r="O14" s="136"/>
      <c r="P14" s="182" t="s">
        <v>54</v>
      </c>
      <c r="Q14" s="183">
        <v>6</v>
      </c>
      <c r="R14" s="164" cm="1">
        <f t="array" aca="1" ref="R14" ca="1">INDIRECT("'Grupo " &amp; Q14 &amp; "'!C34")</f>
        <v>4273</v>
      </c>
      <c r="S14" s="165" t="str">
        <f ca="1">IF(ISBLANK(R14),"",VLOOKUP(R14,Inscripciones!$B$1:$K$159,2,FALSE))</f>
        <v>JAQUELINE HERNÁNDEZ ZUÑIGA</v>
      </c>
      <c r="T14" s="166" t="str">
        <f ca="1">IF(ISBLANK(R14),"",VLOOKUP(R14,Inscripciones!$B$1:$K$159,3,FALSE))</f>
        <v>ESCAZÚ</v>
      </c>
      <c r="U14" s="167">
        <v>25</v>
      </c>
      <c r="V14" s="168">
        <f t="shared" ca="1" si="1"/>
        <v>4273</v>
      </c>
      <c r="W14" s="169" t="str">
        <f t="shared" si="2"/>
        <v>DO</v>
      </c>
      <c r="X14" s="175"/>
      <c r="Y14" s="184"/>
      <c r="Z14" s="175"/>
      <c r="AA14" s="184"/>
      <c r="AB14" s="175"/>
      <c r="AC14" s="184"/>
    </row>
    <row r="15" spans="1:29" s="135" customFormat="1" x14ac:dyDescent="0.25">
      <c r="B15" s="156" t="s">
        <v>55</v>
      </c>
      <c r="C15" s="157">
        <v>7</v>
      </c>
      <c r="D15" s="146" t="str">
        <f t="shared" si="0"/>
        <v>X</v>
      </c>
      <c r="E15" s="170" t="str">
        <f>IF(D15=0,0,VLOOKUP(D15,Inscripciones!$B$1:$K$159,2,FALSE))</f>
        <v>BYE</v>
      </c>
      <c r="F15" s="171" t="str">
        <f>IF(D15=0,0,VLOOKUP(D15,Inscripciones!$B$1:$K$159,3,FALSE))</f>
        <v>BYE</v>
      </c>
      <c r="G15" s="172"/>
      <c r="I15" s="179"/>
      <c r="L15" s="136"/>
      <c r="M15" s="136"/>
      <c r="N15" s="136"/>
      <c r="O15" s="136"/>
      <c r="P15" s="182" t="s">
        <v>54</v>
      </c>
      <c r="Q15" s="183">
        <v>7</v>
      </c>
      <c r="R15" s="164" cm="1">
        <f t="array" aca="1" ref="R15" ca="1">INDIRECT("'Grupo " &amp; Q15 &amp; "'!C34")</f>
        <v>4100</v>
      </c>
      <c r="S15" s="165" t="str">
        <f ca="1">IF(ISBLANK(R15),"",VLOOKUP(R15,Inscripciones!$B$1:$K$159,2,FALSE))</f>
        <v>BRENDA HERRERA RIVAS</v>
      </c>
      <c r="T15" s="166" t="str">
        <f ca="1">IF(ISBLANK(R15),"",VLOOKUP(R15,Inscripciones!$B$1:$K$159,3,FALSE))</f>
        <v>ESPARZA</v>
      </c>
      <c r="U15" s="167">
        <v>8</v>
      </c>
      <c r="V15" s="168">
        <f t="shared" ca="1" si="1"/>
        <v>4100</v>
      </c>
      <c r="W15" s="169" t="str">
        <f t="shared" si="2"/>
        <v>UP</v>
      </c>
      <c r="X15" s="175"/>
      <c r="Y15" s="184"/>
      <c r="Z15" s="175"/>
      <c r="AA15" s="184"/>
      <c r="AB15" s="175"/>
      <c r="AC15" s="184"/>
    </row>
    <row r="16" spans="1:29" s="135" customFormat="1" ht="15.75" thickBot="1" x14ac:dyDescent="0.3">
      <c r="A16" s="135">
        <v>24</v>
      </c>
      <c r="B16" s="182" t="s">
        <v>57</v>
      </c>
      <c r="C16" s="157">
        <v>8</v>
      </c>
      <c r="D16" s="158">
        <f t="shared" ca="1" si="0"/>
        <v>4100</v>
      </c>
      <c r="E16" s="177" t="str">
        <f ca="1">IF(D16=0,0,VLOOKUP(D16,Inscripciones!$B$1:$K$159,2,FALSE))</f>
        <v>BRENDA HERRERA RIVAS</v>
      </c>
      <c r="F16" s="178" t="str">
        <f ca="1">IF(D16=0,0,VLOOKUP(D16,Inscripciones!$B$1:$K$159,3,FALSE))</f>
        <v>ESPARZA</v>
      </c>
      <c r="I16" s="179"/>
      <c r="L16" s="136"/>
      <c r="M16" s="136"/>
      <c r="N16" s="136"/>
      <c r="O16" s="136"/>
      <c r="P16" s="182" t="s">
        <v>54</v>
      </c>
      <c r="Q16" s="183">
        <v>8</v>
      </c>
      <c r="R16" s="164" cm="1">
        <f t="array" aca="1" ref="R16" ca="1">INDIRECT("'Grupo " &amp; Q16 &amp; "'!C34")</f>
        <v>4183</v>
      </c>
      <c r="S16" s="165" t="str">
        <f ca="1">IF(ISBLANK(R16),"",VLOOKUP(R16,Inscripciones!$B$1:$K$159,2,FALSE))</f>
        <v>MONSERRAT RODRÍGUEZ SOLÍS</v>
      </c>
      <c r="T16" s="166" t="str">
        <f ca="1">IF(ISBLANK(R16),"",VLOOKUP(R16,Inscripciones!$B$1:$K$159,3,FALSE))</f>
        <v>SAN CARLOS</v>
      </c>
      <c r="U16" s="167">
        <v>24</v>
      </c>
      <c r="V16" s="168">
        <f t="shared" ca="1" si="1"/>
        <v>4183</v>
      </c>
      <c r="W16" s="169" t="str">
        <f t="shared" si="2"/>
        <v>DO</v>
      </c>
      <c r="X16" s="175"/>
      <c r="Y16" s="184"/>
      <c r="Z16" s="175"/>
      <c r="AA16" s="184"/>
      <c r="AB16" s="175"/>
      <c r="AC16" s="184"/>
    </row>
    <row r="17" spans="2:29" s="135" customFormat="1" x14ac:dyDescent="0.25">
      <c r="B17" s="182" t="s">
        <v>57</v>
      </c>
      <c r="C17" s="157">
        <v>9</v>
      </c>
      <c r="D17" s="146">
        <f t="shared" ca="1" si="0"/>
        <v>4274</v>
      </c>
      <c r="E17" s="180" t="str">
        <f ca="1">IF(D17=0,0,VLOOKUP(D17,Inscripciones!$B$1:$K$159,2,FALSE))</f>
        <v>MARÍA PAULA HERNÁNDEZ ZÚÑIGA</v>
      </c>
      <c r="F17" s="181" t="str">
        <f ca="1">IF(D17=0,0,VLOOKUP(D17,Inscripciones!$B$1:$K$159,3,FALSE))</f>
        <v>ESCAZÚ</v>
      </c>
      <c r="I17" s="179"/>
      <c r="J17" s="161"/>
      <c r="L17" s="136"/>
      <c r="M17" s="136"/>
      <c r="N17" s="136"/>
      <c r="O17" s="136"/>
      <c r="P17" s="185" t="s">
        <v>54</v>
      </c>
      <c r="Q17" s="186">
        <v>9</v>
      </c>
      <c r="R17" s="164" cm="1">
        <f t="array" aca="1" ref="R17" ca="1">INDIRECT("'Grupo " &amp; Q17 &amp; "'!C34")</f>
        <v>3828</v>
      </c>
      <c r="S17" s="165" t="str">
        <f ca="1">IF(ISBLANK(R17),"",VLOOKUP(R17,Inscripciones!$B$1:$K$159,2,FALSE))</f>
        <v>AMANDA CHEN CEN</v>
      </c>
      <c r="T17" s="166" t="str">
        <f ca="1">IF(ISBLANK(R17),"",VLOOKUP(R17,Inscripciones!$B$1:$K$159,3,FALSE))</f>
        <v>ESCAZÚ</v>
      </c>
      <c r="U17" s="167">
        <v>29</v>
      </c>
      <c r="V17" s="168">
        <f t="shared" ca="1" si="1"/>
        <v>3828</v>
      </c>
      <c r="W17" s="169" t="str">
        <f t="shared" si="2"/>
        <v>DO</v>
      </c>
      <c r="X17" s="175"/>
      <c r="Y17" s="184"/>
      <c r="Z17" s="175"/>
      <c r="AA17" s="184"/>
      <c r="AB17" s="175"/>
      <c r="AC17" s="184"/>
    </row>
    <row r="18" spans="2:29" s="135" customFormat="1" ht="15.75" thickBot="1" x14ac:dyDescent="0.3">
      <c r="B18" s="156" t="s">
        <v>55</v>
      </c>
      <c r="C18" s="157">
        <v>10</v>
      </c>
      <c r="D18" s="158" t="str">
        <f t="shared" si="0"/>
        <v>X</v>
      </c>
      <c r="E18" s="159" t="str">
        <f>IF(D18=0,0,VLOOKUP(D18,Inscripciones!$B$1:$K$159,2,FALSE))</f>
        <v>BYE</v>
      </c>
      <c r="F18" s="160" t="str">
        <f>IF(D18=0,0,VLOOKUP(D18,Inscripciones!$B$1:$K$159,3,FALSE))</f>
        <v>BYE</v>
      </c>
      <c r="G18" s="161"/>
      <c r="I18" s="179"/>
      <c r="J18" s="179"/>
      <c r="L18" s="136"/>
      <c r="M18" s="136"/>
      <c r="N18" s="136"/>
      <c r="O18" s="136"/>
      <c r="P18" s="185" t="s">
        <v>54</v>
      </c>
      <c r="Q18" s="186">
        <v>10</v>
      </c>
      <c r="R18" s="164" t="s">
        <v>234</v>
      </c>
      <c r="S18" s="165" t="str">
        <f>IF(ISBLANK(R18),"",VLOOKUP(R18,Inscripciones!$B$1:$K$159,2,FALSE))</f>
        <v>BYE</v>
      </c>
      <c r="T18" s="166" t="str">
        <f>IF(ISBLANK(R18),"",VLOOKUP(R18,Inscripciones!$B$1:$K$159,3,FALSE))</f>
        <v>BYE</v>
      </c>
      <c r="U18" s="167">
        <v>30</v>
      </c>
      <c r="V18" s="168" t="str">
        <f t="shared" si="1"/>
        <v>X</v>
      </c>
      <c r="W18" s="169" t="str">
        <f t="shared" si="2"/>
        <v>DO</v>
      </c>
      <c r="X18" s="175"/>
      <c r="Y18" s="184"/>
      <c r="Z18" s="175"/>
      <c r="AA18" s="184"/>
      <c r="AB18" s="175"/>
      <c r="AC18" s="184"/>
    </row>
    <row r="19" spans="2:29" s="135" customFormat="1" x14ac:dyDescent="0.25">
      <c r="B19" s="156" t="s">
        <v>55</v>
      </c>
      <c r="C19" s="157">
        <v>11</v>
      </c>
      <c r="D19" s="146" t="str">
        <f t="shared" si="0"/>
        <v>X</v>
      </c>
      <c r="E19" s="170" t="str">
        <f>IF(D19=0,0,VLOOKUP(D19,Inscripciones!$B$1:$K$159,2,FALSE))</f>
        <v>BYE</v>
      </c>
      <c r="F19" s="171" t="str">
        <f>IF(D19=0,0,VLOOKUP(D19,Inscripciones!$B$1:$K$159,3,FALSE))</f>
        <v>BYE</v>
      </c>
      <c r="G19" s="172"/>
      <c r="H19" s="161"/>
      <c r="I19" s="179"/>
      <c r="J19" s="179"/>
      <c r="L19" s="136"/>
      <c r="M19" s="136"/>
      <c r="N19" s="136"/>
      <c r="O19" s="136"/>
      <c r="P19" s="185" t="s">
        <v>54</v>
      </c>
      <c r="Q19" s="186">
        <v>11</v>
      </c>
      <c r="R19" s="164" t="s">
        <v>234</v>
      </c>
      <c r="S19" s="165" t="str">
        <f>IF(ISBLANK(R19),"",VLOOKUP(R19,Inscripciones!$B$1:$K$159,2,FALSE))</f>
        <v>BYE</v>
      </c>
      <c r="T19" s="166" t="str">
        <f>IF(ISBLANK(R19),"",VLOOKUP(R19,Inscripciones!$B$1:$K$159,3,FALSE))</f>
        <v>BYE</v>
      </c>
      <c r="U19" s="167">
        <v>7</v>
      </c>
      <c r="V19" s="168" t="str">
        <f t="shared" si="1"/>
        <v>X</v>
      </c>
      <c r="W19" s="169" t="str">
        <f t="shared" si="2"/>
        <v>UP</v>
      </c>
      <c r="X19" s="175"/>
      <c r="Y19" s="184"/>
      <c r="Z19" s="175"/>
      <c r="AA19" s="184"/>
      <c r="AB19" s="175"/>
      <c r="AC19" s="184"/>
    </row>
    <row r="20" spans="2:29" s="135" customFormat="1" ht="20.25" thickBot="1" x14ac:dyDescent="0.3">
      <c r="B20" s="176" t="s">
        <v>56</v>
      </c>
      <c r="C20" s="157">
        <v>12</v>
      </c>
      <c r="D20" s="158">
        <f t="shared" ca="1" si="0"/>
        <v>3907</v>
      </c>
      <c r="E20" s="177" t="str">
        <f ca="1">IF(D20=0,0,VLOOKUP(D20,Inscripciones!$B$1:$K$159,2,FALSE))</f>
        <v>LUCIANA CASCANTE BARBOZA</v>
      </c>
      <c r="F20" s="178" t="str">
        <f ca="1">IF(D20=0,0,VLOOKUP(D20,Inscripciones!$B$1:$K$159,3,FALSE))</f>
        <v>ASERRÍ</v>
      </c>
      <c r="H20" s="179"/>
      <c r="I20" s="172"/>
      <c r="J20" s="179"/>
      <c r="L20" s="136"/>
      <c r="M20" s="136"/>
      <c r="N20" s="136"/>
      <c r="O20" s="136"/>
      <c r="P20" s="185" t="s">
        <v>54</v>
      </c>
      <c r="Q20" s="186">
        <v>12</v>
      </c>
      <c r="R20" s="164" t="s">
        <v>234</v>
      </c>
      <c r="S20" s="165" t="str">
        <f>IF(ISBLANK(R20),"",VLOOKUP(R20,Inscripciones!$B$1:$K$159,2,FALSE))</f>
        <v>BYE</v>
      </c>
      <c r="T20" s="166" t="str">
        <f>IF(ISBLANK(R20),"",VLOOKUP(R20,Inscripciones!$B$1:$K$159,3,FALSE))</f>
        <v>BYE</v>
      </c>
      <c r="U20" s="167">
        <v>10</v>
      </c>
      <c r="V20" s="168" t="str">
        <f t="shared" si="1"/>
        <v>X</v>
      </c>
      <c r="W20" s="169" t="str">
        <f t="shared" si="2"/>
        <v>UP</v>
      </c>
      <c r="X20" s="175"/>
      <c r="Y20" s="184"/>
      <c r="Z20" s="187"/>
      <c r="AA20" s="184"/>
      <c r="AB20" s="175"/>
      <c r="AC20" s="184"/>
    </row>
    <row r="21" spans="2:29" s="135" customFormat="1" ht="19.5" x14ac:dyDescent="0.25">
      <c r="B21" s="176" t="s">
        <v>56</v>
      </c>
      <c r="C21" s="157">
        <v>13</v>
      </c>
      <c r="D21" s="146">
        <f t="shared" ca="1" si="0"/>
        <v>4348</v>
      </c>
      <c r="E21" s="180" t="str">
        <f ca="1">IF(D21=0,0,VLOOKUP(D21,Inscripciones!$B$1:$K$159,2,FALSE))</f>
        <v>AMANDA PEREZ CABEZAS</v>
      </c>
      <c r="F21" s="181" t="str">
        <f ca="1">IF(D21=0,0,VLOOKUP(D21,Inscripciones!$B$1:$K$159,3,FALSE))</f>
        <v>CORREDORES</v>
      </c>
      <c r="H21" s="179"/>
      <c r="J21" s="179"/>
      <c r="L21" s="136"/>
      <c r="M21" s="136"/>
      <c r="N21" s="136"/>
      <c r="O21" s="136"/>
      <c r="P21" s="185" t="s">
        <v>54</v>
      </c>
      <c r="Q21" s="186">
        <v>13</v>
      </c>
      <c r="R21" s="164" t="s">
        <v>234</v>
      </c>
      <c r="S21" s="165" t="str">
        <f>IF(ISBLANK(R21),"",VLOOKUP(R21,Inscripciones!$B$1:$K$159,2,FALSE))</f>
        <v>BYE</v>
      </c>
      <c r="T21" s="166" t="str">
        <f>IF(ISBLANK(R21),"",VLOOKUP(R21,Inscripciones!$B$1:$K$159,3,FALSE))</f>
        <v>BYE</v>
      </c>
      <c r="U21" s="167">
        <v>15</v>
      </c>
      <c r="V21" s="168" t="str">
        <f t="shared" si="1"/>
        <v>X</v>
      </c>
      <c r="W21" s="169" t="str">
        <f t="shared" si="2"/>
        <v>UP</v>
      </c>
      <c r="X21" s="175"/>
      <c r="Y21" s="188"/>
      <c r="Z21" s="187"/>
      <c r="AA21" s="184"/>
      <c r="AB21" s="175"/>
      <c r="AC21" s="184"/>
    </row>
    <row r="22" spans="2:29" s="135" customFormat="1" ht="20.25" thickBot="1" x14ac:dyDescent="0.3">
      <c r="B22" s="156" t="s">
        <v>55</v>
      </c>
      <c r="C22" s="157">
        <v>14</v>
      </c>
      <c r="D22" s="158" t="str">
        <f t="shared" si="0"/>
        <v>X</v>
      </c>
      <c r="E22" s="159" t="str">
        <f>IF(D22=0,0,VLOOKUP(D22,Inscripciones!$B$1:$K$159,2,FALSE))</f>
        <v>BYE</v>
      </c>
      <c r="F22" s="160" t="str">
        <f>IF(D22=0,0,VLOOKUP(D22,Inscripciones!$B$1:$K$159,3,FALSE))</f>
        <v>BYE</v>
      </c>
      <c r="G22" s="161"/>
      <c r="H22" s="172"/>
      <c r="J22" s="179"/>
      <c r="L22" s="136"/>
      <c r="M22" s="136"/>
      <c r="N22" s="136"/>
      <c r="O22" s="136"/>
      <c r="P22" s="185" t="s">
        <v>54</v>
      </c>
      <c r="Q22" s="186">
        <v>14</v>
      </c>
      <c r="R22" s="164" t="s">
        <v>234</v>
      </c>
      <c r="S22" s="165" t="str">
        <f>IF(ISBLANK(R22),"",VLOOKUP(R22,Inscripciones!$B$1:$K$159,2,FALSE))</f>
        <v>BYE</v>
      </c>
      <c r="T22" s="166" t="str">
        <f>IF(ISBLANK(R22),"",VLOOKUP(R22,Inscripciones!$B$1:$K$159,3,FALSE))</f>
        <v>BYE</v>
      </c>
      <c r="U22" s="167">
        <v>18</v>
      </c>
      <c r="V22" s="168" t="str">
        <f t="shared" si="1"/>
        <v>X</v>
      </c>
      <c r="W22" s="169" t="str">
        <f t="shared" si="2"/>
        <v>DO</v>
      </c>
      <c r="X22" s="175"/>
      <c r="Y22" s="184"/>
      <c r="Z22" s="187"/>
      <c r="AA22" s="184"/>
      <c r="AB22" s="175"/>
      <c r="AC22" s="184"/>
    </row>
    <row r="23" spans="2:29" s="135" customFormat="1" ht="19.5" x14ac:dyDescent="0.25">
      <c r="B23" s="156" t="s">
        <v>55</v>
      </c>
      <c r="C23" s="157">
        <v>15</v>
      </c>
      <c r="D23" s="146" t="str">
        <f t="shared" si="0"/>
        <v>X</v>
      </c>
      <c r="E23" s="170" t="str">
        <f>IF(D23=0,0,VLOOKUP(D23,Inscripciones!$B$1:$K$159,2,FALSE))</f>
        <v>BYE</v>
      </c>
      <c r="F23" s="171" t="str">
        <f>IF(D23=0,0,VLOOKUP(D23,Inscripciones!$B$1:$K$159,3,FALSE))</f>
        <v>BYE</v>
      </c>
      <c r="G23" s="172"/>
      <c r="J23" s="179"/>
      <c r="L23" s="136"/>
      <c r="M23" s="136"/>
      <c r="N23" s="136"/>
      <c r="O23" s="136"/>
      <c r="P23" s="185" t="s">
        <v>54</v>
      </c>
      <c r="Q23" s="186">
        <v>15</v>
      </c>
      <c r="R23" s="164" t="s">
        <v>234</v>
      </c>
      <c r="S23" s="165" t="str">
        <f>IF(ISBLANK(R23),"",VLOOKUP(R23,Inscripciones!$B$1:$K$159,2,FALSE))</f>
        <v>BYE</v>
      </c>
      <c r="T23" s="166" t="str">
        <f>IF(ISBLANK(R23),"",VLOOKUP(R23,Inscripciones!$B$1:$K$159,3,FALSE))</f>
        <v>BYE</v>
      </c>
      <c r="U23" s="167">
        <v>23</v>
      </c>
      <c r="V23" s="168" t="str">
        <f>R23</f>
        <v>X</v>
      </c>
      <c r="W23" s="169" t="str">
        <f>IF(U23=0,0,IF(U23&lt;17,"UP","DO"))</f>
        <v>DO</v>
      </c>
      <c r="X23" s="175"/>
      <c r="Y23" s="184"/>
      <c r="Z23" s="187"/>
      <c r="AA23" s="184"/>
      <c r="AB23" s="175"/>
      <c r="AC23" s="189"/>
    </row>
    <row r="24" spans="2:29" s="135" customFormat="1" ht="20.25" thickBot="1" x14ac:dyDescent="0.3">
      <c r="B24" s="173" t="s">
        <v>58</v>
      </c>
      <c r="C24" s="190">
        <v>16</v>
      </c>
      <c r="D24" s="158">
        <f t="shared" ca="1" si="0"/>
        <v>4176</v>
      </c>
      <c r="E24" s="191" t="str">
        <f ca="1">IF(D24=0,0,VLOOKUP(D24,Inscripciones!$B$1:$K$159,2,FALSE))</f>
        <v>LÍA SOFÍA SOLÍS VÁSQUEZ</v>
      </c>
      <c r="F24" s="192" t="str">
        <f ca="1">IF(D24=0,0,VLOOKUP(D24,Inscripciones!$B$1:$K$159,3,FALSE))</f>
        <v>ESPARZA</v>
      </c>
      <c r="J24" s="179"/>
      <c r="K24" s="193"/>
      <c r="L24" s="136"/>
      <c r="M24" s="136"/>
      <c r="N24" s="136"/>
      <c r="O24" s="136"/>
      <c r="P24" s="194" t="s">
        <v>54</v>
      </c>
      <c r="Q24" s="195">
        <v>16</v>
      </c>
      <c r="R24" s="196" t="s">
        <v>234</v>
      </c>
      <c r="S24" s="197" t="str">
        <f>IF(ISBLANK(R24),"",VLOOKUP(R24,Inscripciones!$B$1:$K$159,2,FALSE))</f>
        <v>BYE</v>
      </c>
      <c r="T24" s="198" t="str">
        <f>IF(ISBLANK(R24),"",VLOOKUP(R24,Inscripciones!$B$1:$K$159,3,FALSE))</f>
        <v>BYE</v>
      </c>
      <c r="U24" s="199">
        <v>26</v>
      </c>
      <c r="V24" s="200" t="str">
        <f>R24</f>
        <v>X</v>
      </c>
      <c r="W24" s="201" t="str">
        <f>IF(U24=0,0,IF(U24&lt;17,"UP","DO"))</f>
        <v>DO</v>
      </c>
      <c r="X24" s="175"/>
      <c r="Y24" s="184"/>
      <c r="Z24" s="187"/>
      <c r="AA24" s="138"/>
      <c r="AC24" s="139"/>
    </row>
    <row r="25" spans="2:29" s="135" customFormat="1" ht="20.25" thickBot="1" x14ac:dyDescent="0.3">
      <c r="B25" s="173" t="s">
        <v>58</v>
      </c>
      <c r="C25" s="145">
        <v>17</v>
      </c>
      <c r="D25" s="146">
        <f t="shared" ca="1" si="0"/>
        <v>3918</v>
      </c>
      <c r="E25" s="147" t="str">
        <f ca="1">IF(D25=0,0,VLOOKUP(D25,Inscripciones!$B$1:$K$159,2,FALSE))</f>
        <v>MARIANA SOTO CALDERON</v>
      </c>
      <c r="F25" s="148" t="str">
        <f ca="1">IF(D25=0,0,VLOOKUP(D25,Inscripciones!$B$1:$K$159,3,FALSE))</f>
        <v>ESPARZA</v>
      </c>
      <c r="J25" s="179"/>
      <c r="K25" s="202"/>
      <c r="L25" s="203"/>
      <c r="M25" s="136"/>
      <c r="N25" s="136"/>
      <c r="O25" s="136"/>
      <c r="P25" s="187"/>
      <c r="Q25" s="187"/>
      <c r="R25" s="405" t="s">
        <v>59</v>
      </c>
      <c r="S25" s="406"/>
      <c r="T25" s="406"/>
      <c r="U25" s="406"/>
      <c r="V25" s="406"/>
      <c r="W25" s="407"/>
      <c r="X25" s="175"/>
      <c r="Y25" s="184"/>
      <c r="AA25" s="138"/>
      <c r="AC25" s="139"/>
    </row>
    <row r="26" spans="2:29" s="135" customFormat="1" ht="15.75" thickBot="1" x14ac:dyDescent="0.3">
      <c r="B26" s="156" t="s">
        <v>55</v>
      </c>
      <c r="C26" s="157">
        <v>18</v>
      </c>
      <c r="D26" s="158" t="str">
        <f t="shared" si="0"/>
        <v>X</v>
      </c>
      <c r="E26" s="159" t="str">
        <f>IF(D26=0,0,VLOOKUP(D26,Inscripciones!$B$1:$K$159,2,FALSE))</f>
        <v>BYE</v>
      </c>
      <c r="F26" s="160" t="str">
        <f>IF(D26=0,0,VLOOKUP(D26,Inscripciones!$B$1:$K$159,3,FALSE))</f>
        <v>BYE</v>
      </c>
      <c r="G26" s="161"/>
      <c r="J26" s="179"/>
      <c r="K26" s="204"/>
      <c r="L26" s="203"/>
      <c r="M26" s="136"/>
      <c r="N26" s="136"/>
      <c r="O26" s="136"/>
      <c r="P26" s="205" t="s">
        <v>54</v>
      </c>
      <c r="Q26" s="206">
        <v>1</v>
      </c>
      <c r="R26" s="150" cm="1">
        <f t="array" aca="1" ref="R26" ca="1">INDIRECT("'Grupo " &amp; Q9 &amp; "'!C35")</f>
        <v>4276</v>
      </c>
      <c r="S26" s="151" t="str">
        <f ca="1">IF(ISBLANK(R26),"",VLOOKUP(R26,Inscripciones!$B$1:$K$159,2,FALSE))</f>
        <v>SILOÉ MUÑOZ CÓRDOBA</v>
      </c>
      <c r="T26" s="152" t="str">
        <f ca="1">IF(ISBLANK(R26),"",VLOOKUP(R26,Inscripciones!$B$1:$K$159,3,FALSE))</f>
        <v>ESPARZA</v>
      </c>
      <c r="U26" s="153">
        <v>21</v>
      </c>
      <c r="V26" s="154">
        <f ca="1">R26</f>
        <v>4276</v>
      </c>
      <c r="W26" s="155" t="str">
        <f>IF(W9="","",IF(W9="UP","DO",IF(W9="DO","UP","")))</f>
        <v>DO</v>
      </c>
      <c r="X26" s="175"/>
      <c r="Y26" s="184"/>
      <c r="AA26" s="138"/>
      <c r="AC26" s="139"/>
    </row>
    <row r="27" spans="2:29" s="135" customFormat="1" x14ac:dyDescent="0.25">
      <c r="B27" s="156" t="s">
        <v>55</v>
      </c>
      <c r="C27" s="157">
        <v>19</v>
      </c>
      <c r="D27" s="146" t="str">
        <f t="shared" si="0"/>
        <v>X</v>
      </c>
      <c r="E27" s="170" t="str">
        <f>IF(D27=0,0,VLOOKUP(D27,Inscripciones!$B$1:$K$159,2,FALSE))</f>
        <v>BYE</v>
      </c>
      <c r="F27" s="171" t="str">
        <f>IF(D27=0,0,VLOOKUP(D27,Inscripciones!$B$1:$K$159,3,FALSE))</f>
        <v>BYE</v>
      </c>
      <c r="G27" s="172"/>
      <c r="H27" s="161"/>
      <c r="J27" s="179"/>
      <c r="K27" s="204"/>
      <c r="L27" s="203"/>
      <c r="M27" s="136"/>
      <c r="N27" s="136"/>
      <c r="O27" s="136"/>
      <c r="P27" s="207" t="s">
        <v>54</v>
      </c>
      <c r="Q27" s="208">
        <v>2</v>
      </c>
      <c r="R27" s="164" cm="1">
        <f t="array" aca="1" ref="R27" ca="1">INDIRECT("'Grupo " &amp; Q10 &amp; "'!C35")</f>
        <v>4348</v>
      </c>
      <c r="S27" s="165" t="str">
        <f ca="1">IF(ISBLANK(R27),"",VLOOKUP(R27,Inscripciones!$B$1:$K$159,2,FALSE))</f>
        <v>AMANDA PEREZ CABEZAS</v>
      </c>
      <c r="T27" s="166" t="str">
        <f ca="1">IF(ISBLANK(R27),"",VLOOKUP(R27,Inscripciones!$B$1:$K$159,3,FALSE))</f>
        <v>CORREDORES</v>
      </c>
      <c r="U27" s="167">
        <v>13</v>
      </c>
      <c r="V27" s="168">
        <f t="shared" ref="V27:V39" ca="1" si="3">R27</f>
        <v>4348</v>
      </c>
      <c r="W27" s="169" t="str">
        <f t="shared" ref="W27:W41" si="4">IF(W10="","",IF(W10="UP","DO",IF(W10="DO","UP","")))</f>
        <v>UP</v>
      </c>
      <c r="X27" s="175"/>
      <c r="Y27" s="184"/>
      <c r="Z27" s="175"/>
      <c r="AA27" s="138"/>
      <c r="AC27" s="139"/>
    </row>
    <row r="28" spans="2:29" s="135" customFormat="1" ht="15.75" thickBot="1" x14ac:dyDescent="0.3">
      <c r="B28" s="176" t="s">
        <v>56</v>
      </c>
      <c r="C28" s="157">
        <v>20</v>
      </c>
      <c r="D28" s="158">
        <f t="shared" ca="1" si="0"/>
        <v>4673</v>
      </c>
      <c r="E28" s="177" t="str">
        <f ca="1">IF(D28=0,0,VLOOKUP(D28,Inscripciones!$B$1:$K$159,2,FALSE))</f>
        <v>ALINA CHACON RETANA</v>
      </c>
      <c r="F28" s="178" t="str">
        <f ca="1">IF(D28=0,0,VLOOKUP(D28,Inscripciones!$B$1:$K$159,3,FALSE))</f>
        <v>SAN CARLOS</v>
      </c>
      <c r="H28" s="179"/>
      <c r="J28" s="179"/>
      <c r="K28" s="204"/>
      <c r="L28" s="203"/>
      <c r="M28" s="136"/>
      <c r="N28" s="136"/>
      <c r="O28" s="136"/>
      <c r="P28" s="207" t="s">
        <v>54</v>
      </c>
      <c r="Q28" s="208">
        <v>3</v>
      </c>
      <c r="R28" s="164" cm="1">
        <f t="array" aca="1" ref="R28" ca="1">INDIRECT("'Grupo " &amp; Q11 &amp; "'!C35")</f>
        <v>3907</v>
      </c>
      <c r="S28" s="165" t="str">
        <f ca="1">IF(ISBLANK(R28),"",VLOOKUP(R28,Inscripciones!$B$1:$K$159,2,FALSE))</f>
        <v>LUCIANA CASCANTE BARBOZA</v>
      </c>
      <c r="T28" s="166" t="str">
        <f ca="1">IF(ISBLANK(R28),"",VLOOKUP(R28,Inscripciones!$B$1:$K$159,3,FALSE))</f>
        <v>ASERRÍ</v>
      </c>
      <c r="U28" s="167">
        <v>12</v>
      </c>
      <c r="V28" s="168">
        <f t="shared" ca="1" si="3"/>
        <v>3907</v>
      </c>
      <c r="W28" s="169" t="str">
        <f t="shared" si="4"/>
        <v>UP</v>
      </c>
      <c r="X28" s="175"/>
      <c r="Y28" s="184"/>
      <c r="Z28" s="175"/>
      <c r="AA28" s="138"/>
      <c r="AC28" s="139"/>
    </row>
    <row r="29" spans="2:29" s="135" customFormat="1" x14ac:dyDescent="0.25">
      <c r="B29" s="176" t="s">
        <v>56</v>
      </c>
      <c r="C29" s="157">
        <v>21</v>
      </c>
      <c r="D29" s="146">
        <f t="shared" ca="1" si="0"/>
        <v>4276</v>
      </c>
      <c r="E29" s="180" t="str">
        <f ca="1">IF(D29=0,0,VLOOKUP(D29,Inscripciones!$B$1:$K$159,2,FALSE))</f>
        <v>SILOÉ MUÑOZ CÓRDOBA</v>
      </c>
      <c r="F29" s="181" t="str">
        <f ca="1">IF(D29=0,0,VLOOKUP(D29,Inscripciones!$B$1:$K$159,3,FALSE))</f>
        <v>ESPARZA</v>
      </c>
      <c r="H29" s="179"/>
      <c r="I29" s="161"/>
      <c r="J29" s="179"/>
      <c r="K29" s="204"/>
      <c r="L29" s="203"/>
      <c r="M29" s="136"/>
      <c r="N29" s="136"/>
      <c r="O29" s="136"/>
      <c r="P29" s="207" t="s">
        <v>54</v>
      </c>
      <c r="Q29" s="208">
        <v>4</v>
      </c>
      <c r="R29" s="164" cm="1">
        <f t="array" aca="1" ref="R29" ca="1">INDIRECT("'Grupo " &amp; Q12 &amp; "'!C35")</f>
        <v>4212</v>
      </c>
      <c r="S29" s="165" t="str">
        <f ca="1">IF(ISBLANK(R29),"",VLOOKUP(R29,Inscripciones!$B$1:$K$159,2,FALSE))</f>
        <v>FIORELLA RETANA AGUILAR</v>
      </c>
      <c r="T29" s="166" t="str">
        <f ca="1">IF(ISBLANK(R29),"",VLOOKUP(R29,Inscripciones!$B$1:$K$159,3,FALSE))</f>
        <v>CURRIDABAT</v>
      </c>
      <c r="U29" s="167">
        <v>27</v>
      </c>
      <c r="V29" s="168">
        <f t="shared" ca="1" si="3"/>
        <v>4212</v>
      </c>
      <c r="W29" s="169" t="str">
        <f t="shared" si="4"/>
        <v>DO</v>
      </c>
      <c r="X29" s="175"/>
      <c r="Y29" s="184"/>
      <c r="Z29" s="175"/>
      <c r="AA29" s="138"/>
      <c r="AB29" s="175"/>
      <c r="AC29" s="184"/>
    </row>
    <row r="30" spans="2:29" s="135" customFormat="1" ht="15.75" thickBot="1" x14ac:dyDescent="0.3">
      <c r="B30" s="156" t="s">
        <v>55</v>
      </c>
      <c r="C30" s="157">
        <v>22</v>
      </c>
      <c r="D30" s="158" t="str">
        <f t="shared" si="0"/>
        <v>X</v>
      </c>
      <c r="E30" s="159" t="str">
        <f>IF(D30=0,0,VLOOKUP(D30,Inscripciones!$B$1:$K$159,2,FALSE))</f>
        <v>BYE</v>
      </c>
      <c r="F30" s="160" t="str">
        <f>IF(D30=0,0,VLOOKUP(D30,Inscripciones!$B$1:$K$159,3,FALSE))</f>
        <v>BYE</v>
      </c>
      <c r="G30" s="161"/>
      <c r="H30" s="172"/>
      <c r="I30" s="179"/>
      <c r="J30" s="179"/>
      <c r="K30" s="204"/>
      <c r="L30" s="203"/>
      <c r="M30" s="136"/>
      <c r="N30" s="136"/>
      <c r="O30" s="136"/>
      <c r="P30" s="207" t="s">
        <v>54</v>
      </c>
      <c r="Q30" s="208">
        <v>5</v>
      </c>
      <c r="R30" s="164" cm="1">
        <f t="array" aca="1" ref="R30" ca="1">INDIRECT("'Grupo " &amp; Q13 &amp; "'!C35")</f>
        <v>4673</v>
      </c>
      <c r="S30" s="165" t="str">
        <f ca="1">IF(ISBLANK(R30),"",VLOOKUP(R30,Inscripciones!$B$1:$K$159,2,FALSE))</f>
        <v>ALINA CHACON RETANA</v>
      </c>
      <c r="T30" s="166" t="str">
        <f ca="1">IF(ISBLANK(R30),"",VLOOKUP(R30,Inscripciones!$B$1:$K$159,3,FALSE))</f>
        <v>SAN CARLOS</v>
      </c>
      <c r="U30" s="167">
        <v>20</v>
      </c>
      <c r="V30" s="168">
        <f t="shared" ca="1" si="3"/>
        <v>4673</v>
      </c>
      <c r="W30" s="169" t="str">
        <f t="shared" si="4"/>
        <v>DO</v>
      </c>
      <c r="X30" s="175"/>
      <c r="Y30" s="184"/>
      <c r="Z30" s="175"/>
      <c r="AA30" s="138"/>
      <c r="AB30" s="175"/>
      <c r="AC30" s="184"/>
    </row>
    <row r="31" spans="2:29" s="135" customFormat="1" x14ac:dyDescent="0.25">
      <c r="B31" s="156" t="s">
        <v>55</v>
      </c>
      <c r="C31" s="157">
        <v>23</v>
      </c>
      <c r="D31" s="146" t="str">
        <f t="shared" si="0"/>
        <v>X</v>
      </c>
      <c r="E31" s="170" t="str">
        <f>IF(D31=0,0,VLOOKUP(D31,Inscripciones!$B$1:$K$159,2,FALSE))</f>
        <v>BYE</v>
      </c>
      <c r="F31" s="171" t="str">
        <f>IF(D31=0,0,VLOOKUP(D31,Inscripciones!$B$1:$K$159,3,FALSE))</f>
        <v>BYE</v>
      </c>
      <c r="G31" s="172"/>
      <c r="I31" s="179"/>
      <c r="J31" s="179"/>
      <c r="K31" s="204"/>
      <c r="L31" s="203"/>
      <c r="M31" s="136"/>
      <c r="N31" s="136"/>
      <c r="O31" s="136"/>
      <c r="P31" s="207" t="s">
        <v>54</v>
      </c>
      <c r="Q31" s="208">
        <v>6</v>
      </c>
      <c r="R31" s="164" cm="1">
        <f t="array" aca="1" ref="R31" ca="1">INDIRECT("'Grupo " &amp; Q14 &amp; "'!C35")</f>
        <v>3912</v>
      </c>
      <c r="S31" s="165" t="str">
        <f ca="1">IF(ISBLANK(R31),"",VLOOKUP(R31,Inscripciones!$B$1:$K$159,2,FALSE))</f>
        <v>AMBAR PADILLA GRANADOS</v>
      </c>
      <c r="T31" s="166" t="str">
        <f ca="1">IF(ISBLANK(R31),"",VLOOKUP(R31,Inscripciones!$B$1:$K$159,3,FALSE))</f>
        <v>PÉREZ ZELEDÓN</v>
      </c>
      <c r="U31" s="167">
        <v>5</v>
      </c>
      <c r="V31" s="168">
        <f t="shared" ca="1" si="3"/>
        <v>3912</v>
      </c>
      <c r="W31" s="169" t="str">
        <f t="shared" si="4"/>
        <v>UP</v>
      </c>
      <c r="X31" s="175"/>
      <c r="Y31" s="184"/>
      <c r="Z31" s="175"/>
      <c r="AA31" s="138"/>
      <c r="AB31" s="175"/>
      <c r="AC31" s="189"/>
    </row>
    <row r="32" spans="2:29" s="135" customFormat="1" ht="15.75" thickBot="1" x14ac:dyDescent="0.3">
      <c r="B32" s="182" t="s">
        <v>57</v>
      </c>
      <c r="C32" s="157">
        <v>24</v>
      </c>
      <c r="D32" s="158">
        <f t="shared" ca="1" si="0"/>
        <v>4183</v>
      </c>
      <c r="E32" s="177" t="str">
        <f ca="1">IF(D32=0,0,VLOOKUP(D32,Inscripciones!$B$1:$K$159,2,FALSE))</f>
        <v>MONSERRAT RODRÍGUEZ SOLÍS</v>
      </c>
      <c r="F32" s="178" t="str">
        <f ca="1">IF(D32=0,0,VLOOKUP(D32,Inscripciones!$B$1:$K$159,3,FALSE))</f>
        <v>SAN CARLOS</v>
      </c>
      <c r="I32" s="179"/>
      <c r="J32" s="172"/>
      <c r="K32" s="204"/>
      <c r="L32" s="203"/>
      <c r="M32" s="136"/>
      <c r="N32" s="136"/>
      <c r="O32" s="136"/>
      <c r="P32" s="207" t="s">
        <v>54</v>
      </c>
      <c r="Q32" s="208">
        <v>7</v>
      </c>
      <c r="R32" s="164" cm="1">
        <f t="array" aca="1" ref="R32" ca="1">INDIRECT("'Grupo " &amp; Q15 &amp; "'!C35")</f>
        <v>4104</v>
      </c>
      <c r="S32" s="165" t="str">
        <f ca="1">IF(ISBLANK(R32),"",VLOOKUP(R32,Inscripciones!$B$1:$K$159,2,FALSE))</f>
        <v>ARIANA SANCHEZ DELGADO</v>
      </c>
      <c r="T32" s="166" t="str">
        <f ca="1">IF(ISBLANK(R32),"",VLOOKUP(R32,Inscripciones!$B$1:$K$159,3,FALSE))</f>
        <v>ESCAZÚ</v>
      </c>
      <c r="U32" s="167">
        <v>28</v>
      </c>
      <c r="V32" s="168">
        <f t="shared" ca="1" si="3"/>
        <v>4104</v>
      </c>
      <c r="W32" s="169" t="str">
        <f t="shared" si="4"/>
        <v>DO</v>
      </c>
      <c r="X32" s="175"/>
      <c r="Y32" s="184"/>
      <c r="Z32" s="175"/>
      <c r="AA32" s="138"/>
      <c r="AB32" s="175"/>
      <c r="AC32" s="189"/>
    </row>
    <row r="33" spans="2:29" s="135" customFormat="1" x14ac:dyDescent="0.25">
      <c r="B33" s="182" t="s">
        <v>57</v>
      </c>
      <c r="C33" s="157">
        <v>25</v>
      </c>
      <c r="D33" s="146">
        <f t="shared" ca="1" si="0"/>
        <v>4273</v>
      </c>
      <c r="E33" s="180" t="str">
        <f ca="1">IF(D33=0,0,VLOOKUP(D33,Inscripciones!$B$1:$K$159,2,FALSE))</f>
        <v>JAQUELINE HERNÁNDEZ ZUÑIGA</v>
      </c>
      <c r="F33" s="181" t="str">
        <f ca="1">IF(D33=0,0,VLOOKUP(D33,Inscripciones!$B$1:$K$159,3,FALSE))</f>
        <v>ESCAZÚ</v>
      </c>
      <c r="I33" s="179"/>
      <c r="J33" s="209"/>
      <c r="K33" s="204"/>
      <c r="L33" s="203"/>
      <c r="M33" s="136"/>
      <c r="N33" s="136"/>
      <c r="O33" s="136"/>
      <c r="P33" s="207" t="s">
        <v>54</v>
      </c>
      <c r="Q33" s="208">
        <v>8</v>
      </c>
      <c r="R33" s="164" cm="1">
        <f t="array" aca="1" ref="R33" ca="1">INDIRECT("'Grupo " &amp; Q16 &amp; "'!C35")</f>
        <v>4275</v>
      </c>
      <c r="S33" s="165" t="str">
        <f ca="1">IF(ISBLANK(R33),"",VLOOKUP(R33,Inscripciones!$B$1:$K$159,2,FALSE))</f>
        <v>CLARISSA MORA JIMÉNEZ</v>
      </c>
      <c r="T33" s="166" t="str">
        <f ca="1">IF(ISBLANK(R33),"",VLOOKUP(R33,Inscripciones!$B$1:$K$159,3,FALSE))</f>
        <v>ESPARZA</v>
      </c>
      <c r="U33" s="167">
        <v>6</v>
      </c>
      <c r="V33" s="168">
        <f t="shared" ca="1" si="3"/>
        <v>4275</v>
      </c>
      <c r="W33" s="169" t="str">
        <f t="shared" si="4"/>
        <v>UP</v>
      </c>
      <c r="X33" s="175"/>
      <c r="Y33" s="184"/>
      <c r="Z33" s="175"/>
      <c r="AA33" s="138"/>
      <c r="AB33" s="175"/>
      <c r="AC33" s="189"/>
    </row>
    <row r="34" spans="2:29" s="135" customFormat="1" ht="15.75" thickBot="1" x14ac:dyDescent="0.3">
      <c r="B34" s="156" t="s">
        <v>55</v>
      </c>
      <c r="C34" s="157">
        <v>26</v>
      </c>
      <c r="D34" s="158" t="str">
        <f t="shared" si="0"/>
        <v>X</v>
      </c>
      <c r="E34" s="159" t="str">
        <f>IF(D34=0,0,VLOOKUP(D34,Inscripciones!$B$1:$K$159,2,FALSE))</f>
        <v>BYE</v>
      </c>
      <c r="F34" s="160" t="str">
        <f>IF(D34=0,0,VLOOKUP(D34,Inscripciones!$B$1:$K$159,3,FALSE))</f>
        <v>BYE</v>
      </c>
      <c r="G34" s="161"/>
      <c r="I34" s="179"/>
      <c r="K34" s="204"/>
      <c r="L34" s="203"/>
      <c r="M34" s="136"/>
      <c r="N34" s="136"/>
      <c r="O34" s="136"/>
      <c r="P34" s="207" t="s">
        <v>54</v>
      </c>
      <c r="Q34" s="208">
        <v>9</v>
      </c>
      <c r="R34" s="164" cm="1">
        <f t="array" aca="1" ref="R34" ca="1">INDIRECT("'Grupo " &amp; Q17 &amp; "'!C35")</f>
        <v>4191</v>
      </c>
      <c r="S34" s="165" t="str">
        <f ca="1">IF(ISBLANK(R34),"",VLOOKUP(R34,Inscripciones!$B$1:$K$159,2,FALSE))</f>
        <v>ISABELA CHACÓN ALVARADO</v>
      </c>
      <c r="T34" s="166" t="str">
        <f ca="1">IF(ISBLANK(R34),"",VLOOKUP(R34,Inscripciones!$B$1:$K$159,3,FALSE))</f>
        <v>CCDR SAN JOSÉ</v>
      </c>
      <c r="U34" s="167">
        <v>4</v>
      </c>
      <c r="V34" s="168">
        <f t="shared" ca="1" si="3"/>
        <v>4191</v>
      </c>
      <c r="W34" s="169" t="str">
        <f t="shared" si="4"/>
        <v>UP</v>
      </c>
      <c r="X34" s="175"/>
      <c r="Y34" s="184"/>
      <c r="Z34" s="175"/>
      <c r="AA34" s="138"/>
      <c r="AB34" s="175"/>
      <c r="AC34" s="189"/>
    </row>
    <row r="35" spans="2:29" s="135" customFormat="1" x14ac:dyDescent="0.25">
      <c r="B35" s="156" t="s">
        <v>55</v>
      </c>
      <c r="C35" s="157">
        <v>27</v>
      </c>
      <c r="D35" s="146">
        <f t="shared" ca="1" si="0"/>
        <v>4212</v>
      </c>
      <c r="E35" s="170" t="str">
        <f ca="1">IF(D35=0,0,VLOOKUP(D35,Inscripciones!$B$1:$K$159,2,FALSE))</f>
        <v>FIORELLA RETANA AGUILAR</v>
      </c>
      <c r="F35" s="171" t="str">
        <f ca="1">IF(D35=0,0,VLOOKUP(D35,Inscripciones!$B$1:$K$159,3,FALSE))</f>
        <v>CURRIDABAT</v>
      </c>
      <c r="G35" s="172"/>
      <c r="H35" s="161"/>
      <c r="I35" s="179"/>
      <c r="K35" s="204"/>
      <c r="L35" s="203"/>
      <c r="M35" s="136"/>
      <c r="N35" s="136"/>
      <c r="O35" s="136"/>
      <c r="P35" s="207" t="s">
        <v>54</v>
      </c>
      <c r="Q35" s="208">
        <v>10</v>
      </c>
      <c r="R35" s="164" t="s">
        <v>234</v>
      </c>
      <c r="S35" s="165" t="str">
        <f>IF(ISBLANK(R35),"",VLOOKUP(R35,Inscripciones!$B$1:$K$159,2,FALSE))</f>
        <v>BYE</v>
      </c>
      <c r="T35" s="166" t="str">
        <f>IF(ISBLANK(R35),"",VLOOKUP(R35,Inscripciones!$B$1:$K$159,3,FALSE))</f>
        <v>BYE</v>
      </c>
      <c r="U35" s="167">
        <v>2</v>
      </c>
      <c r="V35" s="168" t="str">
        <f t="shared" si="3"/>
        <v>X</v>
      </c>
      <c r="W35" s="169" t="str">
        <f t="shared" si="4"/>
        <v>UP</v>
      </c>
      <c r="X35" s="175"/>
      <c r="Y35" s="184"/>
      <c r="Z35" s="175"/>
      <c r="AA35" s="138"/>
      <c r="AB35" s="175"/>
      <c r="AC35" s="189"/>
    </row>
    <row r="36" spans="2:29" s="135" customFormat="1" ht="15.75" thickBot="1" x14ac:dyDescent="0.3">
      <c r="B36" s="176" t="s">
        <v>56</v>
      </c>
      <c r="C36" s="157">
        <v>28</v>
      </c>
      <c r="D36" s="158">
        <f t="shared" ca="1" si="0"/>
        <v>4104</v>
      </c>
      <c r="E36" s="177" t="str">
        <f ca="1">IF(D36=0,0,VLOOKUP(D36,Inscripciones!$B$1:$K$159,2,FALSE))</f>
        <v>ARIANA SANCHEZ DELGADO</v>
      </c>
      <c r="F36" s="178" t="str">
        <f ca="1">IF(D36=0,0,VLOOKUP(D36,Inscripciones!$B$1:$K$159,3,FALSE))</f>
        <v>ESCAZÚ</v>
      </c>
      <c r="H36" s="179"/>
      <c r="I36" s="172"/>
      <c r="K36" s="204"/>
      <c r="L36" s="203"/>
      <c r="M36" s="136"/>
      <c r="N36" s="136"/>
      <c r="O36" s="136"/>
      <c r="P36" s="207" t="s">
        <v>54</v>
      </c>
      <c r="Q36" s="208">
        <v>11</v>
      </c>
      <c r="R36" s="164" t="s">
        <v>234</v>
      </c>
      <c r="S36" s="165" t="str">
        <f>IF(ISBLANK(R36),"",VLOOKUP(R36,Inscripciones!$B$1:$K$159,2,FALSE))</f>
        <v>BYE</v>
      </c>
      <c r="T36" s="166" t="str">
        <f>IF(ISBLANK(R36),"",VLOOKUP(R36,Inscripciones!$B$1:$K$159,3,FALSE))</f>
        <v>BYE</v>
      </c>
      <c r="U36" s="167">
        <v>31</v>
      </c>
      <c r="V36" s="168" t="str">
        <f t="shared" si="3"/>
        <v>X</v>
      </c>
      <c r="W36" s="169" t="str">
        <f t="shared" si="4"/>
        <v>DO</v>
      </c>
      <c r="X36" s="175"/>
      <c r="Y36" s="184"/>
      <c r="Z36" s="175"/>
      <c r="AA36" s="138"/>
      <c r="AB36" s="175"/>
      <c r="AC36" s="189"/>
    </row>
    <row r="37" spans="2:29" s="135" customFormat="1" x14ac:dyDescent="0.25">
      <c r="B37" s="176" t="s">
        <v>56</v>
      </c>
      <c r="C37" s="157">
        <v>29</v>
      </c>
      <c r="D37" s="146">
        <f t="shared" ca="1" si="0"/>
        <v>3828</v>
      </c>
      <c r="E37" s="180" t="str">
        <f ca="1">IF(D37=0,0,VLOOKUP(D37,Inscripciones!$B$1:$K$159,2,FALSE))</f>
        <v>AMANDA CHEN CEN</v>
      </c>
      <c r="F37" s="181" t="str">
        <f ca="1">IF(D37=0,0,VLOOKUP(D37,Inscripciones!$B$1:$K$159,3,FALSE))</f>
        <v>ESCAZÚ</v>
      </c>
      <c r="H37" s="179"/>
      <c r="K37" s="204"/>
      <c r="L37" s="203"/>
      <c r="M37" s="136"/>
      <c r="N37" s="137"/>
      <c r="O37" s="137"/>
      <c r="P37" s="207" t="s">
        <v>54</v>
      </c>
      <c r="Q37" s="208">
        <v>12</v>
      </c>
      <c r="R37" s="164" t="s">
        <v>234</v>
      </c>
      <c r="S37" s="165" t="str">
        <f>IF(ISBLANK(R37),"",VLOOKUP(R37,Inscripciones!$B$1:$K$159,2,FALSE))</f>
        <v>BYE</v>
      </c>
      <c r="T37" s="166" t="str">
        <f>IF(ISBLANK(R37),"",VLOOKUP(R37,Inscripciones!$B$1:$K$159,3,FALSE))</f>
        <v>BYE</v>
      </c>
      <c r="U37" s="167">
        <v>19</v>
      </c>
      <c r="V37" s="168" t="str">
        <f t="shared" si="3"/>
        <v>X</v>
      </c>
      <c r="W37" s="169" t="str">
        <f t="shared" si="4"/>
        <v>DO</v>
      </c>
      <c r="Y37" s="184"/>
      <c r="Z37" s="175"/>
      <c r="AA37" s="138"/>
      <c r="AB37" s="175"/>
      <c r="AC37" s="189"/>
    </row>
    <row r="38" spans="2:29" s="135" customFormat="1" ht="15.75" thickBot="1" x14ac:dyDescent="0.3">
      <c r="B38" s="156" t="s">
        <v>55</v>
      </c>
      <c r="C38" s="157">
        <v>30</v>
      </c>
      <c r="D38" s="158" t="str">
        <f t="shared" si="0"/>
        <v>X</v>
      </c>
      <c r="E38" s="159" t="str">
        <f>IF(D38=0,0,VLOOKUP(D38,Inscripciones!$B$1:$K$159,2,FALSE))</f>
        <v>BYE</v>
      </c>
      <c r="F38" s="160" t="str">
        <f>IF(D38=0,0,VLOOKUP(D38,Inscripciones!$B$1:$K$159,3,FALSE))</f>
        <v>BYE</v>
      </c>
      <c r="G38" s="161"/>
      <c r="H38" s="172"/>
      <c r="K38" s="204"/>
      <c r="L38" s="203"/>
      <c r="M38" s="136"/>
      <c r="N38" s="137"/>
      <c r="O38" s="136"/>
      <c r="P38" s="207" t="s">
        <v>54</v>
      </c>
      <c r="Q38" s="208">
        <v>13</v>
      </c>
      <c r="R38" s="164" t="s">
        <v>234</v>
      </c>
      <c r="S38" s="165" t="str">
        <f>IF(ISBLANK(R38),"",VLOOKUP(R38,Inscripciones!$B$1:$K$159,2,FALSE))</f>
        <v>BYE</v>
      </c>
      <c r="T38" s="166" t="str">
        <f>IF(ISBLANK(R38),"",VLOOKUP(R38,Inscripciones!$B$1:$K$159,3,FALSE))</f>
        <v>BYE</v>
      </c>
      <c r="U38" s="167">
        <v>22</v>
      </c>
      <c r="V38" s="168" t="str">
        <f t="shared" si="3"/>
        <v>X</v>
      </c>
      <c r="W38" s="169" t="str">
        <f t="shared" si="4"/>
        <v>DO</v>
      </c>
      <c r="Y38" s="184"/>
      <c r="Z38" s="175"/>
      <c r="AA38" s="138"/>
      <c r="AB38" s="175"/>
      <c r="AC38" s="189"/>
    </row>
    <row r="39" spans="2:29" s="135" customFormat="1" x14ac:dyDescent="0.25">
      <c r="B39" s="156" t="s">
        <v>55</v>
      </c>
      <c r="C39" s="157">
        <v>31</v>
      </c>
      <c r="D39" s="146" t="str">
        <f t="shared" si="0"/>
        <v>X</v>
      </c>
      <c r="E39" s="170" t="str">
        <f>IF(D39=0,0,VLOOKUP(D39,Inscripciones!$B$1:$K$159,2,FALSE))</f>
        <v>BYE</v>
      </c>
      <c r="F39" s="171" t="str">
        <f>IF(D39=0,0,VLOOKUP(D39,Inscripciones!$B$1:$K$159,3,FALSE))</f>
        <v>BYE</v>
      </c>
      <c r="G39" s="172"/>
      <c r="K39" s="204"/>
      <c r="L39" s="203"/>
      <c r="M39" s="136"/>
      <c r="N39" s="136"/>
      <c r="O39" s="136"/>
      <c r="P39" s="207" t="s">
        <v>54</v>
      </c>
      <c r="Q39" s="208">
        <v>14</v>
      </c>
      <c r="R39" s="164" t="s">
        <v>234</v>
      </c>
      <c r="S39" s="165" t="str">
        <f>IF(ISBLANK(R39),"",VLOOKUP(R39,Inscripciones!$B$1:$K$159,2,FALSE))</f>
        <v>BYE</v>
      </c>
      <c r="T39" s="166" t="str">
        <f>IF(ISBLANK(R39),"",VLOOKUP(R39,Inscripciones!$B$1:$K$159,3,FALSE))</f>
        <v>BYE</v>
      </c>
      <c r="U39" s="167">
        <v>3</v>
      </c>
      <c r="V39" s="168" t="str">
        <f t="shared" si="3"/>
        <v>X</v>
      </c>
      <c r="W39" s="169" t="str">
        <f t="shared" si="4"/>
        <v>UP</v>
      </c>
      <c r="Y39" s="184"/>
      <c r="AA39" s="138"/>
      <c r="AC39" s="139"/>
    </row>
    <row r="40" spans="2:29" s="135" customFormat="1" ht="15.75" thickBot="1" x14ac:dyDescent="0.3">
      <c r="B40" s="210" t="s">
        <v>60</v>
      </c>
      <c r="C40" s="211">
        <v>32</v>
      </c>
      <c r="D40" s="212">
        <f t="shared" ca="1" si="0"/>
        <v>4101</v>
      </c>
      <c r="E40" s="213" t="str">
        <f ca="1">IF(D40=0,0,VLOOKUP(D40,Inscripciones!$B$1:$K$159,2,FALSE))</f>
        <v>ABIGAIL QUIROS BALTODANO</v>
      </c>
      <c r="F40" s="214" t="str">
        <f ca="1">IF(D40=0,0,VLOOKUP(D40,Inscripciones!$B$1:$K$159,3,FALSE))</f>
        <v>ESPARZA</v>
      </c>
      <c r="K40" s="204"/>
      <c r="L40" s="203"/>
      <c r="M40" s="136"/>
      <c r="N40" s="136"/>
      <c r="O40" s="136"/>
      <c r="P40" s="207" t="s">
        <v>54</v>
      </c>
      <c r="Q40" s="208">
        <v>15</v>
      </c>
      <c r="R40" s="164" t="s">
        <v>234</v>
      </c>
      <c r="S40" s="165" t="str">
        <f>IF(ISBLANK(R40),"",VLOOKUP(R40,Inscripciones!$B$1:$K$159,2,FALSE))</f>
        <v>BYE</v>
      </c>
      <c r="T40" s="166" t="str">
        <f>IF(ISBLANK(R40),"",VLOOKUP(R40,Inscripciones!$B$1:$K$159,3,FALSE))</f>
        <v>BYE</v>
      </c>
      <c r="U40" s="167">
        <v>11</v>
      </c>
      <c r="V40" s="168" t="str">
        <f>R40</f>
        <v>X</v>
      </c>
      <c r="W40" s="169" t="str">
        <f t="shared" si="4"/>
        <v>UP</v>
      </c>
      <c r="Y40" s="184"/>
      <c r="AA40" s="138"/>
      <c r="AC40" s="139"/>
    </row>
    <row r="41" spans="2:29" s="135" customFormat="1" ht="12.75" thickBot="1" x14ac:dyDescent="0.3">
      <c r="B41" s="215"/>
      <c r="C41" s="215"/>
      <c r="D41" s="215"/>
      <c r="E41" s="215"/>
      <c r="F41" s="215"/>
      <c r="G41" s="137"/>
      <c r="H41" s="137"/>
      <c r="I41" s="137"/>
      <c r="J41" s="137"/>
      <c r="K41" s="137"/>
      <c r="L41" s="136"/>
      <c r="M41" s="136"/>
      <c r="N41" s="136"/>
      <c r="O41" s="136"/>
      <c r="P41" s="207" t="s">
        <v>54</v>
      </c>
      <c r="Q41" s="208">
        <v>16</v>
      </c>
      <c r="R41" s="196" t="s">
        <v>234</v>
      </c>
      <c r="S41" s="197" t="str">
        <f>IF(ISBLANK(R41),"",VLOOKUP(R41,Inscripciones!$B$1:$K$159,2,FALSE))</f>
        <v>BYE</v>
      </c>
      <c r="T41" s="198" t="str">
        <f>IF(ISBLANK(R41),"",VLOOKUP(R41,Inscripciones!$B$1:$K$159,3,FALSE))</f>
        <v>BYE</v>
      </c>
      <c r="U41" s="199">
        <v>14</v>
      </c>
      <c r="V41" s="200" t="str">
        <f>R41</f>
        <v>X</v>
      </c>
      <c r="W41" s="201" t="str">
        <f t="shared" si="4"/>
        <v>UP</v>
      </c>
      <c r="X41" s="137"/>
      <c r="Y41" s="188"/>
      <c r="AA41" s="138"/>
      <c r="AC41" s="139"/>
    </row>
    <row r="42" spans="2:29" s="135" customFormat="1" ht="12" x14ac:dyDescent="0.25"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136"/>
      <c r="M42" s="136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</row>
    <row r="43" spans="2:29" s="135" customFormat="1" ht="12" x14ac:dyDescent="0.25"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S43" s="137" t="s">
        <v>2</v>
      </c>
      <c r="T43" s="215" t="s">
        <v>2</v>
      </c>
      <c r="U43" s="215">
        <v>1</v>
      </c>
      <c r="V43" s="215" t="s">
        <v>61</v>
      </c>
      <c r="X43" s="137"/>
      <c r="Y43" s="137"/>
    </row>
    <row r="44" spans="2:29" s="135" customFormat="1" ht="12" x14ac:dyDescent="0.25"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S44" s="137"/>
      <c r="T44" s="215"/>
      <c r="U44" s="215">
        <v>2</v>
      </c>
      <c r="V44" s="215" t="s">
        <v>61</v>
      </c>
      <c r="X44" s="137"/>
      <c r="Y44" s="137"/>
    </row>
    <row r="45" spans="2:29" s="135" customFormat="1" ht="12" x14ac:dyDescent="0.25"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S45" s="137"/>
      <c r="T45" s="215"/>
      <c r="U45" s="215">
        <v>3</v>
      </c>
      <c r="V45" s="215" t="s">
        <v>61</v>
      </c>
      <c r="X45" s="137"/>
      <c r="Y45" s="137"/>
    </row>
    <row r="46" spans="2:29" s="135" customFormat="1" ht="12" x14ac:dyDescent="0.25"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S46" s="137"/>
      <c r="T46" s="215"/>
      <c r="U46" s="215">
        <v>4</v>
      </c>
      <c r="V46" s="215" t="s">
        <v>61</v>
      </c>
      <c r="X46" s="137"/>
      <c r="Y46" s="137"/>
    </row>
    <row r="47" spans="2:29" s="135" customFormat="1" ht="12" x14ac:dyDescent="0.25"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S47" s="137"/>
      <c r="T47" s="215"/>
      <c r="U47" s="215">
        <v>5</v>
      </c>
      <c r="V47" s="215" t="s">
        <v>61</v>
      </c>
      <c r="X47" s="137"/>
      <c r="Y47" s="137"/>
    </row>
    <row r="48" spans="2:29" s="135" customFormat="1" ht="12" x14ac:dyDescent="0.25">
      <c r="P48" s="215"/>
      <c r="Q48" s="215"/>
      <c r="S48" s="137"/>
      <c r="T48" s="215"/>
      <c r="U48" s="215">
        <v>6</v>
      </c>
      <c r="V48" s="215" t="s">
        <v>61</v>
      </c>
      <c r="X48" s="137"/>
      <c r="Y48" s="137"/>
    </row>
    <row r="49" spans="16:25" s="135" customFormat="1" ht="12" x14ac:dyDescent="0.25">
      <c r="P49" s="215"/>
      <c r="Q49" s="215"/>
      <c r="S49" s="137"/>
      <c r="T49" s="215"/>
      <c r="U49" s="215">
        <v>7</v>
      </c>
      <c r="V49" s="215" t="s">
        <v>61</v>
      </c>
      <c r="X49" s="137"/>
      <c r="Y49" s="137"/>
    </row>
    <row r="50" spans="16:25" s="135" customFormat="1" ht="12" x14ac:dyDescent="0.25">
      <c r="P50" s="215"/>
      <c r="Q50" s="215"/>
      <c r="S50" s="137"/>
      <c r="T50" s="215"/>
      <c r="U50" s="215">
        <v>8</v>
      </c>
      <c r="V50" s="215" t="s">
        <v>61</v>
      </c>
      <c r="X50" s="137"/>
      <c r="Y50" s="137"/>
    </row>
    <row r="51" spans="16:25" s="135" customFormat="1" ht="12" x14ac:dyDescent="0.25">
      <c r="P51" s="215"/>
      <c r="Q51" s="215"/>
      <c r="S51" s="137"/>
      <c r="T51" s="215"/>
      <c r="U51" s="215">
        <v>9</v>
      </c>
      <c r="V51" s="215" t="s">
        <v>61</v>
      </c>
      <c r="X51" s="137"/>
      <c r="Y51" s="137"/>
    </row>
    <row r="52" spans="16:25" s="135" customFormat="1" ht="12" x14ac:dyDescent="0.25">
      <c r="P52" s="215"/>
      <c r="Q52" s="215"/>
      <c r="S52" s="137"/>
      <c r="T52" s="215"/>
      <c r="U52" s="215">
        <v>10</v>
      </c>
      <c r="V52" s="215" t="s">
        <v>61</v>
      </c>
      <c r="X52" s="137"/>
      <c r="Y52" s="137"/>
    </row>
    <row r="53" spans="16:25" s="135" customFormat="1" ht="12" x14ac:dyDescent="0.25">
      <c r="P53" s="215"/>
      <c r="Q53" s="215"/>
      <c r="S53" s="137"/>
      <c r="T53" s="215"/>
      <c r="U53" s="215">
        <v>11</v>
      </c>
      <c r="V53" s="215" t="s">
        <v>61</v>
      </c>
      <c r="X53" s="137"/>
      <c r="Y53" s="137"/>
    </row>
    <row r="54" spans="16:25" s="135" customFormat="1" ht="12" x14ac:dyDescent="0.25">
      <c r="P54" s="215"/>
      <c r="Q54" s="215"/>
      <c r="S54" s="137"/>
      <c r="T54" s="215"/>
      <c r="U54" s="215">
        <v>12</v>
      </c>
      <c r="V54" s="215" t="s">
        <v>61</v>
      </c>
      <c r="X54" s="137"/>
      <c r="Y54" s="137"/>
    </row>
    <row r="55" spans="16:25" s="135" customFormat="1" ht="12" x14ac:dyDescent="0.25">
      <c r="P55" s="215"/>
      <c r="Q55" s="215"/>
      <c r="S55" s="137"/>
      <c r="T55" s="215"/>
      <c r="U55" s="215">
        <v>13</v>
      </c>
      <c r="V55" s="215" t="s">
        <v>61</v>
      </c>
      <c r="X55" s="137"/>
      <c r="Y55" s="137"/>
    </row>
    <row r="56" spans="16:25" s="135" customFormat="1" ht="12" x14ac:dyDescent="0.25">
      <c r="P56" s="215"/>
      <c r="Q56" s="215"/>
      <c r="S56" s="137"/>
      <c r="T56" s="215"/>
      <c r="U56" s="215">
        <v>14</v>
      </c>
      <c r="V56" s="215" t="s">
        <v>61</v>
      </c>
      <c r="X56" s="137"/>
      <c r="Y56" s="137"/>
    </row>
    <row r="57" spans="16:25" s="135" customFormat="1" ht="12" x14ac:dyDescent="0.25">
      <c r="P57" s="215"/>
      <c r="Q57" s="215"/>
      <c r="S57" s="137"/>
      <c r="T57" s="215"/>
      <c r="U57" s="215">
        <v>15</v>
      </c>
      <c r="V57" s="215" t="s">
        <v>61</v>
      </c>
      <c r="X57" s="137"/>
      <c r="Y57" s="137"/>
    </row>
    <row r="58" spans="16:25" s="135" customFormat="1" ht="12" x14ac:dyDescent="0.25">
      <c r="P58" s="215"/>
      <c r="Q58" s="215"/>
      <c r="S58" s="137"/>
      <c r="T58" s="215"/>
      <c r="U58" s="215">
        <v>16</v>
      </c>
      <c r="V58" s="215" t="s">
        <v>61</v>
      </c>
      <c r="X58" s="137"/>
      <c r="Y58" s="137"/>
    </row>
    <row r="59" spans="16:25" s="135" customFormat="1" ht="12" x14ac:dyDescent="0.25">
      <c r="P59" s="215"/>
      <c r="Q59" s="215"/>
      <c r="S59" s="137"/>
      <c r="T59" s="215"/>
      <c r="U59" s="215">
        <v>17</v>
      </c>
      <c r="V59" s="215" t="s">
        <v>61</v>
      </c>
      <c r="X59" s="137"/>
      <c r="Y59" s="137"/>
    </row>
    <row r="60" spans="16:25" s="135" customFormat="1" ht="12" x14ac:dyDescent="0.25">
      <c r="P60" s="215"/>
      <c r="Q60" s="215"/>
      <c r="S60" s="137"/>
      <c r="T60" s="215"/>
      <c r="U60" s="215">
        <v>18</v>
      </c>
      <c r="V60" s="215" t="s">
        <v>61</v>
      </c>
      <c r="X60" s="137"/>
      <c r="Y60" s="137"/>
    </row>
    <row r="61" spans="16:25" s="135" customFormat="1" ht="12" x14ac:dyDescent="0.25">
      <c r="P61" s="215"/>
      <c r="Q61" s="215"/>
      <c r="S61" s="137"/>
      <c r="T61" s="215"/>
      <c r="U61" s="215">
        <v>19</v>
      </c>
      <c r="V61" s="215" t="s">
        <v>61</v>
      </c>
      <c r="X61" s="137"/>
      <c r="Y61" s="137"/>
    </row>
    <row r="62" spans="16:25" s="135" customFormat="1" ht="12" x14ac:dyDescent="0.25">
      <c r="P62" s="215"/>
      <c r="Q62" s="215"/>
      <c r="S62" s="137"/>
      <c r="T62" s="215"/>
      <c r="U62" s="215">
        <v>20</v>
      </c>
      <c r="V62" s="215" t="s">
        <v>61</v>
      </c>
      <c r="X62" s="137"/>
      <c r="Y62" s="137"/>
    </row>
    <row r="63" spans="16:25" s="135" customFormat="1" ht="12" x14ac:dyDescent="0.25">
      <c r="P63" s="215"/>
      <c r="Q63" s="215"/>
      <c r="S63" s="137"/>
      <c r="T63" s="215"/>
      <c r="U63" s="215">
        <v>21</v>
      </c>
      <c r="V63" s="215" t="s">
        <v>61</v>
      </c>
      <c r="X63" s="137"/>
      <c r="Y63" s="137"/>
    </row>
    <row r="64" spans="16:25" s="135" customFormat="1" ht="12" x14ac:dyDescent="0.25">
      <c r="P64" s="215"/>
      <c r="Q64" s="215"/>
      <c r="S64" s="137"/>
      <c r="T64" s="215"/>
      <c r="U64" s="215">
        <v>22</v>
      </c>
      <c r="V64" s="215" t="s">
        <v>61</v>
      </c>
      <c r="X64" s="137"/>
      <c r="Y64" s="137"/>
    </row>
    <row r="65" spans="16:25" s="135" customFormat="1" ht="12" x14ac:dyDescent="0.25">
      <c r="P65" s="215"/>
      <c r="Q65" s="215"/>
      <c r="S65" s="137"/>
      <c r="T65" s="215"/>
      <c r="U65" s="215">
        <v>23</v>
      </c>
      <c r="V65" s="215" t="s">
        <v>61</v>
      </c>
      <c r="X65" s="137"/>
      <c r="Y65" s="137"/>
    </row>
    <row r="66" spans="16:25" s="135" customFormat="1" ht="12" x14ac:dyDescent="0.25">
      <c r="P66" s="215"/>
      <c r="Q66" s="215"/>
      <c r="S66" s="137"/>
      <c r="T66" s="215"/>
      <c r="U66" s="215">
        <v>24</v>
      </c>
      <c r="V66" s="215" t="s">
        <v>61</v>
      </c>
      <c r="Y66" s="137"/>
    </row>
    <row r="67" spans="16:25" s="135" customFormat="1" ht="12" x14ac:dyDescent="0.25">
      <c r="U67" s="215">
        <v>25</v>
      </c>
      <c r="V67" s="215" t="s">
        <v>61</v>
      </c>
    </row>
    <row r="68" spans="16:25" s="135" customFormat="1" ht="12" x14ac:dyDescent="0.25">
      <c r="U68" s="215">
        <v>26</v>
      </c>
      <c r="V68" s="215" t="s">
        <v>61</v>
      </c>
    </row>
    <row r="69" spans="16:25" s="135" customFormat="1" ht="12" x14ac:dyDescent="0.25">
      <c r="U69" s="215">
        <v>27</v>
      </c>
      <c r="V69" s="215" t="s">
        <v>61</v>
      </c>
    </row>
    <row r="70" spans="16:25" s="135" customFormat="1" ht="12" x14ac:dyDescent="0.25">
      <c r="U70" s="215">
        <v>28</v>
      </c>
      <c r="V70" s="215" t="s">
        <v>61</v>
      </c>
    </row>
    <row r="71" spans="16:25" s="135" customFormat="1" ht="12" x14ac:dyDescent="0.25">
      <c r="U71" s="215">
        <v>29</v>
      </c>
      <c r="V71" s="215" t="s">
        <v>61</v>
      </c>
    </row>
    <row r="72" spans="16:25" s="135" customFormat="1" ht="12" x14ac:dyDescent="0.25">
      <c r="U72" s="215">
        <v>30</v>
      </c>
      <c r="V72" s="215" t="s">
        <v>61</v>
      </c>
    </row>
    <row r="73" spans="16:25" s="135" customFormat="1" ht="12" x14ac:dyDescent="0.25">
      <c r="U73" s="215">
        <v>31</v>
      </c>
      <c r="V73" s="215" t="s">
        <v>61</v>
      </c>
    </row>
    <row r="74" spans="16:25" s="135" customFormat="1" ht="12" x14ac:dyDescent="0.25">
      <c r="U74" s="215">
        <v>32</v>
      </c>
      <c r="V74" s="215" t="s">
        <v>61</v>
      </c>
    </row>
    <row r="75" spans="16:25" s="135" customFormat="1" ht="12" x14ac:dyDescent="0.25">
      <c r="U75" s="215" t="s">
        <v>61</v>
      </c>
      <c r="V75" s="215" t="s">
        <v>61</v>
      </c>
    </row>
    <row r="76" spans="16:25" s="135" customFormat="1" ht="12" x14ac:dyDescent="0.25">
      <c r="U76" s="136">
        <v>0</v>
      </c>
      <c r="V76" s="215" t="s">
        <v>61</v>
      </c>
    </row>
  </sheetData>
  <mergeCells count="4">
    <mergeCell ref="B2:F5"/>
    <mergeCell ref="B6:L7"/>
    <mergeCell ref="R8:W8"/>
    <mergeCell ref="R25:W25"/>
  </mergeCells>
  <conditionalFormatting sqref="D9:D40">
    <cfRule type="cellIs" dxfId="5" priority="2" stopIfTrue="1" operator="equal">
      <formula>0</formula>
    </cfRule>
  </conditionalFormatting>
  <conditionalFormatting sqref="E9:F9 G9:M10 E13:F13 G13:O14 E17:F17 G17:O18 E21:F21 G21:O22 E25:F25 G25:O26 E29:F29 G29:O30 E33:F33 G33:O34 E37:F37 G37:M38 O38:O39">
    <cfRule type="cellIs" dxfId="4" priority="3" stopIfTrue="1" operator="equal">
      <formula>0</formula>
    </cfRule>
  </conditionalFormatting>
  <conditionalFormatting sqref="E11:F11 G11:O12 E15:F15 G15:O16 E19:F19 G19:O20 E23:F23 G23:O24 E27:F27 G27:O28 E31:F31 G31:O32 E35:F35 G35:O36 E39:F39 G39:M40 N39:N42 O40:O42">
    <cfRule type="cellIs" dxfId="3" priority="1" stopIfTrue="1" operator="equal">
      <formula>0</formula>
    </cfRule>
  </conditionalFormatting>
  <conditionalFormatting sqref="W9:W24 W26:W42 O37 N37:N38">
    <cfRule type="cellIs" dxfId="2" priority="4" stopIfTrue="1" operator="equal">
      <formula>"DO"</formula>
    </cfRule>
    <cfRule type="cellIs" dxfId="1" priority="5" stopIfTrue="1" operator="equal">
      <formula>"UP"</formula>
    </cfRule>
    <cfRule type="cellIs" dxfId="0" priority="6" stopIfTrue="1" operator="equal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8BE5-A2FE-4A6A-9ED5-C7B1EF047A1E}">
  <sheetPr codeName="Sheet14">
    <tabColor rgb="FFFFFF00"/>
    <pageSetUpPr fitToPage="1"/>
  </sheetPr>
  <dimension ref="A1:CB174"/>
  <sheetViews>
    <sheetView topLeftCell="A40" zoomScale="55" zoomScaleNormal="55" workbookViewId="0">
      <selection activeCell="H143" sqref="H143:H174"/>
    </sheetView>
  </sheetViews>
  <sheetFormatPr defaultColWidth="11.42578125" defaultRowHeight="15" x14ac:dyDescent="0.25"/>
  <cols>
    <col min="1" max="5" width="4.7109375" style="216" customWidth="1"/>
    <col min="6" max="6" width="0" style="216" hidden="1" customWidth="1"/>
    <col min="7" max="7" width="5.7109375" style="216" bestFit="1" customWidth="1"/>
    <col min="8" max="8" width="6.85546875" style="216" bestFit="1" customWidth="1"/>
    <col min="9" max="9" width="28.42578125" style="216" bestFit="1" customWidth="1"/>
    <col min="10" max="10" width="19.42578125" style="216" bestFit="1" customWidth="1"/>
    <col min="11" max="11" width="16.5703125" style="216" bestFit="1" customWidth="1"/>
    <col min="12" max="12" width="16.28515625" style="216" bestFit="1" customWidth="1"/>
    <col min="13" max="26" width="2.7109375" style="216" customWidth="1"/>
    <col min="27" max="45" width="0" style="216" hidden="1" customWidth="1"/>
    <col min="46" max="46" width="0.140625" style="216" customWidth="1"/>
    <col min="47" max="47" width="3.140625" style="216" customWidth="1"/>
    <col min="48" max="48" width="4.42578125" style="216" bestFit="1" customWidth="1"/>
    <col min="49" max="49" width="16.5703125" style="216" bestFit="1" customWidth="1"/>
    <col min="50" max="50" width="15.42578125" style="216" bestFit="1" customWidth="1"/>
    <col min="51" max="51" width="4.28515625" style="216" customWidth="1"/>
    <col min="52" max="52" width="29.28515625" style="216" bestFit="1" customWidth="1"/>
    <col min="53" max="53" width="10.85546875" style="216" bestFit="1" customWidth="1"/>
    <col min="54" max="54" width="4.28515625" style="216" customWidth="1"/>
    <col min="55" max="55" width="16.5703125" style="216" bestFit="1" customWidth="1"/>
    <col min="56" max="56" width="9.85546875" style="216" bestFit="1" customWidth="1"/>
    <col min="57" max="57" width="4.28515625" style="216" customWidth="1"/>
    <col min="58" max="58" width="14.28515625" style="216" bestFit="1" customWidth="1"/>
    <col min="59" max="59" width="8.7109375" style="216" bestFit="1" customWidth="1"/>
    <col min="60" max="60" width="4.28515625" style="216" customWidth="1"/>
    <col min="61" max="61" width="16.42578125" style="216" bestFit="1" customWidth="1"/>
    <col min="62" max="62" width="6.140625" style="216" bestFit="1" customWidth="1"/>
    <col min="63" max="63" width="11.42578125" style="216"/>
    <col min="64" max="64" width="7.85546875" style="216" customWidth="1"/>
    <col min="65" max="65" width="6.7109375" style="216" customWidth="1"/>
    <col min="66" max="66" width="4.42578125" style="216" customWidth="1"/>
    <col min="67" max="67" width="6.42578125" style="216" customWidth="1"/>
    <col min="68" max="68" width="3.85546875" style="216" customWidth="1"/>
    <col min="69" max="69" width="4.140625" style="216" customWidth="1"/>
    <col min="70" max="70" width="4" style="216" customWidth="1"/>
    <col min="71" max="71" width="8.140625" style="216" customWidth="1"/>
    <col min="72" max="72" width="5.7109375" style="216" customWidth="1"/>
    <col min="73" max="73" width="8.140625" style="216" customWidth="1"/>
    <col min="74" max="74" width="5.7109375" style="216" customWidth="1"/>
    <col min="75" max="75" width="8.28515625" style="216" customWidth="1"/>
    <col min="76" max="78" width="11.42578125" style="216"/>
    <col min="79" max="79" width="13.42578125" style="216" bestFit="1" customWidth="1"/>
    <col min="80" max="80" width="12.42578125" style="216" customWidth="1"/>
    <col min="81" max="16384" width="11.42578125" style="216"/>
  </cols>
  <sheetData>
    <row r="1" spans="1:80" ht="40.5" customHeight="1" x14ac:dyDescent="0.25">
      <c r="AV1" s="537" t="e" vm="1">
        <v>#VALUE!</v>
      </c>
      <c r="AW1" s="537"/>
      <c r="AX1" s="537"/>
      <c r="AY1" s="537"/>
      <c r="AZ1" s="537"/>
      <c r="BA1" s="537"/>
      <c r="BB1" s="537"/>
      <c r="BC1" s="537"/>
      <c r="BD1" s="537"/>
      <c r="BE1" s="537"/>
      <c r="BF1" s="537"/>
      <c r="BG1" s="537"/>
      <c r="BH1" s="537"/>
      <c r="BI1" s="537"/>
      <c r="BJ1" s="537"/>
    </row>
    <row r="2" spans="1:80" s="220" customFormat="1" ht="18" x14ac:dyDescent="0.25">
      <c r="A2" s="217"/>
      <c r="B2" s="217"/>
      <c r="C2" s="217"/>
      <c r="D2" s="218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538">
        <v>2</v>
      </c>
      <c r="AB2" s="538"/>
      <c r="AC2" s="219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U2" s="221"/>
      <c r="AV2" s="539" t="str">
        <f>Inscripciones!$B$2</f>
        <v>U13 FEMENINO</v>
      </c>
      <c r="AW2" s="539"/>
      <c r="AX2" s="539"/>
      <c r="AY2" s="539"/>
      <c r="AZ2" s="539"/>
      <c r="BA2" s="539"/>
      <c r="BB2" s="539"/>
      <c r="BC2" s="539"/>
      <c r="BD2" s="539"/>
      <c r="BE2" s="539"/>
      <c r="BF2" s="539"/>
      <c r="BG2" s="539"/>
      <c r="BH2" s="539"/>
      <c r="BI2" s="539"/>
    </row>
    <row r="3" spans="1:80" s="220" customFormat="1" ht="12.75" x14ac:dyDescent="0.25">
      <c r="A3" s="217" t="s">
        <v>62</v>
      </c>
      <c r="B3" s="217" t="s">
        <v>63</v>
      </c>
      <c r="C3" s="217" t="s">
        <v>64</v>
      </c>
      <c r="D3" s="218" t="s">
        <v>65</v>
      </c>
      <c r="E3" s="217" t="s">
        <v>66</v>
      </c>
      <c r="F3" s="217"/>
      <c r="G3" s="217" t="s">
        <v>67</v>
      </c>
      <c r="H3" s="217" t="s">
        <v>68</v>
      </c>
      <c r="I3" s="217" t="s">
        <v>69</v>
      </c>
      <c r="J3" s="217" t="s">
        <v>70</v>
      </c>
      <c r="K3" s="217" t="s">
        <v>71</v>
      </c>
      <c r="L3" s="217" t="s">
        <v>72</v>
      </c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 t="s">
        <v>73</v>
      </c>
      <c r="AB3" s="217" t="s">
        <v>74</v>
      </c>
      <c r="AC3" s="217"/>
      <c r="AD3" s="217" t="s">
        <v>75</v>
      </c>
      <c r="AE3" s="217" t="s">
        <v>76</v>
      </c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U3" s="221"/>
      <c r="AV3" s="222"/>
      <c r="AW3" s="222"/>
      <c r="AX3" s="223"/>
      <c r="AY3" s="222"/>
      <c r="AZ3" s="222"/>
      <c r="BA3" s="222"/>
      <c r="BB3" s="222"/>
      <c r="BC3" s="222"/>
      <c r="BD3" s="222"/>
      <c r="BE3" s="222"/>
    </row>
    <row r="4" spans="1:80" s="220" customFormat="1" ht="12.75" x14ac:dyDescent="0.25">
      <c r="A4" s="433">
        <v>1</v>
      </c>
      <c r="B4" s="533" t="s">
        <v>77</v>
      </c>
      <c r="C4" s="535" t="s">
        <v>78</v>
      </c>
      <c r="D4" s="535"/>
      <c r="E4" s="523"/>
      <c r="F4" s="527" t="str">
        <f>C4&amp;"-"&amp;D4&amp;"- Table"&amp;E4</f>
        <v>28/Sep-- Table</v>
      </c>
      <c r="G4" s="523">
        <f ca="1">'SORTEO 32'!D9</f>
        <v>4159</v>
      </c>
      <c r="H4" s="523" t="str">
        <f>'SORTEO 32'!D10</f>
        <v>X</v>
      </c>
      <c r="I4" s="523" t="str">
        <f ca="1">IF(G4=0,0,VLOOKUP(G4,Inscripciones!$B$1:$I$464,2,FALSE))</f>
        <v>MARÍA FERNANDA ZELEDÓN HERRERA</v>
      </c>
      <c r="J4" s="523" t="str">
        <f ca="1">IF(G4=0,0,VLOOKUP(G4,Inscripciones!$B$1:$L$364,3,FALSE))</f>
        <v>ESPARZA</v>
      </c>
      <c r="K4" s="523" t="str">
        <f ca="1">IF(I4=0,0,VLOOKUP(H4,Inscripciones!$B$1:$I$464,2,FALSE))</f>
        <v>BYE</v>
      </c>
      <c r="L4" s="523" t="str">
        <f ca="1">IF(I4=0,0,VLOOKUP(H4,Inscripciones!$B$1:$L$364,3,FALSE))</f>
        <v>BYE</v>
      </c>
      <c r="M4" s="531">
        <v>11</v>
      </c>
      <c r="N4" s="523">
        <v>0</v>
      </c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  <c r="Z4" s="525"/>
      <c r="AA4" s="452">
        <f>IF(M4+N4&lt;&gt;0,SUM(AF4:AL4),"")</f>
        <v>1</v>
      </c>
      <c r="AB4" s="452">
        <f>IF(M4+N4&lt;&gt;0,SUM(AF5:AL5),"")</f>
        <v>0</v>
      </c>
      <c r="AC4" s="452" t="str">
        <f>IF(AA4&gt;AB4,AD4&amp;"  "&amp;AE4,IF(AB4&gt;AA4,AD4&amp;"  "&amp;AE5,""))</f>
        <v>1 - 0  (0)</v>
      </c>
      <c r="AD4" s="217" t="str">
        <f>IF(AA4&gt;AB4,AA4&amp;" - "&amp;AB4,IF(AB4&gt;AA4,AB4&amp;" - "&amp;AA4,""))</f>
        <v>1 - 0</v>
      </c>
      <c r="AE4" s="217" t="str">
        <f t="shared" ref="AE4:AE67" si="0">CONCATENATE("(",AM4,AN4,AO4,AP4,AQ4,AR4,AS4,")")</f>
        <v>(0)</v>
      </c>
      <c r="AF4" s="217">
        <f>IF(M4&gt;N4,1,0)</f>
        <v>1</v>
      </c>
      <c r="AG4" s="217">
        <f>IF(O4&gt;P4,1,0)</f>
        <v>0</v>
      </c>
      <c r="AH4" s="217">
        <f>IF(Q4&gt;R4,1,0)</f>
        <v>0</v>
      </c>
      <c r="AI4" s="217">
        <f>IF(S4&gt;T4,1,0)</f>
        <v>0</v>
      </c>
      <c r="AJ4" s="217">
        <f>IF(U4&gt;V4,1,0)</f>
        <v>0</v>
      </c>
      <c r="AK4" s="217">
        <f>IF(W4&gt;X4,1,0)</f>
        <v>0</v>
      </c>
      <c r="AL4" s="217">
        <f>IF(Y4&gt;Z4,1,0)</f>
        <v>0</v>
      </c>
      <c r="AM4" s="217">
        <f>IF(M4&gt;N4,N4,IF(N4&gt;M4,-M4,""))</f>
        <v>0</v>
      </c>
      <c r="AN4" s="217" t="str">
        <f>IF(O4&gt;P4,", "&amp;P4,IF(P4&gt;O4,", "&amp;-O4,""))</f>
        <v/>
      </c>
      <c r="AO4" s="217" t="str">
        <f>IF(Q4&gt;R4,", "&amp;R4,IF(R4&gt;Q4,", "&amp;-Q4,""))</f>
        <v/>
      </c>
      <c r="AP4" s="217" t="str">
        <f>IF(S4&gt;T4,", "&amp;T4,IF(T4&gt;S4,", "&amp;-S4,""))</f>
        <v/>
      </c>
      <c r="AQ4" s="217" t="str">
        <f>IF(U4&gt;V4,", "&amp;V4,IF(V4&gt;U4,", "&amp;-U4,""))</f>
        <v/>
      </c>
      <c r="AR4" s="217" t="str">
        <f>IF(W4&gt;X4,", "&amp;X4,IF(X4&gt;W4,", "&amp;-W4,""))</f>
        <v/>
      </c>
      <c r="AS4" s="217" t="str">
        <f>IF(Y4&gt;Z4,", "&amp;Z4,IF(Z4&gt;Y4,", "&amp;-Y4,""))</f>
        <v/>
      </c>
      <c r="AU4" s="224">
        <v>1</v>
      </c>
      <c r="AV4" s="225">
        <f ca="1">VLOOKUP(AV5,$A$4:$L$83,7,FALSE)</f>
        <v>4159</v>
      </c>
      <c r="AW4" s="226" t="str">
        <f ca="1">IF(AV4=0,0,VLOOKUP(AV4,Inscripciones!$B$1:$I$464,2,FALSE))</f>
        <v>MARÍA FERNANDA ZELEDÓN HERRERA</v>
      </c>
      <c r="AX4" s="227" t="str">
        <f ca="1">IF(AV4=0,0,VLOOKUP(AV4,Inscripciones!$B$1:$L$364,3,FALSE))</f>
        <v>ESPARZA</v>
      </c>
      <c r="AY4" s="228"/>
      <c r="AZ4" s="229" t="str">
        <f>VLOOKUP(AV5,$A$4:$AD$83,29,FALSE)</f>
        <v>1 - 0  (0)</v>
      </c>
      <c r="BA4" s="228"/>
      <c r="BB4" s="222"/>
      <c r="BC4" s="222"/>
      <c r="BD4" s="222"/>
      <c r="BE4" s="222"/>
      <c r="BL4" s="230" t="s">
        <v>79</v>
      </c>
      <c r="BM4" s="230" t="s">
        <v>80</v>
      </c>
      <c r="BN4" s="230" t="s">
        <v>81</v>
      </c>
      <c r="BO4" s="230" t="s">
        <v>82</v>
      </c>
      <c r="BP4" s="230" t="s">
        <v>83</v>
      </c>
      <c r="BQ4" s="230" t="s">
        <v>84</v>
      </c>
      <c r="BR4" s="230" t="s">
        <v>85</v>
      </c>
      <c r="BS4" s="230" t="s">
        <v>86</v>
      </c>
      <c r="BT4" s="230" t="s">
        <v>87</v>
      </c>
      <c r="BU4" s="230" t="s">
        <v>88</v>
      </c>
      <c r="BV4" s="230" t="s">
        <v>89</v>
      </c>
      <c r="BW4" s="230" t="s">
        <v>90</v>
      </c>
      <c r="BX4" s="231"/>
      <c r="BY4" s="232" t="s">
        <v>91</v>
      </c>
      <c r="BZ4" s="233" t="s">
        <v>92</v>
      </c>
      <c r="CA4" s="234" t="s">
        <v>93</v>
      </c>
      <c r="CB4" s="235" t="s">
        <v>94</v>
      </c>
    </row>
    <row r="5" spans="1:80" s="220" customFormat="1" ht="12.75" x14ac:dyDescent="0.25">
      <c r="A5" s="433"/>
      <c r="B5" s="534"/>
      <c r="C5" s="536"/>
      <c r="D5" s="536"/>
      <c r="E5" s="524"/>
      <c r="F5" s="528"/>
      <c r="G5" s="524"/>
      <c r="H5" s="524"/>
      <c r="I5" s="524">
        <v>0</v>
      </c>
      <c r="J5" s="524">
        <v>0</v>
      </c>
      <c r="K5" s="524">
        <v>0</v>
      </c>
      <c r="L5" s="524">
        <v>0</v>
      </c>
      <c r="M5" s="532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6"/>
      <c r="AA5" s="452"/>
      <c r="AB5" s="452"/>
      <c r="AC5" s="452"/>
      <c r="AD5" s="217" t="str">
        <f>IF(AA4&gt;AB4,AD4&amp;"  "&amp;AE4,IF(AB4&gt;AA4,AD4&amp;"  "&amp;AE5,""))</f>
        <v>1 - 0  (0)</v>
      </c>
      <c r="AE5" s="217" t="str">
        <f t="shared" si="0"/>
        <v>(0)</v>
      </c>
      <c r="AF5" s="217">
        <f>IF(N4&gt;M4,1,0)</f>
        <v>0</v>
      </c>
      <c r="AG5" s="217">
        <f>IF(P4&gt;O4,1,0)</f>
        <v>0</v>
      </c>
      <c r="AH5" s="217">
        <f>IF(R4&gt;Q4,1,0)</f>
        <v>0</v>
      </c>
      <c r="AI5" s="217">
        <f>IF(T4&gt;S4,1,0)</f>
        <v>0</v>
      </c>
      <c r="AJ5" s="217">
        <f>IF(V4&gt;U4,1,0)</f>
        <v>0</v>
      </c>
      <c r="AK5" s="217">
        <f>IF(X4&gt;W4,1,0)</f>
        <v>0</v>
      </c>
      <c r="AL5" s="217">
        <f>IF(Z4&gt;Y4,1,0)</f>
        <v>0</v>
      </c>
      <c r="AM5" s="217">
        <f>IF(N4&gt;M4,M4,IF(M4&gt;N4,-N4,""))</f>
        <v>0</v>
      </c>
      <c r="AN5" s="217" t="str">
        <f>IF(P4&gt;O4,", "&amp;O4,IF(O4&gt;P4,", "&amp;-P4,""))</f>
        <v/>
      </c>
      <c r="AO5" s="217" t="str">
        <f>IF(R4&gt;Q4,", "&amp;Q4,IF(Q4&gt;R4,", "&amp;-R4,""))</f>
        <v/>
      </c>
      <c r="AP5" s="217" t="str">
        <f>IF(T4&gt;S4,", "&amp;S4,IF(S4&gt;T4,", "&amp;-T4,""))</f>
        <v/>
      </c>
      <c r="AQ5" s="217" t="str">
        <f>IF(V4&gt;U4,", "&amp;U4,IF(U4&gt;V4,", "&amp;-V4,""))</f>
        <v/>
      </c>
      <c r="AR5" s="217" t="str">
        <f>IF(X4&gt;W4,", "&amp;W4,IF(W4&gt;X4,", "&amp;-X4,""))</f>
        <v/>
      </c>
      <c r="AS5" s="217" t="str">
        <f>IF(Z4&gt;Y4,", "&amp;Y4,IF(Y4&gt;Z4,", "&amp;-Z4,""))</f>
        <v/>
      </c>
      <c r="AU5" s="221"/>
      <c r="AV5" s="236">
        <v>1</v>
      </c>
      <c r="AW5" s="237" t="str">
        <f>VLOOKUP(AV5,$A$4:$L$83,6,FALSE)</f>
        <v>28/Sep-- Table</v>
      </c>
      <c r="AX5" s="238"/>
      <c r="AY5" s="225">
        <f ca="1">VLOOKUP(AY7,$A$4:$L$87,7,FALSE)</f>
        <v>4159</v>
      </c>
      <c r="AZ5" s="226" t="str">
        <f ca="1">IF(AY5=0,0,VLOOKUP(AY5,Inscripciones!$B$1:$I$464,2,FALSE))</f>
        <v>MARÍA FERNANDA ZELEDÓN HERRERA</v>
      </c>
      <c r="BA5" s="227" t="str">
        <f ca="1">IF(AY5=0,0,VLOOKUP(AY5,Inscripciones!$B$1:$L$364,3,FALSE))</f>
        <v>ESPARZA</v>
      </c>
      <c r="BB5" s="222"/>
      <c r="BC5" s="222"/>
      <c r="BD5" s="222"/>
      <c r="BE5" s="222"/>
      <c r="BL5" s="239">
        <v>1</v>
      </c>
      <c r="BM5" s="240" t="str">
        <f>C4</f>
        <v>28/Sep</v>
      </c>
      <c r="BN5" s="240">
        <f>D4</f>
        <v>0</v>
      </c>
      <c r="BO5" s="241">
        <f>E4</f>
        <v>0</v>
      </c>
      <c r="BP5" s="242" t="s">
        <v>95</v>
      </c>
      <c r="BQ5" s="239"/>
      <c r="BR5" s="239">
        <v>1</v>
      </c>
      <c r="BS5" s="243" t="e">
        <f>VLOOKUP(BY6,Inscripciones!$B$1:$B$364,2,FALSE)</f>
        <v>#REF!</v>
      </c>
      <c r="BT5" s="244"/>
      <c r="BU5" s="243" t="e">
        <f ca="1">VLOOKUP(BZ6,Inscripciones!$B$1:$B$364,2,FALSE)</f>
        <v>#REF!</v>
      </c>
      <c r="BV5" s="244"/>
      <c r="BW5" s="239"/>
      <c r="BX5" s="231"/>
      <c r="BY5" s="245">
        <f ca="1">G4</f>
        <v>4159</v>
      </c>
      <c r="BZ5" s="246" t="str">
        <f>H4</f>
        <v>X</v>
      </c>
      <c r="CA5" s="234" t="str">
        <f>Inscripciones!$B$2</f>
        <v>U13 FEMENINO</v>
      </c>
      <c r="CB5" s="235" t="s">
        <v>96</v>
      </c>
    </row>
    <row r="6" spans="1:80" s="220" customFormat="1" ht="12.75" x14ac:dyDescent="0.25">
      <c r="A6" s="433">
        <v>2</v>
      </c>
      <c r="B6" s="517" t="s">
        <v>77</v>
      </c>
      <c r="C6" s="519" t="s">
        <v>78</v>
      </c>
      <c r="D6" s="519"/>
      <c r="E6" s="513"/>
      <c r="F6" s="521" t="str">
        <f t="shared" ref="F6" si="1">C6&amp;"-"&amp;D6&amp;"- Table"&amp;E6</f>
        <v>28/Sep-- Table</v>
      </c>
      <c r="G6" s="513" t="str">
        <f>'SORTEO 32'!D11</f>
        <v>X</v>
      </c>
      <c r="H6" s="513">
        <f ca="1">'SORTEO 32'!D12</f>
        <v>4191</v>
      </c>
      <c r="I6" s="513" t="str">
        <f>IF(G6=0,0,VLOOKUP(G6,Inscripciones!$B$1:$I$464,2,FALSE))</f>
        <v>BYE</v>
      </c>
      <c r="J6" s="513" t="str">
        <f>IF(G6=0,0,VLOOKUP(G6,Inscripciones!$B$1:$L$364,3,FALSE))</f>
        <v>BYE</v>
      </c>
      <c r="K6" s="513" t="str">
        <f ca="1">IF(I6=0,0,VLOOKUP(H6,Inscripciones!$B$1:$I$464,2,FALSE))</f>
        <v>ISABELA CHACÓN ALVARADO</v>
      </c>
      <c r="L6" s="513" t="str">
        <f ca="1">IF(I6=0,0,VLOOKUP(H6,Inscripciones!$B$1:$L$364,3,FALSE))</f>
        <v>CCDR SAN JOSÉ</v>
      </c>
      <c r="M6" s="515">
        <v>0</v>
      </c>
      <c r="N6" s="513">
        <v>11</v>
      </c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29"/>
      <c r="AA6" s="452">
        <f t="shared" ref="AA6" si="2">IF(M6+N6&lt;&gt;0,SUM(AF6:AL6),"")</f>
        <v>0</v>
      </c>
      <c r="AB6" s="452">
        <f t="shared" ref="AB6" si="3">IF(M6+N6&lt;&gt;0,SUM(AF7:AL7),"")</f>
        <v>1</v>
      </c>
      <c r="AC6" s="452" t="str">
        <f t="shared" ref="AC6" si="4">IF(AA6&gt;AB6,AD6&amp;"  "&amp;AE6,IF(AB6&gt;AA6,AD6&amp;"  "&amp;AE7,""))</f>
        <v>1 - 0  (0)</v>
      </c>
      <c r="AD6" s="217" t="str">
        <f t="shared" ref="AD6" si="5">IF(AA6&gt;AB6,AA6&amp;" - "&amp;AB6,IF(AB6&gt;AA6,AB6&amp;" - "&amp;AA6,""))</f>
        <v>1 - 0</v>
      </c>
      <c r="AE6" s="217" t="str">
        <f t="shared" si="0"/>
        <v>(0)</v>
      </c>
      <c r="AF6" s="217">
        <f t="shared" ref="AF6" si="6">IF(M6&gt;N6,1,0)</f>
        <v>0</v>
      </c>
      <c r="AG6" s="217">
        <f t="shared" ref="AG6" si="7">IF(O6&gt;P6,1,0)</f>
        <v>0</v>
      </c>
      <c r="AH6" s="217">
        <f t="shared" ref="AH6" si="8">IF(Q6&gt;R6,1,0)</f>
        <v>0</v>
      </c>
      <c r="AI6" s="217">
        <f t="shared" ref="AI6" si="9">IF(S6&gt;T6,1,0)</f>
        <v>0</v>
      </c>
      <c r="AJ6" s="217">
        <f t="shared" ref="AJ6" si="10">IF(U6&gt;V6,1,0)</f>
        <v>0</v>
      </c>
      <c r="AK6" s="217">
        <f t="shared" ref="AK6" si="11">IF(W6&gt;X6,1,0)</f>
        <v>0</v>
      </c>
      <c r="AL6" s="217">
        <f t="shared" ref="AL6" si="12">IF(Y6&gt;Z6,1,0)</f>
        <v>0</v>
      </c>
      <c r="AM6" s="217">
        <f t="shared" ref="AM6" si="13">IF(M6&gt;N6,N6,IF(N6&gt;M6,-M6,""))</f>
        <v>0</v>
      </c>
      <c r="AN6" s="217" t="str">
        <f t="shared" ref="AN6" si="14">IF(O6&gt;P6,", "&amp;P6,IF(P6&gt;O6,", "&amp;-O6,""))</f>
        <v/>
      </c>
      <c r="AO6" s="217" t="str">
        <f t="shared" ref="AO6" si="15">IF(Q6&gt;R6,", "&amp;R6,IF(R6&gt;Q6,", "&amp;-Q6,""))</f>
        <v/>
      </c>
      <c r="AP6" s="217" t="str">
        <f t="shared" ref="AP6" si="16">IF(S6&gt;T6,", "&amp;T6,IF(T6&gt;S6,", "&amp;-S6,""))</f>
        <v/>
      </c>
      <c r="AQ6" s="217" t="str">
        <f t="shared" ref="AQ6" si="17">IF(U6&gt;V6,", "&amp;V6,IF(V6&gt;U6,", "&amp;-U6,""))</f>
        <v/>
      </c>
      <c r="AR6" s="217" t="str">
        <f t="shared" ref="AR6" si="18">IF(W6&gt;X6,", "&amp;X6,IF(X6&gt;W6,", "&amp;-W6,""))</f>
        <v/>
      </c>
      <c r="AS6" s="217" t="str">
        <f t="shared" ref="AS6" si="19">IF(Y6&gt;Z6,", "&amp;Z6,IF(Z6&gt;Y6,", "&amp;-Y6,""))</f>
        <v/>
      </c>
      <c r="AU6" s="224">
        <f>1+AU4</f>
        <v>2</v>
      </c>
      <c r="AV6" s="247" t="str">
        <f>VLOOKUP(AV5,$A$4:$L$83,8,FALSE)</f>
        <v>X</v>
      </c>
      <c r="AW6" s="247" t="str">
        <f>IF(AV6=0,0,VLOOKUP(AV6,Inscripciones!$B$1:$I$464,2,FALSE))</f>
        <v>BYE</v>
      </c>
      <c r="AX6" s="248" t="str">
        <f>IF(AV6=0,0,VLOOKUP(AV6,Inscripciones!$B$1:$L$364,3,FALSE))</f>
        <v>BYE</v>
      </c>
      <c r="AY6" s="222"/>
      <c r="AZ6" s="222"/>
      <c r="BA6" s="249"/>
      <c r="BB6" s="228"/>
      <c r="BC6" s="229" t="str">
        <f>VLOOKUP(AY7,$A$4:$AD$83,29,FALSE)</f>
        <v>2 - 0  (8, 6)</v>
      </c>
      <c r="BD6" s="228"/>
      <c r="BE6" s="222"/>
      <c r="BL6" s="239">
        <f>1+BL5</f>
        <v>2</v>
      </c>
      <c r="BM6" s="240" t="str">
        <f>C6</f>
        <v>28/Sep</v>
      </c>
      <c r="BN6" s="240">
        <f>D6</f>
        <v>0</v>
      </c>
      <c r="BO6" s="241">
        <f>E6</f>
        <v>0</v>
      </c>
      <c r="BP6" s="242" t="s">
        <v>95</v>
      </c>
      <c r="BQ6" s="239"/>
      <c r="BR6" s="239">
        <v>2</v>
      </c>
      <c r="BS6" s="243" t="e">
        <f ca="1">VLOOKUP(BY7,Inscripciones!$B$1:$B$364,2,FALSE)</f>
        <v>#REF!</v>
      </c>
      <c r="BT6" s="244"/>
      <c r="BU6" s="243" t="e">
        <f ca="1">VLOOKUP(BZ7,Inscripciones!$B$1:$B$364,2,FALSE)</f>
        <v>#REF!</v>
      </c>
      <c r="BV6" s="244"/>
      <c r="BW6" s="239"/>
      <c r="BX6" s="231"/>
      <c r="BY6" s="245" t="str">
        <f>G6</f>
        <v>X</v>
      </c>
      <c r="BZ6" s="246">
        <f ca="1">H6</f>
        <v>4191</v>
      </c>
      <c r="CA6" s="234" t="str">
        <f>Inscripciones!$B$2</f>
        <v>U13 FEMENINO</v>
      </c>
      <c r="CB6" s="235" t="s">
        <v>97</v>
      </c>
    </row>
    <row r="7" spans="1:80" s="220" customFormat="1" ht="12.75" x14ac:dyDescent="0.25">
      <c r="A7" s="433"/>
      <c r="B7" s="518"/>
      <c r="C7" s="520"/>
      <c r="D7" s="520"/>
      <c r="E7" s="514"/>
      <c r="F7" s="522"/>
      <c r="G7" s="514"/>
      <c r="H7" s="514"/>
      <c r="I7" s="514">
        <v>0</v>
      </c>
      <c r="J7" s="514">
        <v>0</v>
      </c>
      <c r="K7" s="514">
        <v>0</v>
      </c>
      <c r="L7" s="514">
        <v>0</v>
      </c>
      <c r="M7" s="516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30"/>
      <c r="AA7" s="452"/>
      <c r="AB7" s="452"/>
      <c r="AC7" s="452"/>
      <c r="AD7" s="217" t="str">
        <f t="shared" ref="AD7" si="20">IF(AA6&gt;AB6,AD6&amp;"  "&amp;AE6,IF(AB6&gt;AA6,AD6&amp;"  "&amp;AE7,""))</f>
        <v>1 - 0  (0)</v>
      </c>
      <c r="AE7" s="217" t="str">
        <f t="shared" si="0"/>
        <v>(0)</v>
      </c>
      <c r="AF7" s="217">
        <f t="shared" ref="AF7" si="21">IF(N6&gt;M6,1,0)</f>
        <v>1</v>
      </c>
      <c r="AG7" s="217">
        <f t="shared" ref="AG7" si="22">IF(P6&gt;O6,1,0)</f>
        <v>0</v>
      </c>
      <c r="AH7" s="217">
        <f t="shared" ref="AH7" si="23">IF(R6&gt;Q6,1,0)</f>
        <v>0</v>
      </c>
      <c r="AI7" s="217">
        <f t="shared" ref="AI7" si="24">IF(T6&gt;S6,1,0)</f>
        <v>0</v>
      </c>
      <c r="AJ7" s="217">
        <f t="shared" ref="AJ7" si="25">IF(V6&gt;U6,1,0)</f>
        <v>0</v>
      </c>
      <c r="AK7" s="217">
        <f t="shared" ref="AK7" si="26">IF(X6&gt;W6,1,0)</f>
        <v>0</v>
      </c>
      <c r="AL7" s="217">
        <f t="shared" ref="AL7" si="27">IF(Z6&gt;Y6,1,0)</f>
        <v>0</v>
      </c>
      <c r="AM7" s="217">
        <f t="shared" ref="AM7" si="28">IF(N6&gt;M6,M6,IF(M6&gt;N6,-N6,""))</f>
        <v>0</v>
      </c>
      <c r="AN7" s="217" t="str">
        <f t="shared" ref="AN7" si="29">IF(P6&gt;O6,", "&amp;O6,IF(O6&gt;P6,", "&amp;-P6,""))</f>
        <v/>
      </c>
      <c r="AO7" s="217" t="str">
        <f t="shared" ref="AO7" si="30">IF(R6&gt;Q6,", "&amp;Q6,IF(Q6&gt;R6,", "&amp;-R6,""))</f>
        <v/>
      </c>
      <c r="AP7" s="217" t="str">
        <f t="shared" ref="AP7" si="31">IF(T6&gt;S6,", "&amp;S6,IF(S6&gt;T6,", "&amp;-T6,""))</f>
        <v/>
      </c>
      <c r="AQ7" s="217" t="str">
        <f t="shared" ref="AQ7" si="32">IF(V6&gt;U6,", "&amp;U6,IF(U6&gt;V6,", "&amp;-V6,""))</f>
        <v/>
      </c>
      <c r="AR7" s="217" t="str">
        <f t="shared" ref="AR7" si="33">IF(X6&gt;W6,", "&amp;W6,IF(W6&gt;X6,", "&amp;-X6,""))</f>
        <v/>
      </c>
      <c r="AS7" s="217" t="str">
        <f t="shared" ref="AS7" si="34">IF(Z6&gt;Y6,", "&amp;Y6,IF(Y6&gt;Z6,", "&amp;-Z6,""))</f>
        <v/>
      </c>
      <c r="AU7" s="224"/>
      <c r="AV7" s="222"/>
      <c r="AW7" s="222"/>
      <c r="AX7" s="250"/>
      <c r="AY7" s="236">
        <v>17</v>
      </c>
      <c r="AZ7" s="237" t="str">
        <f>VLOOKUP(AY7,$A$4:$L$83,6,FALSE)</f>
        <v>28/Sep-- Table</v>
      </c>
      <c r="BA7" s="251"/>
      <c r="BB7" s="225">
        <f ca="1">VLOOKUP(BB11,$A$4:$L$87,7,FALSE)</f>
        <v>4159</v>
      </c>
      <c r="BC7" s="226" t="str">
        <f ca="1">IF(BB7=0,0,VLOOKUP(BB7,Inscripciones!$B$1:$I$464,2,FALSE))</f>
        <v>MARÍA FERNANDA ZELEDÓN HERRERA</v>
      </c>
      <c r="BD7" s="227" t="str">
        <f ca="1">IF(BB7=0,0,VLOOKUP(BB7,Inscripciones!$B$1:$L$364,3,FALSE))</f>
        <v>ESPARZA</v>
      </c>
      <c r="BE7" s="222"/>
      <c r="BL7" s="239">
        <f t="shared" ref="BL7:BL36" si="35">1+BL6</f>
        <v>3</v>
      </c>
      <c r="BM7" s="240" t="str">
        <f>C8</f>
        <v>28/Sep</v>
      </c>
      <c r="BN7" s="240">
        <f>D8</f>
        <v>0</v>
      </c>
      <c r="BO7" s="241">
        <f>E8</f>
        <v>0</v>
      </c>
      <c r="BP7" s="242" t="s">
        <v>95</v>
      </c>
      <c r="BQ7" s="239"/>
      <c r="BR7" s="239">
        <v>3</v>
      </c>
      <c r="BS7" s="243" t="e">
        <f>VLOOKUP(BY8,Inscripciones!$B$1:$B$364,2,FALSE)</f>
        <v>#REF!</v>
      </c>
      <c r="BT7" s="244"/>
      <c r="BU7" s="243" t="e">
        <f ca="1">VLOOKUP(BZ8,Inscripciones!$B$1:$B$364,2,FALSE)</f>
        <v>#REF!</v>
      </c>
      <c r="BV7" s="244"/>
      <c r="BW7" s="239"/>
      <c r="BX7" s="231"/>
      <c r="BY7" s="245">
        <f ca="1">G8</f>
        <v>3912</v>
      </c>
      <c r="BZ7" s="246">
        <f ca="1">H8</f>
        <v>4275</v>
      </c>
      <c r="CA7" s="234" t="str">
        <f>Inscripciones!$B$2</f>
        <v>U13 FEMENINO</v>
      </c>
      <c r="CB7" s="235" t="s">
        <v>98</v>
      </c>
    </row>
    <row r="8" spans="1:80" s="220" customFormat="1" ht="12.75" x14ac:dyDescent="0.25">
      <c r="A8" s="433">
        <v>3</v>
      </c>
      <c r="B8" s="533" t="s">
        <v>99</v>
      </c>
      <c r="C8" s="535" t="s">
        <v>78</v>
      </c>
      <c r="D8" s="535"/>
      <c r="E8" s="523"/>
      <c r="F8" s="527" t="str">
        <f t="shared" ref="F8" si="36">C8&amp;"-"&amp;D8&amp;"- Table"&amp;E8</f>
        <v>28/Sep-- Table</v>
      </c>
      <c r="G8" s="523">
        <f ca="1">'SORTEO 32'!D13</f>
        <v>3912</v>
      </c>
      <c r="H8" s="523">
        <f ca="1">'SORTEO 32'!D14</f>
        <v>4275</v>
      </c>
      <c r="I8" s="523" t="str">
        <f ca="1">IF(G8=0,0,VLOOKUP(G8,Inscripciones!$B$1:$I$464,2,FALSE))</f>
        <v>AMBAR PADILLA GRANADOS</v>
      </c>
      <c r="J8" s="523" t="str">
        <f ca="1">IF(G8=0,0,VLOOKUP(G8,Inscripciones!$B$1:$L$364,3,FALSE))</f>
        <v>PÉREZ ZELEDÓN</v>
      </c>
      <c r="K8" s="523" t="str">
        <f ca="1">IF(I8=0,0,VLOOKUP(H8,Inscripciones!$B$1:$I$464,2,FALSE))</f>
        <v>CLARISSA MORA JIMÉNEZ</v>
      </c>
      <c r="L8" s="523" t="str">
        <f ca="1">IF(I8=0,0,VLOOKUP(H8,Inscripciones!$B$1:$L$364,3,FALSE))</f>
        <v>ESPARZA</v>
      </c>
      <c r="M8" s="531">
        <v>12</v>
      </c>
      <c r="N8" s="523">
        <v>10</v>
      </c>
      <c r="O8" s="523">
        <v>11</v>
      </c>
      <c r="P8" s="523">
        <v>8</v>
      </c>
      <c r="Q8" s="523"/>
      <c r="R8" s="523"/>
      <c r="S8" s="523"/>
      <c r="T8" s="523"/>
      <c r="U8" s="523"/>
      <c r="V8" s="523"/>
      <c r="W8" s="523"/>
      <c r="X8" s="523"/>
      <c r="Y8" s="523"/>
      <c r="Z8" s="525"/>
      <c r="AA8" s="452">
        <f t="shared" ref="AA8" si="37">IF(M8+N8&lt;&gt;0,SUM(AF8:AL8),"")</f>
        <v>2</v>
      </c>
      <c r="AB8" s="452">
        <f t="shared" ref="AB8" si="38">IF(M8+N8&lt;&gt;0,SUM(AF9:AL9),"")</f>
        <v>0</v>
      </c>
      <c r="AC8" s="452" t="str">
        <f t="shared" ref="AC8" si="39">IF(AA8&gt;AB8,AD8&amp;"  "&amp;AE8,IF(AB8&gt;AA8,AD8&amp;"  "&amp;AE9,""))</f>
        <v>2 - 0  (10, 8)</v>
      </c>
      <c r="AD8" s="217" t="str">
        <f t="shared" ref="AD8" si="40">IF(AA8&gt;AB8,AA8&amp;" - "&amp;AB8,IF(AB8&gt;AA8,AB8&amp;" - "&amp;AA8,""))</f>
        <v>2 - 0</v>
      </c>
      <c r="AE8" s="217" t="str">
        <f t="shared" si="0"/>
        <v>(10, 8)</v>
      </c>
      <c r="AF8" s="217">
        <f t="shared" ref="AF8" si="41">IF(M8&gt;N8,1,0)</f>
        <v>1</v>
      </c>
      <c r="AG8" s="217">
        <f t="shared" ref="AG8" si="42">IF(O8&gt;P8,1,0)</f>
        <v>1</v>
      </c>
      <c r="AH8" s="217">
        <f t="shared" ref="AH8" si="43">IF(Q8&gt;R8,1,0)</f>
        <v>0</v>
      </c>
      <c r="AI8" s="217">
        <f t="shared" ref="AI8" si="44">IF(S8&gt;T8,1,0)</f>
        <v>0</v>
      </c>
      <c r="AJ8" s="217">
        <f t="shared" ref="AJ8" si="45">IF(U8&gt;V8,1,0)</f>
        <v>0</v>
      </c>
      <c r="AK8" s="217">
        <f t="shared" ref="AK8" si="46">IF(W8&gt;X8,1,0)</f>
        <v>0</v>
      </c>
      <c r="AL8" s="217">
        <f t="shared" ref="AL8" si="47">IF(Y8&gt;Z8,1,0)</f>
        <v>0</v>
      </c>
      <c r="AM8" s="217">
        <f t="shared" ref="AM8" si="48">IF(M8&gt;N8,N8,IF(N8&gt;M8,-M8,""))</f>
        <v>10</v>
      </c>
      <c r="AN8" s="217" t="str">
        <f t="shared" ref="AN8" si="49">IF(O8&gt;P8,", "&amp;P8,IF(P8&gt;O8,", "&amp;-O8,""))</f>
        <v>, 8</v>
      </c>
      <c r="AO8" s="217" t="str">
        <f t="shared" ref="AO8" si="50">IF(Q8&gt;R8,", "&amp;R8,IF(R8&gt;Q8,", "&amp;-Q8,""))</f>
        <v/>
      </c>
      <c r="AP8" s="217" t="str">
        <f t="shared" ref="AP8" si="51">IF(S8&gt;T8,", "&amp;T8,IF(T8&gt;S8,", "&amp;-S8,""))</f>
        <v/>
      </c>
      <c r="AQ8" s="217" t="str">
        <f t="shared" ref="AQ8" si="52">IF(U8&gt;V8,", "&amp;V8,IF(V8&gt;U8,", "&amp;-U8,""))</f>
        <v/>
      </c>
      <c r="AR8" s="217" t="str">
        <f t="shared" ref="AR8" si="53">IF(W8&gt;X8,", "&amp;X8,IF(X8&gt;W8,", "&amp;-W8,""))</f>
        <v/>
      </c>
      <c r="AS8" s="217" t="str">
        <f t="shared" ref="AS8" si="54">IF(Y8&gt;Z8,", "&amp;Z8,IF(Z8&gt;Y8,", "&amp;-Y8,""))</f>
        <v/>
      </c>
      <c r="AU8" s="224">
        <f>1+AU6</f>
        <v>3</v>
      </c>
      <c r="AV8" s="225" t="str">
        <f>VLOOKUP(AV9,$A$4:$L$83,7,FALSE)</f>
        <v>X</v>
      </c>
      <c r="AW8" s="226" t="str">
        <f>IF(AV8=0,0,VLOOKUP(AV8,Inscripciones!$B$1:$I$464,2,FALSE))</f>
        <v>BYE</v>
      </c>
      <c r="AX8" s="227" t="str">
        <f>IF(AV8=0,0,VLOOKUP(AV8,Inscripciones!$B$1:$L$364,3,FALSE))</f>
        <v>BYE</v>
      </c>
      <c r="AY8" s="252"/>
      <c r="AZ8" s="222"/>
      <c r="BA8" s="249"/>
      <c r="BB8" s="222"/>
      <c r="BC8" s="222"/>
      <c r="BD8" s="249"/>
      <c r="BE8" s="222"/>
      <c r="BL8" s="239">
        <f t="shared" si="35"/>
        <v>4</v>
      </c>
      <c r="BM8" s="240" t="str">
        <f>C10</f>
        <v>28/Sep</v>
      </c>
      <c r="BN8" s="240">
        <f>D10</f>
        <v>0</v>
      </c>
      <c r="BO8" s="241">
        <f>E10</f>
        <v>0</v>
      </c>
      <c r="BP8" s="242" t="s">
        <v>95</v>
      </c>
      <c r="BQ8" s="239"/>
      <c r="BR8" s="239">
        <v>4</v>
      </c>
      <c r="BS8" s="243" t="e">
        <f ca="1">VLOOKUP(BY9,Inscripciones!$B$1:$B$364,2,FALSE)</f>
        <v>#REF!</v>
      </c>
      <c r="BT8" s="244"/>
      <c r="BU8" s="243" t="e">
        <f>VLOOKUP(BZ9,Inscripciones!$B$1:$B$364,2,FALSE)</f>
        <v>#REF!</v>
      </c>
      <c r="BV8" s="244"/>
      <c r="BW8" s="239"/>
      <c r="BX8" s="231"/>
      <c r="BY8" s="245" t="str">
        <f>G10</f>
        <v>X</v>
      </c>
      <c r="BZ8" s="246">
        <f ca="1">H10</f>
        <v>4100</v>
      </c>
      <c r="CA8" s="234" t="str">
        <f>Inscripciones!$B$2</f>
        <v>U13 FEMENINO</v>
      </c>
      <c r="CB8" s="235" t="s">
        <v>100</v>
      </c>
    </row>
    <row r="9" spans="1:80" s="220" customFormat="1" ht="12.75" x14ac:dyDescent="0.25">
      <c r="A9" s="433"/>
      <c r="B9" s="534"/>
      <c r="C9" s="536"/>
      <c r="D9" s="536"/>
      <c r="E9" s="524"/>
      <c r="F9" s="528"/>
      <c r="G9" s="524"/>
      <c r="H9" s="524"/>
      <c r="I9" s="524">
        <v>0</v>
      </c>
      <c r="J9" s="524">
        <v>0</v>
      </c>
      <c r="K9" s="524">
        <v>0</v>
      </c>
      <c r="L9" s="524">
        <v>0</v>
      </c>
      <c r="M9" s="532"/>
      <c r="N9" s="524"/>
      <c r="O9" s="524"/>
      <c r="P9" s="524"/>
      <c r="Q9" s="524"/>
      <c r="R9" s="524"/>
      <c r="S9" s="524"/>
      <c r="T9" s="524"/>
      <c r="U9" s="524"/>
      <c r="V9" s="524"/>
      <c r="W9" s="524"/>
      <c r="X9" s="524"/>
      <c r="Y9" s="524"/>
      <c r="Z9" s="526"/>
      <c r="AA9" s="452"/>
      <c r="AB9" s="452"/>
      <c r="AC9" s="452"/>
      <c r="AD9" s="217" t="str">
        <f t="shared" ref="AD9" si="55">IF(AA8&gt;AB8,AD8&amp;"  "&amp;AE8,IF(AB8&gt;AA8,AD8&amp;"  "&amp;AE9,""))</f>
        <v>2 - 0  (10, 8)</v>
      </c>
      <c r="AE9" s="217" t="str">
        <f t="shared" si="0"/>
        <v>(-10, -8)</v>
      </c>
      <c r="AF9" s="217">
        <f t="shared" ref="AF9" si="56">IF(N8&gt;M8,1,0)</f>
        <v>0</v>
      </c>
      <c r="AG9" s="217">
        <f t="shared" ref="AG9" si="57">IF(P8&gt;O8,1,0)</f>
        <v>0</v>
      </c>
      <c r="AH9" s="217">
        <f t="shared" ref="AH9" si="58">IF(R8&gt;Q8,1,0)</f>
        <v>0</v>
      </c>
      <c r="AI9" s="217">
        <f t="shared" ref="AI9" si="59">IF(T8&gt;S8,1,0)</f>
        <v>0</v>
      </c>
      <c r="AJ9" s="217">
        <f t="shared" ref="AJ9" si="60">IF(V8&gt;U8,1,0)</f>
        <v>0</v>
      </c>
      <c r="AK9" s="217">
        <f t="shared" ref="AK9" si="61">IF(X8&gt;W8,1,0)</f>
        <v>0</v>
      </c>
      <c r="AL9" s="217">
        <f t="shared" ref="AL9" si="62">IF(Z8&gt;Y8,1,0)</f>
        <v>0</v>
      </c>
      <c r="AM9" s="217">
        <f t="shared" ref="AM9" si="63">IF(N8&gt;M8,M8,IF(M8&gt;N8,-N8,""))</f>
        <v>-10</v>
      </c>
      <c r="AN9" s="217" t="str">
        <f t="shared" ref="AN9" si="64">IF(P8&gt;O8,", "&amp;O8,IF(O8&gt;P8,", "&amp;-P8,""))</f>
        <v>, -8</v>
      </c>
      <c r="AO9" s="217" t="str">
        <f t="shared" ref="AO9" si="65">IF(R8&gt;Q8,", "&amp;Q8,IF(Q8&gt;R8,", "&amp;-R8,""))</f>
        <v/>
      </c>
      <c r="AP9" s="217" t="str">
        <f t="shared" ref="AP9" si="66">IF(T8&gt;S8,", "&amp;S8,IF(S8&gt;T8,", "&amp;-T8,""))</f>
        <v/>
      </c>
      <c r="AQ9" s="217" t="str">
        <f t="shared" ref="AQ9" si="67">IF(V8&gt;U8,", "&amp;U8,IF(U8&gt;V8,", "&amp;-V8,""))</f>
        <v/>
      </c>
      <c r="AR9" s="217" t="str">
        <f t="shared" ref="AR9" si="68">IF(X8&gt;W8,", "&amp;W8,IF(W8&gt;X8,", "&amp;-X8,""))</f>
        <v/>
      </c>
      <c r="AS9" s="217" t="str">
        <f t="shared" ref="AS9" si="69">IF(Z8&gt;Y8,", "&amp;Y8,IF(Y8&gt;Z8,", "&amp;-Z8,""))</f>
        <v/>
      </c>
      <c r="AU9" s="221"/>
      <c r="AV9" s="236">
        <v>2</v>
      </c>
      <c r="AW9" s="237" t="str">
        <f>VLOOKUP(AV9,$A$4:$L$83,6,FALSE)</f>
        <v>28/Sep-- Table</v>
      </c>
      <c r="AX9" s="238"/>
      <c r="AY9" s="247">
        <f ca="1">VLOOKUP(AY7,$A$4:$L$87,8,FALSE)</f>
        <v>4191</v>
      </c>
      <c r="AZ9" s="247" t="str">
        <f ca="1">IF(AY9=0,0,VLOOKUP(AY9,Inscripciones!$B$1:$I$464,2,FALSE))</f>
        <v>ISABELA CHACÓN ALVARADO</v>
      </c>
      <c r="BA9" s="248" t="str">
        <f ca="1">IF(AY9=0,0,VLOOKUP(AY9,Inscripciones!$B$1:$L$364,3,FALSE))</f>
        <v>CCDR SAN JOSÉ</v>
      </c>
      <c r="BB9" s="222"/>
      <c r="BC9" s="222"/>
      <c r="BD9" s="249"/>
      <c r="BE9" s="222"/>
      <c r="BL9" s="239">
        <f t="shared" si="35"/>
        <v>5</v>
      </c>
      <c r="BM9" s="240" t="str">
        <f>C12</f>
        <v>28/Sep</v>
      </c>
      <c r="BN9" s="240">
        <f>D12</f>
        <v>0</v>
      </c>
      <c r="BO9" s="241">
        <f>E12</f>
        <v>0</v>
      </c>
      <c r="BP9" s="242" t="s">
        <v>95</v>
      </c>
      <c r="BQ9" s="239"/>
      <c r="BR9" s="239">
        <v>5</v>
      </c>
      <c r="BS9" s="243" t="e">
        <f>VLOOKUP(BY10,Inscripciones!$B$1:$B$364,2,FALSE)</f>
        <v>#REF!</v>
      </c>
      <c r="BT9" s="244"/>
      <c r="BU9" s="243" t="e">
        <f ca="1">VLOOKUP(BZ10,Inscripciones!$B$1:$B$364,2,FALSE)</f>
        <v>#REF!</v>
      </c>
      <c r="BV9" s="244"/>
      <c r="BW9" s="239"/>
      <c r="BX9" s="231"/>
      <c r="BY9" s="245">
        <f ca="1">G12</f>
        <v>4274</v>
      </c>
      <c r="BZ9" s="246" t="str">
        <f>H12</f>
        <v>X</v>
      </c>
      <c r="CA9" s="234" t="str">
        <f>Inscripciones!$B$2</f>
        <v>U13 FEMENINO</v>
      </c>
      <c r="CB9" s="235" t="s">
        <v>101</v>
      </c>
    </row>
    <row r="10" spans="1:80" s="220" customFormat="1" ht="12.75" x14ac:dyDescent="0.25">
      <c r="A10" s="433">
        <v>4</v>
      </c>
      <c r="B10" s="517" t="s">
        <v>99</v>
      </c>
      <c r="C10" s="519" t="s">
        <v>78</v>
      </c>
      <c r="D10" s="519"/>
      <c r="E10" s="513"/>
      <c r="F10" s="521" t="str">
        <f t="shared" ref="F10" si="70">C10&amp;"-"&amp;D10&amp;"- Table"&amp;E10</f>
        <v>28/Sep-- Table</v>
      </c>
      <c r="G10" s="513" t="str">
        <f>'SORTEO 32'!D15</f>
        <v>X</v>
      </c>
      <c r="H10" s="513">
        <f ca="1">'SORTEO 32'!D16</f>
        <v>4100</v>
      </c>
      <c r="I10" s="513" t="str">
        <f>IF(G10=0,0,VLOOKUP(G10,Inscripciones!$B$1:$I$464,2,FALSE))</f>
        <v>BYE</v>
      </c>
      <c r="J10" s="513" t="str">
        <f>IF(G10=0,0,VLOOKUP(G10,Inscripciones!$B$1:$L$364,3,FALSE))</f>
        <v>BYE</v>
      </c>
      <c r="K10" s="513" t="str">
        <f ca="1">IF(I10=0,0,VLOOKUP(H10,Inscripciones!$B$1:$I$464,2,FALSE))</f>
        <v>BRENDA HERRERA RIVAS</v>
      </c>
      <c r="L10" s="513" t="str">
        <f ca="1">IF(I10=0,0,VLOOKUP(H10,Inscripciones!$B$1:$L$364,3,FALSE))</f>
        <v>ESPARZA</v>
      </c>
      <c r="M10" s="515">
        <v>0</v>
      </c>
      <c r="N10" s="513">
        <v>11</v>
      </c>
      <c r="O10" s="513"/>
      <c r="P10" s="513"/>
      <c r="Q10" s="513"/>
      <c r="R10" s="513"/>
      <c r="S10" s="513"/>
      <c r="T10" s="513"/>
      <c r="U10" s="513"/>
      <c r="V10" s="513"/>
      <c r="W10" s="513"/>
      <c r="X10" s="513"/>
      <c r="Y10" s="513"/>
      <c r="Z10" s="529"/>
      <c r="AA10" s="452">
        <f t="shared" ref="AA10" si="71">IF(M10+N10&lt;&gt;0,SUM(AF10:AL10),"")</f>
        <v>0</v>
      </c>
      <c r="AB10" s="452">
        <f t="shared" ref="AB10" si="72">IF(M10+N10&lt;&gt;0,SUM(AF11:AL11),"")</f>
        <v>1</v>
      </c>
      <c r="AC10" s="452" t="str">
        <f t="shared" ref="AC10" si="73">IF(AA10&gt;AB10,AD10&amp;"  "&amp;AE10,IF(AB10&gt;AA10,AD10&amp;"  "&amp;AE11,""))</f>
        <v>1 - 0  (0)</v>
      </c>
      <c r="AD10" s="217" t="str">
        <f t="shared" ref="AD10" si="74">IF(AA10&gt;AB10,AA10&amp;" - "&amp;AB10,IF(AB10&gt;AA10,AB10&amp;" - "&amp;AA10,""))</f>
        <v>1 - 0</v>
      </c>
      <c r="AE10" s="217" t="str">
        <f t="shared" si="0"/>
        <v>(0)</v>
      </c>
      <c r="AF10" s="217">
        <f t="shared" ref="AF10" si="75">IF(M10&gt;N10,1,0)</f>
        <v>0</v>
      </c>
      <c r="AG10" s="217">
        <f t="shared" ref="AG10" si="76">IF(O10&gt;P10,1,0)</f>
        <v>0</v>
      </c>
      <c r="AH10" s="217">
        <f t="shared" ref="AH10" si="77">IF(Q10&gt;R10,1,0)</f>
        <v>0</v>
      </c>
      <c r="AI10" s="217">
        <f t="shared" ref="AI10" si="78">IF(S10&gt;T10,1,0)</f>
        <v>0</v>
      </c>
      <c r="AJ10" s="217">
        <f t="shared" ref="AJ10" si="79">IF(U10&gt;V10,1,0)</f>
        <v>0</v>
      </c>
      <c r="AK10" s="217">
        <f t="shared" ref="AK10" si="80">IF(W10&gt;X10,1,0)</f>
        <v>0</v>
      </c>
      <c r="AL10" s="217">
        <f t="shared" ref="AL10" si="81">IF(Y10&gt;Z10,1,0)</f>
        <v>0</v>
      </c>
      <c r="AM10" s="217">
        <f t="shared" ref="AM10" si="82">IF(M10&gt;N10,N10,IF(N10&gt;M10,-M10,""))</f>
        <v>0</v>
      </c>
      <c r="AN10" s="217" t="str">
        <f t="shared" ref="AN10" si="83">IF(O10&gt;P10,", "&amp;P10,IF(P10&gt;O10,", "&amp;-O10,""))</f>
        <v/>
      </c>
      <c r="AO10" s="217" t="str">
        <f t="shared" ref="AO10" si="84">IF(Q10&gt;R10,", "&amp;R10,IF(R10&gt;Q10,", "&amp;-Q10,""))</f>
        <v/>
      </c>
      <c r="AP10" s="217" t="str">
        <f t="shared" ref="AP10" si="85">IF(S10&gt;T10,", "&amp;T10,IF(T10&gt;S10,", "&amp;-S10,""))</f>
        <v/>
      </c>
      <c r="AQ10" s="217" t="str">
        <f t="shared" ref="AQ10" si="86">IF(U10&gt;V10,", "&amp;V10,IF(V10&gt;U10,", "&amp;-U10,""))</f>
        <v/>
      </c>
      <c r="AR10" s="217" t="str">
        <f t="shared" ref="AR10" si="87">IF(W10&gt;X10,", "&amp;X10,IF(X10&gt;W10,", "&amp;-W10,""))</f>
        <v/>
      </c>
      <c r="AS10" s="217" t="str">
        <f t="shared" ref="AS10" si="88">IF(Y10&gt;Z10,", "&amp;Z10,IF(Z10&gt;Y10,", "&amp;-Y10,""))</f>
        <v/>
      </c>
      <c r="AU10" s="224">
        <f>1+AU8</f>
        <v>4</v>
      </c>
      <c r="AV10" s="247">
        <f ca="1">VLOOKUP(AV9,$A$4:$L$83,8,FALSE)</f>
        <v>4191</v>
      </c>
      <c r="AW10" s="247" t="str">
        <f ca="1">IF(AV10=0,0,VLOOKUP(AV10,Inscripciones!$B$1:$I$464,2,FALSE))</f>
        <v>ISABELA CHACÓN ALVARADO</v>
      </c>
      <c r="AX10" s="248" t="str">
        <f ca="1">IF(AV10=0,0,VLOOKUP(AV10,Inscripciones!$B$1:$L$364,3,FALSE))</f>
        <v>CCDR SAN JOSÉ</v>
      </c>
      <c r="AY10" s="228"/>
      <c r="AZ10" s="229" t="str">
        <f>VLOOKUP(AV9,$A$4:$AD$87,29,FALSE)</f>
        <v>1 - 0  (0)</v>
      </c>
      <c r="BA10" s="228"/>
      <c r="BB10" s="222"/>
      <c r="BC10" s="222"/>
      <c r="BD10" s="249"/>
      <c r="BE10" s="228"/>
      <c r="BF10" s="229" t="str">
        <f>VLOOKUP(BB11,$A$4:$AD$83,29,FALSE)</f>
        <v>2 - 0  (8, 8)</v>
      </c>
      <c r="BG10" s="228"/>
      <c r="BL10" s="239">
        <f t="shared" si="35"/>
        <v>6</v>
      </c>
      <c r="BM10" s="240" t="str">
        <f>C14</f>
        <v>28/Sep</v>
      </c>
      <c r="BN10" s="240">
        <f>D14</f>
        <v>0</v>
      </c>
      <c r="BO10" s="241">
        <f>E14</f>
        <v>0</v>
      </c>
      <c r="BP10" s="242" t="s">
        <v>95</v>
      </c>
      <c r="BQ10" s="239"/>
      <c r="BR10" s="239">
        <v>6</v>
      </c>
      <c r="BS10" s="243" t="e">
        <f ca="1">VLOOKUP(BY11,Inscripciones!$B$1:$B$364,2,FALSE)</f>
        <v>#REF!</v>
      </c>
      <c r="BT10" s="244"/>
      <c r="BU10" s="243" t="e">
        <f>VLOOKUP(BZ11,Inscripciones!$B$1:$B$364,2,FALSE)</f>
        <v>#REF!</v>
      </c>
      <c r="BV10" s="244"/>
      <c r="BW10" s="239"/>
      <c r="BX10" s="231"/>
      <c r="BY10" s="245" t="str">
        <f>G14</f>
        <v>X</v>
      </c>
      <c r="BZ10" s="246">
        <f ca="1">H14</f>
        <v>3907</v>
      </c>
      <c r="CA10" s="234" t="str">
        <f>Inscripciones!$B$2</f>
        <v>U13 FEMENINO</v>
      </c>
      <c r="CB10" s="235" t="s">
        <v>102</v>
      </c>
    </row>
    <row r="11" spans="1:80" s="220" customFormat="1" ht="12.75" x14ac:dyDescent="0.25">
      <c r="A11" s="433"/>
      <c r="B11" s="518"/>
      <c r="C11" s="520"/>
      <c r="D11" s="520"/>
      <c r="E11" s="514"/>
      <c r="F11" s="522"/>
      <c r="G11" s="514"/>
      <c r="H11" s="514"/>
      <c r="I11" s="514">
        <v>0</v>
      </c>
      <c r="J11" s="514">
        <v>0</v>
      </c>
      <c r="K11" s="514">
        <v>0</v>
      </c>
      <c r="L11" s="514">
        <v>0</v>
      </c>
      <c r="M11" s="516"/>
      <c r="N11" s="514"/>
      <c r="O11" s="514"/>
      <c r="P11" s="514"/>
      <c r="Q11" s="514"/>
      <c r="R11" s="514"/>
      <c r="S11" s="514"/>
      <c r="T11" s="514"/>
      <c r="U11" s="514"/>
      <c r="V11" s="514"/>
      <c r="W11" s="514"/>
      <c r="X11" s="514"/>
      <c r="Y11" s="514"/>
      <c r="Z11" s="530"/>
      <c r="AA11" s="452"/>
      <c r="AB11" s="452"/>
      <c r="AC11" s="452"/>
      <c r="AD11" s="217" t="str">
        <f t="shared" ref="AD11" si="89">IF(AA10&gt;AB10,AD10&amp;"  "&amp;AE10,IF(AB10&gt;AA10,AD10&amp;"  "&amp;AE11,""))</f>
        <v>1 - 0  (0)</v>
      </c>
      <c r="AE11" s="217" t="str">
        <f t="shared" si="0"/>
        <v>(0)</v>
      </c>
      <c r="AF11" s="217">
        <f t="shared" ref="AF11" si="90">IF(N10&gt;M10,1,0)</f>
        <v>1</v>
      </c>
      <c r="AG11" s="217">
        <f t="shared" ref="AG11" si="91">IF(P10&gt;O10,1,0)</f>
        <v>0</v>
      </c>
      <c r="AH11" s="217">
        <f t="shared" ref="AH11" si="92">IF(R10&gt;Q10,1,0)</f>
        <v>0</v>
      </c>
      <c r="AI11" s="217">
        <f t="shared" ref="AI11" si="93">IF(T10&gt;S10,1,0)</f>
        <v>0</v>
      </c>
      <c r="AJ11" s="217">
        <f t="shared" ref="AJ11" si="94">IF(V10&gt;U10,1,0)</f>
        <v>0</v>
      </c>
      <c r="AK11" s="217">
        <f t="shared" ref="AK11" si="95">IF(X10&gt;W10,1,0)</f>
        <v>0</v>
      </c>
      <c r="AL11" s="217">
        <f t="shared" ref="AL11" si="96">IF(Z10&gt;Y10,1,0)</f>
        <v>0</v>
      </c>
      <c r="AM11" s="217">
        <f t="shared" ref="AM11" si="97">IF(N10&gt;M10,M10,IF(M10&gt;N10,-N10,""))</f>
        <v>0</v>
      </c>
      <c r="AN11" s="217" t="str">
        <f t="shared" ref="AN11" si="98">IF(P10&gt;O10,", "&amp;O10,IF(O10&gt;P10,", "&amp;-P10,""))</f>
        <v/>
      </c>
      <c r="AO11" s="217" t="str">
        <f t="shared" ref="AO11" si="99">IF(R10&gt;Q10,", "&amp;Q10,IF(Q10&gt;R10,", "&amp;-R10,""))</f>
        <v/>
      </c>
      <c r="AP11" s="217" t="str">
        <f t="shared" ref="AP11" si="100">IF(T10&gt;S10,", "&amp;S10,IF(S10&gt;T10,", "&amp;-T10,""))</f>
        <v/>
      </c>
      <c r="AQ11" s="217" t="str">
        <f t="shared" ref="AQ11" si="101">IF(V10&gt;U10,", "&amp;U10,IF(U10&gt;V10,", "&amp;-V10,""))</f>
        <v/>
      </c>
      <c r="AR11" s="217" t="str">
        <f t="shared" ref="AR11" si="102">IF(X10&gt;W10,", "&amp;W10,IF(W10&gt;X10,", "&amp;-X10,""))</f>
        <v/>
      </c>
      <c r="AS11" s="217" t="str">
        <f t="shared" ref="AS11" si="103">IF(Z10&gt;Y10,", "&amp;Y10,IF(Y10&gt;Z10,", "&amp;-Z10,""))</f>
        <v/>
      </c>
      <c r="AU11" s="221"/>
      <c r="AV11" s="222"/>
      <c r="AW11" s="222"/>
      <c r="AX11" s="250"/>
      <c r="AY11" s="222"/>
      <c r="AZ11" s="222"/>
      <c r="BA11" s="222"/>
      <c r="BB11" s="236">
        <v>25</v>
      </c>
      <c r="BC11" s="237" t="str">
        <f>VLOOKUP(BB11,$A$4:$L$83,6,FALSE)</f>
        <v>28/Sep-- Table</v>
      </c>
      <c r="BD11" s="249"/>
      <c r="BE11" s="225">
        <f ca="1">VLOOKUP(BE19,$A$4:$L$87,7,FALSE)</f>
        <v>4159</v>
      </c>
      <c r="BF11" s="226" t="str">
        <f ca="1">IF(BE11=0,0,VLOOKUP(BE11,Inscripciones!$B$1:$I$464,2,FALSE))</f>
        <v>MARÍA FERNANDA ZELEDÓN HERRERA</v>
      </c>
      <c r="BG11" s="227" t="str">
        <f ca="1">IF(BE11=0,0,VLOOKUP(BE11,Inscripciones!$B$1:$L$364,3,FALSE))</f>
        <v>ESPARZA</v>
      </c>
      <c r="BL11" s="239">
        <f t="shared" si="35"/>
        <v>7</v>
      </c>
      <c r="BM11" s="240" t="str">
        <f>C16</f>
        <v>28/Sep</v>
      </c>
      <c r="BN11" s="240">
        <f>D16</f>
        <v>0</v>
      </c>
      <c r="BO11" s="241">
        <f>E16</f>
        <v>0</v>
      </c>
      <c r="BP11" s="242" t="s">
        <v>95</v>
      </c>
      <c r="BQ11" s="239"/>
      <c r="BR11" s="239">
        <v>7</v>
      </c>
      <c r="BS11" s="243" t="e">
        <f>VLOOKUP(BY12,Inscripciones!$B$1:$B$364,2,FALSE)</f>
        <v>#REF!</v>
      </c>
      <c r="BT11" s="244"/>
      <c r="BU11" s="243" t="e">
        <f ca="1">VLOOKUP(BZ12,Inscripciones!$B$1:$B$364,2,FALSE)</f>
        <v>#REF!</v>
      </c>
      <c r="BV11" s="244"/>
      <c r="BW11" s="239"/>
      <c r="BX11" s="231"/>
      <c r="BY11" s="245">
        <f ca="1">G16</f>
        <v>4348</v>
      </c>
      <c r="BZ11" s="246" t="str">
        <f>H16</f>
        <v>X</v>
      </c>
      <c r="CA11" s="234" t="str">
        <f>Inscripciones!$B$2</f>
        <v>U13 FEMENINO</v>
      </c>
      <c r="CB11" s="235" t="s">
        <v>103</v>
      </c>
    </row>
    <row r="12" spans="1:80" s="220" customFormat="1" ht="12.75" x14ac:dyDescent="0.25">
      <c r="A12" s="433">
        <v>5</v>
      </c>
      <c r="B12" s="533" t="s">
        <v>99</v>
      </c>
      <c r="C12" s="535" t="s">
        <v>78</v>
      </c>
      <c r="D12" s="535"/>
      <c r="E12" s="523"/>
      <c r="F12" s="527" t="str">
        <f t="shared" ref="F12" si="104">C12&amp;"-"&amp;D12&amp;"- Table"&amp;E12</f>
        <v>28/Sep-- Table</v>
      </c>
      <c r="G12" s="523">
        <f ca="1">'SORTEO 32'!D17</f>
        <v>4274</v>
      </c>
      <c r="H12" s="523" t="str">
        <f>'SORTEO 32'!D18</f>
        <v>X</v>
      </c>
      <c r="I12" s="523" t="str">
        <f ca="1">IF(G12=0,0,VLOOKUP(G12,Inscripciones!$B$1:$I$464,2,FALSE))</f>
        <v>MARÍA PAULA HERNÁNDEZ ZÚÑIGA</v>
      </c>
      <c r="J12" s="523" t="str">
        <f ca="1">IF(G12=0,0,VLOOKUP(G12,Inscripciones!$B$1:$L$364,3,FALSE))</f>
        <v>ESCAZÚ</v>
      </c>
      <c r="K12" s="523" t="str">
        <f ca="1">IF(I12=0,0,VLOOKUP(H12,Inscripciones!$B$1:$I$464,2,FALSE))</f>
        <v>BYE</v>
      </c>
      <c r="L12" s="523" t="str">
        <f ca="1">IF(I12=0,0,VLOOKUP(H12,Inscripciones!$B$1:$L$364,3,FALSE))</f>
        <v>BYE</v>
      </c>
      <c r="M12" s="531">
        <v>11</v>
      </c>
      <c r="N12" s="523">
        <v>0</v>
      </c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5"/>
      <c r="AA12" s="452">
        <f t="shared" ref="AA12" si="105">IF(M12+N12&lt;&gt;0,SUM(AF12:AL12),"")</f>
        <v>1</v>
      </c>
      <c r="AB12" s="452">
        <f t="shared" ref="AB12" si="106">IF(M12+N12&lt;&gt;0,SUM(AF13:AL13),"")</f>
        <v>0</v>
      </c>
      <c r="AC12" s="452" t="str">
        <f t="shared" ref="AC12" si="107">IF(AA12&gt;AB12,AD12&amp;"  "&amp;AE12,IF(AB12&gt;AA12,AD12&amp;"  "&amp;AE13,""))</f>
        <v>1 - 0  (0)</v>
      </c>
      <c r="AD12" s="217" t="str">
        <f t="shared" ref="AD12" si="108">IF(AA12&gt;AB12,AA12&amp;" - "&amp;AB12,IF(AB12&gt;AA12,AB12&amp;" - "&amp;AA12,""))</f>
        <v>1 - 0</v>
      </c>
      <c r="AE12" s="217" t="str">
        <f t="shared" si="0"/>
        <v>(0)</v>
      </c>
      <c r="AF12" s="217">
        <f t="shared" ref="AF12" si="109">IF(M12&gt;N12,1,0)</f>
        <v>1</v>
      </c>
      <c r="AG12" s="217">
        <f t="shared" ref="AG12" si="110">IF(O12&gt;P12,1,0)</f>
        <v>0</v>
      </c>
      <c r="AH12" s="217">
        <f t="shared" ref="AH12" si="111">IF(Q12&gt;R12,1,0)</f>
        <v>0</v>
      </c>
      <c r="AI12" s="217">
        <f t="shared" ref="AI12" si="112">IF(S12&gt;T12,1,0)</f>
        <v>0</v>
      </c>
      <c r="AJ12" s="217">
        <f t="shared" ref="AJ12" si="113">IF(U12&gt;V12,1,0)</f>
        <v>0</v>
      </c>
      <c r="AK12" s="217">
        <f t="shared" ref="AK12" si="114">IF(W12&gt;X12,1,0)</f>
        <v>0</v>
      </c>
      <c r="AL12" s="217">
        <f t="shared" ref="AL12" si="115">IF(Y12&gt;Z12,1,0)</f>
        <v>0</v>
      </c>
      <c r="AM12" s="217">
        <f t="shared" ref="AM12" si="116">IF(M12&gt;N12,N12,IF(N12&gt;M12,-M12,""))</f>
        <v>0</v>
      </c>
      <c r="AN12" s="217" t="str">
        <f t="shared" ref="AN12" si="117">IF(O12&gt;P12,", "&amp;P12,IF(P12&gt;O12,", "&amp;-O12,""))</f>
        <v/>
      </c>
      <c r="AO12" s="217" t="str">
        <f t="shared" ref="AO12" si="118">IF(Q12&gt;R12,", "&amp;R12,IF(R12&gt;Q12,", "&amp;-Q12,""))</f>
        <v/>
      </c>
      <c r="AP12" s="217" t="str">
        <f t="shared" ref="AP12" si="119">IF(S12&gt;T12,", "&amp;T12,IF(T12&gt;S12,", "&amp;-S12,""))</f>
        <v/>
      </c>
      <c r="AQ12" s="217" t="str">
        <f t="shared" ref="AQ12" si="120">IF(U12&gt;V12,", "&amp;V12,IF(V12&gt;U12,", "&amp;-U12,""))</f>
        <v/>
      </c>
      <c r="AR12" s="217" t="str">
        <f t="shared" ref="AR12" si="121">IF(W12&gt;X12,", "&amp;X12,IF(X12&gt;W12,", "&amp;-W12,""))</f>
        <v/>
      </c>
      <c r="AS12" s="217" t="str">
        <f t="shared" ref="AS12" si="122">IF(Y12&gt;Z12,", "&amp;Z12,IF(Z12&gt;Y12,", "&amp;-Y12,""))</f>
        <v/>
      </c>
      <c r="AU12" s="224">
        <f>1+AU10</f>
        <v>5</v>
      </c>
      <c r="AV12" s="225">
        <f ca="1">VLOOKUP(AV13,$A$4:$L$83,7,FALSE)</f>
        <v>3912</v>
      </c>
      <c r="AW12" s="226" t="str">
        <f ca="1">IF(AV12=0,0,VLOOKUP(AV12,Inscripciones!$B$1:$I$464,2,FALSE))</f>
        <v>AMBAR PADILLA GRANADOS</v>
      </c>
      <c r="AX12" s="227" t="str">
        <f ca="1">IF(AV12=0,0,VLOOKUP(AV12,Inscripciones!$B$1:$L$364,3,FALSE))</f>
        <v>PÉREZ ZELEDÓN</v>
      </c>
      <c r="AY12" s="228"/>
      <c r="AZ12" s="229" t="str">
        <f>VLOOKUP(AV13,$A$4:$AD$83,29,FALSE)</f>
        <v>2 - 0  (10, 8)</v>
      </c>
      <c r="BA12" s="228"/>
      <c r="BB12" s="222"/>
      <c r="BC12" s="222"/>
      <c r="BD12" s="249"/>
      <c r="BE12" s="222"/>
      <c r="BG12" s="253"/>
      <c r="BL12" s="239">
        <f t="shared" si="35"/>
        <v>8</v>
      </c>
      <c r="BM12" s="240" t="str">
        <f>C18</f>
        <v>28/Sep</v>
      </c>
      <c r="BN12" s="240">
        <f>D18</f>
        <v>0</v>
      </c>
      <c r="BO12" s="241">
        <f>E18</f>
        <v>0</v>
      </c>
      <c r="BP12" s="242" t="s">
        <v>95</v>
      </c>
      <c r="BQ12" s="239"/>
      <c r="BR12" s="239">
        <v>8</v>
      </c>
      <c r="BS12" s="243" t="e">
        <f ca="1">VLOOKUP(BY13,Inscripciones!$B$1:$B$364,2,FALSE)</f>
        <v>#REF!</v>
      </c>
      <c r="BT12" s="244"/>
      <c r="BU12" s="243" t="e">
        <f>VLOOKUP(BZ13,Inscripciones!$B$1:$B$364,2,FALSE)</f>
        <v>#REF!</v>
      </c>
      <c r="BV12" s="244"/>
      <c r="BW12" s="239"/>
      <c r="BX12" s="231"/>
      <c r="BY12" s="245" t="str">
        <f>G18</f>
        <v>X</v>
      </c>
      <c r="BZ12" s="246">
        <f ca="1">H18</f>
        <v>4176</v>
      </c>
      <c r="CA12" s="234" t="str">
        <f>Inscripciones!$B$2</f>
        <v>U13 FEMENINO</v>
      </c>
      <c r="CB12" s="235" t="s">
        <v>104</v>
      </c>
    </row>
    <row r="13" spans="1:80" s="220" customFormat="1" ht="12.75" x14ac:dyDescent="0.25">
      <c r="A13" s="433"/>
      <c r="B13" s="534"/>
      <c r="C13" s="536"/>
      <c r="D13" s="536"/>
      <c r="E13" s="524"/>
      <c r="F13" s="528"/>
      <c r="G13" s="524"/>
      <c r="H13" s="524"/>
      <c r="I13" s="524">
        <v>0</v>
      </c>
      <c r="J13" s="524">
        <v>0</v>
      </c>
      <c r="K13" s="524">
        <v>0</v>
      </c>
      <c r="L13" s="524">
        <v>0</v>
      </c>
      <c r="M13" s="532"/>
      <c r="N13" s="524"/>
      <c r="O13" s="524"/>
      <c r="P13" s="524"/>
      <c r="Q13" s="524"/>
      <c r="R13" s="524"/>
      <c r="S13" s="524"/>
      <c r="T13" s="524"/>
      <c r="U13" s="524"/>
      <c r="V13" s="524"/>
      <c r="W13" s="524"/>
      <c r="X13" s="524"/>
      <c r="Y13" s="524"/>
      <c r="Z13" s="526"/>
      <c r="AA13" s="452"/>
      <c r="AB13" s="452"/>
      <c r="AC13" s="452"/>
      <c r="AD13" s="217" t="str">
        <f t="shared" ref="AD13" si="123">IF(AA12&gt;AB12,AD12&amp;"  "&amp;AE12,IF(AB12&gt;AA12,AD12&amp;"  "&amp;AE13,""))</f>
        <v>1 - 0  (0)</v>
      </c>
      <c r="AE13" s="217" t="str">
        <f t="shared" si="0"/>
        <v>(0)</v>
      </c>
      <c r="AF13" s="217">
        <f t="shared" ref="AF13" si="124">IF(N12&gt;M12,1,0)</f>
        <v>0</v>
      </c>
      <c r="AG13" s="217">
        <f t="shared" ref="AG13" si="125">IF(P12&gt;O12,1,0)</f>
        <v>0</v>
      </c>
      <c r="AH13" s="217">
        <f t="shared" ref="AH13" si="126">IF(R12&gt;Q12,1,0)</f>
        <v>0</v>
      </c>
      <c r="AI13" s="217">
        <f t="shared" ref="AI13" si="127">IF(T12&gt;S12,1,0)</f>
        <v>0</v>
      </c>
      <c r="AJ13" s="217">
        <f t="shared" ref="AJ13" si="128">IF(V12&gt;U12,1,0)</f>
        <v>0</v>
      </c>
      <c r="AK13" s="217">
        <f t="shared" ref="AK13" si="129">IF(X12&gt;W12,1,0)</f>
        <v>0</v>
      </c>
      <c r="AL13" s="217">
        <f t="shared" ref="AL13" si="130">IF(Z12&gt;Y12,1,0)</f>
        <v>0</v>
      </c>
      <c r="AM13" s="217">
        <f t="shared" ref="AM13" si="131">IF(N12&gt;M12,M12,IF(M12&gt;N12,-N12,""))</f>
        <v>0</v>
      </c>
      <c r="AN13" s="217" t="str">
        <f t="shared" ref="AN13" si="132">IF(P12&gt;O12,", "&amp;O12,IF(O12&gt;P12,", "&amp;-P12,""))</f>
        <v/>
      </c>
      <c r="AO13" s="217" t="str">
        <f t="shared" ref="AO13" si="133">IF(R12&gt;Q12,", "&amp;Q12,IF(Q12&gt;R12,", "&amp;-R12,""))</f>
        <v/>
      </c>
      <c r="AP13" s="217" t="str">
        <f t="shared" ref="AP13" si="134">IF(T12&gt;S12,", "&amp;S12,IF(S12&gt;T12,", "&amp;-T12,""))</f>
        <v/>
      </c>
      <c r="AQ13" s="217" t="str">
        <f t="shared" ref="AQ13" si="135">IF(V12&gt;U12,", "&amp;U12,IF(U12&gt;V12,", "&amp;-V12,""))</f>
        <v/>
      </c>
      <c r="AR13" s="217" t="str">
        <f t="shared" ref="AR13" si="136">IF(X12&gt;W12,", "&amp;W12,IF(W12&gt;X12,", "&amp;-X12,""))</f>
        <v/>
      </c>
      <c r="AS13" s="217" t="str">
        <f t="shared" ref="AS13" si="137">IF(Z12&gt;Y12,", "&amp;Y12,IF(Y12&gt;Z12,", "&amp;-Z12,""))</f>
        <v/>
      </c>
      <c r="AU13" s="221"/>
      <c r="AV13" s="236">
        <v>3</v>
      </c>
      <c r="AW13" s="237" t="str">
        <f>VLOOKUP(AV13,$A$4:$L$83,6,FALSE)</f>
        <v>28/Sep-- Table</v>
      </c>
      <c r="AX13" s="238"/>
      <c r="AY13" s="225">
        <f ca="1">VLOOKUP(AY15,$A$4:$L$87,7,FALSE)</f>
        <v>3912</v>
      </c>
      <c r="AZ13" s="226" t="str">
        <f ca="1">IF(AY13=0,0,VLOOKUP(AY13,Inscripciones!$B$1:$I$464,2,FALSE))</f>
        <v>AMBAR PADILLA GRANADOS</v>
      </c>
      <c r="BA13" s="227" t="str">
        <f ca="1">IF(AY13=0,0,VLOOKUP(AY13,Inscripciones!$B$1:$L$364,3,FALSE))</f>
        <v>PÉREZ ZELEDÓN</v>
      </c>
      <c r="BB13" s="222"/>
      <c r="BC13" s="222"/>
      <c r="BD13" s="249"/>
      <c r="BE13" s="222"/>
      <c r="BG13" s="253"/>
      <c r="BL13" s="239">
        <f t="shared" si="35"/>
        <v>9</v>
      </c>
      <c r="BM13" s="240" t="str">
        <f>C20</f>
        <v>28/Sep</v>
      </c>
      <c r="BN13" s="240">
        <f>D20</f>
        <v>0</v>
      </c>
      <c r="BO13" s="241">
        <f>E20</f>
        <v>0</v>
      </c>
      <c r="BP13" s="242" t="s">
        <v>95</v>
      </c>
      <c r="BQ13" s="239"/>
      <c r="BR13" s="239">
        <v>9</v>
      </c>
      <c r="BS13" s="243" t="e">
        <f>VLOOKUP(BY14,Inscripciones!$B$1:$B$364,2,FALSE)</f>
        <v>#REF!</v>
      </c>
      <c r="BT13" s="244"/>
      <c r="BU13" s="243" t="e">
        <f ca="1">VLOOKUP(BZ14,Inscripciones!$B$1:$B$364,2,FALSE)</f>
        <v>#REF!</v>
      </c>
      <c r="BV13" s="244"/>
      <c r="BW13" s="239"/>
      <c r="BX13" s="231"/>
      <c r="BY13" s="245">
        <f ca="1">G20</f>
        <v>3918</v>
      </c>
      <c r="BZ13" s="246" t="str">
        <f>H20</f>
        <v>X</v>
      </c>
      <c r="CA13" s="234" t="str">
        <f>Inscripciones!$B$2</f>
        <v>U13 FEMENINO</v>
      </c>
      <c r="CB13" s="235" t="s">
        <v>105</v>
      </c>
    </row>
    <row r="14" spans="1:80" s="220" customFormat="1" ht="12.75" x14ac:dyDescent="0.25">
      <c r="A14" s="433">
        <v>6</v>
      </c>
      <c r="B14" s="517" t="s">
        <v>99</v>
      </c>
      <c r="C14" s="519" t="s">
        <v>78</v>
      </c>
      <c r="D14" s="519"/>
      <c r="E14" s="513"/>
      <c r="F14" s="521" t="str">
        <f t="shared" ref="F14" si="138">C14&amp;"-"&amp;D14&amp;"- Table"&amp;E14</f>
        <v>28/Sep-- Table</v>
      </c>
      <c r="G14" s="513" t="str">
        <f>'SORTEO 32'!D19</f>
        <v>X</v>
      </c>
      <c r="H14" s="513">
        <f ca="1">'SORTEO 32'!D20</f>
        <v>3907</v>
      </c>
      <c r="I14" s="513" t="str">
        <f>IF(G14=0,0,VLOOKUP(G14,Inscripciones!$B$1:$I$464,2,FALSE))</f>
        <v>BYE</v>
      </c>
      <c r="J14" s="513" t="str">
        <f>IF(G14=0,0,VLOOKUP(G14,Inscripciones!$B$1:$L$364,3,FALSE))</f>
        <v>BYE</v>
      </c>
      <c r="K14" s="513" t="str">
        <f ca="1">IF(I14=0,0,VLOOKUP(H14,Inscripciones!$B$1:$I$464,2,FALSE))</f>
        <v>LUCIANA CASCANTE BARBOZA</v>
      </c>
      <c r="L14" s="513" t="str">
        <f ca="1">IF(I14=0,0,VLOOKUP(H14,Inscripciones!$B$1:$L$364,3,FALSE))</f>
        <v>ASERRÍ</v>
      </c>
      <c r="M14" s="515">
        <v>0</v>
      </c>
      <c r="N14" s="513">
        <v>11</v>
      </c>
      <c r="O14" s="513"/>
      <c r="P14" s="513"/>
      <c r="Q14" s="513"/>
      <c r="R14" s="513"/>
      <c r="S14" s="513"/>
      <c r="T14" s="513"/>
      <c r="U14" s="513"/>
      <c r="V14" s="513"/>
      <c r="W14" s="513"/>
      <c r="X14" s="513"/>
      <c r="Y14" s="513"/>
      <c r="Z14" s="529"/>
      <c r="AA14" s="452">
        <f t="shared" ref="AA14" si="139">IF(M14+N14&lt;&gt;0,SUM(AF14:AL14),"")</f>
        <v>0</v>
      </c>
      <c r="AB14" s="452">
        <f t="shared" ref="AB14" si="140">IF(M14+N14&lt;&gt;0,SUM(AF15:AL15),"")</f>
        <v>1</v>
      </c>
      <c r="AC14" s="452" t="str">
        <f t="shared" ref="AC14" si="141">IF(AA14&gt;AB14,AD14&amp;"  "&amp;AE14,IF(AB14&gt;AA14,AD14&amp;"  "&amp;AE15,""))</f>
        <v>1 - 0  (0)</v>
      </c>
      <c r="AD14" s="217" t="str">
        <f t="shared" ref="AD14" si="142">IF(AA14&gt;AB14,AA14&amp;" - "&amp;AB14,IF(AB14&gt;AA14,AB14&amp;" - "&amp;AA14,""))</f>
        <v>1 - 0</v>
      </c>
      <c r="AE14" s="217" t="str">
        <f t="shared" si="0"/>
        <v>(0)</v>
      </c>
      <c r="AF14" s="217">
        <f t="shared" ref="AF14" si="143">IF(M14&gt;N14,1,0)</f>
        <v>0</v>
      </c>
      <c r="AG14" s="217">
        <f t="shared" ref="AG14" si="144">IF(O14&gt;P14,1,0)</f>
        <v>0</v>
      </c>
      <c r="AH14" s="217">
        <f t="shared" ref="AH14" si="145">IF(Q14&gt;R14,1,0)</f>
        <v>0</v>
      </c>
      <c r="AI14" s="217">
        <f t="shared" ref="AI14" si="146">IF(S14&gt;T14,1,0)</f>
        <v>0</v>
      </c>
      <c r="AJ14" s="217">
        <f t="shared" ref="AJ14" si="147">IF(U14&gt;V14,1,0)</f>
        <v>0</v>
      </c>
      <c r="AK14" s="217">
        <f t="shared" ref="AK14" si="148">IF(W14&gt;X14,1,0)</f>
        <v>0</v>
      </c>
      <c r="AL14" s="217">
        <f t="shared" ref="AL14" si="149">IF(Y14&gt;Z14,1,0)</f>
        <v>0</v>
      </c>
      <c r="AM14" s="217">
        <f t="shared" ref="AM14" si="150">IF(M14&gt;N14,N14,IF(N14&gt;M14,-M14,""))</f>
        <v>0</v>
      </c>
      <c r="AN14" s="217" t="str">
        <f t="shared" ref="AN14" si="151">IF(O14&gt;P14,", "&amp;P14,IF(P14&gt;O14,", "&amp;-O14,""))</f>
        <v/>
      </c>
      <c r="AO14" s="217" t="str">
        <f t="shared" ref="AO14" si="152">IF(Q14&gt;R14,", "&amp;R14,IF(R14&gt;Q14,", "&amp;-Q14,""))</f>
        <v/>
      </c>
      <c r="AP14" s="217" t="str">
        <f t="shared" ref="AP14" si="153">IF(S14&gt;T14,", "&amp;T14,IF(T14&gt;S14,", "&amp;-S14,""))</f>
        <v/>
      </c>
      <c r="AQ14" s="217" t="str">
        <f t="shared" ref="AQ14" si="154">IF(U14&gt;V14,", "&amp;V14,IF(V14&gt;U14,", "&amp;-U14,""))</f>
        <v/>
      </c>
      <c r="AR14" s="217" t="str">
        <f t="shared" ref="AR14" si="155">IF(W14&gt;X14,", "&amp;X14,IF(X14&gt;W14,", "&amp;-W14,""))</f>
        <v/>
      </c>
      <c r="AS14" s="217" t="str">
        <f t="shared" ref="AS14" si="156">IF(Y14&gt;Z14,", "&amp;Z14,IF(Z14&gt;Y14,", "&amp;-Y14,""))</f>
        <v/>
      </c>
      <c r="AU14" s="224">
        <f>1+AU12</f>
        <v>6</v>
      </c>
      <c r="AV14" s="247">
        <f ca="1">VLOOKUP(AV13,$A$4:$L$83,8,FALSE)</f>
        <v>4275</v>
      </c>
      <c r="AW14" s="247" t="str">
        <f ca="1">IF(AV14=0,0,VLOOKUP(AV14,Inscripciones!$B$1:$I$464,2,FALSE))</f>
        <v>CLARISSA MORA JIMÉNEZ</v>
      </c>
      <c r="AX14" s="248" t="str">
        <f ca="1">IF(AV14=0,0,VLOOKUP(AV14,Inscripciones!$B$1:$L$364,3,FALSE))</f>
        <v>ESPARZA</v>
      </c>
      <c r="AY14" s="222"/>
      <c r="AZ14" s="222"/>
      <c r="BA14" s="249"/>
      <c r="BB14" s="222"/>
      <c r="BC14" s="222"/>
      <c r="BD14" s="249"/>
      <c r="BE14" s="222"/>
      <c r="BG14" s="253"/>
      <c r="BL14" s="239">
        <f t="shared" si="35"/>
        <v>10</v>
      </c>
      <c r="BM14" s="240" t="str">
        <f>C22</f>
        <v>28/Sep</v>
      </c>
      <c r="BN14" s="240">
        <f>D22</f>
        <v>0</v>
      </c>
      <c r="BO14" s="241">
        <f>E22</f>
        <v>0</v>
      </c>
      <c r="BP14" s="242" t="s">
        <v>95</v>
      </c>
      <c r="BQ14" s="239"/>
      <c r="BR14" s="239">
        <v>10</v>
      </c>
      <c r="BS14" s="243" t="e">
        <f ca="1">VLOOKUP(BY15,Inscripciones!$B$1:$B$364,2,FALSE)</f>
        <v>#REF!</v>
      </c>
      <c r="BT14" s="244"/>
      <c r="BU14" s="243" t="e">
        <f>VLOOKUP(BZ15,Inscripciones!$B$1:$B$364,2,FALSE)</f>
        <v>#REF!</v>
      </c>
      <c r="BV14" s="244"/>
      <c r="BW14" s="239"/>
      <c r="BX14" s="231"/>
      <c r="BY14" s="245" t="str">
        <f>G22</f>
        <v>X</v>
      </c>
      <c r="BZ14" s="246">
        <f ca="1">H22</f>
        <v>4673</v>
      </c>
      <c r="CA14" s="234" t="str">
        <f>Inscripciones!$B$2</f>
        <v>U13 FEMENINO</v>
      </c>
      <c r="CB14" s="235" t="s">
        <v>106</v>
      </c>
    </row>
    <row r="15" spans="1:80" s="220" customFormat="1" ht="12.75" x14ac:dyDescent="0.25">
      <c r="A15" s="433"/>
      <c r="B15" s="518"/>
      <c r="C15" s="520"/>
      <c r="D15" s="520"/>
      <c r="E15" s="514"/>
      <c r="F15" s="522"/>
      <c r="G15" s="514"/>
      <c r="H15" s="514"/>
      <c r="I15" s="514">
        <v>0</v>
      </c>
      <c r="J15" s="514">
        <v>0</v>
      </c>
      <c r="K15" s="514">
        <v>0</v>
      </c>
      <c r="L15" s="514">
        <v>0</v>
      </c>
      <c r="M15" s="516"/>
      <c r="N15" s="514"/>
      <c r="O15" s="514"/>
      <c r="P15" s="514"/>
      <c r="Q15" s="514"/>
      <c r="R15" s="514"/>
      <c r="S15" s="514"/>
      <c r="T15" s="514"/>
      <c r="U15" s="514"/>
      <c r="V15" s="514"/>
      <c r="W15" s="514"/>
      <c r="X15" s="514"/>
      <c r="Y15" s="514"/>
      <c r="Z15" s="530"/>
      <c r="AA15" s="452"/>
      <c r="AB15" s="452"/>
      <c r="AC15" s="452"/>
      <c r="AD15" s="217" t="str">
        <f t="shared" ref="AD15" si="157">IF(AA14&gt;AB14,AD14&amp;"  "&amp;AE14,IF(AB14&gt;AA14,AD14&amp;"  "&amp;AE15,""))</f>
        <v>1 - 0  (0)</v>
      </c>
      <c r="AE15" s="217" t="str">
        <f t="shared" si="0"/>
        <v>(0)</v>
      </c>
      <c r="AF15" s="217">
        <f t="shared" ref="AF15" si="158">IF(N14&gt;M14,1,0)</f>
        <v>1</v>
      </c>
      <c r="AG15" s="217">
        <f t="shared" ref="AG15" si="159">IF(P14&gt;O14,1,0)</f>
        <v>0</v>
      </c>
      <c r="AH15" s="217">
        <f t="shared" ref="AH15" si="160">IF(R14&gt;Q14,1,0)</f>
        <v>0</v>
      </c>
      <c r="AI15" s="217">
        <f t="shared" ref="AI15" si="161">IF(T14&gt;S14,1,0)</f>
        <v>0</v>
      </c>
      <c r="AJ15" s="217">
        <f t="shared" ref="AJ15" si="162">IF(V14&gt;U14,1,0)</f>
        <v>0</v>
      </c>
      <c r="AK15" s="217">
        <f t="shared" ref="AK15" si="163">IF(X14&gt;W14,1,0)</f>
        <v>0</v>
      </c>
      <c r="AL15" s="217">
        <f t="shared" ref="AL15" si="164">IF(Z14&gt;Y14,1,0)</f>
        <v>0</v>
      </c>
      <c r="AM15" s="217">
        <f t="shared" ref="AM15" si="165">IF(N14&gt;M14,M14,IF(M14&gt;N14,-N14,""))</f>
        <v>0</v>
      </c>
      <c r="AN15" s="217" t="str">
        <f t="shared" ref="AN15" si="166">IF(P14&gt;O14,", "&amp;O14,IF(O14&gt;P14,", "&amp;-P14,""))</f>
        <v/>
      </c>
      <c r="AO15" s="217" t="str">
        <f t="shared" ref="AO15" si="167">IF(R14&gt;Q14,", "&amp;Q14,IF(Q14&gt;R14,", "&amp;-R14,""))</f>
        <v/>
      </c>
      <c r="AP15" s="217" t="str">
        <f t="shared" ref="AP15" si="168">IF(T14&gt;S14,", "&amp;S14,IF(S14&gt;T14,", "&amp;-T14,""))</f>
        <v/>
      </c>
      <c r="AQ15" s="217" t="str">
        <f t="shared" ref="AQ15" si="169">IF(V14&gt;U14,", "&amp;U14,IF(U14&gt;V14,", "&amp;-V14,""))</f>
        <v/>
      </c>
      <c r="AR15" s="217" t="str">
        <f t="shared" ref="AR15" si="170">IF(X14&gt;W14,", "&amp;W14,IF(W14&gt;X14,", "&amp;-X14,""))</f>
        <v/>
      </c>
      <c r="AS15" s="217" t="str">
        <f t="shared" ref="AS15" si="171">IF(Z14&gt;Y14,", "&amp;Y14,IF(Y14&gt;Z14,", "&amp;-Z14,""))</f>
        <v/>
      </c>
      <c r="AU15" s="221"/>
      <c r="AV15" s="222"/>
      <c r="AW15" s="222"/>
      <c r="AX15" s="250"/>
      <c r="AY15" s="236">
        <v>18</v>
      </c>
      <c r="AZ15" s="237" t="str">
        <f>VLOOKUP(AY15,$A$4:$L$83,6,FALSE)</f>
        <v>28/Sep-- Table</v>
      </c>
      <c r="BA15" s="251"/>
      <c r="BB15" s="247">
        <f ca="1">VLOOKUP(BB11,$A$4:$L$87,8,FALSE)</f>
        <v>4100</v>
      </c>
      <c r="BC15" s="247" t="str">
        <f ca="1">IF(BB15=0,0,VLOOKUP(BB15,Inscripciones!$B$1:$I$464,2,FALSE))</f>
        <v>BRENDA HERRERA RIVAS</v>
      </c>
      <c r="BD15" s="248" t="str">
        <f ca="1">IF(BB15=0,0,VLOOKUP(BB15,Inscripciones!$B$1:$L$364,3,FALSE))</f>
        <v>ESPARZA</v>
      </c>
      <c r="BE15" s="222"/>
      <c r="BG15" s="253"/>
      <c r="BL15" s="239">
        <f t="shared" si="35"/>
        <v>11</v>
      </c>
      <c r="BM15" s="240" t="str">
        <f>C24</f>
        <v>28/Sep</v>
      </c>
      <c r="BN15" s="240">
        <f>D24</f>
        <v>0</v>
      </c>
      <c r="BO15" s="241">
        <f>E24</f>
        <v>0</v>
      </c>
      <c r="BP15" s="242" t="s">
        <v>95</v>
      </c>
      <c r="BQ15" s="239"/>
      <c r="BR15" s="239">
        <v>11</v>
      </c>
      <c r="BS15" s="243" t="e">
        <f>VLOOKUP(BY16,Inscripciones!$B$1:$B$364,2,FALSE)</f>
        <v>#REF!</v>
      </c>
      <c r="BT15" s="244"/>
      <c r="BU15" s="243" t="e">
        <f ca="1">VLOOKUP(BZ16,Inscripciones!$B$1:$B$364,2,FALSE)</f>
        <v>#REF!</v>
      </c>
      <c r="BV15" s="244"/>
      <c r="BW15" s="239"/>
      <c r="BX15" s="231"/>
      <c r="BY15" s="245">
        <f ca="1">G24</f>
        <v>4276</v>
      </c>
      <c r="BZ15" s="246" t="str">
        <f>H24</f>
        <v>X</v>
      </c>
      <c r="CA15" s="234" t="str">
        <f>Inscripciones!$B$2</f>
        <v>U13 FEMENINO</v>
      </c>
      <c r="CB15" s="235" t="s">
        <v>107</v>
      </c>
    </row>
    <row r="16" spans="1:80" s="220" customFormat="1" ht="12.75" x14ac:dyDescent="0.25">
      <c r="A16" s="433">
        <v>7</v>
      </c>
      <c r="B16" s="533" t="s">
        <v>99</v>
      </c>
      <c r="C16" s="535" t="s">
        <v>78</v>
      </c>
      <c r="D16" s="535"/>
      <c r="E16" s="523"/>
      <c r="F16" s="527" t="str">
        <f t="shared" ref="F16" si="172">C16&amp;"-"&amp;D16&amp;"- Table"&amp;E16</f>
        <v>28/Sep-- Table</v>
      </c>
      <c r="G16" s="523">
        <f ca="1">'SORTEO 32'!D21</f>
        <v>4348</v>
      </c>
      <c r="H16" s="523" t="str">
        <f>'SORTEO 32'!D22</f>
        <v>X</v>
      </c>
      <c r="I16" s="523" t="str">
        <f ca="1">IF(G16=0,0,VLOOKUP(G16,Inscripciones!$B$1:$I$464,2,FALSE))</f>
        <v>AMANDA PEREZ CABEZAS</v>
      </c>
      <c r="J16" s="523" t="str">
        <f ca="1">IF(G16=0,0,VLOOKUP(G16,Inscripciones!$B$1:$L$364,3,FALSE))</f>
        <v>CORREDORES</v>
      </c>
      <c r="K16" s="523" t="str">
        <f ca="1">IF(I16=0,0,VLOOKUP(H16,Inscripciones!$B$1:$I$464,2,FALSE))</f>
        <v>BYE</v>
      </c>
      <c r="L16" s="523" t="str">
        <f ca="1">IF(I16=0,0,VLOOKUP(H16,Inscripciones!$B$1:$L$364,3,FALSE))</f>
        <v>BYE</v>
      </c>
      <c r="M16" s="531">
        <v>11</v>
      </c>
      <c r="N16" s="523">
        <v>0</v>
      </c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5"/>
      <c r="AA16" s="452">
        <f t="shared" ref="AA16" si="173">IF(M16+N16&lt;&gt;0,SUM(AF16:AL16),"")</f>
        <v>1</v>
      </c>
      <c r="AB16" s="452">
        <f t="shared" ref="AB16" si="174">IF(M16+N16&lt;&gt;0,SUM(AF17:AL17),"")</f>
        <v>0</v>
      </c>
      <c r="AC16" s="452" t="str">
        <f t="shared" ref="AC16" si="175">IF(AA16&gt;AB16,AD16&amp;"  "&amp;AE16,IF(AB16&gt;AA16,AD16&amp;"  "&amp;AE17,""))</f>
        <v>1 - 0  (0)</v>
      </c>
      <c r="AD16" s="217" t="str">
        <f t="shared" ref="AD16" si="176">IF(AA16&gt;AB16,AA16&amp;" - "&amp;AB16,IF(AB16&gt;AA16,AB16&amp;" - "&amp;AA16,""))</f>
        <v>1 - 0</v>
      </c>
      <c r="AE16" s="217" t="str">
        <f t="shared" si="0"/>
        <v>(0)</v>
      </c>
      <c r="AF16" s="217">
        <f t="shared" ref="AF16" si="177">IF(M16&gt;N16,1,0)</f>
        <v>1</v>
      </c>
      <c r="AG16" s="217">
        <f t="shared" ref="AG16" si="178">IF(O16&gt;P16,1,0)</f>
        <v>0</v>
      </c>
      <c r="AH16" s="217">
        <f t="shared" ref="AH16" si="179">IF(Q16&gt;R16,1,0)</f>
        <v>0</v>
      </c>
      <c r="AI16" s="217">
        <f t="shared" ref="AI16" si="180">IF(S16&gt;T16,1,0)</f>
        <v>0</v>
      </c>
      <c r="AJ16" s="217">
        <f t="shared" ref="AJ16" si="181">IF(U16&gt;V16,1,0)</f>
        <v>0</v>
      </c>
      <c r="AK16" s="217">
        <f t="shared" ref="AK16" si="182">IF(W16&gt;X16,1,0)</f>
        <v>0</v>
      </c>
      <c r="AL16" s="217">
        <f t="shared" ref="AL16" si="183">IF(Y16&gt;Z16,1,0)</f>
        <v>0</v>
      </c>
      <c r="AM16" s="217">
        <f t="shared" ref="AM16" si="184">IF(M16&gt;N16,N16,IF(N16&gt;M16,-M16,""))</f>
        <v>0</v>
      </c>
      <c r="AN16" s="217" t="str">
        <f t="shared" ref="AN16" si="185">IF(O16&gt;P16,", "&amp;P16,IF(P16&gt;O16,", "&amp;-O16,""))</f>
        <v/>
      </c>
      <c r="AO16" s="217" t="str">
        <f t="shared" ref="AO16" si="186">IF(Q16&gt;R16,", "&amp;R16,IF(R16&gt;Q16,", "&amp;-Q16,""))</f>
        <v/>
      </c>
      <c r="AP16" s="217" t="str">
        <f t="shared" ref="AP16" si="187">IF(S16&gt;T16,", "&amp;T16,IF(T16&gt;S16,", "&amp;-S16,""))</f>
        <v/>
      </c>
      <c r="AQ16" s="217" t="str">
        <f t="shared" ref="AQ16" si="188">IF(U16&gt;V16,", "&amp;V16,IF(V16&gt;U16,", "&amp;-U16,""))</f>
        <v/>
      </c>
      <c r="AR16" s="217" t="str">
        <f t="shared" ref="AR16" si="189">IF(W16&gt;X16,", "&amp;X16,IF(X16&gt;W16,", "&amp;-W16,""))</f>
        <v/>
      </c>
      <c r="AS16" s="217" t="str">
        <f t="shared" ref="AS16" si="190">IF(Y16&gt;Z16,", "&amp;Z16,IF(Z16&gt;Y16,", "&amp;-Y16,""))</f>
        <v/>
      </c>
      <c r="AU16" s="224">
        <f>1+AU14</f>
        <v>7</v>
      </c>
      <c r="AV16" s="225" t="str">
        <f>VLOOKUP(AV17,$A$4:$L$83,7,FALSE)</f>
        <v>X</v>
      </c>
      <c r="AW16" s="226" t="str">
        <f>IF(AV16=0,0,VLOOKUP(AV16,Inscripciones!$B$1:$I$464,2,FALSE))</f>
        <v>BYE</v>
      </c>
      <c r="AX16" s="227" t="str">
        <f>IF(AV16=0,0,VLOOKUP(AV16,Inscripciones!$B$1:$L$364,3,FALSE))</f>
        <v>BYE</v>
      </c>
      <c r="AY16" s="252"/>
      <c r="AZ16" s="222"/>
      <c r="BA16" s="249"/>
      <c r="BB16" s="228"/>
      <c r="BC16" s="229" t="str">
        <f>VLOOKUP(AY15,$A$4:$AD$87,29,FALSE)</f>
        <v>2 - 0  (5, 7)</v>
      </c>
      <c r="BD16" s="228"/>
      <c r="BE16" s="222"/>
      <c r="BG16" s="253"/>
      <c r="BL16" s="239">
        <f t="shared" si="35"/>
        <v>12</v>
      </c>
      <c r="BM16" s="240" t="str">
        <f>C26</f>
        <v>28/Sep</v>
      </c>
      <c r="BN16" s="240">
        <f>D26</f>
        <v>0</v>
      </c>
      <c r="BO16" s="241">
        <f>E26</f>
        <v>0</v>
      </c>
      <c r="BP16" s="242" t="s">
        <v>95</v>
      </c>
      <c r="BQ16" s="239"/>
      <c r="BR16" s="239">
        <v>12</v>
      </c>
      <c r="BS16" s="243" t="e">
        <f ca="1">VLOOKUP(BY17,Inscripciones!$B$1:$B$364,2,FALSE)</f>
        <v>#REF!</v>
      </c>
      <c r="BT16" s="244"/>
      <c r="BU16" s="243" t="e">
        <f>VLOOKUP(BZ17,Inscripciones!$B$1:$B$364,2,FALSE)</f>
        <v>#REF!</v>
      </c>
      <c r="BV16" s="244"/>
      <c r="BW16" s="239"/>
      <c r="BX16" s="231"/>
      <c r="BY16" s="245" t="str">
        <f>G26</f>
        <v>X</v>
      </c>
      <c r="BZ16" s="246">
        <f ca="1">H26</f>
        <v>4183</v>
      </c>
      <c r="CA16" s="234" t="str">
        <f>Inscripciones!$B$2</f>
        <v>U13 FEMENINO</v>
      </c>
      <c r="CB16" s="235" t="s">
        <v>108</v>
      </c>
    </row>
    <row r="17" spans="1:80" s="220" customFormat="1" ht="12.75" x14ac:dyDescent="0.25">
      <c r="A17" s="433"/>
      <c r="B17" s="534"/>
      <c r="C17" s="536"/>
      <c r="D17" s="536"/>
      <c r="E17" s="524"/>
      <c r="F17" s="528"/>
      <c r="G17" s="524"/>
      <c r="H17" s="524"/>
      <c r="I17" s="524">
        <v>0</v>
      </c>
      <c r="J17" s="524">
        <v>0</v>
      </c>
      <c r="K17" s="524">
        <v>0</v>
      </c>
      <c r="L17" s="524">
        <v>0</v>
      </c>
      <c r="M17" s="532"/>
      <c r="N17" s="524"/>
      <c r="O17" s="524"/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6"/>
      <c r="AA17" s="452"/>
      <c r="AB17" s="452"/>
      <c r="AC17" s="452"/>
      <c r="AD17" s="217" t="str">
        <f t="shared" ref="AD17" si="191">IF(AA16&gt;AB16,AD16&amp;"  "&amp;AE16,IF(AB16&gt;AA16,AD16&amp;"  "&amp;AE17,""))</f>
        <v>1 - 0  (0)</v>
      </c>
      <c r="AE17" s="217" t="str">
        <f t="shared" si="0"/>
        <v>(0)</v>
      </c>
      <c r="AF17" s="217">
        <f t="shared" ref="AF17" si="192">IF(N16&gt;M16,1,0)</f>
        <v>0</v>
      </c>
      <c r="AG17" s="217">
        <f t="shared" ref="AG17" si="193">IF(P16&gt;O16,1,0)</f>
        <v>0</v>
      </c>
      <c r="AH17" s="217">
        <f t="shared" ref="AH17" si="194">IF(R16&gt;Q16,1,0)</f>
        <v>0</v>
      </c>
      <c r="AI17" s="217">
        <f t="shared" ref="AI17" si="195">IF(T16&gt;S16,1,0)</f>
        <v>0</v>
      </c>
      <c r="AJ17" s="217">
        <f t="shared" ref="AJ17" si="196">IF(V16&gt;U16,1,0)</f>
        <v>0</v>
      </c>
      <c r="AK17" s="217">
        <f t="shared" ref="AK17" si="197">IF(X16&gt;W16,1,0)</f>
        <v>0</v>
      </c>
      <c r="AL17" s="217">
        <f t="shared" ref="AL17" si="198">IF(Z16&gt;Y16,1,0)</f>
        <v>0</v>
      </c>
      <c r="AM17" s="217">
        <f t="shared" ref="AM17" si="199">IF(N16&gt;M16,M16,IF(M16&gt;N16,-N16,""))</f>
        <v>0</v>
      </c>
      <c r="AN17" s="217" t="str">
        <f t="shared" ref="AN17" si="200">IF(P16&gt;O16,", "&amp;O16,IF(O16&gt;P16,", "&amp;-P16,""))</f>
        <v/>
      </c>
      <c r="AO17" s="217" t="str">
        <f t="shared" ref="AO17" si="201">IF(R16&gt;Q16,", "&amp;Q16,IF(Q16&gt;R16,", "&amp;-R16,""))</f>
        <v/>
      </c>
      <c r="AP17" s="217" t="str">
        <f t="shared" ref="AP17" si="202">IF(T16&gt;S16,", "&amp;S16,IF(S16&gt;T16,", "&amp;-T16,""))</f>
        <v/>
      </c>
      <c r="AQ17" s="217" t="str">
        <f t="shared" ref="AQ17" si="203">IF(V16&gt;U16,", "&amp;U16,IF(U16&gt;V16,", "&amp;-V16,""))</f>
        <v/>
      </c>
      <c r="AR17" s="217" t="str">
        <f t="shared" ref="AR17" si="204">IF(X16&gt;W16,", "&amp;W16,IF(W16&gt;X16,", "&amp;-X16,""))</f>
        <v/>
      </c>
      <c r="AS17" s="217" t="str">
        <f t="shared" ref="AS17" si="205">IF(Z16&gt;Y16,", "&amp;Y16,IF(Y16&gt;Z16,", "&amp;-Z16,""))</f>
        <v/>
      </c>
      <c r="AU17" s="221"/>
      <c r="AV17" s="236">
        <v>4</v>
      </c>
      <c r="AW17" s="237" t="str">
        <f>VLOOKUP(AV17,$A$4:$L$83,6,FALSE)</f>
        <v>28/Sep-- Table</v>
      </c>
      <c r="AX17" s="238"/>
      <c r="AY17" s="247">
        <f ca="1">VLOOKUP(AY15,$A$4:$L$87,8,FALSE)</f>
        <v>4100</v>
      </c>
      <c r="AZ17" s="247" t="str">
        <f ca="1">IF(AY17=0,0,VLOOKUP(AY17,Inscripciones!$B$1:$I$464,2,FALSE))</f>
        <v>BRENDA HERRERA RIVAS</v>
      </c>
      <c r="BA17" s="248" t="str">
        <f ca="1">IF(AY17=0,0,VLOOKUP(AY17,Inscripciones!$B$1:$L$364,3,FALSE))</f>
        <v>ESPARZA</v>
      </c>
      <c r="BB17" s="222"/>
      <c r="BC17" s="222"/>
      <c r="BD17" s="222"/>
      <c r="BE17" s="222"/>
      <c r="BG17" s="253"/>
      <c r="BL17" s="239">
        <f t="shared" si="35"/>
        <v>13</v>
      </c>
      <c r="BM17" s="240" t="str">
        <f>C28</f>
        <v>28/Sep</v>
      </c>
      <c r="BN17" s="240">
        <f>D28</f>
        <v>0</v>
      </c>
      <c r="BO17" s="241">
        <f>E28</f>
        <v>0</v>
      </c>
      <c r="BP17" s="242" t="s">
        <v>95</v>
      </c>
      <c r="BQ17" s="239"/>
      <c r="BR17" s="239">
        <v>13</v>
      </c>
      <c r="BS17" s="243" t="e">
        <f ca="1">VLOOKUP(BY18,Inscripciones!$B$1:$B$364,2,FALSE)</f>
        <v>#REF!</v>
      </c>
      <c r="BT17" s="244"/>
      <c r="BU17" s="243" t="e">
        <f ca="1">VLOOKUP(BZ18,Inscripciones!$B$1:$B$364,2,FALSE)</f>
        <v>#REF!</v>
      </c>
      <c r="BV17" s="244"/>
      <c r="BW17" s="239"/>
      <c r="BX17" s="231"/>
      <c r="BY17" s="245">
        <f ca="1">G28</f>
        <v>4273</v>
      </c>
      <c r="BZ17" s="246" t="str">
        <f>H28</f>
        <v>X</v>
      </c>
      <c r="CA17" s="234" t="str">
        <f>Inscripciones!$B$2</f>
        <v>U13 FEMENINO</v>
      </c>
      <c r="CB17" s="235" t="s">
        <v>109</v>
      </c>
    </row>
    <row r="18" spans="1:80" s="220" customFormat="1" ht="12.75" x14ac:dyDescent="0.25">
      <c r="A18" s="433">
        <v>8</v>
      </c>
      <c r="B18" s="517" t="s">
        <v>99</v>
      </c>
      <c r="C18" s="519" t="s">
        <v>78</v>
      </c>
      <c r="D18" s="519"/>
      <c r="E18" s="513"/>
      <c r="F18" s="521" t="str">
        <f t="shared" ref="F18" si="206">C18&amp;"-"&amp;D18&amp;"- Table"&amp;E18</f>
        <v>28/Sep-- Table</v>
      </c>
      <c r="G18" s="513" t="str">
        <f>'SORTEO 32'!D23</f>
        <v>X</v>
      </c>
      <c r="H18" s="513">
        <f ca="1">'SORTEO 32'!D24</f>
        <v>4176</v>
      </c>
      <c r="I18" s="513" t="str">
        <f>IF(G18=0,0,VLOOKUP(G18,Inscripciones!$B$1:$I$464,2,FALSE))</f>
        <v>BYE</v>
      </c>
      <c r="J18" s="513" t="str">
        <f>IF(G18=0,0,VLOOKUP(G18,Inscripciones!$B$1:$L$364,3,FALSE))</f>
        <v>BYE</v>
      </c>
      <c r="K18" s="513" t="str">
        <f ca="1">IF(I18=0,0,VLOOKUP(H18,Inscripciones!$B$1:$I$464,2,FALSE))</f>
        <v>LÍA SOFÍA SOLÍS VÁSQUEZ</v>
      </c>
      <c r="L18" s="513" t="str">
        <f ca="1">IF(I18=0,0,VLOOKUP(H18,Inscripciones!$B$1:$L$364,3,FALSE))</f>
        <v>ESPARZA</v>
      </c>
      <c r="M18" s="515">
        <v>0</v>
      </c>
      <c r="N18" s="513">
        <v>11</v>
      </c>
      <c r="O18" s="513"/>
      <c r="P18" s="513"/>
      <c r="Q18" s="513"/>
      <c r="R18" s="513"/>
      <c r="S18" s="513"/>
      <c r="T18" s="513"/>
      <c r="U18" s="513"/>
      <c r="V18" s="513"/>
      <c r="W18" s="513"/>
      <c r="X18" s="513"/>
      <c r="Y18" s="513"/>
      <c r="Z18" s="529"/>
      <c r="AA18" s="452">
        <f t="shared" ref="AA18" si="207">IF(M18+N18&lt;&gt;0,SUM(AF18:AL18),"")</f>
        <v>0</v>
      </c>
      <c r="AB18" s="452">
        <f t="shared" ref="AB18" si="208">IF(M18+N18&lt;&gt;0,SUM(AF19:AL19),"")</f>
        <v>1</v>
      </c>
      <c r="AC18" s="452" t="str">
        <f t="shared" ref="AC18" si="209">IF(AA18&gt;AB18,AD18&amp;"  "&amp;AE18,IF(AB18&gt;AA18,AD18&amp;"  "&amp;AE19,""))</f>
        <v>1 - 0  (0)</v>
      </c>
      <c r="AD18" s="217" t="str">
        <f t="shared" ref="AD18" si="210">IF(AA18&gt;AB18,AA18&amp;" - "&amp;AB18,IF(AB18&gt;AA18,AB18&amp;" - "&amp;AA18,""))</f>
        <v>1 - 0</v>
      </c>
      <c r="AE18" s="217" t="str">
        <f t="shared" si="0"/>
        <v>(0)</v>
      </c>
      <c r="AF18" s="217">
        <f t="shared" ref="AF18" si="211">IF(M18&gt;N18,1,0)</f>
        <v>0</v>
      </c>
      <c r="AG18" s="217">
        <f t="shared" ref="AG18" si="212">IF(O18&gt;P18,1,0)</f>
        <v>0</v>
      </c>
      <c r="AH18" s="217">
        <f t="shared" ref="AH18" si="213">IF(Q18&gt;R18,1,0)</f>
        <v>0</v>
      </c>
      <c r="AI18" s="217">
        <f t="shared" ref="AI18" si="214">IF(S18&gt;T18,1,0)</f>
        <v>0</v>
      </c>
      <c r="AJ18" s="217">
        <f t="shared" ref="AJ18" si="215">IF(U18&gt;V18,1,0)</f>
        <v>0</v>
      </c>
      <c r="AK18" s="217">
        <f t="shared" ref="AK18" si="216">IF(W18&gt;X18,1,0)</f>
        <v>0</v>
      </c>
      <c r="AL18" s="217">
        <f t="shared" ref="AL18" si="217">IF(Y18&gt;Z18,1,0)</f>
        <v>0</v>
      </c>
      <c r="AM18" s="217">
        <f t="shared" ref="AM18" si="218">IF(M18&gt;N18,N18,IF(N18&gt;M18,-M18,""))</f>
        <v>0</v>
      </c>
      <c r="AN18" s="217" t="str">
        <f t="shared" ref="AN18" si="219">IF(O18&gt;P18,", "&amp;P18,IF(P18&gt;O18,", "&amp;-O18,""))</f>
        <v/>
      </c>
      <c r="AO18" s="217" t="str">
        <f t="shared" ref="AO18" si="220">IF(Q18&gt;R18,", "&amp;R18,IF(R18&gt;Q18,", "&amp;-Q18,""))</f>
        <v/>
      </c>
      <c r="AP18" s="217" t="str">
        <f t="shared" ref="AP18" si="221">IF(S18&gt;T18,", "&amp;T18,IF(T18&gt;S18,", "&amp;-S18,""))</f>
        <v/>
      </c>
      <c r="AQ18" s="217" t="str">
        <f t="shared" ref="AQ18" si="222">IF(U18&gt;V18,", "&amp;V18,IF(V18&gt;U18,", "&amp;-U18,""))</f>
        <v/>
      </c>
      <c r="AR18" s="217" t="str">
        <f t="shared" ref="AR18" si="223">IF(W18&gt;X18,", "&amp;X18,IF(X18&gt;W18,", "&amp;-W18,""))</f>
        <v/>
      </c>
      <c r="AS18" s="217" t="str">
        <f t="shared" ref="AS18" si="224">IF(Y18&gt;Z18,", "&amp;Z18,IF(Z18&gt;Y18,", "&amp;-Y18,""))</f>
        <v/>
      </c>
      <c r="AU18" s="224">
        <f>1+AU16</f>
        <v>8</v>
      </c>
      <c r="AV18" s="247">
        <f ca="1">VLOOKUP(AV17,$A$4:$L$83,8,FALSE)</f>
        <v>4100</v>
      </c>
      <c r="AW18" s="247" t="str">
        <f ca="1">IF(AV18=0,0,VLOOKUP(AV18,Inscripciones!$B$1:$I$464,2,FALSE))</f>
        <v>BRENDA HERRERA RIVAS</v>
      </c>
      <c r="AX18" s="248" t="str">
        <f ca="1">IF(AV18=0,0,VLOOKUP(AV18,Inscripciones!$B$1:$L$364,3,FALSE))</f>
        <v>ESPARZA</v>
      </c>
      <c r="AY18" s="228"/>
      <c r="AZ18" s="229" t="str">
        <f>VLOOKUP(AV17,$A$4:$AD$87,29,FALSE)</f>
        <v>1 - 0  (0)</v>
      </c>
      <c r="BA18" s="228"/>
      <c r="BB18" s="222"/>
      <c r="BC18" s="222"/>
      <c r="BD18" s="222"/>
      <c r="BE18" s="222"/>
      <c r="BF18" s="222"/>
      <c r="BG18" s="249"/>
      <c r="BH18" s="228"/>
      <c r="BI18" s="229" t="str">
        <f>VLOOKUP(BE19,$A$4:$AD$83,29,FALSE)</f>
        <v>3 - 0  (8, 5, 6)</v>
      </c>
      <c r="BJ18" s="228"/>
      <c r="BL18" s="239">
        <f t="shared" si="35"/>
        <v>14</v>
      </c>
      <c r="BM18" s="240" t="str">
        <f>C30</f>
        <v>28/Sep</v>
      </c>
      <c r="BN18" s="240">
        <f>D30</f>
        <v>0</v>
      </c>
      <c r="BO18" s="241">
        <f>E30</f>
        <v>0</v>
      </c>
      <c r="BP18" s="242" t="s">
        <v>95</v>
      </c>
      <c r="BQ18" s="239"/>
      <c r="BR18" s="239">
        <v>14</v>
      </c>
      <c r="BS18" s="243" t="e">
        <f ca="1">VLOOKUP(BY19,Inscripciones!$B$1:$B$364,2,FALSE)</f>
        <v>#REF!</v>
      </c>
      <c r="BT18" s="244"/>
      <c r="BU18" s="243" t="e">
        <f>VLOOKUP(BZ19,Inscripciones!$B$1:$B$364,2,FALSE)</f>
        <v>#REF!</v>
      </c>
      <c r="BV18" s="244"/>
      <c r="BW18" s="239"/>
      <c r="BX18" s="231"/>
      <c r="BY18" s="245">
        <f ca="1">G30</f>
        <v>4212</v>
      </c>
      <c r="BZ18" s="246">
        <f ca="1">H30</f>
        <v>4104</v>
      </c>
      <c r="CA18" s="234" t="str">
        <f>Inscripciones!$B$2</f>
        <v>U13 FEMENINO</v>
      </c>
      <c r="CB18" s="235" t="s">
        <v>110</v>
      </c>
    </row>
    <row r="19" spans="1:80" s="220" customFormat="1" ht="12.75" x14ac:dyDescent="0.25">
      <c r="A19" s="433"/>
      <c r="B19" s="518"/>
      <c r="C19" s="520"/>
      <c r="D19" s="520"/>
      <c r="E19" s="514"/>
      <c r="F19" s="522"/>
      <c r="G19" s="514"/>
      <c r="H19" s="514"/>
      <c r="I19" s="514">
        <v>0</v>
      </c>
      <c r="J19" s="514">
        <v>0</v>
      </c>
      <c r="K19" s="514">
        <v>0</v>
      </c>
      <c r="L19" s="514">
        <v>0</v>
      </c>
      <c r="M19" s="516"/>
      <c r="N19" s="514"/>
      <c r="O19" s="514"/>
      <c r="P19" s="514"/>
      <c r="Q19" s="514"/>
      <c r="R19" s="514"/>
      <c r="S19" s="514"/>
      <c r="T19" s="514"/>
      <c r="U19" s="514"/>
      <c r="V19" s="514"/>
      <c r="W19" s="514"/>
      <c r="X19" s="514"/>
      <c r="Y19" s="514"/>
      <c r="Z19" s="530"/>
      <c r="AA19" s="452"/>
      <c r="AB19" s="452"/>
      <c r="AC19" s="452"/>
      <c r="AD19" s="217" t="str">
        <f t="shared" ref="AD19" si="225">IF(AA18&gt;AB18,AD18&amp;"  "&amp;AE18,IF(AB18&gt;AA18,AD18&amp;"  "&amp;AE19,""))</f>
        <v>1 - 0  (0)</v>
      </c>
      <c r="AE19" s="217" t="str">
        <f t="shared" si="0"/>
        <v>(0)</v>
      </c>
      <c r="AF19" s="217">
        <f t="shared" ref="AF19" si="226">IF(N18&gt;M18,1,0)</f>
        <v>1</v>
      </c>
      <c r="AG19" s="217">
        <f t="shared" ref="AG19" si="227">IF(P18&gt;O18,1,0)</f>
        <v>0</v>
      </c>
      <c r="AH19" s="217">
        <f t="shared" ref="AH19" si="228">IF(R18&gt;Q18,1,0)</f>
        <v>0</v>
      </c>
      <c r="AI19" s="217">
        <f t="shared" ref="AI19" si="229">IF(T18&gt;S18,1,0)</f>
        <v>0</v>
      </c>
      <c r="AJ19" s="217">
        <f t="shared" ref="AJ19" si="230">IF(V18&gt;U18,1,0)</f>
        <v>0</v>
      </c>
      <c r="AK19" s="217">
        <f t="shared" ref="AK19" si="231">IF(X18&gt;W18,1,0)</f>
        <v>0</v>
      </c>
      <c r="AL19" s="217">
        <f t="shared" ref="AL19" si="232">IF(Z18&gt;Y18,1,0)</f>
        <v>0</v>
      </c>
      <c r="AM19" s="217">
        <f t="shared" ref="AM19" si="233">IF(N18&gt;M18,M18,IF(M18&gt;N18,-N18,""))</f>
        <v>0</v>
      </c>
      <c r="AN19" s="217" t="str">
        <f t="shared" ref="AN19" si="234">IF(P18&gt;O18,", "&amp;O18,IF(O18&gt;P18,", "&amp;-P18,""))</f>
        <v/>
      </c>
      <c r="AO19" s="217" t="str">
        <f t="shared" ref="AO19" si="235">IF(R18&gt;Q18,", "&amp;Q18,IF(Q18&gt;R18,", "&amp;-R18,""))</f>
        <v/>
      </c>
      <c r="AP19" s="217" t="str">
        <f t="shared" ref="AP19" si="236">IF(T18&gt;S18,", "&amp;S18,IF(S18&gt;T18,", "&amp;-T18,""))</f>
        <v/>
      </c>
      <c r="AQ19" s="217" t="str">
        <f t="shared" ref="AQ19" si="237">IF(V18&gt;U18,", "&amp;U18,IF(U18&gt;V18,", "&amp;-V18,""))</f>
        <v/>
      </c>
      <c r="AR19" s="217" t="str">
        <f t="shared" ref="AR19" si="238">IF(X18&gt;W18,", "&amp;W18,IF(W18&gt;X18,", "&amp;-X18,""))</f>
        <v/>
      </c>
      <c r="AS19" s="217" t="str">
        <f t="shared" ref="AS19" si="239">IF(Z18&gt;Y18,", "&amp;Y18,IF(Y18&gt;Z18,", "&amp;-Z18,""))</f>
        <v/>
      </c>
      <c r="AU19" s="221"/>
      <c r="AV19" s="222"/>
      <c r="AW19" s="222"/>
      <c r="AX19" s="250"/>
      <c r="AY19" s="222"/>
      <c r="AZ19" s="222"/>
      <c r="BA19" s="222"/>
      <c r="BB19" s="222"/>
      <c r="BC19" s="222"/>
      <c r="BD19" s="222"/>
      <c r="BE19" s="236">
        <v>29</v>
      </c>
      <c r="BF19" s="237" t="str">
        <f>VLOOKUP(BE19,$A$4:$L$83,6,FALSE)</f>
        <v>28/Sep-- Table</v>
      </c>
      <c r="BG19" s="249"/>
      <c r="BH19" s="225">
        <f ca="1">VLOOKUP(BH34,$A$4:$L$87,7,FALSE)</f>
        <v>4159</v>
      </c>
      <c r="BI19" s="226" t="str">
        <f ca="1">IF(BH19=0,0,VLOOKUP(BH19,Inscripciones!$B$1:$I$464,2,FALSE))</f>
        <v>MARÍA FERNANDA ZELEDÓN HERRERA</v>
      </c>
      <c r="BJ19" s="227" t="str">
        <f ca="1">IF(BH19=0,0,VLOOKUP(BH19,Inscripciones!$B$1:$L$364,3,FALSE))</f>
        <v>ESPARZA</v>
      </c>
      <c r="BL19" s="239">
        <f t="shared" si="35"/>
        <v>15</v>
      </c>
      <c r="BM19" s="240" t="str">
        <f>C32</f>
        <v>28/Sep</v>
      </c>
      <c r="BN19" s="240">
        <f>D32</f>
        <v>0</v>
      </c>
      <c r="BO19" s="241">
        <f>E32</f>
        <v>0</v>
      </c>
      <c r="BP19" s="242" t="s">
        <v>95</v>
      </c>
      <c r="BQ19" s="239"/>
      <c r="BR19" s="239">
        <v>15</v>
      </c>
      <c r="BS19" s="243" t="e">
        <f>VLOOKUP(BY20,Inscripciones!$B$1:$B$364,2,FALSE)</f>
        <v>#REF!</v>
      </c>
      <c r="BT19" s="244"/>
      <c r="BU19" s="243" t="e">
        <f ca="1">VLOOKUP(BZ20,Inscripciones!$B$1:$B$364,2,FALSE)</f>
        <v>#REF!</v>
      </c>
      <c r="BV19" s="244"/>
      <c r="BW19" s="239"/>
      <c r="BX19" s="231"/>
      <c r="BY19" s="245">
        <f ca="1">G32</f>
        <v>3828</v>
      </c>
      <c r="BZ19" s="246" t="str">
        <f>H32</f>
        <v>X</v>
      </c>
      <c r="CA19" s="234" t="str">
        <f>Inscripciones!$B$2</f>
        <v>U13 FEMENINO</v>
      </c>
      <c r="CB19" s="235" t="s">
        <v>111</v>
      </c>
    </row>
    <row r="20" spans="1:80" s="220" customFormat="1" ht="12.75" x14ac:dyDescent="0.25">
      <c r="A20" s="433">
        <v>9</v>
      </c>
      <c r="B20" s="533" t="s">
        <v>99</v>
      </c>
      <c r="C20" s="535" t="s">
        <v>78</v>
      </c>
      <c r="D20" s="535"/>
      <c r="E20" s="523"/>
      <c r="F20" s="527" t="str">
        <f t="shared" ref="F20" si="240">C20&amp;"-"&amp;D20&amp;"- Table"&amp;E20</f>
        <v>28/Sep-- Table</v>
      </c>
      <c r="G20" s="523">
        <f ca="1">'SORTEO 32'!D25</f>
        <v>3918</v>
      </c>
      <c r="H20" s="523" t="str">
        <f>'SORTEO 32'!D26</f>
        <v>X</v>
      </c>
      <c r="I20" s="523" t="str">
        <f ca="1">IF(G20=0,0,VLOOKUP(G20,Inscripciones!$B$1:$I$464,2,FALSE))</f>
        <v>MARIANA SOTO CALDERON</v>
      </c>
      <c r="J20" s="523" t="str">
        <f ca="1">IF(G20=0,0,VLOOKUP(G20,Inscripciones!$B$1:$L$364,3,FALSE))</f>
        <v>ESPARZA</v>
      </c>
      <c r="K20" s="523" t="str">
        <f ca="1">IF(I20=0,0,VLOOKUP(H20,Inscripciones!$B$1:$I$464,2,FALSE))</f>
        <v>BYE</v>
      </c>
      <c r="L20" s="523" t="str">
        <f ca="1">IF(I20=0,0,VLOOKUP(H20,Inscripciones!$B$1:$L$364,3,FALSE))</f>
        <v>BYE</v>
      </c>
      <c r="M20" s="531">
        <v>11</v>
      </c>
      <c r="N20" s="523">
        <v>0</v>
      </c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  <c r="Z20" s="525"/>
      <c r="AA20" s="452">
        <f t="shared" ref="AA20" si="241">IF(M20+N20&lt;&gt;0,SUM(AF20:AL20),"")</f>
        <v>1</v>
      </c>
      <c r="AB20" s="452">
        <f t="shared" ref="AB20" si="242">IF(M20+N20&lt;&gt;0,SUM(AF21:AL21),"")</f>
        <v>0</v>
      </c>
      <c r="AC20" s="452" t="str">
        <f t="shared" ref="AC20" si="243">IF(AA20&gt;AB20,AD20&amp;"  "&amp;AE20,IF(AB20&gt;AA20,AD20&amp;"  "&amp;AE21,""))</f>
        <v>1 - 0  (0)</v>
      </c>
      <c r="AD20" s="217" t="str">
        <f t="shared" ref="AD20" si="244">IF(AA20&gt;AB20,AA20&amp;" - "&amp;AB20,IF(AB20&gt;AA20,AB20&amp;" - "&amp;AA20,""))</f>
        <v>1 - 0</v>
      </c>
      <c r="AE20" s="217" t="str">
        <f t="shared" si="0"/>
        <v>(0)</v>
      </c>
      <c r="AF20" s="217">
        <f t="shared" ref="AF20" si="245">IF(M20&gt;N20,1,0)</f>
        <v>1</v>
      </c>
      <c r="AG20" s="217">
        <f t="shared" ref="AG20" si="246">IF(O20&gt;P20,1,0)</f>
        <v>0</v>
      </c>
      <c r="AH20" s="217">
        <f t="shared" ref="AH20" si="247">IF(Q20&gt;R20,1,0)</f>
        <v>0</v>
      </c>
      <c r="AI20" s="217">
        <f t="shared" ref="AI20" si="248">IF(S20&gt;T20,1,0)</f>
        <v>0</v>
      </c>
      <c r="AJ20" s="217">
        <f t="shared" ref="AJ20" si="249">IF(U20&gt;V20,1,0)</f>
        <v>0</v>
      </c>
      <c r="AK20" s="217">
        <f t="shared" ref="AK20" si="250">IF(W20&gt;X20,1,0)</f>
        <v>0</v>
      </c>
      <c r="AL20" s="217">
        <f t="shared" ref="AL20" si="251">IF(Y20&gt;Z20,1,0)</f>
        <v>0</v>
      </c>
      <c r="AM20" s="217">
        <f t="shared" ref="AM20" si="252">IF(M20&gt;N20,N20,IF(N20&gt;M20,-M20,""))</f>
        <v>0</v>
      </c>
      <c r="AN20" s="217" t="str">
        <f t="shared" ref="AN20" si="253">IF(O20&gt;P20,", "&amp;P20,IF(P20&gt;O20,", "&amp;-O20,""))</f>
        <v/>
      </c>
      <c r="AO20" s="217" t="str">
        <f t="shared" ref="AO20" si="254">IF(Q20&gt;R20,", "&amp;R20,IF(R20&gt;Q20,", "&amp;-Q20,""))</f>
        <v/>
      </c>
      <c r="AP20" s="217" t="str">
        <f t="shared" ref="AP20" si="255">IF(S20&gt;T20,", "&amp;T20,IF(T20&gt;S20,", "&amp;-S20,""))</f>
        <v/>
      </c>
      <c r="AQ20" s="217" t="str">
        <f t="shared" ref="AQ20" si="256">IF(U20&gt;V20,", "&amp;V20,IF(V20&gt;U20,", "&amp;-U20,""))</f>
        <v/>
      </c>
      <c r="AR20" s="217" t="str">
        <f t="shared" ref="AR20" si="257">IF(W20&gt;X20,", "&amp;X20,IF(X20&gt;W20,", "&amp;-W20,""))</f>
        <v/>
      </c>
      <c r="AS20" s="217" t="str">
        <f t="shared" ref="AS20" si="258">IF(Y20&gt;Z20,", "&amp;Z20,IF(Z20&gt;Y20,", "&amp;-Y20,""))</f>
        <v/>
      </c>
      <c r="AU20" s="224">
        <f>1+AU18</f>
        <v>9</v>
      </c>
      <c r="AV20" s="225">
        <f ca="1">VLOOKUP(AV21,$A$4:$L$83,7,FALSE)</f>
        <v>4274</v>
      </c>
      <c r="AW20" s="226" t="str">
        <f ca="1">IF(AV20=0,0,VLOOKUP(AV20,Inscripciones!$B$1:$I$464,2,FALSE))</f>
        <v>MARÍA PAULA HERNÁNDEZ ZÚÑIGA</v>
      </c>
      <c r="AX20" s="227" t="str">
        <f ca="1">IF(AV20=0,0,VLOOKUP(AV20,Inscripciones!$B$1:$L$364,3,FALSE))</f>
        <v>ESCAZÚ</v>
      </c>
      <c r="AY20" s="228"/>
      <c r="AZ20" s="229" t="str">
        <f>VLOOKUP(AV21,$A$4:$AD$83,29,FALSE)</f>
        <v>1 - 0  (0)</v>
      </c>
      <c r="BA20" s="228"/>
      <c r="BB20" s="222"/>
      <c r="BC20" s="222"/>
      <c r="BD20" s="222"/>
      <c r="BE20" s="222"/>
      <c r="BF20" s="222"/>
      <c r="BG20" s="249"/>
      <c r="BJ20" s="253"/>
      <c r="BL20" s="239">
        <f t="shared" si="35"/>
        <v>16</v>
      </c>
      <c r="BM20" s="240" t="str">
        <f>C34</f>
        <v>28/Sep</v>
      </c>
      <c r="BN20" s="240">
        <f>D34</f>
        <v>0</v>
      </c>
      <c r="BO20" s="241">
        <f>E34</f>
        <v>0</v>
      </c>
      <c r="BP20" s="242" t="s">
        <v>95</v>
      </c>
      <c r="BQ20" s="239"/>
      <c r="BR20" s="239">
        <v>16</v>
      </c>
      <c r="BS20" s="243" t="e">
        <f>VLOOKUP(#REF!,Inscripciones!$B$1:$B$364,2,FALSE)</f>
        <v>#REF!</v>
      </c>
      <c r="BT20" s="244"/>
      <c r="BU20" s="243" t="e">
        <f>VLOOKUP(#REF!,Inscripciones!$B$1:$B$364,2,FALSE)</f>
        <v>#REF!</v>
      </c>
      <c r="BV20" s="244"/>
      <c r="BW20" s="239"/>
      <c r="BX20" s="231"/>
      <c r="BY20" s="245" t="str">
        <f>G34</f>
        <v>X</v>
      </c>
      <c r="BZ20" s="246">
        <f ca="1">H34</f>
        <v>4101</v>
      </c>
      <c r="CA20" s="234" t="str">
        <f>Inscripciones!$B$2</f>
        <v>U13 FEMENINO</v>
      </c>
      <c r="CB20" s="235" t="s">
        <v>112</v>
      </c>
    </row>
    <row r="21" spans="1:80" s="220" customFormat="1" ht="12.75" x14ac:dyDescent="0.25">
      <c r="A21" s="433"/>
      <c r="B21" s="534"/>
      <c r="C21" s="536"/>
      <c r="D21" s="536"/>
      <c r="E21" s="524"/>
      <c r="F21" s="528"/>
      <c r="G21" s="524"/>
      <c r="H21" s="524"/>
      <c r="I21" s="524">
        <v>0</v>
      </c>
      <c r="J21" s="524">
        <v>0</v>
      </c>
      <c r="K21" s="524">
        <v>0</v>
      </c>
      <c r="L21" s="524">
        <v>0</v>
      </c>
      <c r="M21" s="532"/>
      <c r="N21" s="524"/>
      <c r="O21" s="524"/>
      <c r="P21" s="524"/>
      <c r="Q21" s="524"/>
      <c r="R21" s="524"/>
      <c r="S21" s="524"/>
      <c r="T21" s="524"/>
      <c r="U21" s="524"/>
      <c r="V21" s="524"/>
      <c r="W21" s="524"/>
      <c r="X21" s="524"/>
      <c r="Y21" s="524"/>
      <c r="Z21" s="526"/>
      <c r="AA21" s="452"/>
      <c r="AB21" s="452"/>
      <c r="AC21" s="452"/>
      <c r="AD21" s="217" t="str">
        <f t="shared" ref="AD21" si="259">IF(AA20&gt;AB20,AD20&amp;"  "&amp;AE20,IF(AB20&gt;AA20,AD20&amp;"  "&amp;AE21,""))</f>
        <v>1 - 0  (0)</v>
      </c>
      <c r="AE21" s="217" t="str">
        <f t="shared" si="0"/>
        <v>(0)</v>
      </c>
      <c r="AF21" s="217">
        <f t="shared" ref="AF21" si="260">IF(N20&gt;M20,1,0)</f>
        <v>0</v>
      </c>
      <c r="AG21" s="217">
        <f t="shared" ref="AG21" si="261">IF(P20&gt;O20,1,0)</f>
        <v>0</v>
      </c>
      <c r="AH21" s="217">
        <f t="shared" ref="AH21" si="262">IF(R20&gt;Q20,1,0)</f>
        <v>0</v>
      </c>
      <c r="AI21" s="217">
        <f t="shared" ref="AI21" si="263">IF(T20&gt;S20,1,0)</f>
        <v>0</v>
      </c>
      <c r="AJ21" s="217">
        <f t="shared" ref="AJ21" si="264">IF(V20&gt;U20,1,0)</f>
        <v>0</v>
      </c>
      <c r="AK21" s="217">
        <f t="shared" ref="AK21" si="265">IF(X20&gt;W20,1,0)</f>
        <v>0</v>
      </c>
      <c r="AL21" s="217">
        <f t="shared" ref="AL21" si="266">IF(Z20&gt;Y20,1,0)</f>
        <v>0</v>
      </c>
      <c r="AM21" s="217">
        <f t="shared" ref="AM21" si="267">IF(N20&gt;M20,M20,IF(M20&gt;N20,-N20,""))</f>
        <v>0</v>
      </c>
      <c r="AN21" s="217" t="str">
        <f t="shared" ref="AN21" si="268">IF(P20&gt;O20,", "&amp;O20,IF(O20&gt;P20,", "&amp;-P20,""))</f>
        <v/>
      </c>
      <c r="AO21" s="217" t="str">
        <f t="shared" ref="AO21" si="269">IF(R20&gt;Q20,", "&amp;Q20,IF(Q20&gt;R20,", "&amp;-R20,""))</f>
        <v/>
      </c>
      <c r="AP21" s="217" t="str">
        <f t="shared" ref="AP21" si="270">IF(T20&gt;S20,", "&amp;S20,IF(S20&gt;T20,", "&amp;-T20,""))</f>
        <v/>
      </c>
      <c r="AQ21" s="217" t="str">
        <f t="shared" ref="AQ21" si="271">IF(V20&gt;U20,", "&amp;U20,IF(U20&gt;V20,", "&amp;-V20,""))</f>
        <v/>
      </c>
      <c r="AR21" s="217" t="str">
        <f t="shared" ref="AR21" si="272">IF(X20&gt;W20,", "&amp;W20,IF(W20&gt;X20,", "&amp;-X20,""))</f>
        <v/>
      </c>
      <c r="AS21" s="217" t="str">
        <f t="shared" ref="AS21" si="273">IF(Z20&gt;Y20,", "&amp;Y20,IF(Y20&gt;Z20,", "&amp;-Z20,""))</f>
        <v/>
      </c>
      <c r="AU21" s="221"/>
      <c r="AV21" s="236">
        <v>5</v>
      </c>
      <c r="AW21" s="237" t="str">
        <f>VLOOKUP(AV21,$A$4:$L$83,6,FALSE)</f>
        <v>28/Sep-- Table</v>
      </c>
      <c r="AX21" s="238"/>
      <c r="AY21" s="225">
        <f ca="1">VLOOKUP(AY23,$A$4:$L$87,7,FALSE)</f>
        <v>4274</v>
      </c>
      <c r="AZ21" s="226" t="str">
        <f ca="1">IF(AY21=0,0,VLOOKUP(AY21,Inscripciones!$B$1:$I$464,2,FALSE))</f>
        <v>MARÍA PAULA HERNÁNDEZ ZÚÑIGA</v>
      </c>
      <c r="BA21" s="227" t="str">
        <f ca="1">IF(AY21=0,0,VLOOKUP(AY21,Inscripciones!$B$1:$L$364,3,FALSE))</f>
        <v>ESCAZÚ</v>
      </c>
      <c r="BB21" s="222"/>
      <c r="BC21" s="222"/>
      <c r="BD21" s="222"/>
      <c r="BE21" s="222"/>
      <c r="BG21" s="253"/>
      <c r="BJ21" s="253"/>
      <c r="BL21" s="254">
        <f t="shared" si="35"/>
        <v>17</v>
      </c>
      <c r="BM21" s="255" t="str">
        <f>C36</f>
        <v>28/Sep</v>
      </c>
      <c r="BN21" s="255">
        <f>D36</f>
        <v>0</v>
      </c>
      <c r="BO21" s="256">
        <f>E36</f>
        <v>0</v>
      </c>
      <c r="BP21" s="257" t="s">
        <v>95</v>
      </c>
      <c r="BQ21" s="254"/>
      <c r="BR21" s="254">
        <v>33</v>
      </c>
      <c r="BS21" s="258" t="e">
        <f ca="1">VLOOKUP(BY22,Inscripciones!$B$1:$B$364,2,FALSE)</f>
        <v>#REF!</v>
      </c>
      <c r="BT21" s="254"/>
      <c r="BU21" s="258" t="e">
        <f ca="1">VLOOKUP(BZ22,Inscripciones!$B$1:$B$364,2,FALSE)</f>
        <v>#REF!</v>
      </c>
      <c r="BV21" s="254"/>
      <c r="BW21" s="254"/>
      <c r="BY21" s="245">
        <f ca="1">G36</f>
        <v>4159</v>
      </c>
      <c r="BZ21" s="246">
        <f ca="1">H36</f>
        <v>4191</v>
      </c>
      <c r="CA21" s="234" t="str">
        <f>Inscripciones!$B$2</f>
        <v>U13 FEMENINO</v>
      </c>
      <c r="CB21" s="235" t="s">
        <v>113</v>
      </c>
    </row>
    <row r="22" spans="1:80" s="220" customFormat="1" ht="12.75" x14ac:dyDescent="0.25">
      <c r="A22" s="433">
        <v>10</v>
      </c>
      <c r="B22" s="517" t="s">
        <v>99</v>
      </c>
      <c r="C22" s="519" t="s">
        <v>78</v>
      </c>
      <c r="D22" s="519"/>
      <c r="E22" s="513"/>
      <c r="F22" s="521" t="str">
        <f t="shared" ref="F22" si="274">C22&amp;"-"&amp;D22&amp;"- Table"&amp;E22</f>
        <v>28/Sep-- Table</v>
      </c>
      <c r="G22" s="513" t="str">
        <f>'SORTEO 32'!D27</f>
        <v>X</v>
      </c>
      <c r="H22" s="513">
        <f ca="1">'SORTEO 32'!D28</f>
        <v>4673</v>
      </c>
      <c r="I22" s="513" t="str">
        <f>IF(G22=0,0,VLOOKUP(G22,Inscripciones!$B$1:$I$464,2,FALSE))</f>
        <v>BYE</v>
      </c>
      <c r="J22" s="513" t="str">
        <f>IF(G22=0,0,VLOOKUP(G22,Inscripciones!$B$1:$L$364,3,FALSE))</f>
        <v>BYE</v>
      </c>
      <c r="K22" s="513" t="str">
        <f ca="1">IF(I22=0,0,VLOOKUP(H22,Inscripciones!$B$1:$I$464,2,FALSE))</f>
        <v>ALINA CHACON RETANA</v>
      </c>
      <c r="L22" s="513" t="str">
        <f ca="1">IF(I22=0,0,VLOOKUP(H22,Inscripciones!$B$1:$L$364,3,FALSE))</f>
        <v>SAN CARLOS</v>
      </c>
      <c r="M22" s="515">
        <v>0</v>
      </c>
      <c r="N22" s="513">
        <v>11</v>
      </c>
      <c r="O22" s="513"/>
      <c r="P22" s="513"/>
      <c r="Q22" s="513"/>
      <c r="R22" s="513"/>
      <c r="S22" s="513"/>
      <c r="T22" s="513"/>
      <c r="U22" s="513"/>
      <c r="V22" s="513"/>
      <c r="W22" s="513"/>
      <c r="X22" s="513"/>
      <c r="Y22" s="513"/>
      <c r="Z22" s="529"/>
      <c r="AA22" s="452">
        <f t="shared" ref="AA22" si="275">IF(M22+N22&lt;&gt;0,SUM(AF22:AL22),"")</f>
        <v>0</v>
      </c>
      <c r="AB22" s="452">
        <f t="shared" ref="AB22" si="276">IF(M22+N22&lt;&gt;0,SUM(AF23:AL23),"")</f>
        <v>1</v>
      </c>
      <c r="AC22" s="452" t="str">
        <f t="shared" ref="AC22" si="277">IF(AA22&gt;AB22,AD22&amp;"  "&amp;AE22,IF(AB22&gt;AA22,AD22&amp;"  "&amp;AE23,""))</f>
        <v>1 - 0  (0)</v>
      </c>
      <c r="AD22" s="217" t="str">
        <f t="shared" ref="AD22" si="278">IF(AA22&gt;AB22,AA22&amp;" - "&amp;AB22,IF(AB22&gt;AA22,AB22&amp;" - "&amp;AA22,""))</f>
        <v>1 - 0</v>
      </c>
      <c r="AE22" s="217" t="str">
        <f t="shared" si="0"/>
        <v>(0)</v>
      </c>
      <c r="AF22" s="217">
        <f t="shared" ref="AF22" si="279">IF(M22&gt;N22,1,0)</f>
        <v>0</v>
      </c>
      <c r="AG22" s="217">
        <f t="shared" ref="AG22" si="280">IF(O22&gt;P22,1,0)</f>
        <v>0</v>
      </c>
      <c r="AH22" s="217">
        <f t="shared" ref="AH22" si="281">IF(Q22&gt;R22,1,0)</f>
        <v>0</v>
      </c>
      <c r="AI22" s="217">
        <f t="shared" ref="AI22" si="282">IF(S22&gt;T22,1,0)</f>
        <v>0</v>
      </c>
      <c r="AJ22" s="217">
        <f t="shared" ref="AJ22" si="283">IF(U22&gt;V22,1,0)</f>
        <v>0</v>
      </c>
      <c r="AK22" s="217">
        <f t="shared" ref="AK22" si="284">IF(W22&gt;X22,1,0)</f>
        <v>0</v>
      </c>
      <c r="AL22" s="217">
        <f t="shared" ref="AL22" si="285">IF(Y22&gt;Z22,1,0)</f>
        <v>0</v>
      </c>
      <c r="AM22" s="217">
        <f t="shared" ref="AM22" si="286">IF(M22&gt;N22,N22,IF(N22&gt;M22,-M22,""))</f>
        <v>0</v>
      </c>
      <c r="AN22" s="217" t="str">
        <f t="shared" ref="AN22" si="287">IF(O22&gt;P22,", "&amp;P22,IF(P22&gt;O22,", "&amp;-O22,""))</f>
        <v/>
      </c>
      <c r="AO22" s="217" t="str">
        <f t="shared" ref="AO22" si="288">IF(Q22&gt;R22,", "&amp;R22,IF(R22&gt;Q22,", "&amp;-Q22,""))</f>
        <v/>
      </c>
      <c r="AP22" s="217" t="str">
        <f t="shared" ref="AP22" si="289">IF(S22&gt;T22,", "&amp;T22,IF(T22&gt;S22,", "&amp;-S22,""))</f>
        <v/>
      </c>
      <c r="AQ22" s="217" t="str">
        <f t="shared" ref="AQ22" si="290">IF(U22&gt;V22,", "&amp;V22,IF(V22&gt;U22,", "&amp;-U22,""))</f>
        <v/>
      </c>
      <c r="AR22" s="217" t="str">
        <f t="shared" ref="AR22" si="291">IF(W22&gt;X22,", "&amp;X22,IF(X22&gt;W22,", "&amp;-W22,""))</f>
        <v/>
      </c>
      <c r="AS22" s="217" t="str">
        <f t="shared" ref="AS22" si="292">IF(Y22&gt;Z22,", "&amp;Z22,IF(Z22&gt;Y22,", "&amp;-Y22,""))</f>
        <v/>
      </c>
      <c r="AU22" s="224">
        <f>1+AU20</f>
        <v>10</v>
      </c>
      <c r="AV22" s="247" t="str">
        <f>VLOOKUP(AV21,$A$4:$L$83,8,FALSE)</f>
        <v>X</v>
      </c>
      <c r="AW22" s="247" t="str">
        <f>IF(AV22=0,0,VLOOKUP(AV22,Inscripciones!$B$1:$I$464,2,FALSE))</f>
        <v>BYE</v>
      </c>
      <c r="AX22" s="248" t="str">
        <f>IF(AV22=0,0,VLOOKUP(AV22,Inscripciones!$B$1:$L$364,3,FALSE))</f>
        <v>BYE</v>
      </c>
      <c r="AY22" s="222"/>
      <c r="AZ22" s="222"/>
      <c r="BA22" s="249"/>
      <c r="BB22" s="228"/>
      <c r="BC22" s="229" t="str">
        <f>VLOOKUP(AY23,$A$4:$AD$83,29,FALSE)</f>
        <v>2 - 0  (7, 3)</v>
      </c>
      <c r="BD22" s="228"/>
      <c r="BE22" s="222"/>
      <c r="BG22" s="253"/>
      <c r="BJ22" s="253"/>
      <c r="BL22" s="254">
        <f t="shared" si="35"/>
        <v>18</v>
      </c>
      <c r="BM22" s="255" t="str">
        <f>C38</f>
        <v>28/Sep</v>
      </c>
      <c r="BN22" s="255">
        <f>D38</f>
        <v>0</v>
      </c>
      <c r="BO22" s="256">
        <f>E38</f>
        <v>0</v>
      </c>
      <c r="BP22" s="257" t="s">
        <v>95</v>
      </c>
      <c r="BQ22" s="254"/>
      <c r="BR22" s="254">
        <v>34</v>
      </c>
      <c r="BS22" s="258" t="e">
        <f ca="1">VLOOKUP(BY23,Inscripciones!$B$1:$B$364,2,FALSE)</f>
        <v>#REF!</v>
      </c>
      <c r="BT22" s="254"/>
      <c r="BU22" s="258" t="e">
        <f ca="1">VLOOKUP(BZ23,Inscripciones!$B$1:$B$364,2,FALSE)</f>
        <v>#REF!</v>
      </c>
      <c r="BV22" s="254"/>
      <c r="BW22" s="254"/>
      <c r="BY22" s="245">
        <f ca="1">G38</f>
        <v>3912</v>
      </c>
      <c r="BZ22" s="246">
        <f ca="1">H38</f>
        <v>4100</v>
      </c>
      <c r="CA22" s="234" t="str">
        <f>Inscripciones!$B$2</f>
        <v>U13 FEMENINO</v>
      </c>
      <c r="CB22" s="235" t="s">
        <v>114</v>
      </c>
    </row>
    <row r="23" spans="1:80" s="220" customFormat="1" ht="12.75" x14ac:dyDescent="0.25">
      <c r="A23" s="433"/>
      <c r="B23" s="518"/>
      <c r="C23" s="520"/>
      <c r="D23" s="520"/>
      <c r="E23" s="514"/>
      <c r="F23" s="522"/>
      <c r="G23" s="514"/>
      <c r="H23" s="514"/>
      <c r="I23" s="514">
        <v>0</v>
      </c>
      <c r="J23" s="514">
        <v>0</v>
      </c>
      <c r="K23" s="514">
        <v>0</v>
      </c>
      <c r="L23" s="514">
        <v>0</v>
      </c>
      <c r="M23" s="516"/>
      <c r="N23" s="514"/>
      <c r="O23" s="514"/>
      <c r="P23" s="514"/>
      <c r="Q23" s="514"/>
      <c r="R23" s="514"/>
      <c r="S23" s="514"/>
      <c r="T23" s="514"/>
      <c r="U23" s="514"/>
      <c r="V23" s="514"/>
      <c r="W23" s="514"/>
      <c r="X23" s="514"/>
      <c r="Y23" s="514"/>
      <c r="Z23" s="530"/>
      <c r="AA23" s="452"/>
      <c r="AB23" s="452"/>
      <c r="AC23" s="452"/>
      <c r="AD23" s="217" t="str">
        <f t="shared" ref="AD23" si="293">IF(AA22&gt;AB22,AD22&amp;"  "&amp;AE22,IF(AB22&gt;AA22,AD22&amp;"  "&amp;AE23,""))</f>
        <v>1 - 0  (0)</v>
      </c>
      <c r="AE23" s="217" t="str">
        <f t="shared" si="0"/>
        <v>(0)</v>
      </c>
      <c r="AF23" s="217">
        <f t="shared" ref="AF23" si="294">IF(N22&gt;M22,1,0)</f>
        <v>1</v>
      </c>
      <c r="AG23" s="217">
        <f t="shared" ref="AG23" si="295">IF(P22&gt;O22,1,0)</f>
        <v>0</v>
      </c>
      <c r="AH23" s="217">
        <f t="shared" ref="AH23" si="296">IF(R22&gt;Q22,1,0)</f>
        <v>0</v>
      </c>
      <c r="AI23" s="217">
        <f t="shared" ref="AI23" si="297">IF(T22&gt;S22,1,0)</f>
        <v>0</v>
      </c>
      <c r="AJ23" s="217">
        <f t="shared" ref="AJ23" si="298">IF(V22&gt;U22,1,0)</f>
        <v>0</v>
      </c>
      <c r="AK23" s="217">
        <f t="shared" ref="AK23" si="299">IF(X22&gt;W22,1,0)</f>
        <v>0</v>
      </c>
      <c r="AL23" s="217">
        <f t="shared" ref="AL23" si="300">IF(Z22&gt;Y22,1,0)</f>
        <v>0</v>
      </c>
      <c r="AM23" s="217">
        <f t="shared" ref="AM23" si="301">IF(N22&gt;M22,M22,IF(M22&gt;N22,-N22,""))</f>
        <v>0</v>
      </c>
      <c r="AN23" s="217" t="str">
        <f t="shared" ref="AN23" si="302">IF(P22&gt;O22,", "&amp;O22,IF(O22&gt;P22,", "&amp;-P22,""))</f>
        <v/>
      </c>
      <c r="AO23" s="217" t="str">
        <f t="shared" ref="AO23" si="303">IF(R22&gt;Q22,", "&amp;Q22,IF(Q22&gt;R22,", "&amp;-R22,""))</f>
        <v/>
      </c>
      <c r="AP23" s="217" t="str">
        <f t="shared" ref="AP23" si="304">IF(T22&gt;S22,", "&amp;S22,IF(S22&gt;T22,", "&amp;-T22,""))</f>
        <v/>
      </c>
      <c r="AQ23" s="217" t="str">
        <f t="shared" ref="AQ23" si="305">IF(V22&gt;U22,", "&amp;U22,IF(U22&gt;V22,", "&amp;-V22,""))</f>
        <v/>
      </c>
      <c r="AR23" s="217" t="str">
        <f t="shared" ref="AR23" si="306">IF(X22&gt;W22,", "&amp;W22,IF(W22&gt;X22,", "&amp;-X22,""))</f>
        <v/>
      </c>
      <c r="AS23" s="217" t="str">
        <f t="shared" ref="AS23" si="307">IF(Z22&gt;Y22,", "&amp;Y22,IF(Y22&gt;Z22,", "&amp;-Z22,""))</f>
        <v/>
      </c>
      <c r="AU23" s="221"/>
      <c r="AV23" s="222"/>
      <c r="AW23" s="222"/>
      <c r="AX23" s="250"/>
      <c r="AY23" s="236">
        <v>19</v>
      </c>
      <c r="AZ23" s="237" t="str">
        <f>VLOOKUP(AY23,$A$4:$L$83,6,FALSE)</f>
        <v>28/Sep-- Table</v>
      </c>
      <c r="BA23" s="251"/>
      <c r="BB23" s="225">
        <f ca="1">VLOOKUP(BB27,$A$4:$L$87,7,FALSE)</f>
        <v>4274</v>
      </c>
      <c r="BC23" s="226" t="str">
        <f ca="1">IF(BB23=0,0,VLOOKUP(BB23,Inscripciones!$B$1:$I$464,2,FALSE))</f>
        <v>MARÍA PAULA HERNÁNDEZ ZÚÑIGA</v>
      </c>
      <c r="BD23" s="227" t="str">
        <f ca="1">IF(BB23=0,0,VLOOKUP(BB23,Inscripciones!$B$1:$L$364,3,FALSE))</f>
        <v>ESCAZÚ</v>
      </c>
      <c r="BE23" s="222"/>
      <c r="BG23" s="253"/>
      <c r="BJ23" s="253"/>
      <c r="BL23" s="254">
        <f t="shared" si="35"/>
        <v>19</v>
      </c>
      <c r="BM23" s="255" t="str">
        <f>C40</f>
        <v>28/Sep</v>
      </c>
      <c r="BN23" s="255">
        <f>D40</f>
        <v>0</v>
      </c>
      <c r="BO23" s="256">
        <f>E40</f>
        <v>0</v>
      </c>
      <c r="BP23" s="257" t="s">
        <v>95</v>
      </c>
      <c r="BQ23" s="254"/>
      <c r="BR23" s="254">
        <v>35</v>
      </c>
      <c r="BS23" s="258" t="e">
        <f ca="1">VLOOKUP(BY24,Inscripciones!$B$1:$B$364,2,FALSE)</f>
        <v>#REF!</v>
      </c>
      <c r="BT23" s="254"/>
      <c r="BU23" s="258" t="e">
        <f ca="1">VLOOKUP(BZ24,Inscripciones!$B$1:$B$364,2,FALSE)</f>
        <v>#REF!</v>
      </c>
      <c r="BV23" s="254"/>
      <c r="BW23" s="254"/>
      <c r="BY23" s="245">
        <f ca="1">G40</f>
        <v>4274</v>
      </c>
      <c r="BZ23" s="246">
        <f ca="1">H40</f>
        <v>3907</v>
      </c>
      <c r="CA23" s="234" t="str">
        <f>Inscripciones!$B$2</f>
        <v>U13 FEMENINO</v>
      </c>
      <c r="CB23" s="235" t="s">
        <v>115</v>
      </c>
    </row>
    <row r="24" spans="1:80" s="220" customFormat="1" ht="12.75" x14ac:dyDescent="0.25">
      <c r="A24" s="433">
        <v>11</v>
      </c>
      <c r="B24" s="533" t="s">
        <v>99</v>
      </c>
      <c r="C24" s="535" t="s">
        <v>78</v>
      </c>
      <c r="D24" s="535"/>
      <c r="E24" s="523"/>
      <c r="F24" s="527" t="str">
        <f t="shared" ref="F24" si="308">C24&amp;"-"&amp;D24&amp;"- Table"&amp;E24</f>
        <v>28/Sep-- Table</v>
      </c>
      <c r="G24" s="523">
        <f ca="1">'SORTEO 32'!D29</f>
        <v>4276</v>
      </c>
      <c r="H24" s="523" t="str">
        <f>'SORTEO 32'!D30</f>
        <v>X</v>
      </c>
      <c r="I24" s="523" t="str">
        <f ca="1">IF(G24=0,0,VLOOKUP(G24,Inscripciones!$B$1:$I$464,2,FALSE))</f>
        <v>SILOÉ MUÑOZ CÓRDOBA</v>
      </c>
      <c r="J24" s="523" t="str">
        <f ca="1">IF(G24=0,0,VLOOKUP(G24,Inscripciones!$B$1:$L$364,3,FALSE))</f>
        <v>ESPARZA</v>
      </c>
      <c r="K24" s="523" t="str">
        <f ca="1">IF(I24=0,0,VLOOKUP(H24,Inscripciones!$B$1:$I$464,2,FALSE))</f>
        <v>BYE</v>
      </c>
      <c r="L24" s="523" t="str">
        <f ca="1">IF(I24=0,0,VLOOKUP(H24,Inscripciones!$B$1:$L$364,3,FALSE))</f>
        <v>BYE</v>
      </c>
      <c r="M24" s="531">
        <v>11</v>
      </c>
      <c r="N24" s="523">
        <v>0</v>
      </c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5"/>
      <c r="AA24" s="452">
        <f t="shared" ref="AA24" si="309">IF(M24+N24&lt;&gt;0,SUM(AF24:AL24),"")</f>
        <v>1</v>
      </c>
      <c r="AB24" s="452">
        <f t="shared" ref="AB24" si="310">IF(M24+N24&lt;&gt;0,SUM(AF25:AL25),"")</f>
        <v>0</v>
      </c>
      <c r="AC24" s="452" t="str">
        <f t="shared" ref="AC24" si="311">IF(AA24&gt;AB24,AD24&amp;"  "&amp;AE24,IF(AB24&gt;AA24,AD24&amp;"  "&amp;AE25,""))</f>
        <v>1 - 0  (0)</v>
      </c>
      <c r="AD24" s="217" t="str">
        <f t="shared" ref="AD24" si="312">IF(AA24&gt;AB24,AA24&amp;" - "&amp;AB24,IF(AB24&gt;AA24,AB24&amp;" - "&amp;AA24,""))</f>
        <v>1 - 0</v>
      </c>
      <c r="AE24" s="217" t="str">
        <f t="shared" si="0"/>
        <v>(0)</v>
      </c>
      <c r="AF24" s="217">
        <f t="shared" ref="AF24" si="313">IF(M24&gt;N24,1,0)</f>
        <v>1</v>
      </c>
      <c r="AG24" s="217">
        <f t="shared" ref="AG24" si="314">IF(O24&gt;P24,1,0)</f>
        <v>0</v>
      </c>
      <c r="AH24" s="217">
        <f t="shared" ref="AH24" si="315">IF(Q24&gt;R24,1,0)</f>
        <v>0</v>
      </c>
      <c r="AI24" s="217">
        <f t="shared" ref="AI24" si="316">IF(S24&gt;T24,1,0)</f>
        <v>0</v>
      </c>
      <c r="AJ24" s="217">
        <f t="shared" ref="AJ24" si="317">IF(U24&gt;V24,1,0)</f>
        <v>0</v>
      </c>
      <c r="AK24" s="217">
        <f t="shared" ref="AK24" si="318">IF(W24&gt;X24,1,0)</f>
        <v>0</v>
      </c>
      <c r="AL24" s="217">
        <f t="shared" ref="AL24" si="319">IF(Y24&gt;Z24,1,0)</f>
        <v>0</v>
      </c>
      <c r="AM24" s="217">
        <f t="shared" ref="AM24" si="320">IF(M24&gt;N24,N24,IF(N24&gt;M24,-M24,""))</f>
        <v>0</v>
      </c>
      <c r="AN24" s="217" t="str">
        <f t="shared" ref="AN24" si="321">IF(O24&gt;P24,", "&amp;P24,IF(P24&gt;O24,", "&amp;-O24,""))</f>
        <v/>
      </c>
      <c r="AO24" s="217" t="str">
        <f t="shared" ref="AO24" si="322">IF(Q24&gt;R24,", "&amp;R24,IF(R24&gt;Q24,", "&amp;-Q24,""))</f>
        <v/>
      </c>
      <c r="AP24" s="217" t="str">
        <f t="shared" ref="AP24" si="323">IF(S24&gt;T24,", "&amp;T24,IF(T24&gt;S24,", "&amp;-S24,""))</f>
        <v/>
      </c>
      <c r="AQ24" s="217" t="str">
        <f t="shared" ref="AQ24" si="324">IF(U24&gt;V24,", "&amp;V24,IF(V24&gt;U24,", "&amp;-U24,""))</f>
        <v/>
      </c>
      <c r="AR24" s="217" t="str">
        <f t="shared" ref="AR24" si="325">IF(W24&gt;X24,", "&amp;X24,IF(X24&gt;W24,", "&amp;-W24,""))</f>
        <v/>
      </c>
      <c r="AS24" s="217" t="str">
        <f t="shared" ref="AS24" si="326">IF(Y24&gt;Z24,", "&amp;Z24,IF(Z24&gt;Y24,", "&amp;-Y24,""))</f>
        <v/>
      </c>
      <c r="AU24" s="224">
        <f>1+AU22</f>
        <v>11</v>
      </c>
      <c r="AV24" s="225" t="str">
        <f>VLOOKUP(AV25,$A$4:$L$83,7,FALSE)</f>
        <v>X</v>
      </c>
      <c r="AW24" s="226" t="str">
        <f>IF(AV24=0,0,VLOOKUP(AV24,Inscripciones!$B$1:$I$464,2,FALSE))</f>
        <v>BYE</v>
      </c>
      <c r="AX24" s="227" t="str">
        <f>IF(AV24=0,0,VLOOKUP(AV24,Inscripciones!$B$1:$L$364,3,FALSE))</f>
        <v>BYE</v>
      </c>
      <c r="AY24" s="252"/>
      <c r="AZ24" s="222"/>
      <c r="BA24" s="249"/>
      <c r="BB24" s="222"/>
      <c r="BC24" s="222"/>
      <c r="BD24" s="249"/>
      <c r="BE24" s="222"/>
      <c r="BG24" s="253"/>
      <c r="BJ24" s="253"/>
      <c r="BL24" s="254">
        <f t="shared" si="35"/>
        <v>20</v>
      </c>
      <c r="BM24" s="255" t="str">
        <f>C42</f>
        <v>28/Sep</v>
      </c>
      <c r="BN24" s="255">
        <f>D42</f>
        <v>0</v>
      </c>
      <c r="BO24" s="256">
        <f>E42</f>
        <v>0</v>
      </c>
      <c r="BP24" s="257" t="s">
        <v>95</v>
      </c>
      <c r="BQ24" s="254"/>
      <c r="BR24" s="254">
        <v>36</v>
      </c>
      <c r="BS24" s="258" t="e">
        <f ca="1">VLOOKUP(BY25,Inscripciones!$B$1:$B$364,2,FALSE)</f>
        <v>#REF!</v>
      </c>
      <c r="BT24" s="254"/>
      <c r="BU24" s="258" t="e">
        <f ca="1">VLOOKUP(BZ25,Inscripciones!$B$1:$B$364,2,FALSE)</f>
        <v>#REF!</v>
      </c>
      <c r="BV24" s="254"/>
      <c r="BW24" s="254"/>
      <c r="BY24" s="245">
        <f ca="1">G42</f>
        <v>4348</v>
      </c>
      <c r="BZ24" s="246">
        <f ca="1">H42</f>
        <v>4176</v>
      </c>
      <c r="CA24" s="234" t="str">
        <f>Inscripciones!$B$2</f>
        <v>U13 FEMENINO</v>
      </c>
      <c r="CB24" s="235" t="s">
        <v>116</v>
      </c>
    </row>
    <row r="25" spans="1:80" s="220" customFormat="1" ht="12.75" x14ac:dyDescent="0.25">
      <c r="A25" s="433"/>
      <c r="B25" s="534"/>
      <c r="C25" s="536"/>
      <c r="D25" s="536"/>
      <c r="E25" s="524"/>
      <c r="F25" s="528"/>
      <c r="G25" s="524"/>
      <c r="H25" s="524"/>
      <c r="I25" s="524">
        <v>0</v>
      </c>
      <c r="J25" s="524">
        <v>0</v>
      </c>
      <c r="K25" s="524">
        <v>0</v>
      </c>
      <c r="L25" s="524">
        <v>0</v>
      </c>
      <c r="M25" s="532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6"/>
      <c r="AA25" s="452"/>
      <c r="AB25" s="452"/>
      <c r="AC25" s="452"/>
      <c r="AD25" s="217" t="str">
        <f t="shared" ref="AD25" si="327">IF(AA24&gt;AB24,AD24&amp;"  "&amp;AE24,IF(AB24&gt;AA24,AD24&amp;"  "&amp;AE25,""))</f>
        <v>1 - 0  (0)</v>
      </c>
      <c r="AE25" s="217" t="str">
        <f t="shared" si="0"/>
        <v>(0)</v>
      </c>
      <c r="AF25" s="217">
        <f t="shared" ref="AF25" si="328">IF(N24&gt;M24,1,0)</f>
        <v>0</v>
      </c>
      <c r="AG25" s="217">
        <f t="shared" ref="AG25" si="329">IF(P24&gt;O24,1,0)</f>
        <v>0</v>
      </c>
      <c r="AH25" s="217">
        <f t="shared" ref="AH25" si="330">IF(R24&gt;Q24,1,0)</f>
        <v>0</v>
      </c>
      <c r="AI25" s="217">
        <f t="shared" ref="AI25" si="331">IF(T24&gt;S24,1,0)</f>
        <v>0</v>
      </c>
      <c r="AJ25" s="217">
        <f t="shared" ref="AJ25" si="332">IF(V24&gt;U24,1,0)</f>
        <v>0</v>
      </c>
      <c r="AK25" s="217">
        <f t="shared" ref="AK25" si="333">IF(X24&gt;W24,1,0)</f>
        <v>0</v>
      </c>
      <c r="AL25" s="217">
        <f t="shared" ref="AL25" si="334">IF(Z24&gt;Y24,1,0)</f>
        <v>0</v>
      </c>
      <c r="AM25" s="217">
        <f t="shared" ref="AM25" si="335">IF(N24&gt;M24,M24,IF(M24&gt;N24,-N24,""))</f>
        <v>0</v>
      </c>
      <c r="AN25" s="217" t="str">
        <f t="shared" ref="AN25" si="336">IF(P24&gt;O24,", "&amp;O24,IF(O24&gt;P24,", "&amp;-P24,""))</f>
        <v/>
      </c>
      <c r="AO25" s="217" t="str">
        <f t="shared" ref="AO25" si="337">IF(R24&gt;Q24,", "&amp;Q24,IF(Q24&gt;R24,", "&amp;-R24,""))</f>
        <v/>
      </c>
      <c r="AP25" s="217" t="str">
        <f t="shared" ref="AP25" si="338">IF(T24&gt;S24,", "&amp;S24,IF(S24&gt;T24,", "&amp;-T24,""))</f>
        <v/>
      </c>
      <c r="AQ25" s="217" t="str">
        <f t="shared" ref="AQ25" si="339">IF(V24&gt;U24,", "&amp;U24,IF(U24&gt;V24,", "&amp;-V24,""))</f>
        <v/>
      </c>
      <c r="AR25" s="217" t="str">
        <f t="shared" ref="AR25" si="340">IF(X24&gt;W24,", "&amp;W24,IF(W24&gt;X24,", "&amp;-X24,""))</f>
        <v/>
      </c>
      <c r="AS25" s="217" t="str">
        <f t="shared" ref="AS25" si="341">IF(Z24&gt;Y24,", "&amp;Y24,IF(Y24&gt;Z24,", "&amp;-Z24,""))</f>
        <v/>
      </c>
      <c r="AU25" s="221"/>
      <c r="AV25" s="236">
        <v>6</v>
      </c>
      <c r="AW25" s="237" t="str">
        <f>VLOOKUP(AV25,$A$4:$L$83,6,FALSE)</f>
        <v>28/Sep-- Table</v>
      </c>
      <c r="AX25" s="238"/>
      <c r="AY25" s="247">
        <f ca="1">VLOOKUP(AY23,$A$4:$L$87,8,FALSE)</f>
        <v>3907</v>
      </c>
      <c r="AZ25" s="247" t="str">
        <f ca="1">IF(AY25=0,0,VLOOKUP(AY25,Inscripciones!$B$1:$I$464,2,FALSE))</f>
        <v>LUCIANA CASCANTE BARBOZA</v>
      </c>
      <c r="BA25" s="248" t="str">
        <f ca="1">IF(AY25=0,0,VLOOKUP(AY25,Inscripciones!$B$1:$L$364,3,FALSE))</f>
        <v>ASERRÍ</v>
      </c>
      <c r="BB25" s="222"/>
      <c r="BC25" s="222"/>
      <c r="BD25" s="249"/>
      <c r="BE25" s="222"/>
      <c r="BG25" s="253"/>
      <c r="BJ25" s="253"/>
      <c r="BL25" s="254">
        <f t="shared" si="35"/>
        <v>21</v>
      </c>
      <c r="BM25" s="255" t="str">
        <f>C44</f>
        <v>28/Sep</v>
      </c>
      <c r="BN25" s="255">
        <f>D44</f>
        <v>0</v>
      </c>
      <c r="BO25" s="256">
        <f>E44</f>
        <v>0</v>
      </c>
      <c r="BP25" s="257" t="s">
        <v>95</v>
      </c>
      <c r="BQ25" s="254"/>
      <c r="BR25" s="254">
        <v>37</v>
      </c>
      <c r="BS25" s="258" t="e">
        <f ca="1">VLOOKUP(BY26,Inscripciones!$B$1:$B$364,2,FALSE)</f>
        <v>#REF!</v>
      </c>
      <c r="BT25" s="254"/>
      <c r="BU25" s="258" t="e">
        <f ca="1">VLOOKUP(BZ26,Inscripciones!$B$1:$B$364,2,FALSE)</f>
        <v>#REF!</v>
      </c>
      <c r="BV25" s="254"/>
      <c r="BW25" s="254"/>
      <c r="BY25" s="245">
        <f ca="1">G44</f>
        <v>3918</v>
      </c>
      <c r="BZ25" s="246">
        <f ca="1">H44</f>
        <v>4673</v>
      </c>
      <c r="CA25" s="234" t="str">
        <f>Inscripciones!$B$2</f>
        <v>U13 FEMENINO</v>
      </c>
      <c r="CB25" s="235" t="s">
        <v>117</v>
      </c>
    </row>
    <row r="26" spans="1:80" s="220" customFormat="1" ht="12.75" x14ac:dyDescent="0.25">
      <c r="A26" s="433">
        <v>12</v>
      </c>
      <c r="B26" s="517" t="s">
        <v>99</v>
      </c>
      <c r="C26" s="519" t="s">
        <v>78</v>
      </c>
      <c r="D26" s="519"/>
      <c r="E26" s="513"/>
      <c r="F26" s="521" t="str">
        <f t="shared" ref="F26" si="342">C26&amp;"-"&amp;D26&amp;"- Table"&amp;E26</f>
        <v>28/Sep-- Table</v>
      </c>
      <c r="G26" s="513" t="str">
        <f>'SORTEO 32'!D31</f>
        <v>X</v>
      </c>
      <c r="H26" s="513">
        <f ca="1">'SORTEO 32'!D32</f>
        <v>4183</v>
      </c>
      <c r="I26" s="513" t="str">
        <f>IF(G26=0,0,VLOOKUP(G26,Inscripciones!$B$1:$I$464,2,FALSE))</f>
        <v>BYE</v>
      </c>
      <c r="J26" s="513" t="str">
        <f>IF(G26=0,0,VLOOKUP(G26,Inscripciones!$B$1:$L$364,3,FALSE))</f>
        <v>BYE</v>
      </c>
      <c r="K26" s="513" t="str">
        <f ca="1">IF(I26=0,0,VLOOKUP(H26,Inscripciones!$B$1:$I$464,2,FALSE))</f>
        <v>MONSERRAT RODRÍGUEZ SOLÍS</v>
      </c>
      <c r="L26" s="513" t="str">
        <f ca="1">IF(I26=0,0,VLOOKUP(H26,Inscripciones!$B$1:$L$364,3,FALSE))</f>
        <v>SAN CARLOS</v>
      </c>
      <c r="M26" s="515">
        <v>0</v>
      </c>
      <c r="N26" s="513">
        <v>11</v>
      </c>
      <c r="O26" s="513"/>
      <c r="P26" s="513"/>
      <c r="Q26" s="513"/>
      <c r="R26" s="513"/>
      <c r="S26" s="513"/>
      <c r="T26" s="513"/>
      <c r="U26" s="513"/>
      <c r="V26" s="513"/>
      <c r="W26" s="513"/>
      <c r="X26" s="513"/>
      <c r="Y26" s="513"/>
      <c r="Z26" s="529"/>
      <c r="AA26" s="452">
        <f t="shared" ref="AA26" si="343">IF(M26+N26&lt;&gt;0,SUM(AF26:AL26),"")</f>
        <v>0</v>
      </c>
      <c r="AB26" s="452">
        <f t="shared" ref="AB26" si="344">IF(M26+N26&lt;&gt;0,SUM(AF27:AL27),"")</f>
        <v>1</v>
      </c>
      <c r="AC26" s="452" t="str">
        <f t="shared" ref="AC26" si="345">IF(AA26&gt;AB26,AD26&amp;"  "&amp;AE26,IF(AB26&gt;AA26,AD26&amp;"  "&amp;AE27,""))</f>
        <v>1 - 0  (0)</v>
      </c>
      <c r="AD26" s="217" t="str">
        <f t="shared" ref="AD26" si="346">IF(AA26&gt;AB26,AA26&amp;" - "&amp;AB26,IF(AB26&gt;AA26,AB26&amp;" - "&amp;AA26,""))</f>
        <v>1 - 0</v>
      </c>
      <c r="AE26" s="217" t="str">
        <f t="shared" si="0"/>
        <v>(0)</v>
      </c>
      <c r="AF26" s="217">
        <f t="shared" ref="AF26" si="347">IF(M26&gt;N26,1,0)</f>
        <v>0</v>
      </c>
      <c r="AG26" s="217">
        <f t="shared" ref="AG26" si="348">IF(O26&gt;P26,1,0)</f>
        <v>0</v>
      </c>
      <c r="AH26" s="217">
        <f t="shared" ref="AH26" si="349">IF(Q26&gt;R26,1,0)</f>
        <v>0</v>
      </c>
      <c r="AI26" s="217">
        <f t="shared" ref="AI26" si="350">IF(S26&gt;T26,1,0)</f>
        <v>0</v>
      </c>
      <c r="AJ26" s="217">
        <f t="shared" ref="AJ26" si="351">IF(U26&gt;V26,1,0)</f>
        <v>0</v>
      </c>
      <c r="AK26" s="217">
        <f t="shared" ref="AK26" si="352">IF(W26&gt;X26,1,0)</f>
        <v>0</v>
      </c>
      <c r="AL26" s="217">
        <f t="shared" ref="AL26" si="353">IF(Y26&gt;Z26,1,0)</f>
        <v>0</v>
      </c>
      <c r="AM26" s="217">
        <f t="shared" ref="AM26" si="354">IF(M26&gt;N26,N26,IF(N26&gt;M26,-M26,""))</f>
        <v>0</v>
      </c>
      <c r="AN26" s="217" t="str">
        <f t="shared" ref="AN26" si="355">IF(O26&gt;P26,", "&amp;P26,IF(P26&gt;O26,", "&amp;-O26,""))</f>
        <v/>
      </c>
      <c r="AO26" s="217" t="str">
        <f t="shared" ref="AO26" si="356">IF(Q26&gt;R26,", "&amp;R26,IF(R26&gt;Q26,", "&amp;-Q26,""))</f>
        <v/>
      </c>
      <c r="AP26" s="217" t="str">
        <f t="shared" ref="AP26" si="357">IF(S26&gt;T26,", "&amp;T26,IF(T26&gt;S26,", "&amp;-S26,""))</f>
        <v/>
      </c>
      <c r="AQ26" s="217" t="str">
        <f t="shared" ref="AQ26" si="358">IF(U26&gt;V26,", "&amp;V26,IF(V26&gt;U26,", "&amp;-U26,""))</f>
        <v/>
      </c>
      <c r="AR26" s="217" t="str">
        <f t="shared" ref="AR26" si="359">IF(W26&gt;X26,", "&amp;X26,IF(X26&gt;W26,", "&amp;-W26,""))</f>
        <v/>
      </c>
      <c r="AS26" s="217" t="str">
        <f t="shared" ref="AS26" si="360">IF(Y26&gt;Z26,", "&amp;Z26,IF(Z26&gt;Y26,", "&amp;-Y26,""))</f>
        <v/>
      </c>
      <c r="AU26" s="224">
        <f>1+AU24</f>
        <v>12</v>
      </c>
      <c r="AV26" s="247">
        <f ca="1">VLOOKUP(AV25,$A$4:$L$83,8,FALSE)</f>
        <v>3907</v>
      </c>
      <c r="AW26" s="247" t="str">
        <f ca="1">IF(AV26=0,0,VLOOKUP(AV26,Inscripciones!$B$1:$I$464,2,FALSE))</f>
        <v>LUCIANA CASCANTE BARBOZA</v>
      </c>
      <c r="AX26" s="248" t="str">
        <f ca="1">IF(AV26=0,0,VLOOKUP(AV26,Inscripciones!$B$1:$L$364,3,FALSE))</f>
        <v>ASERRÍ</v>
      </c>
      <c r="AY26" s="228"/>
      <c r="AZ26" s="229" t="str">
        <f>VLOOKUP(AV25,$A$4:$AD$87,29,FALSE)</f>
        <v>1 - 0  (0)</v>
      </c>
      <c r="BA26" s="228"/>
      <c r="BB26" s="222"/>
      <c r="BC26" s="222"/>
      <c r="BD26" s="249"/>
      <c r="BE26" s="222"/>
      <c r="BG26" s="253"/>
      <c r="BJ26" s="253"/>
      <c r="BL26" s="254">
        <f t="shared" si="35"/>
        <v>22</v>
      </c>
      <c r="BM26" s="255" t="str">
        <f>C46</f>
        <v>28/Sep</v>
      </c>
      <c r="BN26" s="255">
        <f>D46</f>
        <v>0</v>
      </c>
      <c r="BO26" s="256">
        <f>E46</f>
        <v>0</v>
      </c>
      <c r="BP26" s="257" t="s">
        <v>95</v>
      </c>
      <c r="BQ26" s="254"/>
      <c r="BR26" s="254">
        <v>38</v>
      </c>
      <c r="BS26" s="258" t="e">
        <f ca="1">VLOOKUP(BY27,Inscripciones!$B$1:$B$364,2,FALSE)</f>
        <v>#REF!</v>
      </c>
      <c r="BT26" s="254"/>
      <c r="BU26" s="258" t="e">
        <f ca="1">VLOOKUP(BZ27,Inscripciones!$B$1:$B$364,2,FALSE)</f>
        <v>#REF!</v>
      </c>
      <c r="BV26" s="254"/>
      <c r="BW26" s="254"/>
      <c r="BY26" s="245">
        <f ca="1">G46</f>
        <v>4276</v>
      </c>
      <c r="BZ26" s="246">
        <f ca="1">H46</f>
        <v>4183</v>
      </c>
      <c r="CA26" s="234" t="str">
        <f>Inscripciones!$B$2</f>
        <v>U13 FEMENINO</v>
      </c>
      <c r="CB26" s="235" t="s">
        <v>118</v>
      </c>
    </row>
    <row r="27" spans="1:80" s="220" customFormat="1" ht="12.75" x14ac:dyDescent="0.25">
      <c r="A27" s="433"/>
      <c r="B27" s="518"/>
      <c r="C27" s="520"/>
      <c r="D27" s="520"/>
      <c r="E27" s="514"/>
      <c r="F27" s="522"/>
      <c r="G27" s="514"/>
      <c r="H27" s="514"/>
      <c r="I27" s="514">
        <v>0</v>
      </c>
      <c r="J27" s="514">
        <v>0</v>
      </c>
      <c r="K27" s="514">
        <v>0</v>
      </c>
      <c r="L27" s="514">
        <v>0</v>
      </c>
      <c r="M27" s="516"/>
      <c r="N27" s="514"/>
      <c r="O27" s="514"/>
      <c r="P27" s="514"/>
      <c r="Q27" s="514"/>
      <c r="R27" s="514"/>
      <c r="S27" s="514"/>
      <c r="T27" s="514"/>
      <c r="U27" s="514"/>
      <c r="V27" s="514"/>
      <c r="W27" s="514"/>
      <c r="X27" s="514"/>
      <c r="Y27" s="514"/>
      <c r="Z27" s="530"/>
      <c r="AA27" s="452"/>
      <c r="AB27" s="452"/>
      <c r="AC27" s="452"/>
      <c r="AD27" s="217" t="str">
        <f t="shared" ref="AD27" si="361">IF(AA26&gt;AB26,AD26&amp;"  "&amp;AE26,IF(AB26&gt;AA26,AD26&amp;"  "&amp;AE27,""))</f>
        <v>1 - 0  (0)</v>
      </c>
      <c r="AE27" s="217" t="str">
        <f t="shared" si="0"/>
        <v>(0)</v>
      </c>
      <c r="AF27" s="217">
        <f t="shared" ref="AF27" si="362">IF(N26&gt;M26,1,0)</f>
        <v>1</v>
      </c>
      <c r="AG27" s="217">
        <f t="shared" ref="AG27" si="363">IF(P26&gt;O26,1,0)</f>
        <v>0</v>
      </c>
      <c r="AH27" s="217">
        <f t="shared" ref="AH27" si="364">IF(R26&gt;Q26,1,0)</f>
        <v>0</v>
      </c>
      <c r="AI27" s="217">
        <f t="shared" ref="AI27" si="365">IF(T26&gt;S26,1,0)</f>
        <v>0</v>
      </c>
      <c r="AJ27" s="217">
        <f t="shared" ref="AJ27" si="366">IF(V26&gt;U26,1,0)</f>
        <v>0</v>
      </c>
      <c r="AK27" s="217">
        <f t="shared" ref="AK27" si="367">IF(X26&gt;W26,1,0)</f>
        <v>0</v>
      </c>
      <c r="AL27" s="217">
        <f t="shared" ref="AL27" si="368">IF(Z26&gt;Y26,1,0)</f>
        <v>0</v>
      </c>
      <c r="AM27" s="217">
        <f t="shared" ref="AM27" si="369">IF(N26&gt;M26,M26,IF(M26&gt;N26,-N26,""))</f>
        <v>0</v>
      </c>
      <c r="AN27" s="217" t="str">
        <f t="shared" ref="AN27" si="370">IF(P26&gt;O26,", "&amp;O26,IF(O26&gt;P26,", "&amp;-P26,""))</f>
        <v/>
      </c>
      <c r="AO27" s="217" t="str">
        <f t="shared" ref="AO27" si="371">IF(R26&gt;Q26,", "&amp;Q26,IF(Q26&gt;R26,", "&amp;-R26,""))</f>
        <v/>
      </c>
      <c r="AP27" s="217" t="str">
        <f t="shared" ref="AP27" si="372">IF(T26&gt;S26,", "&amp;S26,IF(S26&gt;T26,", "&amp;-T26,""))</f>
        <v/>
      </c>
      <c r="AQ27" s="217" t="str">
        <f t="shared" ref="AQ27" si="373">IF(V26&gt;U26,", "&amp;U26,IF(U26&gt;V26,", "&amp;-V26,""))</f>
        <v/>
      </c>
      <c r="AR27" s="217" t="str">
        <f t="shared" ref="AR27" si="374">IF(X26&gt;W26,", "&amp;W26,IF(W26&gt;X26,", "&amp;-X26,""))</f>
        <v/>
      </c>
      <c r="AS27" s="217" t="str">
        <f t="shared" ref="AS27" si="375">IF(Z26&gt;Y26,", "&amp;Y26,IF(Y26&gt;Z26,", "&amp;-Z26,""))</f>
        <v/>
      </c>
      <c r="AU27" s="221"/>
      <c r="AV27" s="222"/>
      <c r="AW27" s="222"/>
      <c r="AX27" s="250"/>
      <c r="AY27" s="222"/>
      <c r="AZ27" s="222"/>
      <c r="BA27" s="222"/>
      <c r="BB27" s="236">
        <v>26</v>
      </c>
      <c r="BC27" s="237" t="str">
        <f>VLOOKUP(BB27,$A$4:$L$83,6,FALSE)</f>
        <v>28/Sep-- Table</v>
      </c>
      <c r="BD27" s="249"/>
      <c r="BE27" s="247">
        <f ca="1">VLOOKUP(BE19,$A$4:$L$87,8,FALSE)</f>
        <v>4274</v>
      </c>
      <c r="BF27" s="247" t="str">
        <f ca="1">IF(BE27=0,0,VLOOKUP(BE27,Inscripciones!$B$1:$I$464,2,FALSE))</f>
        <v>MARÍA PAULA HERNÁNDEZ ZÚÑIGA</v>
      </c>
      <c r="BG27" s="248" t="str">
        <f ca="1">IF(BE27=0,0,VLOOKUP(BE27,Inscripciones!$B$1:$L$364,3,FALSE))</f>
        <v>ESCAZÚ</v>
      </c>
      <c r="BJ27" s="253"/>
      <c r="BL27" s="254">
        <f t="shared" si="35"/>
        <v>23</v>
      </c>
      <c r="BM27" s="255" t="str">
        <f>C48</f>
        <v>28/Sep</v>
      </c>
      <c r="BN27" s="255">
        <f>D48</f>
        <v>0</v>
      </c>
      <c r="BO27" s="256">
        <f>E48</f>
        <v>0</v>
      </c>
      <c r="BP27" s="257" t="s">
        <v>95</v>
      </c>
      <c r="BQ27" s="254"/>
      <c r="BR27" s="254">
        <v>39</v>
      </c>
      <c r="BS27" s="258" t="e">
        <f ca="1">VLOOKUP(BY28,Inscripciones!$B$1:$B$364,2,FALSE)</f>
        <v>#REF!</v>
      </c>
      <c r="BT27" s="254"/>
      <c r="BU27" s="258" t="e">
        <f ca="1">VLOOKUP(BZ28,Inscripciones!$B$1:$B$364,2,FALSE)</f>
        <v>#REF!</v>
      </c>
      <c r="BV27" s="254"/>
      <c r="BW27" s="254"/>
      <c r="BY27" s="245">
        <f ca="1">G48</f>
        <v>4273</v>
      </c>
      <c r="BZ27" s="246">
        <f ca="1">H48</f>
        <v>4104</v>
      </c>
      <c r="CA27" s="234" t="str">
        <f>Inscripciones!$B$2</f>
        <v>U13 FEMENINO</v>
      </c>
      <c r="CB27" s="235" t="s">
        <v>119</v>
      </c>
    </row>
    <row r="28" spans="1:80" s="220" customFormat="1" ht="12.75" x14ac:dyDescent="0.25">
      <c r="A28" s="433">
        <v>13</v>
      </c>
      <c r="B28" s="533" t="s">
        <v>99</v>
      </c>
      <c r="C28" s="535" t="s">
        <v>78</v>
      </c>
      <c r="D28" s="535"/>
      <c r="E28" s="523"/>
      <c r="F28" s="527" t="str">
        <f t="shared" ref="F28" si="376">C28&amp;"-"&amp;D28&amp;"- Table"&amp;E28</f>
        <v>28/Sep-- Table</v>
      </c>
      <c r="G28" s="523">
        <f ca="1">'SORTEO 32'!D33</f>
        <v>4273</v>
      </c>
      <c r="H28" s="523" t="str">
        <f>'SORTEO 32'!D34</f>
        <v>X</v>
      </c>
      <c r="I28" s="523" t="str">
        <f ca="1">IF(G28=0,0,VLOOKUP(G28,Inscripciones!$B$1:$I$464,2,FALSE))</f>
        <v>JAQUELINE HERNÁNDEZ ZUÑIGA</v>
      </c>
      <c r="J28" s="523" t="str">
        <f ca="1">IF(G28=0,0,VLOOKUP(G28,Inscripciones!$B$1:$L$364,3,FALSE))</f>
        <v>ESCAZÚ</v>
      </c>
      <c r="K28" s="523" t="str">
        <f ca="1">IF(I28=0,0,VLOOKUP(H28,Inscripciones!$B$1:$I$464,2,FALSE))</f>
        <v>BYE</v>
      </c>
      <c r="L28" s="523" t="str">
        <f ca="1">IF(I28=0,0,VLOOKUP(H28,Inscripciones!$B$1:$L$364,3,FALSE))</f>
        <v>BYE</v>
      </c>
      <c r="M28" s="531">
        <v>11</v>
      </c>
      <c r="N28" s="523">
        <v>0</v>
      </c>
      <c r="O28" s="523"/>
      <c r="P28" s="523"/>
      <c r="Q28" s="523"/>
      <c r="R28" s="523"/>
      <c r="S28" s="523"/>
      <c r="T28" s="523"/>
      <c r="U28" s="523"/>
      <c r="V28" s="523"/>
      <c r="W28" s="523"/>
      <c r="X28" s="523"/>
      <c r="Y28" s="523"/>
      <c r="Z28" s="525"/>
      <c r="AA28" s="452">
        <f t="shared" ref="AA28" si="377">IF(M28+N28&lt;&gt;0,SUM(AF28:AL28),"")</f>
        <v>1</v>
      </c>
      <c r="AB28" s="452">
        <f t="shared" ref="AB28" si="378">IF(M28+N28&lt;&gt;0,SUM(AF29:AL29),"")</f>
        <v>0</v>
      </c>
      <c r="AC28" s="452" t="str">
        <f t="shared" ref="AC28" si="379">IF(AA28&gt;AB28,AD28&amp;"  "&amp;AE28,IF(AB28&gt;AA28,AD28&amp;"  "&amp;AE29,""))</f>
        <v>1 - 0  (0)</v>
      </c>
      <c r="AD28" s="217" t="str">
        <f t="shared" ref="AD28" si="380">IF(AA28&gt;AB28,AA28&amp;" - "&amp;AB28,IF(AB28&gt;AA28,AB28&amp;" - "&amp;AA28,""))</f>
        <v>1 - 0</v>
      </c>
      <c r="AE28" s="217" t="str">
        <f t="shared" si="0"/>
        <v>(0)</v>
      </c>
      <c r="AF28" s="217">
        <f t="shared" ref="AF28" si="381">IF(M28&gt;N28,1,0)</f>
        <v>1</v>
      </c>
      <c r="AG28" s="217">
        <f t="shared" ref="AG28" si="382">IF(O28&gt;P28,1,0)</f>
        <v>0</v>
      </c>
      <c r="AH28" s="217">
        <f t="shared" ref="AH28" si="383">IF(Q28&gt;R28,1,0)</f>
        <v>0</v>
      </c>
      <c r="AI28" s="217">
        <f t="shared" ref="AI28" si="384">IF(S28&gt;T28,1,0)</f>
        <v>0</v>
      </c>
      <c r="AJ28" s="217">
        <f t="shared" ref="AJ28" si="385">IF(U28&gt;V28,1,0)</f>
        <v>0</v>
      </c>
      <c r="AK28" s="217">
        <f t="shared" ref="AK28" si="386">IF(W28&gt;X28,1,0)</f>
        <v>0</v>
      </c>
      <c r="AL28" s="217">
        <f t="shared" ref="AL28" si="387">IF(Y28&gt;Z28,1,0)</f>
        <v>0</v>
      </c>
      <c r="AM28" s="217">
        <f t="shared" ref="AM28" si="388">IF(M28&gt;N28,N28,IF(N28&gt;M28,-M28,""))</f>
        <v>0</v>
      </c>
      <c r="AN28" s="217" t="str">
        <f t="shared" ref="AN28" si="389">IF(O28&gt;P28,", "&amp;P28,IF(P28&gt;O28,", "&amp;-O28,""))</f>
        <v/>
      </c>
      <c r="AO28" s="217" t="str">
        <f t="shared" ref="AO28" si="390">IF(Q28&gt;R28,", "&amp;R28,IF(R28&gt;Q28,", "&amp;-Q28,""))</f>
        <v/>
      </c>
      <c r="AP28" s="217" t="str">
        <f t="shared" ref="AP28" si="391">IF(S28&gt;T28,", "&amp;T28,IF(T28&gt;S28,", "&amp;-S28,""))</f>
        <v/>
      </c>
      <c r="AQ28" s="217" t="str">
        <f t="shared" ref="AQ28" si="392">IF(U28&gt;V28,", "&amp;V28,IF(V28&gt;U28,", "&amp;-U28,""))</f>
        <v/>
      </c>
      <c r="AR28" s="217" t="str">
        <f t="shared" ref="AR28" si="393">IF(W28&gt;X28,", "&amp;X28,IF(X28&gt;W28,", "&amp;-W28,""))</f>
        <v/>
      </c>
      <c r="AS28" s="217" t="str">
        <f t="shared" ref="AS28" si="394">IF(Y28&gt;Z28,", "&amp;Z28,IF(Z28&gt;Y28,", "&amp;-Y28,""))</f>
        <v/>
      </c>
      <c r="AU28" s="224">
        <f>1+AU26</f>
        <v>13</v>
      </c>
      <c r="AV28" s="225">
        <f ca="1">VLOOKUP(AV29,$A$4:$L$83,7,FALSE)</f>
        <v>4348</v>
      </c>
      <c r="AW28" s="226" t="str">
        <f ca="1">IF(AV28=0,0,VLOOKUP(AV28,Inscripciones!$B$1:$I$464,2,FALSE))</f>
        <v>AMANDA PEREZ CABEZAS</v>
      </c>
      <c r="AX28" s="227" t="str">
        <f ca="1">IF(AV28=0,0,VLOOKUP(AV28,Inscripciones!$B$1:$L$364,3,FALSE))</f>
        <v>CORREDORES</v>
      </c>
      <c r="AY28" s="228"/>
      <c r="AZ28" s="229" t="str">
        <f>VLOOKUP(AV29,$A$4:$AD$83,29,FALSE)</f>
        <v>1 - 0  (0)</v>
      </c>
      <c r="BA28" s="228"/>
      <c r="BB28" s="222"/>
      <c r="BC28" s="222"/>
      <c r="BD28" s="249"/>
      <c r="BE28" s="228"/>
      <c r="BF28" s="229" t="str">
        <f>VLOOKUP(BB27,$A$4:$AD$87,29,FALSE)</f>
        <v>2 - 1  (-8, 7, 10)</v>
      </c>
      <c r="BG28" s="228"/>
      <c r="BJ28" s="253"/>
      <c r="BL28" s="254">
        <f t="shared" si="35"/>
        <v>24</v>
      </c>
      <c r="BM28" s="255" t="str">
        <f>C50</f>
        <v>28/Sep</v>
      </c>
      <c r="BN28" s="255">
        <f>D50</f>
        <v>0</v>
      </c>
      <c r="BO28" s="256">
        <f>E50</f>
        <v>0</v>
      </c>
      <c r="BP28" s="257" t="s">
        <v>95</v>
      </c>
      <c r="BQ28" s="254"/>
      <c r="BR28" s="254">
        <v>40</v>
      </c>
      <c r="BS28" s="258" t="e">
        <f>VLOOKUP(#REF!,Inscripciones!$B$1:$B$364,2,FALSE)</f>
        <v>#REF!</v>
      </c>
      <c r="BT28" s="254"/>
      <c r="BU28" s="258" t="e">
        <f>VLOOKUP(#REF!,Inscripciones!$B$1:$B$364,2,FALSE)</f>
        <v>#REF!</v>
      </c>
      <c r="BV28" s="254"/>
      <c r="BW28" s="254"/>
      <c r="BY28" s="245">
        <f ca="1">G50</f>
        <v>3828</v>
      </c>
      <c r="BZ28" s="246">
        <f ca="1">H50</f>
        <v>4101</v>
      </c>
      <c r="CA28" s="234" t="str">
        <f>Inscripciones!$B$2</f>
        <v>U13 FEMENINO</v>
      </c>
      <c r="CB28" s="235" t="s">
        <v>120</v>
      </c>
    </row>
    <row r="29" spans="1:80" s="220" customFormat="1" ht="12.75" x14ac:dyDescent="0.25">
      <c r="A29" s="433"/>
      <c r="B29" s="534"/>
      <c r="C29" s="536"/>
      <c r="D29" s="536"/>
      <c r="E29" s="524"/>
      <c r="F29" s="528"/>
      <c r="G29" s="524"/>
      <c r="H29" s="524"/>
      <c r="I29" s="524">
        <v>0</v>
      </c>
      <c r="J29" s="524">
        <v>0</v>
      </c>
      <c r="K29" s="524">
        <v>0</v>
      </c>
      <c r="L29" s="524">
        <v>0</v>
      </c>
      <c r="M29" s="532"/>
      <c r="N29" s="524"/>
      <c r="O29" s="524"/>
      <c r="P29" s="524"/>
      <c r="Q29" s="524"/>
      <c r="R29" s="524"/>
      <c r="S29" s="524"/>
      <c r="T29" s="524"/>
      <c r="U29" s="524"/>
      <c r="V29" s="524"/>
      <c r="W29" s="524"/>
      <c r="X29" s="524"/>
      <c r="Y29" s="524"/>
      <c r="Z29" s="526"/>
      <c r="AA29" s="452"/>
      <c r="AB29" s="452"/>
      <c r="AC29" s="452"/>
      <c r="AD29" s="217" t="str">
        <f t="shared" ref="AD29" si="395">IF(AA28&gt;AB28,AD28&amp;"  "&amp;AE28,IF(AB28&gt;AA28,AD28&amp;"  "&amp;AE29,""))</f>
        <v>1 - 0  (0)</v>
      </c>
      <c r="AE29" s="217" t="str">
        <f t="shared" si="0"/>
        <v>(0)</v>
      </c>
      <c r="AF29" s="217">
        <f t="shared" ref="AF29" si="396">IF(N28&gt;M28,1,0)</f>
        <v>0</v>
      </c>
      <c r="AG29" s="217">
        <f t="shared" ref="AG29" si="397">IF(P28&gt;O28,1,0)</f>
        <v>0</v>
      </c>
      <c r="AH29" s="217">
        <f t="shared" ref="AH29" si="398">IF(R28&gt;Q28,1,0)</f>
        <v>0</v>
      </c>
      <c r="AI29" s="217">
        <f t="shared" ref="AI29" si="399">IF(T28&gt;S28,1,0)</f>
        <v>0</v>
      </c>
      <c r="AJ29" s="217">
        <f t="shared" ref="AJ29" si="400">IF(V28&gt;U28,1,0)</f>
        <v>0</v>
      </c>
      <c r="AK29" s="217">
        <f t="shared" ref="AK29" si="401">IF(X28&gt;W28,1,0)</f>
        <v>0</v>
      </c>
      <c r="AL29" s="217">
        <f t="shared" ref="AL29" si="402">IF(Z28&gt;Y28,1,0)</f>
        <v>0</v>
      </c>
      <c r="AM29" s="217">
        <f t="shared" ref="AM29" si="403">IF(N28&gt;M28,M28,IF(M28&gt;N28,-N28,""))</f>
        <v>0</v>
      </c>
      <c r="AN29" s="217" t="str">
        <f t="shared" ref="AN29" si="404">IF(P28&gt;O28,", "&amp;O28,IF(O28&gt;P28,", "&amp;-P28,""))</f>
        <v/>
      </c>
      <c r="AO29" s="217" t="str">
        <f t="shared" ref="AO29" si="405">IF(R28&gt;Q28,", "&amp;Q28,IF(Q28&gt;R28,", "&amp;-R28,""))</f>
        <v/>
      </c>
      <c r="AP29" s="217" t="str">
        <f t="shared" ref="AP29" si="406">IF(T28&gt;S28,", "&amp;S28,IF(S28&gt;T28,", "&amp;-T28,""))</f>
        <v/>
      </c>
      <c r="AQ29" s="217" t="str">
        <f t="shared" ref="AQ29" si="407">IF(V28&gt;U28,", "&amp;U28,IF(U28&gt;V28,", "&amp;-V28,""))</f>
        <v/>
      </c>
      <c r="AR29" s="217" t="str">
        <f t="shared" ref="AR29" si="408">IF(X28&gt;W28,", "&amp;W28,IF(W28&gt;X28,", "&amp;-X28,""))</f>
        <v/>
      </c>
      <c r="AS29" s="217" t="str">
        <f t="shared" ref="AS29" si="409">IF(Z28&gt;Y28,", "&amp;Y28,IF(Y28&gt;Z28,", "&amp;-Z28,""))</f>
        <v/>
      </c>
      <c r="AU29" s="221"/>
      <c r="AV29" s="236">
        <v>7</v>
      </c>
      <c r="AW29" s="237" t="str">
        <f>VLOOKUP(AV29,$A$4:$L$83,6,FALSE)</f>
        <v>28/Sep-- Table</v>
      </c>
      <c r="AX29" s="238"/>
      <c r="AY29" s="225">
        <f ca="1">VLOOKUP(AY31,$A$4:$L$87,7,FALSE)</f>
        <v>4348</v>
      </c>
      <c r="AZ29" s="226" t="str">
        <f ca="1">IF(AY29=0,0,VLOOKUP(AY29,Inscripciones!$B$1:$I$464,2,FALSE))</f>
        <v>AMANDA PEREZ CABEZAS</v>
      </c>
      <c r="BA29" s="227" t="str">
        <f ca="1">IF(AY29=0,0,VLOOKUP(AY29,Inscripciones!$B$1:$L$364,3,FALSE))</f>
        <v>CORREDORES</v>
      </c>
      <c r="BB29" s="222"/>
      <c r="BC29" s="222"/>
      <c r="BD29" s="249"/>
      <c r="BE29" s="222"/>
      <c r="BJ29" s="253"/>
      <c r="BL29" s="259">
        <f t="shared" si="35"/>
        <v>25</v>
      </c>
      <c r="BM29" s="260" t="str">
        <f>C52</f>
        <v>28/Sep</v>
      </c>
      <c r="BN29" s="260">
        <f>D52</f>
        <v>0</v>
      </c>
      <c r="BO29" s="261">
        <f>E52</f>
        <v>0</v>
      </c>
      <c r="BP29" s="262" t="s">
        <v>95</v>
      </c>
      <c r="BQ29" s="259"/>
      <c r="BR29" s="259">
        <v>49</v>
      </c>
      <c r="BS29" s="263" t="e">
        <f ca="1">VLOOKUP(BY30,Inscripciones!$B$1:$B$364,2,FALSE)</f>
        <v>#REF!</v>
      </c>
      <c r="BT29" s="259"/>
      <c r="BU29" s="263" t="e">
        <f ca="1">VLOOKUP(BZ30,Inscripciones!$B$1:$B$364,2,FALSE)</f>
        <v>#REF!</v>
      </c>
      <c r="BV29" s="259"/>
      <c r="BW29" s="259"/>
      <c r="BY29" s="245">
        <f ca="1">G52</f>
        <v>4159</v>
      </c>
      <c r="BZ29" s="246">
        <f ca="1">H52</f>
        <v>4100</v>
      </c>
      <c r="CA29" s="234" t="str">
        <f>Inscripciones!$B$2</f>
        <v>U13 FEMENINO</v>
      </c>
      <c r="CB29" s="235" t="s">
        <v>121</v>
      </c>
    </row>
    <row r="30" spans="1:80" s="220" customFormat="1" ht="12.75" x14ac:dyDescent="0.25">
      <c r="A30" s="433">
        <v>14</v>
      </c>
      <c r="B30" s="517" t="s">
        <v>99</v>
      </c>
      <c r="C30" s="519" t="s">
        <v>78</v>
      </c>
      <c r="D30" s="519"/>
      <c r="E30" s="513"/>
      <c r="F30" s="521" t="str">
        <f t="shared" ref="F30" si="410">C30&amp;"-"&amp;D30&amp;"- Table"&amp;E30</f>
        <v>28/Sep-- Table</v>
      </c>
      <c r="G30" s="513">
        <f ca="1">'SORTEO 32'!D35</f>
        <v>4212</v>
      </c>
      <c r="H30" s="513">
        <f ca="1">'SORTEO 32'!D36</f>
        <v>4104</v>
      </c>
      <c r="I30" s="513" t="str">
        <f ca="1">IF(G30=0,0,VLOOKUP(G30,Inscripciones!$B$1:$I$464,2,FALSE))</f>
        <v>FIORELLA RETANA AGUILAR</v>
      </c>
      <c r="J30" s="513" t="str">
        <f ca="1">IF(G30=0,0,VLOOKUP(G30,Inscripciones!$B$1:$L$364,3,FALSE))</f>
        <v>CURRIDABAT</v>
      </c>
      <c r="K30" s="513" t="str">
        <f ca="1">IF(I30=0,0,VLOOKUP(H30,Inscripciones!$B$1:$I$464,2,FALSE))</f>
        <v>ARIANA SANCHEZ DELGADO</v>
      </c>
      <c r="L30" s="513" t="str">
        <f ca="1">IF(I30=0,0,VLOOKUP(H30,Inscripciones!$B$1:$L$364,3,FALSE))</f>
        <v>ESCAZÚ</v>
      </c>
      <c r="M30" s="515">
        <v>6</v>
      </c>
      <c r="N30" s="513">
        <v>11</v>
      </c>
      <c r="O30" s="513">
        <v>6</v>
      </c>
      <c r="P30" s="513">
        <v>11</v>
      </c>
      <c r="Q30" s="513"/>
      <c r="R30" s="513"/>
      <c r="S30" s="513"/>
      <c r="T30" s="513"/>
      <c r="U30" s="513"/>
      <c r="V30" s="513"/>
      <c r="W30" s="513"/>
      <c r="X30" s="513"/>
      <c r="Y30" s="513"/>
      <c r="Z30" s="529"/>
      <c r="AA30" s="452">
        <f t="shared" ref="AA30" si="411">IF(M30+N30&lt;&gt;0,SUM(AF30:AL30),"")</f>
        <v>0</v>
      </c>
      <c r="AB30" s="452">
        <f t="shared" ref="AB30" si="412">IF(M30+N30&lt;&gt;0,SUM(AF31:AL31),"")</f>
        <v>2</v>
      </c>
      <c r="AC30" s="452" t="str">
        <f t="shared" ref="AC30" si="413">IF(AA30&gt;AB30,AD30&amp;"  "&amp;AE30,IF(AB30&gt;AA30,AD30&amp;"  "&amp;AE31,""))</f>
        <v>2 - 0  (6, 6)</v>
      </c>
      <c r="AD30" s="217" t="str">
        <f t="shared" ref="AD30" si="414">IF(AA30&gt;AB30,AA30&amp;" - "&amp;AB30,IF(AB30&gt;AA30,AB30&amp;" - "&amp;AA30,""))</f>
        <v>2 - 0</v>
      </c>
      <c r="AE30" s="217" t="str">
        <f t="shared" si="0"/>
        <v>(-6, -6)</v>
      </c>
      <c r="AF30" s="217">
        <f t="shared" ref="AF30" si="415">IF(M30&gt;N30,1,0)</f>
        <v>0</v>
      </c>
      <c r="AG30" s="217">
        <f t="shared" ref="AG30" si="416">IF(O30&gt;P30,1,0)</f>
        <v>0</v>
      </c>
      <c r="AH30" s="217">
        <f t="shared" ref="AH30" si="417">IF(Q30&gt;R30,1,0)</f>
        <v>0</v>
      </c>
      <c r="AI30" s="217">
        <f t="shared" ref="AI30" si="418">IF(S30&gt;T30,1,0)</f>
        <v>0</v>
      </c>
      <c r="AJ30" s="217">
        <f t="shared" ref="AJ30" si="419">IF(U30&gt;V30,1,0)</f>
        <v>0</v>
      </c>
      <c r="AK30" s="217">
        <f t="shared" ref="AK30" si="420">IF(W30&gt;X30,1,0)</f>
        <v>0</v>
      </c>
      <c r="AL30" s="217">
        <f t="shared" ref="AL30" si="421">IF(Y30&gt;Z30,1,0)</f>
        <v>0</v>
      </c>
      <c r="AM30" s="217">
        <f t="shared" ref="AM30" si="422">IF(M30&gt;N30,N30,IF(N30&gt;M30,-M30,""))</f>
        <v>-6</v>
      </c>
      <c r="AN30" s="217" t="str">
        <f t="shared" ref="AN30" si="423">IF(O30&gt;P30,", "&amp;P30,IF(P30&gt;O30,", "&amp;-O30,""))</f>
        <v>, -6</v>
      </c>
      <c r="AO30" s="217" t="str">
        <f t="shared" ref="AO30" si="424">IF(Q30&gt;R30,", "&amp;R30,IF(R30&gt;Q30,", "&amp;-Q30,""))</f>
        <v/>
      </c>
      <c r="AP30" s="217" t="str">
        <f t="shared" ref="AP30" si="425">IF(S30&gt;T30,", "&amp;T30,IF(T30&gt;S30,", "&amp;-S30,""))</f>
        <v/>
      </c>
      <c r="AQ30" s="217" t="str">
        <f t="shared" ref="AQ30" si="426">IF(U30&gt;V30,", "&amp;V30,IF(V30&gt;U30,", "&amp;-U30,""))</f>
        <v/>
      </c>
      <c r="AR30" s="217" t="str">
        <f t="shared" ref="AR30" si="427">IF(W30&gt;X30,", "&amp;X30,IF(X30&gt;W30,", "&amp;-W30,""))</f>
        <v/>
      </c>
      <c r="AS30" s="217" t="str">
        <f t="shared" ref="AS30" si="428">IF(Y30&gt;Z30,", "&amp;Z30,IF(Z30&gt;Y30,", "&amp;-Y30,""))</f>
        <v/>
      </c>
      <c r="AU30" s="224">
        <f>1+AU28</f>
        <v>14</v>
      </c>
      <c r="AV30" s="247" t="str">
        <f>VLOOKUP(AV29,$A$4:$L$83,8,FALSE)</f>
        <v>X</v>
      </c>
      <c r="AW30" s="247" t="str">
        <f>IF(AV30=0,0,VLOOKUP(AV30,Inscripciones!$B$1:$I$464,2,FALSE))</f>
        <v>BYE</v>
      </c>
      <c r="AX30" s="248" t="str">
        <f>IF(AV30=0,0,VLOOKUP(AV30,Inscripciones!$B$1:$L$364,3,FALSE))</f>
        <v>BYE</v>
      </c>
      <c r="AY30" s="222"/>
      <c r="AZ30" s="222"/>
      <c r="BA30" s="249"/>
      <c r="BB30" s="222"/>
      <c r="BC30" s="222"/>
      <c r="BD30" s="249"/>
      <c r="BE30" s="222"/>
      <c r="BJ30" s="253"/>
      <c r="BL30" s="259">
        <f t="shared" si="35"/>
        <v>26</v>
      </c>
      <c r="BM30" s="260" t="str">
        <f>C54</f>
        <v>28/Sep</v>
      </c>
      <c r="BN30" s="260">
        <f>D54</f>
        <v>0</v>
      </c>
      <c r="BO30" s="261">
        <f>E54</f>
        <v>0</v>
      </c>
      <c r="BP30" s="262" t="s">
        <v>95</v>
      </c>
      <c r="BQ30" s="259"/>
      <c r="BR30" s="259">
        <v>50</v>
      </c>
      <c r="BS30" s="263" t="e">
        <f ca="1">VLOOKUP(BY31,Inscripciones!$B$1:$B$364,2,FALSE)</f>
        <v>#REF!</v>
      </c>
      <c r="BT30" s="259"/>
      <c r="BU30" s="263" t="e">
        <f ca="1">VLOOKUP(BZ31,Inscripciones!$B$1:$B$364,2,FALSE)</f>
        <v>#REF!</v>
      </c>
      <c r="BV30" s="259"/>
      <c r="BW30" s="259"/>
      <c r="BY30" s="245">
        <f ca="1">G54</f>
        <v>4274</v>
      </c>
      <c r="BZ30" s="246">
        <f ca="1">H54</f>
        <v>4176</v>
      </c>
      <c r="CA30" s="234" t="str">
        <f>Inscripciones!$B$2</f>
        <v>U13 FEMENINO</v>
      </c>
      <c r="CB30" s="235" t="s">
        <v>121</v>
      </c>
    </row>
    <row r="31" spans="1:80" s="220" customFormat="1" ht="12.75" x14ac:dyDescent="0.25">
      <c r="A31" s="433"/>
      <c r="B31" s="518"/>
      <c r="C31" s="520"/>
      <c r="D31" s="520"/>
      <c r="E31" s="514"/>
      <c r="F31" s="522"/>
      <c r="G31" s="514"/>
      <c r="H31" s="514"/>
      <c r="I31" s="514">
        <v>0</v>
      </c>
      <c r="J31" s="514">
        <v>0</v>
      </c>
      <c r="K31" s="514">
        <v>0</v>
      </c>
      <c r="L31" s="514">
        <v>0</v>
      </c>
      <c r="M31" s="516"/>
      <c r="N31" s="514"/>
      <c r="O31" s="514"/>
      <c r="P31" s="514"/>
      <c r="Q31" s="514"/>
      <c r="R31" s="514"/>
      <c r="S31" s="514"/>
      <c r="T31" s="514"/>
      <c r="U31" s="514"/>
      <c r="V31" s="514"/>
      <c r="W31" s="514"/>
      <c r="X31" s="514"/>
      <c r="Y31" s="514"/>
      <c r="Z31" s="530"/>
      <c r="AA31" s="452"/>
      <c r="AB31" s="452"/>
      <c r="AC31" s="452"/>
      <c r="AD31" s="217" t="str">
        <f t="shared" ref="AD31" si="429">IF(AA30&gt;AB30,AD30&amp;"  "&amp;AE30,IF(AB30&gt;AA30,AD30&amp;"  "&amp;AE31,""))</f>
        <v>2 - 0  (6, 6)</v>
      </c>
      <c r="AE31" s="217" t="str">
        <f t="shared" si="0"/>
        <v>(6, 6)</v>
      </c>
      <c r="AF31" s="217">
        <f t="shared" ref="AF31" si="430">IF(N30&gt;M30,1,0)</f>
        <v>1</v>
      </c>
      <c r="AG31" s="217">
        <f t="shared" ref="AG31" si="431">IF(P30&gt;O30,1,0)</f>
        <v>1</v>
      </c>
      <c r="AH31" s="217">
        <f t="shared" ref="AH31" si="432">IF(R30&gt;Q30,1,0)</f>
        <v>0</v>
      </c>
      <c r="AI31" s="217">
        <f t="shared" ref="AI31" si="433">IF(T30&gt;S30,1,0)</f>
        <v>0</v>
      </c>
      <c r="AJ31" s="217">
        <f t="shared" ref="AJ31" si="434">IF(V30&gt;U30,1,0)</f>
        <v>0</v>
      </c>
      <c r="AK31" s="217">
        <f t="shared" ref="AK31" si="435">IF(X30&gt;W30,1,0)</f>
        <v>0</v>
      </c>
      <c r="AL31" s="217">
        <f t="shared" ref="AL31" si="436">IF(Z30&gt;Y30,1,0)</f>
        <v>0</v>
      </c>
      <c r="AM31" s="217">
        <f t="shared" ref="AM31" si="437">IF(N30&gt;M30,M30,IF(M30&gt;N30,-N30,""))</f>
        <v>6</v>
      </c>
      <c r="AN31" s="217" t="str">
        <f t="shared" ref="AN31" si="438">IF(P30&gt;O30,", "&amp;O30,IF(O30&gt;P30,", "&amp;-P30,""))</f>
        <v>, 6</v>
      </c>
      <c r="AO31" s="217" t="str">
        <f t="shared" ref="AO31" si="439">IF(R30&gt;Q30,", "&amp;Q30,IF(Q30&gt;R30,", "&amp;-R30,""))</f>
        <v/>
      </c>
      <c r="AP31" s="217" t="str">
        <f t="shared" ref="AP31" si="440">IF(T30&gt;S30,", "&amp;S30,IF(S30&gt;T30,", "&amp;-T30,""))</f>
        <v/>
      </c>
      <c r="AQ31" s="217" t="str">
        <f t="shared" ref="AQ31" si="441">IF(V30&gt;U30,", "&amp;U30,IF(U30&gt;V30,", "&amp;-V30,""))</f>
        <v/>
      </c>
      <c r="AR31" s="217" t="str">
        <f t="shared" ref="AR31" si="442">IF(X30&gt;W30,", "&amp;W30,IF(W30&gt;X30,", "&amp;-X30,""))</f>
        <v/>
      </c>
      <c r="AS31" s="217" t="str">
        <f t="shared" ref="AS31" si="443">IF(Z30&gt;Y30,", "&amp;Y30,IF(Y30&gt;Z30,", "&amp;-Z30,""))</f>
        <v/>
      </c>
      <c r="AU31" s="221"/>
      <c r="AV31" s="222"/>
      <c r="AW31" s="222"/>
      <c r="AX31" s="250"/>
      <c r="AY31" s="236">
        <v>20</v>
      </c>
      <c r="AZ31" s="237" t="str">
        <f>VLOOKUP(AY31,$A$4:$L$83,6,FALSE)</f>
        <v>28/Sep-- Table</v>
      </c>
      <c r="BA31" s="251"/>
      <c r="BB31" s="247">
        <f ca="1">VLOOKUP(BB27,$A$4:$L$87,8,FALSE)</f>
        <v>4176</v>
      </c>
      <c r="BC31" s="247" t="str">
        <f ca="1">IF(BB31=0,0,VLOOKUP(BB31,Inscripciones!$B$1:$I$464,2,FALSE))</f>
        <v>LÍA SOFÍA SOLÍS VÁSQUEZ</v>
      </c>
      <c r="BD31" s="248" t="str">
        <f ca="1">IF(BB31=0,0,VLOOKUP(BB31,Inscripciones!$B$1:$L$364,3,FALSE))</f>
        <v>ESPARZA</v>
      </c>
      <c r="BE31" s="222"/>
      <c r="BJ31" s="253"/>
      <c r="BL31" s="259">
        <f t="shared" si="35"/>
        <v>27</v>
      </c>
      <c r="BM31" s="260" t="str">
        <f>C56</f>
        <v>28/Sep</v>
      </c>
      <c r="BN31" s="260">
        <f>D56</f>
        <v>0</v>
      </c>
      <c r="BO31" s="261">
        <f>E56</f>
        <v>0</v>
      </c>
      <c r="BP31" s="262" t="s">
        <v>95</v>
      </c>
      <c r="BQ31" s="259"/>
      <c r="BR31" s="259">
        <v>51</v>
      </c>
      <c r="BS31" s="263" t="e">
        <f ca="1">VLOOKUP(BY32,Inscripciones!$B$1:$B$364,2,FALSE)</f>
        <v>#REF!</v>
      </c>
      <c r="BT31" s="259"/>
      <c r="BU31" s="263" t="e">
        <f ca="1">VLOOKUP(BZ32,Inscripciones!$B$1:$B$364,2,FALSE)</f>
        <v>#REF!</v>
      </c>
      <c r="BV31" s="259"/>
      <c r="BW31" s="259"/>
      <c r="BY31" s="245">
        <f ca="1">G56</f>
        <v>3918</v>
      </c>
      <c r="BZ31" s="246">
        <f ca="1">H56</f>
        <v>4183</v>
      </c>
      <c r="CA31" s="234" t="str">
        <f>Inscripciones!$B$2</f>
        <v>U13 FEMENINO</v>
      </c>
      <c r="CB31" s="235" t="s">
        <v>121</v>
      </c>
    </row>
    <row r="32" spans="1:80" s="220" customFormat="1" ht="12.75" x14ac:dyDescent="0.25">
      <c r="A32" s="433">
        <v>15</v>
      </c>
      <c r="B32" s="533" t="s">
        <v>99</v>
      </c>
      <c r="C32" s="535" t="s">
        <v>78</v>
      </c>
      <c r="D32" s="535"/>
      <c r="E32" s="523"/>
      <c r="F32" s="527" t="str">
        <f t="shared" ref="F32" si="444">C32&amp;"-"&amp;D32&amp;"- Table"&amp;E32</f>
        <v>28/Sep-- Table</v>
      </c>
      <c r="G32" s="523">
        <f ca="1">'SORTEO 32'!D37</f>
        <v>3828</v>
      </c>
      <c r="H32" s="523" t="str">
        <f>'SORTEO 32'!D38</f>
        <v>X</v>
      </c>
      <c r="I32" s="523" t="str">
        <f ca="1">IF(G32=0,0,VLOOKUP(G32,Inscripciones!$B$1:$I$464,2,FALSE))</f>
        <v>AMANDA CHEN CEN</v>
      </c>
      <c r="J32" s="523" t="str">
        <f ca="1">IF(G32=0,0,VLOOKUP(G32,Inscripciones!$B$1:$L$364,3,FALSE))</f>
        <v>ESCAZÚ</v>
      </c>
      <c r="K32" s="523" t="str">
        <f ca="1">IF(I32=0,0,VLOOKUP(H32,Inscripciones!$B$1:$I$464,2,FALSE))</f>
        <v>BYE</v>
      </c>
      <c r="L32" s="523" t="str">
        <f ca="1">IF(I32=0,0,VLOOKUP(H32,Inscripciones!$B$1:$L$364,3,FALSE))</f>
        <v>BYE</v>
      </c>
      <c r="M32" s="531">
        <v>11</v>
      </c>
      <c r="N32" s="523">
        <v>0</v>
      </c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5"/>
      <c r="AA32" s="452">
        <f t="shared" ref="AA32" si="445">IF(M32+N32&lt;&gt;0,SUM(AF32:AL32),"")</f>
        <v>1</v>
      </c>
      <c r="AB32" s="452">
        <f t="shared" ref="AB32" si="446">IF(M32+N32&lt;&gt;0,SUM(AF33:AL33),"")</f>
        <v>0</v>
      </c>
      <c r="AC32" s="452" t="str">
        <f t="shared" ref="AC32" si="447">IF(AA32&gt;AB32,AD32&amp;"  "&amp;AE32,IF(AB32&gt;AA32,AD32&amp;"  "&amp;AE33,""))</f>
        <v>1 - 0  (0)</v>
      </c>
      <c r="AD32" s="217" t="str">
        <f t="shared" ref="AD32" si="448">IF(AA32&gt;AB32,AA32&amp;" - "&amp;AB32,IF(AB32&gt;AA32,AB32&amp;" - "&amp;AA32,""))</f>
        <v>1 - 0</v>
      </c>
      <c r="AE32" s="217" t="str">
        <f t="shared" si="0"/>
        <v>(0)</v>
      </c>
      <c r="AF32" s="217">
        <f t="shared" ref="AF32" si="449">IF(M32&gt;N32,1,0)</f>
        <v>1</v>
      </c>
      <c r="AG32" s="217">
        <f t="shared" ref="AG32" si="450">IF(O32&gt;P32,1,0)</f>
        <v>0</v>
      </c>
      <c r="AH32" s="217">
        <f t="shared" ref="AH32" si="451">IF(Q32&gt;R32,1,0)</f>
        <v>0</v>
      </c>
      <c r="AI32" s="217">
        <f t="shared" ref="AI32" si="452">IF(S32&gt;T32,1,0)</f>
        <v>0</v>
      </c>
      <c r="AJ32" s="217">
        <f t="shared" ref="AJ32" si="453">IF(U32&gt;V32,1,0)</f>
        <v>0</v>
      </c>
      <c r="AK32" s="217">
        <f t="shared" ref="AK32" si="454">IF(W32&gt;X32,1,0)</f>
        <v>0</v>
      </c>
      <c r="AL32" s="217">
        <f t="shared" ref="AL32" si="455">IF(Y32&gt;Z32,1,0)</f>
        <v>0</v>
      </c>
      <c r="AM32" s="217">
        <f t="shared" ref="AM32" si="456">IF(M32&gt;N32,N32,IF(N32&gt;M32,-M32,""))</f>
        <v>0</v>
      </c>
      <c r="AN32" s="217" t="str">
        <f t="shared" ref="AN32" si="457">IF(O32&gt;P32,", "&amp;P32,IF(P32&gt;O32,", "&amp;-O32,""))</f>
        <v/>
      </c>
      <c r="AO32" s="217" t="str">
        <f t="shared" ref="AO32" si="458">IF(Q32&gt;R32,", "&amp;R32,IF(R32&gt;Q32,", "&amp;-Q32,""))</f>
        <v/>
      </c>
      <c r="AP32" s="217" t="str">
        <f t="shared" ref="AP32" si="459">IF(S32&gt;T32,", "&amp;T32,IF(T32&gt;S32,", "&amp;-S32,""))</f>
        <v/>
      </c>
      <c r="AQ32" s="217" t="str">
        <f t="shared" ref="AQ32" si="460">IF(U32&gt;V32,", "&amp;V32,IF(V32&gt;U32,", "&amp;-U32,""))</f>
        <v/>
      </c>
      <c r="AR32" s="217" t="str">
        <f t="shared" ref="AR32" si="461">IF(W32&gt;X32,", "&amp;X32,IF(X32&gt;W32,", "&amp;-W32,""))</f>
        <v/>
      </c>
      <c r="AS32" s="217" t="str">
        <f t="shared" ref="AS32" si="462">IF(Y32&gt;Z32,", "&amp;Z32,IF(Z32&gt;Y32,", "&amp;-Y32,""))</f>
        <v/>
      </c>
      <c r="AU32" s="224">
        <f>1+AU30</f>
        <v>15</v>
      </c>
      <c r="AV32" s="225" t="str">
        <f>VLOOKUP(AV33,$A$4:$L$83,7,FALSE)</f>
        <v>X</v>
      </c>
      <c r="AW32" s="226" t="str">
        <f>IF(AV32=0,0,VLOOKUP(AV32,Inscripciones!$B$1:$I$464,2,FALSE))</f>
        <v>BYE</v>
      </c>
      <c r="AX32" s="227" t="str">
        <f>IF(AV32=0,0,VLOOKUP(AV32,Inscripciones!$B$1:$L$364,3,FALSE))</f>
        <v>BYE</v>
      </c>
      <c r="AY32" s="252"/>
      <c r="AZ32" s="222"/>
      <c r="BA32" s="249"/>
      <c r="BB32" s="228"/>
      <c r="BC32" s="229" t="str">
        <f>VLOOKUP(AY31,$A$4:$AD$87,29,FALSE)</f>
        <v>2 - 0  (5, 7)</v>
      </c>
      <c r="BD32" s="228"/>
      <c r="BE32" s="222"/>
      <c r="BJ32" s="253"/>
      <c r="BL32" s="259">
        <f t="shared" si="35"/>
        <v>28</v>
      </c>
      <c r="BM32" s="260" t="str">
        <f>C58</f>
        <v>28/Sep</v>
      </c>
      <c r="BN32" s="260">
        <f>D58</f>
        <v>0</v>
      </c>
      <c r="BO32" s="261">
        <f>E58</f>
        <v>0</v>
      </c>
      <c r="BP32" s="262" t="s">
        <v>95</v>
      </c>
      <c r="BQ32" s="259"/>
      <c r="BR32" s="259">
        <v>52</v>
      </c>
      <c r="BS32" s="263" t="e">
        <f>VLOOKUP(#REF!,Inscripciones!$B$1:$B$364,2,FALSE)</f>
        <v>#REF!</v>
      </c>
      <c r="BT32" s="259"/>
      <c r="BU32" s="263" t="e">
        <f>VLOOKUP(#REF!,Inscripciones!$B$1:$B$364,2,FALSE)</f>
        <v>#REF!</v>
      </c>
      <c r="BV32" s="259"/>
      <c r="BW32" s="259"/>
      <c r="BY32" s="245">
        <f ca="1">G58</f>
        <v>4273</v>
      </c>
      <c r="BZ32" s="246">
        <f ca="1">H58</f>
        <v>4101</v>
      </c>
      <c r="CA32" s="234" t="str">
        <f>Inscripciones!$B$2</f>
        <v>U13 FEMENINO</v>
      </c>
      <c r="CB32" s="235" t="s">
        <v>121</v>
      </c>
    </row>
    <row r="33" spans="1:80" s="220" customFormat="1" ht="12.75" x14ac:dyDescent="0.25">
      <c r="A33" s="433"/>
      <c r="B33" s="534"/>
      <c r="C33" s="536"/>
      <c r="D33" s="536"/>
      <c r="E33" s="524"/>
      <c r="F33" s="528"/>
      <c r="G33" s="524"/>
      <c r="H33" s="524"/>
      <c r="I33" s="524">
        <v>0</v>
      </c>
      <c r="J33" s="524">
        <v>0</v>
      </c>
      <c r="K33" s="524">
        <v>0</v>
      </c>
      <c r="L33" s="524">
        <v>0</v>
      </c>
      <c r="M33" s="532"/>
      <c r="N33" s="524"/>
      <c r="O33" s="524"/>
      <c r="P33" s="524"/>
      <c r="Q33" s="524"/>
      <c r="R33" s="524"/>
      <c r="S33" s="524"/>
      <c r="T33" s="524"/>
      <c r="U33" s="524"/>
      <c r="V33" s="524"/>
      <c r="W33" s="524"/>
      <c r="X33" s="524"/>
      <c r="Y33" s="524"/>
      <c r="Z33" s="526"/>
      <c r="AA33" s="452"/>
      <c r="AB33" s="452"/>
      <c r="AC33" s="452"/>
      <c r="AD33" s="217" t="str">
        <f t="shared" ref="AD33" si="463">IF(AA32&gt;AB32,AD32&amp;"  "&amp;AE32,IF(AB32&gt;AA32,AD32&amp;"  "&amp;AE33,""))</f>
        <v>1 - 0  (0)</v>
      </c>
      <c r="AE33" s="217" t="str">
        <f t="shared" si="0"/>
        <v>(0)</v>
      </c>
      <c r="AF33" s="217">
        <f t="shared" ref="AF33" si="464">IF(N32&gt;M32,1,0)</f>
        <v>0</v>
      </c>
      <c r="AG33" s="217">
        <f t="shared" ref="AG33" si="465">IF(P32&gt;O32,1,0)</f>
        <v>0</v>
      </c>
      <c r="AH33" s="217">
        <f t="shared" ref="AH33" si="466">IF(R32&gt;Q32,1,0)</f>
        <v>0</v>
      </c>
      <c r="AI33" s="217">
        <f t="shared" ref="AI33" si="467">IF(T32&gt;S32,1,0)</f>
        <v>0</v>
      </c>
      <c r="AJ33" s="217">
        <f t="shared" ref="AJ33" si="468">IF(V32&gt;U32,1,0)</f>
        <v>0</v>
      </c>
      <c r="AK33" s="217">
        <f t="shared" ref="AK33" si="469">IF(X32&gt;W32,1,0)</f>
        <v>0</v>
      </c>
      <c r="AL33" s="217">
        <f t="shared" ref="AL33" si="470">IF(Z32&gt;Y32,1,0)</f>
        <v>0</v>
      </c>
      <c r="AM33" s="217">
        <f t="shared" ref="AM33" si="471">IF(N32&gt;M32,M32,IF(M32&gt;N32,-N32,""))</f>
        <v>0</v>
      </c>
      <c r="AN33" s="217" t="str">
        <f t="shared" ref="AN33" si="472">IF(P32&gt;O32,", "&amp;O32,IF(O32&gt;P32,", "&amp;-P32,""))</f>
        <v/>
      </c>
      <c r="AO33" s="217" t="str">
        <f t="shared" ref="AO33" si="473">IF(R32&gt;Q32,", "&amp;Q32,IF(Q32&gt;R32,", "&amp;-R32,""))</f>
        <v/>
      </c>
      <c r="AP33" s="217" t="str">
        <f t="shared" ref="AP33" si="474">IF(T32&gt;S32,", "&amp;S32,IF(S32&gt;T32,", "&amp;-T32,""))</f>
        <v/>
      </c>
      <c r="AQ33" s="217" t="str">
        <f t="shared" ref="AQ33" si="475">IF(V32&gt;U32,", "&amp;U32,IF(U32&gt;V32,", "&amp;-V32,""))</f>
        <v/>
      </c>
      <c r="AR33" s="217" t="str">
        <f t="shared" ref="AR33" si="476">IF(X32&gt;W32,", "&amp;W32,IF(W32&gt;X32,", "&amp;-X32,""))</f>
        <v/>
      </c>
      <c r="AS33" s="217" t="str">
        <f t="shared" ref="AS33" si="477">IF(Z32&gt;Y32,", "&amp;Y32,IF(Y32&gt;Z32,", "&amp;-Z32,""))</f>
        <v/>
      </c>
      <c r="AU33" s="221"/>
      <c r="AV33" s="236">
        <v>8</v>
      </c>
      <c r="AW33" s="237" t="str">
        <f>VLOOKUP(AV33,$A$4:$L$83,6,FALSE)</f>
        <v>28/Sep-- Table</v>
      </c>
      <c r="AX33" s="238"/>
      <c r="AY33" s="247">
        <f ca="1">VLOOKUP(AY31,$A$4:$L$87,8,FALSE)</f>
        <v>4176</v>
      </c>
      <c r="AZ33" s="247" t="str">
        <f ca="1">IF(AY33=0,0,VLOOKUP(AY33,Inscripciones!$B$1:$I$464,2,FALSE))</f>
        <v>LÍA SOFÍA SOLÍS VÁSQUEZ</v>
      </c>
      <c r="BA33" s="248" t="str">
        <f ca="1">IF(AY33=0,0,VLOOKUP(AY33,Inscripciones!$B$1:$L$364,3,FALSE))</f>
        <v>ESPARZA</v>
      </c>
      <c r="BB33" s="222"/>
      <c r="BC33" s="222"/>
      <c r="BD33" s="222"/>
      <c r="BE33" s="222"/>
      <c r="BJ33" s="253"/>
      <c r="BL33" s="264">
        <f t="shared" si="35"/>
        <v>29</v>
      </c>
      <c r="BM33" s="265" t="str">
        <f>C60</f>
        <v>28/Sep</v>
      </c>
      <c r="BN33" s="265">
        <f>D60</f>
        <v>0</v>
      </c>
      <c r="BO33" s="266">
        <f>E60</f>
        <v>0</v>
      </c>
      <c r="BP33" s="267" t="s">
        <v>95</v>
      </c>
      <c r="BQ33" s="264"/>
      <c r="BR33" s="264">
        <v>57</v>
      </c>
      <c r="BS33" s="268" t="e">
        <f ca="1">VLOOKUP(BY34,Inscripciones!$B$1:$B$364,2,FALSE)</f>
        <v>#REF!</v>
      </c>
      <c r="BT33" s="264"/>
      <c r="BU33" s="268" t="e">
        <f ca="1">VLOOKUP(BZ34,Inscripciones!$B$1:$B$364,2,FALSE)</f>
        <v>#REF!</v>
      </c>
      <c r="BV33" s="264"/>
      <c r="BW33" s="264"/>
      <c r="BY33" s="245">
        <f ca="1">G60</f>
        <v>4159</v>
      </c>
      <c r="BZ33" s="246">
        <f ca="1">H60</f>
        <v>4274</v>
      </c>
      <c r="CA33" s="234" t="str">
        <f>Inscripciones!$B$2</f>
        <v>U13 FEMENINO</v>
      </c>
      <c r="CB33" s="235" t="s">
        <v>122</v>
      </c>
    </row>
    <row r="34" spans="1:80" s="220" customFormat="1" ht="12.75" x14ac:dyDescent="0.25">
      <c r="A34" s="433">
        <v>16</v>
      </c>
      <c r="B34" s="517" t="s">
        <v>99</v>
      </c>
      <c r="C34" s="519" t="s">
        <v>78</v>
      </c>
      <c r="D34" s="519"/>
      <c r="E34" s="513"/>
      <c r="F34" s="521" t="str">
        <f t="shared" ref="F34" si="478">C34&amp;"-"&amp;D34&amp;"- Table"&amp;E34</f>
        <v>28/Sep-- Table</v>
      </c>
      <c r="G34" s="513" t="str">
        <f>'SORTEO 32'!D39</f>
        <v>X</v>
      </c>
      <c r="H34" s="513">
        <f ca="1">'SORTEO 32'!D40</f>
        <v>4101</v>
      </c>
      <c r="I34" s="513" t="str">
        <f>IF(G34=0,0,VLOOKUP(G34,Inscripciones!$B$1:$I$464,2,FALSE))</f>
        <v>BYE</v>
      </c>
      <c r="J34" s="513" t="str">
        <f>IF(G34=0,0,VLOOKUP(G34,Inscripciones!$B$1:$L$364,3,FALSE))</f>
        <v>BYE</v>
      </c>
      <c r="K34" s="513" t="str">
        <f ca="1">IF(I34=0,0,VLOOKUP(H34,Inscripciones!$B$1:$I$464,2,FALSE))</f>
        <v>ABIGAIL QUIROS BALTODANO</v>
      </c>
      <c r="L34" s="513" t="str">
        <f ca="1">IF(I34=0,0,VLOOKUP(H34,Inscripciones!$B$1:$L$364,3,FALSE))</f>
        <v>ESPARZA</v>
      </c>
      <c r="M34" s="515">
        <v>0</v>
      </c>
      <c r="N34" s="513">
        <v>11</v>
      </c>
      <c r="O34" s="513"/>
      <c r="P34" s="513"/>
      <c r="Q34" s="513"/>
      <c r="R34" s="513"/>
      <c r="S34" s="513"/>
      <c r="T34" s="513"/>
      <c r="U34" s="513"/>
      <c r="V34" s="513"/>
      <c r="W34" s="513"/>
      <c r="X34" s="513"/>
      <c r="Y34" s="513"/>
      <c r="Z34" s="529"/>
      <c r="AA34" s="452">
        <f t="shared" ref="AA34" si="479">IF(M34+N34&lt;&gt;0,SUM(AF34:AL34),"")</f>
        <v>0</v>
      </c>
      <c r="AB34" s="452">
        <f t="shared" ref="AB34" si="480">IF(M34+N34&lt;&gt;0,SUM(AF35:AL35),"")</f>
        <v>1</v>
      </c>
      <c r="AC34" s="452" t="str">
        <f t="shared" ref="AC34" si="481">IF(AA34&gt;AB34,AD34&amp;"  "&amp;AE34,IF(AB34&gt;AA34,AD34&amp;"  "&amp;AE35,""))</f>
        <v>1 - 0  (0)</v>
      </c>
      <c r="AD34" s="217" t="str">
        <f t="shared" ref="AD34" si="482">IF(AA34&gt;AB34,AA34&amp;" - "&amp;AB34,IF(AB34&gt;AA34,AB34&amp;" - "&amp;AA34,""))</f>
        <v>1 - 0</v>
      </c>
      <c r="AE34" s="217" t="str">
        <f t="shared" si="0"/>
        <v>(0)</v>
      </c>
      <c r="AF34" s="217">
        <f t="shared" ref="AF34" si="483">IF(M34&gt;N34,1,0)</f>
        <v>0</v>
      </c>
      <c r="AG34" s="217">
        <f t="shared" ref="AG34" si="484">IF(O34&gt;P34,1,0)</f>
        <v>0</v>
      </c>
      <c r="AH34" s="217">
        <f t="shared" ref="AH34" si="485">IF(Q34&gt;R34,1,0)</f>
        <v>0</v>
      </c>
      <c r="AI34" s="217">
        <f t="shared" ref="AI34" si="486">IF(S34&gt;T34,1,0)</f>
        <v>0</v>
      </c>
      <c r="AJ34" s="217">
        <f t="shared" ref="AJ34" si="487">IF(U34&gt;V34,1,0)</f>
        <v>0</v>
      </c>
      <c r="AK34" s="217">
        <f t="shared" ref="AK34" si="488">IF(W34&gt;X34,1,0)</f>
        <v>0</v>
      </c>
      <c r="AL34" s="217">
        <f t="shared" ref="AL34" si="489">IF(Y34&gt;Z34,1,0)</f>
        <v>0</v>
      </c>
      <c r="AM34" s="217">
        <f t="shared" ref="AM34" si="490">IF(M34&gt;N34,N34,IF(N34&gt;M34,-M34,""))</f>
        <v>0</v>
      </c>
      <c r="AN34" s="217" t="str">
        <f t="shared" ref="AN34" si="491">IF(O34&gt;P34,", "&amp;P34,IF(P34&gt;O34,", "&amp;-O34,""))</f>
        <v/>
      </c>
      <c r="AO34" s="217" t="str">
        <f t="shared" ref="AO34" si="492">IF(Q34&gt;R34,", "&amp;R34,IF(R34&gt;Q34,", "&amp;-Q34,""))</f>
        <v/>
      </c>
      <c r="AP34" s="217" t="str">
        <f t="shared" ref="AP34" si="493">IF(S34&gt;T34,", "&amp;T34,IF(T34&gt;S34,", "&amp;-S34,""))</f>
        <v/>
      </c>
      <c r="AQ34" s="217" t="str">
        <f t="shared" ref="AQ34" si="494">IF(U34&gt;V34,", "&amp;V34,IF(V34&gt;U34,", "&amp;-U34,""))</f>
        <v/>
      </c>
      <c r="AR34" s="217" t="str">
        <f t="shared" ref="AR34" si="495">IF(W34&gt;X34,", "&amp;X34,IF(X34&gt;W34,", "&amp;-W34,""))</f>
        <v/>
      </c>
      <c r="AS34" s="217" t="str">
        <f t="shared" ref="AS34" si="496">IF(Y34&gt;Z34,", "&amp;Z34,IF(Z34&gt;Y34,", "&amp;-Y34,""))</f>
        <v/>
      </c>
      <c r="AU34" s="224">
        <f>1+AU32</f>
        <v>16</v>
      </c>
      <c r="AV34" s="247">
        <f ca="1">VLOOKUP(AV33,$A$4:$L$83,8,FALSE)</f>
        <v>4176</v>
      </c>
      <c r="AW34" s="247" t="str">
        <f ca="1">IF(AV34=0,0,VLOOKUP(AV34,Inscripciones!$B$1:$I$464,2,FALSE))</f>
        <v>LÍA SOFÍA SOLÍS VÁSQUEZ</v>
      </c>
      <c r="AX34" s="248" t="str">
        <f ca="1">IF(AV34=0,0,VLOOKUP(AV34,Inscripciones!$B$1:$L$364,3,FALSE))</f>
        <v>ESPARZA</v>
      </c>
      <c r="AY34" s="228"/>
      <c r="AZ34" s="229" t="str">
        <f>VLOOKUP(AV33,$A$4:$AD$87,29,FALSE)</f>
        <v>1 - 0  (0)</v>
      </c>
      <c r="BA34" s="228"/>
      <c r="BB34" s="222"/>
      <c r="BC34" s="222"/>
      <c r="BD34" s="222"/>
      <c r="BE34" s="222"/>
      <c r="BH34" s="236">
        <v>32</v>
      </c>
      <c r="BI34" s="237" t="str">
        <f>VLOOKUP(BH34,$A$4:$L$83,6,FALSE)</f>
        <v>28/Sep-- Table</v>
      </c>
      <c r="BJ34" s="253"/>
      <c r="BL34" s="264">
        <f t="shared" si="35"/>
        <v>30</v>
      </c>
      <c r="BM34" s="265" t="str">
        <f>C62</f>
        <v>28/Sep</v>
      </c>
      <c r="BN34" s="265">
        <f>D62</f>
        <v>0</v>
      </c>
      <c r="BO34" s="266">
        <f>E62</f>
        <v>0</v>
      </c>
      <c r="BP34" s="267" t="s">
        <v>95</v>
      </c>
      <c r="BQ34" s="264"/>
      <c r="BR34" s="264">
        <v>58</v>
      </c>
      <c r="BS34" s="268" t="e">
        <f>VLOOKUP(#REF!,Inscripciones!$B$1:$B$364,2,FALSE)</f>
        <v>#REF!</v>
      </c>
      <c r="BT34" s="264"/>
      <c r="BU34" s="268" t="e">
        <f>VLOOKUP(#REF!,Inscripciones!$B$1:$B$364,2,FALSE)</f>
        <v>#REF!</v>
      </c>
      <c r="BV34" s="264"/>
      <c r="BW34" s="264"/>
      <c r="BY34" s="245">
        <f ca="1">G62</f>
        <v>3918</v>
      </c>
      <c r="BZ34" s="246">
        <f ca="1">H62</f>
        <v>4101</v>
      </c>
      <c r="CA34" s="234" t="str">
        <f>Inscripciones!$B$2</f>
        <v>U13 FEMENINO</v>
      </c>
      <c r="CB34" s="235" t="s">
        <v>122</v>
      </c>
    </row>
    <row r="35" spans="1:80" s="220" customFormat="1" ht="13.5" x14ac:dyDescent="0.25">
      <c r="A35" s="433"/>
      <c r="B35" s="518"/>
      <c r="C35" s="520"/>
      <c r="D35" s="520"/>
      <c r="E35" s="514"/>
      <c r="F35" s="522"/>
      <c r="G35" s="514"/>
      <c r="H35" s="514"/>
      <c r="I35" s="514">
        <v>0</v>
      </c>
      <c r="J35" s="514">
        <v>0</v>
      </c>
      <c r="K35" s="514">
        <v>0</v>
      </c>
      <c r="L35" s="514">
        <v>0</v>
      </c>
      <c r="M35" s="516"/>
      <c r="N35" s="514"/>
      <c r="O35" s="514"/>
      <c r="P35" s="514"/>
      <c r="Q35" s="514"/>
      <c r="R35" s="514"/>
      <c r="S35" s="514"/>
      <c r="T35" s="514"/>
      <c r="U35" s="514"/>
      <c r="V35" s="514"/>
      <c r="W35" s="514"/>
      <c r="X35" s="514"/>
      <c r="Y35" s="514"/>
      <c r="Z35" s="530"/>
      <c r="AA35" s="452"/>
      <c r="AB35" s="452"/>
      <c r="AC35" s="452"/>
      <c r="AD35" s="217" t="str">
        <f t="shared" ref="AD35" si="497">IF(AA34&gt;AB34,AD34&amp;"  "&amp;AE34,IF(AB34&gt;AA34,AD34&amp;"  "&amp;AE35,""))</f>
        <v>1 - 0  (0)</v>
      </c>
      <c r="AE35" s="217" t="str">
        <f t="shared" si="0"/>
        <v>(0)</v>
      </c>
      <c r="AF35" s="217">
        <f t="shared" ref="AF35" si="498">IF(N34&gt;M34,1,0)</f>
        <v>1</v>
      </c>
      <c r="AG35" s="217">
        <f t="shared" ref="AG35" si="499">IF(P34&gt;O34,1,0)</f>
        <v>0</v>
      </c>
      <c r="AH35" s="217">
        <f t="shared" ref="AH35" si="500">IF(R34&gt;Q34,1,0)</f>
        <v>0</v>
      </c>
      <c r="AI35" s="217">
        <f t="shared" ref="AI35" si="501">IF(T34&gt;S34,1,0)</f>
        <v>0</v>
      </c>
      <c r="AJ35" s="217">
        <f t="shared" ref="AJ35" si="502">IF(V34&gt;U34,1,0)</f>
        <v>0</v>
      </c>
      <c r="AK35" s="217">
        <f t="shared" ref="AK35" si="503">IF(X34&gt;W34,1,0)</f>
        <v>0</v>
      </c>
      <c r="AL35" s="217">
        <f t="shared" ref="AL35" si="504">IF(Z34&gt;Y34,1,0)</f>
        <v>0</v>
      </c>
      <c r="AM35" s="217">
        <f t="shared" ref="AM35" si="505">IF(N34&gt;M34,M34,IF(M34&gt;N34,-N34,""))</f>
        <v>0</v>
      </c>
      <c r="AN35" s="217" t="str">
        <f t="shared" ref="AN35" si="506">IF(P34&gt;O34,", "&amp;O34,IF(O34&gt;P34,", "&amp;-P34,""))</f>
        <v/>
      </c>
      <c r="AO35" s="217" t="str">
        <f t="shared" ref="AO35" si="507">IF(R34&gt;Q34,", "&amp;Q34,IF(Q34&gt;R34,", "&amp;-R34,""))</f>
        <v/>
      </c>
      <c r="AP35" s="217" t="str">
        <f t="shared" ref="AP35" si="508">IF(T34&gt;S34,", "&amp;S34,IF(S34&gt;T34,", "&amp;-T34,""))</f>
        <v/>
      </c>
      <c r="AQ35" s="217" t="str">
        <f t="shared" ref="AQ35" si="509">IF(V34&gt;U34,", "&amp;U34,IF(U34&gt;V34,", "&amp;-V34,""))</f>
        <v/>
      </c>
      <c r="AR35" s="217" t="str">
        <f t="shared" ref="AR35" si="510">IF(X34&gt;W34,", "&amp;W34,IF(W34&gt;X34,", "&amp;-X34,""))</f>
        <v/>
      </c>
      <c r="AS35" s="217" t="str">
        <f t="shared" ref="AS35" si="511">IF(Z34&gt;Y34,", "&amp;Y34,IF(Y34&gt;Z34,", "&amp;-Z34,""))</f>
        <v/>
      </c>
      <c r="AU35" s="224"/>
      <c r="AV35" s="222"/>
      <c r="AW35" s="222"/>
      <c r="AX35" s="222"/>
      <c r="AY35" s="222"/>
      <c r="AZ35" s="222"/>
      <c r="BA35" s="222"/>
      <c r="BB35" s="222"/>
      <c r="BC35" s="222"/>
      <c r="BD35" s="222"/>
      <c r="BG35" s="269" t="s">
        <v>123</v>
      </c>
      <c r="BH35" s="270">
        <f ca="1">G70</f>
        <v>4159</v>
      </c>
      <c r="BI35" s="271" t="str">
        <f ca="1">IF(BH35=0,0,VLOOKUP(BH35,Inscripciones!$B$1:$I$464,2,FALSE))</f>
        <v>MARÍA FERNANDA ZELEDÓN HERRERA</v>
      </c>
      <c r="BJ35" s="272" t="str">
        <f ca="1">IF(BH35=0,0,VLOOKUP(BH35,Inscripciones!$B$1:$L$364,3,FALSE))</f>
        <v>ESPARZA</v>
      </c>
      <c r="BL35" s="273">
        <f t="shared" si="35"/>
        <v>31</v>
      </c>
      <c r="BM35" s="274" t="str">
        <f>C64</f>
        <v>28/Sep</v>
      </c>
      <c r="BN35" s="274">
        <f>D64</f>
        <v>0</v>
      </c>
      <c r="BO35" s="275">
        <f>E64</f>
        <v>0</v>
      </c>
      <c r="BP35" s="276" t="s">
        <v>95</v>
      </c>
      <c r="BQ35" s="273"/>
      <c r="BR35" s="273">
        <v>63</v>
      </c>
      <c r="BS35" s="277" t="e">
        <f ca="1">VLOOKUP(BY36,Inscripciones!$B$1:$B$364,2,FALSE)</f>
        <v>#REF!</v>
      </c>
      <c r="BT35" s="273"/>
      <c r="BU35" s="277" t="e">
        <f ca="1">VLOOKUP(BZ36,Inscripciones!$B$1:$B$364,2,FALSE)</f>
        <v>#REF!</v>
      </c>
      <c r="BV35" s="273"/>
      <c r="BW35" s="273"/>
      <c r="BY35" s="245">
        <f ca="1">G64</f>
        <v>4274</v>
      </c>
      <c r="BZ35" s="246">
        <f ca="1">H64</f>
        <v>4101</v>
      </c>
      <c r="CA35" s="234" t="str">
        <f>Inscripciones!$B$2</f>
        <v>U13 FEMENINO</v>
      </c>
      <c r="CB35" s="235" t="s">
        <v>124</v>
      </c>
    </row>
    <row r="36" spans="1:80" s="220" customFormat="1" ht="12.75" x14ac:dyDescent="0.25">
      <c r="A36" s="433">
        <v>17</v>
      </c>
      <c r="B36" s="507" t="s">
        <v>125</v>
      </c>
      <c r="C36" s="509" t="s">
        <v>78</v>
      </c>
      <c r="D36" s="509"/>
      <c r="E36" s="501"/>
      <c r="F36" s="505" t="str">
        <f t="shared" ref="F36:F48" si="512">C36&amp;"-"&amp;D36&amp;"- Table"&amp;E36</f>
        <v>28/Sep-- Table</v>
      </c>
      <c r="G36" s="501">
        <f ca="1">IF(M4="",0,IF(AA4&gt;AB4,G4,H4))</f>
        <v>4159</v>
      </c>
      <c r="H36" s="501">
        <f ca="1">IF(M6="",0,IF(AA6&gt;AB6,G6,H6))</f>
        <v>4191</v>
      </c>
      <c r="I36" s="501" t="str">
        <f ca="1">IF(G36=0,0,VLOOKUP(G36,Inscripciones!$B$1:$I$464,2,FALSE))</f>
        <v>MARÍA FERNANDA ZELEDÓN HERRERA</v>
      </c>
      <c r="J36" s="501" t="str">
        <f ca="1">IF(G36=0,0,VLOOKUP(G36,Inscripciones!$B$1:$L$364,3,FALSE))</f>
        <v>ESPARZA</v>
      </c>
      <c r="K36" s="501" t="str">
        <f ca="1">IF(I36=0,0,VLOOKUP(H36,Inscripciones!$B$1:$I$464,2,FALSE))</f>
        <v>ISABELA CHACÓN ALVARADO</v>
      </c>
      <c r="L36" s="501" t="str">
        <f ca="1">IF(I36=0,0,VLOOKUP(H36,Inscripciones!$B$1:$L$364,3,FALSE))</f>
        <v>CCDR SAN JOSÉ</v>
      </c>
      <c r="M36" s="503">
        <v>11</v>
      </c>
      <c r="N36" s="501">
        <v>8</v>
      </c>
      <c r="O36" s="501">
        <v>11</v>
      </c>
      <c r="P36" s="501">
        <v>6</v>
      </c>
      <c r="Q36" s="501"/>
      <c r="R36" s="501"/>
      <c r="S36" s="501"/>
      <c r="T36" s="501"/>
      <c r="U36" s="501"/>
      <c r="V36" s="501"/>
      <c r="W36" s="501"/>
      <c r="X36" s="501"/>
      <c r="Y36" s="501"/>
      <c r="Z36" s="511"/>
      <c r="AA36" s="452">
        <f t="shared" ref="AA36" si="513">IF(M36+N36&lt;&gt;0,SUM(AF36:AL36),"")</f>
        <v>2</v>
      </c>
      <c r="AB36" s="452">
        <f t="shared" ref="AB36" si="514">IF(M36+N36&lt;&gt;0,SUM(AF37:AL37),"")</f>
        <v>0</v>
      </c>
      <c r="AC36" s="217" t="str">
        <f t="shared" ref="AC36" si="515">IF(AA36&gt;AB36,AD36&amp;"  "&amp;AE36,IF(AB36&gt;AA36,AD36&amp;"  "&amp;AE37,""))</f>
        <v>2 - 0  (8, 6)</v>
      </c>
      <c r="AD36" s="217" t="str">
        <f t="shared" ref="AD36" si="516">IF(AA36&gt;AB36,AA36&amp;" - "&amp;AB36,IF(AB36&gt;AA36,AB36&amp;" - "&amp;AA36,""))</f>
        <v>2 - 0</v>
      </c>
      <c r="AE36" s="217" t="str">
        <f t="shared" si="0"/>
        <v>(8, 6)</v>
      </c>
      <c r="AF36" s="217">
        <f t="shared" ref="AF36" si="517">IF(M36&gt;N36,1,0)</f>
        <v>1</v>
      </c>
      <c r="AG36" s="217">
        <f t="shared" ref="AG36" si="518">IF(O36&gt;P36,1,0)</f>
        <v>1</v>
      </c>
      <c r="AH36" s="217">
        <f t="shared" ref="AH36" si="519">IF(Q36&gt;R36,1,0)</f>
        <v>0</v>
      </c>
      <c r="AI36" s="217">
        <f t="shared" ref="AI36" si="520">IF(S36&gt;T36,1,0)</f>
        <v>0</v>
      </c>
      <c r="AJ36" s="217">
        <f t="shared" ref="AJ36" si="521">IF(U36&gt;V36,1,0)</f>
        <v>0</v>
      </c>
      <c r="AK36" s="217">
        <f t="shared" ref="AK36" si="522">IF(W36&gt;X36,1,0)</f>
        <v>0</v>
      </c>
      <c r="AL36" s="217">
        <f t="shared" ref="AL36" si="523">IF(Y36&gt;Z36,1,0)</f>
        <v>0</v>
      </c>
      <c r="AM36" s="217">
        <f t="shared" ref="AM36" si="524">IF(M36&gt;N36,N36,IF(N36&gt;M36,-M36,""))</f>
        <v>8</v>
      </c>
      <c r="AN36" s="217" t="str">
        <f t="shared" ref="AN36" si="525">IF(O36&gt;P36,", "&amp;P36,IF(P36&gt;O36,", "&amp;-O36,""))</f>
        <v>, 6</v>
      </c>
      <c r="AO36" s="217" t="str">
        <f t="shared" ref="AO36" si="526">IF(Q36&gt;R36,", "&amp;R36,IF(R36&gt;Q36,", "&amp;-Q36,""))</f>
        <v/>
      </c>
      <c r="AP36" s="217" t="str">
        <f t="shared" ref="AP36" si="527">IF(S36&gt;T36,", "&amp;T36,IF(T36&gt;S36,", "&amp;-S36,""))</f>
        <v/>
      </c>
      <c r="AQ36" s="217" t="str">
        <f t="shared" ref="AQ36" si="528">IF(U36&gt;V36,", "&amp;V36,IF(V36&gt;U36,", "&amp;-U36,""))</f>
        <v/>
      </c>
      <c r="AR36" s="217" t="str">
        <f t="shared" ref="AR36" si="529">IF(W36&gt;X36,", "&amp;X36,IF(X36&gt;W36,", "&amp;-W36,""))</f>
        <v/>
      </c>
      <c r="AS36" s="217" t="str">
        <f t="shared" ref="AS36" si="530">IF(Y36&gt;Z36,", "&amp;Z36,IF(Z36&gt;Y36,", "&amp;-Y36,""))</f>
        <v/>
      </c>
      <c r="AU36" s="224">
        <f>1+AU34</f>
        <v>17</v>
      </c>
      <c r="AV36" s="225">
        <f ca="1">VLOOKUP(AV37,$A$4:$L$83,7,FALSE)</f>
        <v>3918</v>
      </c>
      <c r="AW36" s="226" t="str">
        <f ca="1">IF(AV36=0,0,VLOOKUP(AV36,Inscripciones!$B$1:$I$464,2,FALSE))</f>
        <v>MARIANA SOTO CALDERON</v>
      </c>
      <c r="AX36" s="227" t="str">
        <f ca="1">IF(AV36=0,0,VLOOKUP(AV36,Inscripciones!$B$1:$L$364,3,FALSE))</f>
        <v>ESPARZA</v>
      </c>
      <c r="AY36" s="228"/>
      <c r="AZ36" s="229" t="str">
        <f>VLOOKUP(AV37,$A$4:$AD$83,29,FALSE)</f>
        <v>1 - 0  (0)</v>
      </c>
      <c r="BA36" s="228"/>
      <c r="BB36" s="222"/>
      <c r="BC36" s="222"/>
      <c r="BD36" s="222"/>
      <c r="BE36" s="222"/>
      <c r="BH36" s="228"/>
      <c r="BI36" s="229" t="str">
        <f>VLOOKUP(BH34,$A$4:$AD$87,29,FALSE)</f>
        <v>3 - 0  (8, 7, 8)</v>
      </c>
      <c r="BJ36" s="278"/>
      <c r="BL36" s="273">
        <f t="shared" si="35"/>
        <v>32</v>
      </c>
      <c r="BM36" s="274" t="str">
        <f>C66</f>
        <v>28/Sep</v>
      </c>
      <c r="BN36" s="274">
        <f>D66</f>
        <v>0</v>
      </c>
      <c r="BO36" s="275">
        <f>E66</f>
        <v>0</v>
      </c>
      <c r="BP36" s="276" t="s">
        <v>95</v>
      </c>
      <c r="BQ36" s="273"/>
      <c r="BR36" s="273">
        <v>64</v>
      </c>
      <c r="BS36" s="277" t="e">
        <f>VLOOKUP(#REF!,Inscripciones!$B$1:$B$364,2,FALSE)</f>
        <v>#REF!</v>
      </c>
      <c r="BT36" s="273"/>
      <c r="BU36" s="277" t="e">
        <f>VLOOKUP(#REF!,Inscripciones!$B$1:$B$364,2,FALSE)</f>
        <v>#REF!</v>
      </c>
      <c r="BV36" s="273"/>
      <c r="BW36" s="273"/>
      <c r="BY36" s="245">
        <f ca="1">G66</f>
        <v>4159</v>
      </c>
      <c r="BZ36" s="246">
        <f ca="1">H66</f>
        <v>3918</v>
      </c>
      <c r="CA36" s="234" t="str">
        <f>Inscripciones!$B$2</f>
        <v>U13 FEMENINO</v>
      </c>
      <c r="CB36" s="235" t="s">
        <v>126</v>
      </c>
    </row>
    <row r="37" spans="1:80" s="220" customFormat="1" ht="12.75" x14ac:dyDescent="0.25">
      <c r="A37" s="433"/>
      <c r="B37" s="508"/>
      <c r="C37" s="510"/>
      <c r="D37" s="510"/>
      <c r="E37" s="502"/>
      <c r="F37" s="506"/>
      <c r="G37" s="502" t="s">
        <v>61</v>
      </c>
      <c r="H37" s="502" t="s">
        <v>61</v>
      </c>
      <c r="I37" s="502"/>
      <c r="J37" s="502"/>
      <c r="K37" s="502">
        <v>0</v>
      </c>
      <c r="L37" s="502">
        <v>0</v>
      </c>
      <c r="M37" s="504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12"/>
      <c r="AA37" s="452"/>
      <c r="AB37" s="452"/>
      <c r="AC37" s="217"/>
      <c r="AD37" s="217" t="str">
        <f t="shared" ref="AD37" si="531">IF(AA36&gt;AB36,AD36&amp;"  "&amp;AE36,IF(AB36&gt;AA36,AD36&amp;"  "&amp;AE37,""))</f>
        <v>2 - 0  (8, 6)</v>
      </c>
      <c r="AE37" s="217" t="str">
        <f t="shared" si="0"/>
        <v>(-8, -6)</v>
      </c>
      <c r="AF37" s="217">
        <f t="shared" ref="AF37" si="532">IF(N36&gt;M36,1,0)</f>
        <v>0</v>
      </c>
      <c r="AG37" s="217">
        <f t="shared" ref="AG37" si="533">IF(P36&gt;O36,1,0)</f>
        <v>0</v>
      </c>
      <c r="AH37" s="217">
        <f t="shared" ref="AH37" si="534">IF(R36&gt;Q36,1,0)</f>
        <v>0</v>
      </c>
      <c r="AI37" s="217">
        <f t="shared" ref="AI37" si="535">IF(T36&gt;S36,1,0)</f>
        <v>0</v>
      </c>
      <c r="AJ37" s="217">
        <f t="shared" ref="AJ37" si="536">IF(V36&gt;U36,1,0)</f>
        <v>0</v>
      </c>
      <c r="AK37" s="217">
        <f t="shared" ref="AK37" si="537">IF(X36&gt;W36,1,0)</f>
        <v>0</v>
      </c>
      <c r="AL37" s="217">
        <f t="shared" ref="AL37" si="538">IF(Z36&gt;Y36,1,0)</f>
        <v>0</v>
      </c>
      <c r="AM37" s="217">
        <f t="shared" ref="AM37" si="539">IF(N36&gt;M36,M36,IF(M36&gt;N36,-N36,""))</f>
        <v>-8</v>
      </c>
      <c r="AN37" s="217" t="str">
        <f t="shared" ref="AN37" si="540">IF(P36&gt;O36,", "&amp;O36,IF(O36&gt;P36,", "&amp;-P36,""))</f>
        <v>, -6</v>
      </c>
      <c r="AO37" s="217" t="str">
        <f t="shared" ref="AO37" si="541">IF(R36&gt;Q36,", "&amp;Q36,IF(Q36&gt;R36,", "&amp;-R36,""))</f>
        <v/>
      </c>
      <c r="AP37" s="217" t="str">
        <f t="shared" ref="AP37" si="542">IF(T36&gt;S36,", "&amp;S36,IF(S36&gt;T36,", "&amp;-T36,""))</f>
        <v/>
      </c>
      <c r="AQ37" s="217" t="str">
        <f t="shared" ref="AQ37" si="543">IF(V36&gt;U36,", "&amp;U36,IF(U36&gt;V36,", "&amp;-V36,""))</f>
        <v/>
      </c>
      <c r="AR37" s="217" t="str">
        <f t="shared" ref="AR37" si="544">IF(X36&gt;W36,", "&amp;W36,IF(W36&gt;X36,", "&amp;-X36,""))</f>
        <v/>
      </c>
      <c r="AS37" s="217" t="str">
        <f t="shared" ref="AS37" si="545">IF(Z36&gt;Y36,", "&amp;Y36,IF(Y36&gt;Z36,", "&amp;-Z36,""))</f>
        <v/>
      </c>
      <c r="AU37" s="221"/>
      <c r="AV37" s="236">
        <v>9</v>
      </c>
      <c r="AW37" s="237" t="str">
        <f>VLOOKUP(AV37,$A$4:$L$83,6,FALSE)</f>
        <v>28/Sep-- Table</v>
      </c>
      <c r="AX37" s="238"/>
      <c r="AY37" s="225">
        <f ca="1">VLOOKUP(AY39,$A$4:$L$87,7,FALSE)</f>
        <v>3918</v>
      </c>
      <c r="AZ37" s="226" t="str">
        <f ca="1">IF(AY37=0,0,VLOOKUP(AY37,Inscripciones!$B$1:$I$464,2,FALSE))</f>
        <v>MARIANA SOTO CALDERON</v>
      </c>
      <c r="BA37" s="227" t="str">
        <f ca="1">IF(AY37=0,0,VLOOKUP(AY37,Inscripciones!$B$1:$L$364,3,FALSE))</f>
        <v>ESPARZA</v>
      </c>
      <c r="BB37" s="222"/>
      <c r="BC37" s="222"/>
      <c r="BD37" s="222"/>
      <c r="BE37" s="222"/>
      <c r="BJ37" s="253"/>
    </row>
    <row r="38" spans="1:80" s="220" customFormat="1" ht="12.75" x14ac:dyDescent="0.25">
      <c r="A38" s="433">
        <v>18</v>
      </c>
      <c r="B38" s="500" t="s">
        <v>125</v>
      </c>
      <c r="C38" s="460" t="s">
        <v>78</v>
      </c>
      <c r="D38" s="460"/>
      <c r="E38" s="448"/>
      <c r="F38" s="472" t="str">
        <f t="shared" ref="F38:F50" si="546">C38&amp;"-"&amp;D38&amp;"- Table"&amp;E38</f>
        <v>28/Sep-- Table</v>
      </c>
      <c r="G38" s="448">
        <f ca="1">IF(M8="",0,IF(AA8&gt;AB8,G8,H8))</f>
        <v>3912</v>
      </c>
      <c r="H38" s="448">
        <f ca="1">IF(M10="",0,IF(AA10&gt;AB10,G10,H10))</f>
        <v>4100</v>
      </c>
      <c r="I38" s="448" t="str">
        <f ca="1">IF(G38=0,0,VLOOKUP(G38,Inscripciones!$B$1:$I$464,2,FALSE))</f>
        <v>AMBAR PADILLA GRANADOS</v>
      </c>
      <c r="J38" s="448" t="str">
        <f ca="1">IF(G38=0,0,VLOOKUP(G38,Inscripciones!$B$1:$L$364,3,FALSE))</f>
        <v>PÉREZ ZELEDÓN</v>
      </c>
      <c r="K38" s="448" t="str">
        <f ca="1">IF(I38=0,0,VLOOKUP(H38,Inscripciones!$B$1:$I$464,2,FALSE))</f>
        <v>BRENDA HERRERA RIVAS</v>
      </c>
      <c r="L38" s="448" t="str">
        <f ca="1">IF(I38=0,0,VLOOKUP(H38,Inscripciones!$B$1:$L$364,3,FALSE))</f>
        <v>ESPARZA</v>
      </c>
      <c r="M38" s="456">
        <v>5</v>
      </c>
      <c r="N38" s="448">
        <v>11</v>
      </c>
      <c r="O38" s="448">
        <v>7</v>
      </c>
      <c r="P38" s="448">
        <v>11</v>
      </c>
      <c r="Q38" s="448"/>
      <c r="R38" s="448"/>
      <c r="S38" s="448"/>
      <c r="T38" s="448"/>
      <c r="U38" s="448"/>
      <c r="V38" s="448"/>
      <c r="W38" s="448"/>
      <c r="X38" s="448"/>
      <c r="Y38" s="448"/>
      <c r="Z38" s="450"/>
      <c r="AA38" s="452">
        <f t="shared" ref="AA38" si="547">IF(M38+N38&lt;&gt;0,SUM(AF38:AL38),"")</f>
        <v>0</v>
      </c>
      <c r="AB38" s="452">
        <f t="shared" ref="AB38" si="548">IF(M38+N38&lt;&gt;0,SUM(AF39:AL39),"")</f>
        <v>2</v>
      </c>
      <c r="AC38" s="217" t="str">
        <f t="shared" ref="AC38" si="549">IF(AA38&gt;AB38,AD38&amp;"  "&amp;AE38,IF(AB38&gt;AA38,AD38&amp;"  "&amp;AE39,""))</f>
        <v>2 - 0  (5, 7)</v>
      </c>
      <c r="AD38" s="217" t="str">
        <f t="shared" ref="AD38" si="550">IF(AA38&gt;AB38,AA38&amp;" - "&amp;AB38,IF(AB38&gt;AA38,AB38&amp;" - "&amp;AA38,""))</f>
        <v>2 - 0</v>
      </c>
      <c r="AE38" s="217" t="str">
        <f t="shared" si="0"/>
        <v>(-5, -7)</v>
      </c>
      <c r="AF38" s="217">
        <f t="shared" ref="AF38" si="551">IF(M38&gt;N38,1,0)</f>
        <v>0</v>
      </c>
      <c r="AG38" s="217">
        <f t="shared" ref="AG38" si="552">IF(O38&gt;P38,1,0)</f>
        <v>0</v>
      </c>
      <c r="AH38" s="217">
        <f t="shared" ref="AH38" si="553">IF(Q38&gt;R38,1,0)</f>
        <v>0</v>
      </c>
      <c r="AI38" s="217">
        <f t="shared" ref="AI38" si="554">IF(S38&gt;T38,1,0)</f>
        <v>0</v>
      </c>
      <c r="AJ38" s="217">
        <f t="shared" ref="AJ38" si="555">IF(U38&gt;V38,1,0)</f>
        <v>0</v>
      </c>
      <c r="AK38" s="217">
        <f t="shared" ref="AK38" si="556">IF(W38&gt;X38,1,0)</f>
        <v>0</v>
      </c>
      <c r="AL38" s="217">
        <f t="shared" ref="AL38" si="557">IF(Y38&gt;Z38,1,0)</f>
        <v>0</v>
      </c>
      <c r="AM38" s="217">
        <f t="shared" ref="AM38" si="558">IF(M38&gt;N38,N38,IF(N38&gt;M38,-M38,""))</f>
        <v>-5</v>
      </c>
      <c r="AN38" s="217" t="str">
        <f t="shared" ref="AN38" si="559">IF(O38&gt;P38,", "&amp;P38,IF(P38&gt;O38,", "&amp;-O38,""))</f>
        <v>, -7</v>
      </c>
      <c r="AO38" s="217" t="str">
        <f t="shared" ref="AO38" si="560">IF(Q38&gt;R38,", "&amp;R38,IF(R38&gt;Q38,", "&amp;-Q38,""))</f>
        <v/>
      </c>
      <c r="AP38" s="217" t="str">
        <f t="shared" ref="AP38" si="561">IF(S38&gt;T38,", "&amp;T38,IF(T38&gt;S38,", "&amp;-S38,""))</f>
        <v/>
      </c>
      <c r="AQ38" s="217" t="str">
        <f t="shared" ref="AQ38" si="562">IF(U38&gt;V38,", "&amp;V38,IF(V38&gt;U38,", "&amp;-U38,""))</f>
        <v/>
      </c>
      <c r="AR38" s="217" t="str">
        <f t="shared" ref="AR38" si="563">IF(W38&gt;X38,", "&amp;X38,IF(X38&gt;W38,", "&amp;-W38,""))</f>
        <v/>
      </c>
      <c r="AS38" s="217" t="str">
        <f t="shared" ref="AS38" si="564">IF(Y38&gt;Z38,", "&amp;Z38,IF(Z38&gt;Y38,", "&amp;-Y38,""))</f>
        <v/>
      </c>
      <c r="AU38" s="224">
        <f>1+AU36</f>
        <v>18</v>
      </c>
      <c r="AV38" s="247" t="str">
        <f>VLOOKUP(AV37,$A$4:$L$83,8,FALSE)</f>
        <v>X</v>
      </c>
      <c r="AW38" s="247" t="str">
        <f>IF(AV38=0,0,VLOOKUP(AV38,Inscripciones!$B$1:$I$464,2,FALSE))</f>
        <v>BYE</v>
      </c>
      <c r="AX38" s="248" t="str">
        <f>IF(AV38=0,0,VLOOKUP(AV38,Inscripciones!$B$1:$L$364,3,FALSE))</f>
        <v>BYE</v>
      </c>
      <c r="AY38" s="222"/>
      <c r="AZ38" s="222"/>
      <c r="BA38" s="249"/>
      <c r="BB38" s="228"/>
      <c r="BC38" s="229" t="str">
        <f>VLOOKUP(AY39,$A$4:$AD$83,29,FALSE)</f>
        <v>2 - 0  (4, 10)</v>
      </c>
      <c r="BD38" s="228"/>
      <c r="BE38" s="222"/>
      <c r="BJ38" s="253"/>
    </row>
    <row r="39" spans="1:80" s="220" customFormat="1" ht="12.75" x14ac:dyDescent="0.25">
      <c r="A39" s="433"/>
      <c r="B39" s="459"/>
      <c r="C39" s="461"/>
      <c r="D39" s="461"/>
      <c r="E39" s="449"/>
      <c r="F39" s="473"/>
      <c r="G39" s="449" t="s">
        <v>61</v>
      </c>
      <c r="H39" s="449" t="s">
        <v>61</v>
      </c>
      <c r="I39" s="449"/>
      <c r="J39" s="449"/>
      <c r="K39" s="449">
        <v>0</v>
      </c>
      <c r="L39" s="449">
        <v>0</v>
      </c>
      <c r="M39" s="457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51"/>
      <c r="AA39" s="452"/>
      <c r="AB39" s="452"/>
      <c r="AC39" s="217"/>
      <c r="AD39" s="217" t="str">
        <f t="shared" ref="AD39" si="565">IF(AA38&gt;AB38,AD38&amp;"  "&amp;AE38,IF(AB38&gt;AA38,AD38&amp;"  "&amp;AE39,""))</f>
        <v>2 - 0  (5, 7)</v>
      </c>
      <c r="AE39" s="217" t="str">
        <f t="shared" si="0"/>
        <v>(5, 7)</v>
      </c>
      <c r="AF39" s="217">
        <f t="shared" ref="AF39" si="566">IF(N38&gt;M38,1,0)</f>
        <v>1</v>
      </c>
      <c r="AG39" s="217">
        <f t="shared" ref="AG39" si="567">IF(P38&gt;O38,1,0)</f>
        <v>1</v>
      </c>
      <c r="AH39" s="217">
        <f t="shared" ref="AH39" si="568">IF(R38&gt;Q38,1,0)</f>
        <v>0</v>
      </c>
      <c r="AI39" s="217">
        <f t="shared" ref="AI39" si="569">IF(T38&gt;S38,1,0)</f>
        <v>0</v>
      </c>
      <c r="AJ39" s="217">
        <f t="shared" ref="AJ39" si="570">IF(V38&gt;U38,1,0)</f>
        <v>0</v>
      </c>
      <c r="AK39" s="217">
        <f t="shared" ref="AK39" si="571">IF(X38&gt;W38,1,0)</f>
        <v>0</v>
      </c>
      <c r="AL39" s="217">
        <f t="shared" ref="AL39" si="572">IF(Z38&gt;Y38,1,0)</f>
        <v>0</v>
      </c>
      <c r="AM39" s="217">
        <f t="shared" ref="AM39" si="573">IF(N38&gt;M38,M38,IF(M38&gt;N38,-N38,""))</f>
        <v>5</v>
      </c>
      <c r="AN39" s="217" t="str">
        <f t="shared" ref="AN39" si="574">IF(P38&gt;O38,", "&amp;O38,IF(O38&gt;P38,", "&amp;-P38,""))</f>
        <v>, 7</v>
      </c>
      <c r="AO39" s="217" t="str">
        <f t="shared" ref="AO39" si="575">IF(R38&gt;Q38,", "&amp;Q38,IF(Q38&gt;R38,", "&amp;-R38,""))</f>
        <v/>
      </c>
      <c r="AP39" s="217" t="str">
        <f t="shared" ref="AP39" si="576">IF(T38&gt;S38,", "&amp;S38,IF(S38&gt;T38,", "&amp;-T38,""))</f>
        <v/>
      </c>
      <c r="AQ39" s="217" t="str">
        <f t="shared" ref="AQ39" si="577">IF(V38&gt;U38,", "&amp;U38,IF(U38&gt;V38,", "&amp;-V38,""))</f>
        <v/>
      </c>
      <c r="AR39" s="217" t="str">
        <f t="shared" ref="AR39" si="578">IF(X38&gt;W38,", "&amp;W38,IF(W38&gt;X38,", "&amp;-X38,""))</f>
        <v/>
      </c>
      <c r="AS39" s="217" t="str">
        <f t="shared" ref="AS39" si="579">IF(Z38&gt;Y38,", "&amp;Y38,IF(Y38&gt;Z38,", "&amp;-Z38,""))</f>
        <v/>
      </c>
      <c r="AU39" s="224"/>
      <c r="AV39" s="222"/>
      <c r="AW39" s="222"/>
      <c r="AX39" s="250"/>
      <c r="AY39" s="236">
        <v>21</v>
      </c>
      <c r="AZ39" s="237" t="str">
        <f>VLOOKUP(AY39,$A$4:$L$83,6,FALSE)</f>
        <v>28/Sep-- Table</v>
      </c>
      <c r="BA39" s="251"/>
      <c r="BB39" s="225">
        <f ca="1">VLOOKUP(BB43,$A$4:$L$87,7,FALSE)</f>
        <v>3918</v>
      </c>
      <c r="BC39" s="226" t="str">
        <f ca="1">IF(BB39=0,0,VLOOKUP(BB39,Inscripciones!$B$1:$I$464,2,FALSE))</f>
        <v>MARIANA SOTO CALDERON</v>
      </c>
      <c r="BD39" s="227" t="str">
        <f ca="1">IF(BB39=0,0,VLOOKUP(BB39,Inscripciones!$B$1:$L$364,3,FALSE))</f>
        <v>ESPARZA</v>
      </c>
      <c r="BE39" s="222"/>
      <c r="BJ39" s="253"/>
    </row>
    <row r="40" spans="1:80" s="220" customFormat="1" ht="12.75" x14ac:dyDescent="0.25">
      <c r="A40" s="433">
        <v>19</v>
      </c>
      <c r="B40" s="507" t="s">
        <v>127</v>
      </c>
      <c r="C40" s="509" t="s">
        <v>78</v>
      </c>
      <c r="D40" s="509"/>
      <c r="E40" s="501"/>
      <c r="F40" s="505" t="str">
        <f t="shared" si="512"/>
        <v>28/Sep-- Table</v>
      </c>
      <c r="G40" s="501">
        <f ca="1">IF(M12="",0,IF(AA12&gt;AB12,G12,H12))</f>
        <v>4274</v>
      </c>
      <c r="H40" s="501">
        <f ca="1">IF(M14="",0,IF(AA14&gt;AB14,G14,H14))</f>
        <v>3907</v>
      </c>
      <c r="I40" s="501" t="str">
        <f ca="1">IF(G40=0,0,VLOOKUP(G40,Inscripciones!$B$1:$I$464,2,FALSE))</f>
        <v>MARÍA PAULA HERNÁNDEZ ZÚÑIGA</v>
      </c>
      <c r="J40" s="501" t="str">
        <f ca="1">IF(G40=0,0,VLOOKUP(G40,Inscripciones!$B$1:$L$364,3,FALSE))</f>
        <v>ESCAZÚ</v>
      </c>
      <c r="K40" s="501" t="str">
        <f ca="1">IF(I40=0,0,VLOOKUP(H40,Inscripciones!$B$1:$I$464,2,FALSE))</f>
        <v>LUCIANA CASCANTE BARBOZA</v>
      </c>
      <c r="L40" s="501" t="str">
        <f ca="1">IF(I40=0,0,VLOOKUP(H40,Inscripciones!$B$1:$L$364,3,FALSE))</f>
        <v>ASERRÍ</v>
      </c>
      <c r="M40" s="503">
        <v>11</v>
      </c>
      <c r="N40" s="501">
        <v>7</v>
      </c>
      <c r="O40" s="501">
        <v>11</v>
      </c>
      <c r="P40" s="501">
        <v>3</v>
      </c>
      <c r="Q40" s="501"/>
      <c r="R40" s="501"/>
      <c r="S40" s="501"/>
      <c r="T40" s="501"/>
      <c r="U40" s="501"/>
      <c r="V40" s="501"/>
      <c r="W40" s="501"/>
      <c r="X40" s="501"/>
      <c r="Y40" s="501"/>
      <c r="Z40" s="511"/>
      <c r="AA40" s="452">
        <f t="shared" ref="AA40" si="580">IF(M40+N40&lt;&gt;0,SUM(AF40:AL40),"")</f>
        <v>2</v>
      </c>
      <c r="AB40" s="452">
        <f t="shared" ref="AB40" si="581">IF(M40+N40&lt;&gt;0,SUM(AF41:AL41),"")</f>
        <v>0</v>
      </c>
      <c r="AC40" s="217" t="str">
        <f t="shared" ref="AC40" si="582">IF(AA40&gt;AB40,AD40&amp;"  "&amp;AE40,IF(AB40&gt;AA40,AD40&amp;"  "&amp;AE41,""))</f>
        <v>2 - 0  (7, 3)</v>
      </c>
      <c r="AD40" s="217" t="str">
        <f t="shared" ref="AD40" si="583">IF(AA40&gt;AB40,AA40&amp;" - "&amp;AB40,IF(AB40&gt;AA40,AB40&amp;" - "&amp;AA40,""))</f>
        <v>2 - 0</v>
      </c>
      <c r="AE40" s="217" t="str">
        <f t="shared" si="0"/>
        <v>(7, 3)</v>
      </c>
      <c r="AF40" s="217">
        <f t="shared" ref="AF40" si="584">IF(M40&gt;N40,1,0)</f>
        <v>1</v>
      </c>
      <c r="AG40" s="217">
        <f t="shared" ref="AG40" si="585">IF(O40&gt;P40,1,0)</f>
        <v>1</v>
      </c>
      <c r="AH40" s="217">
        <f t="shared" ref="AH40" si="586">IF(Q40&gt;R40,1,0)</f>
        <v>0</v>
      </c>
      <c r="AI40" s="217">
        <f t="shared" ref="AI40" si="587">IF(S40&gt;T40,1,0)</f>
        <v>0</v>
      </c>
      <c r="AJ40" s="217">
        <f t="shared" ref="AJ40" si="588">IF(U40&gt;V40,1,0)</f>
        <v>0</v>
      </c>
      <c r="AK40" s="217">
        <f t="shared" ref="AK40" si="589">IF(W40&gt;X40,1,0)</f>
        <v>0</v>
      </c>
      <c r="AL40" s="217">
        <f t="shared" ref="AL40" si="590">IF(Y40&gt;Z40,1,0)</f>
        <v>0</v>
      </c>
      <c r="AM40" s="217">
        <f t="shared" ref="AM40" si="591">IF(M40&gt;N40,N40,IF(N40&gt;M40,-M40,""))</f>
        <v>7</v>
      </c>
      <c r="AN40" s="217" t="str">
        <f t="shared" ref="AN40" si="592">IF(O40&gt;P40,", "&amp;P40,IF(P40&gt;O40,", "&amp;-O40,""))</f>
        <v>, 3</v>
      </c>
      <c r="AO40" s="217" t="str">
        <f t="shared" ref="AO40" si="593">IF(Q40&gt;R40,", "&amp;R40,IF(R40&gt;Q40,", "&amp;-Q40,""))</f>
        <v/>
      </c>
      <c r="AP40" s="217" t="str">
        <f t="shared" ref="AP40" si="594">IF(S40&gt;T40,", "&amp;T40,IF(T40&gt;S40,", "&amp;-S40,""))</f>
        <v/>
      </c>
      <c r="AQ40" s="217" t="str">
        <f t="shared" ref="AQ40" si="595">IF(U40&gt;V40,", "&amp;V40,IF(V40&gt;U40,", "&amp;-U40,""))</f>
        <v/>
      </c>
      <c r="AR40" s="217" t="str">
        <f t="shared" ref="AR40" si="596">IF(W40&gt;X40,", "&amp;X40,IF(X40&gt;W40,", "&amp;-W40,""))</f>
        <v/>
      </c>
      <c r="AS40" s="217" t="str">
        <f t="shared" ref="AS40" si="597">IF(Y40&gt;Z40,", "&amp;Z40,IF(Z40&gt;Y40,", "&amp;-Y40,""))</f>
        <v/>
      </c>
      <c r="AU40" s="224">
        <f>1+AU38</f>
        <v>19</v>
      </c>
      <c r="AV40" s="225" t="str">
        <f>VLOOKUP(AV41,$A$4:$L$83,7,FALSE)</f>
        <v>X</v>
      </c>
      <c r="AW40" s="226" t="str">
        <f>IF(AV40=0,0,VLOOKUP(AV40,Inscripciones!$B$1:$I$464,2,FALSE))</f>
        <v>BYE</v>
      </c>
      <c r="AX40" s="227" t="str">
        <f>IF(AV40=0,0,VLOOKUP(AV40,Inscripciones!$B$1:$L$364,3,FALSE))</f>
        <v>BYE</v>
      </c>
      <c r="AY40" s="252"/>
      <c r="AZ40" s="222"/>
      <c r="BA40" s="249"/>
      <c r="BB40" s="222"/>
      <c r="BC40" s="222"/>
      <c r="BD40" s="249"/>
      <c r="BE40" s="222"/>
      <c r="BJ40" s="253"/>
    </row>
    <row r="41" spans="1:80" s="220" customFormat="1" ht="12.75" x14ac:dyDescent="0.25">
      <c r="A41" s="433"/>
      <c r="B41" s="508"/>
      <c r="C41" s="510"/>
      <c r="D41" s="510"/>
      <c r="E41" s="502"/>
      <c r="F41" s="506"/>
      <c r="G41" s="502" t="s">
        <v>61</v>
      </c>
      <c r="H41" s="502" t="s">
        <v>61</v>
      </c>
      <c r="I41" s="502"/>
      <c r="J41" s="502"/>
      <c r="K41" s="502">
        <v>0</v>
      </c>
      <c r="L41" s="502">
        <v>0</v>
      </c>
      <c r="M41" s="504"/>
      <c r="N41" s="502"/>
      <c r="O41" s="502"/>
      <c r="P41" s="502"/>
      <c r="Q41" s="502"/>
      <c r="R41" s="502"/>
      <c r="S41" s="502"/>
      <c r="T41" s="502"/>
      <c r="U41" s="502"/>
      <c r="V41" s="502"/>
      <c r="W41" s="502"/>
      <c r="X41" s="502"/>
      <c r="Y41" s="502"/>
      <c r="Z41" s="512"/>
      <c r="AA41" s="452"/>
      <c r="AB41" s="452"/>
      <c r="AC41" s="217"/>
      <c r="AD41" s="217" t="str">
        <f t="shared" ref="AD41" si="598">IF(AA40&gt;AB40,AD40&amp;"  "&amp;AE40,IF(AB40&gt;AA40,AD40&amp;"  "&amp;AE41,""))</f>
        <v>2 - 0  (7, 3)</v>
      </c>
      <c r="AE41" s="217" t="str">
        <f t="shared" si="0"/>
        <v>(-7, -3)</v>
      </c>
      <c r="AF41" s="217">
        <f t="shared" ref="AF41" si="599">IF(N40&gt;M40,1,0)</f>
        <v>0</v>
      </c>
      <c r="AG41" s="217">
        <f t="shared" ref="AG41" si="600">IF(P40&gt;O40,1,0)</f>
        <v>0</v>
      </c>
      <c r="AH41" s="217">
        <f t="shared" ref="AH41" si="601">IF(R40&gt;Q40,1,0)</f>
        <v>0</v>
      </c>
      <c r="AI41" s="217">
        <f t="shared" ref="AI41" si="602">IF(T40&gt;S40,1,0)</f>
        <v>0</v>
      </c>
      <c r="AJ41" s="217">
        <f t="shared" ref="AJ41" si="603">IF(V40&gt;U40,1,0)</f>
        <v>0</v>
      </c>
      <c r="AK41" s="217">
        <f t="shared" ref="AK41" si="604">IF(X40&gt;W40,1,0)</f>
        <v>0</v>
      </c>
      <c r="AL41" s="217">
        <f t="shared" ref="AL41" si="605">IF(Z40&gt;Y40,1,0)</f>
        <v>0</v>
      </c>
      <c r="AM41" s="217">
        <f t="shared" ref="AM41" si="606">IF(N40&gt;M40,M40,IF(M40&gt;N40,-N40,""))</f>
        <v>-7</v>
      </c>
      <c r="AN41" s="217" t="str">
        <f t="shared" ref="AN41" si="607">IF(P40&gt;O40,", "&amp;O40,IF(O40&gt;P40,", "&amp;-P40,""))</f>
        <v>, -3</v>
      </c>
      <c r="AO41" s="217" t="str">
        <f t="shared" ref="AO41" si="608">IF(R40&gt;Q40,", "&amp;Q40,IF(Q40&gt;R40,", "&amp;-R40,""))</f>
        <v/>
      </c>
      <c r="AP41" s="217" t="str">
        <f t="shared" ref="AP41" si="609">IF(T40&gt;S40,", "&amp;S40,IF(S40&gt;T40,", "&amp;-T40,""))</f>
        <v/>
      </c>
      <c r="AQ41" s="217" t="str">
        <f t="shared" ref="AQ41" si="610">IF(V40&gt;U40,", "&amp;U40,IF(U40&gt;V40,", "&amp;-V40,""))</f>
        <v/>
      </c>
      <c r="AR41" s="217" t="str">
        <f t="shared" ref="AR41" si="611">IF(X40&gt;W40,", "&amp;W40,IF(W40&gt;X40,", "&amp;-X40,""))</f>
        <v/>
      </c>
      <c r="AS41" s="217" t="str">
        <f t="shared" ref="AS41" si="612">IF(Z40&gt;Y40,", "&amp;Y40,IF(Y40&gt;Z40,", "&amp;-Z40,""))</f>
        <v/>
      </c>
      <c r="AU41" s="221"/>
      <c r="AV41" s="236">
        <v>10</v>
      </c>
      <c r="AW41" s="237" t="str">
        <f>VLOOKUP(AV41,$A$4:$L$83,6,FALSE)</f>
        <v>28/Sep-- Table</v>
      </c>
      <c r="AX41" s="238"/>
      <c r="AY41" s="247">
        <f ca="1">VLOOKUP(AY39,$A$4:$L$87,8,FALSE)</f>
        <v>4673</v>
      </c>
      <c r="AZ41" s="247" t="str">
        <f ca="1">IF(AY41=0,0,VLOOKUP(AY41,Inscripciones!$B$1:$I$464,2,FALSE))</f>
        <v>ALINA CHACON RETANA</v>
      </c>
      <c r="BA41" s="248" t="str">
        <f ca="1">IF(AY41=0,0,VLOOKUP(AY41,Inscripciones!$B$1:$L$364,3,FALSE))</f>
        <v>SAN CARLOS</v>
      </c>
      <c r="BB41" s="222"/>
      <c r="BC41" s="222"/>
      <c r="BD41" s="249"/>
      <c r="BE41" s="222"/>
      <c r="BJ41" s="253"/>
    </row>
    <row r="42" spans="1:80" s="220" customFormat="1" ht="12.75" x14ac:dyDescent="0.25">
      <c r="A42" s="433">
        <v>20</v>
      </c>
      <c r="B42" s="500" t="s">
        <v>127</v>
      </c>
      <c r="C42" s="460" t="s">
        <v>78</v>
      </c>
      <c r="D42" s="460"/>
      <c r="E42" s="448"/>
      <c r="F42" s="472" t="str">
        <f t="shared" si="546"/>
        <v>28/Sep-- Table</v>
      </c>
      <c r="G42" s="448">
        <f ca="1">IF(M16="",0,IF(AA16&gt;AB16,G16,H16))</f>
        <v>4348</v>
      </c>
      <c r="H42" s="448">
        <f ca="1">IF(M18="",0,IF(AA18&gt;AB18,G18,H18))</f>
        <v>4176</v>
      </c>
      <c r="I42" s="448" t="str">
        <f ca="1">IF(G42=0,0,VLOOKUP(G42,Inscripciones!$B$1:$I$464,2,FALSE))</f>
        <v>AMANDA PEREZ CABEZAS</v>
      </c>
      <c r="J42" s="448" t="str">
        <f ca="1">IF(G42=0,0,VLOOKUP(G42,Inscripciones!$B$1:$L$364,3,FALSE))</f>
        <v>CORREDORES</v>
      </c>
      <c r="K42" s="448" t="str">
        <f ca="1">IF(I42=0,0,VLOOKUP(H42,Inscripciones!$B$1:$I$464,2,FALSE))</f>
        <v>LÍA SOFÍA SOLÍS VÁSQUEZ</v>
      </c>
      <c r="L42" s="448" t="str">
        <f ca="1">IF(I42=0,0,VLOOKUP(H42,Inscripciones!$B$1:$L$364,3,FALSE))</f>
        <v>ESPARZA</v>
      </c>
      <c r="M42" s="456">
        <v>5</v>
      </c>
      <c r="N42" s="448">
        <v>11</v>
      </c>
      <c r="O42" s="448">
        <v>7</v>
      </c>
      <c r="P42" s="448">
        <v>11</v>
      </c>
      <c r="Q42" s="448"/>
      <c r="R42" s="448"/>
      <c r="S42" s="448"/>
      <c r="T42" s="448"/>
      <c r="U42" s="448"/>
      <c r="V42" s="448"/>
      <c r="W42" s="448"/>
      <c r="X42" s="448"/>
      <c r="Y42" s="448"/>
      <c r="Z42" s="450"/>
      <c r="AA42" s="452">
        <f t="shared" ref="AA42" si="613">IF(M42+N42&lt;&gt;0,SUM(AF42:AL42),"")</f>
        <v>0</v>
      </c>
      <c r="AB42" s="452">
        <f t="shared" ref="AB42" si="614">IF(M42+N42&lt;&gt;0,SUM(AF43:AL43),"")</f>
        <v>2</v>
      </c>
      <c r="AC42" s="217" t="str">
        <f t="shared" ref="AC42" si="615">IF(AA42&gt;AB42,AD42&amp;"  "&amp;AE42,IF(AB42&gt;AA42,AD42&amp;"  "&amp;AE43,""))</f>
        <v>2 - 0  (5, 7)</v>
      </c>
      <c r="AD42" s="217" t="str">
        <f t="shared" ref="AD42" si="616">IF(AA42&gt;AB42,AA42&amp;" - "&amp;AB42,IF(AB42&gt;AA42,AB42&amp;" - "&amp;AA42,""))</f>
        <v>2 - 0</v>
      </c>
      <c r="AE42" s="217" t="str">
        <f t="shared" si="0"/>
        <v>(-5, -7)</v>
      </c>
      <c r="AF42" s="217">
        <f t="shared" ref="AF42" si="617">IF(M42&gt;N42,1,0)</f>
        <v>0</v>
      </c>
      <c r="AG42" s="217">
        <f t="shared" ref="AG42" si="618">IF(O42&gt;P42,1,0)</f>
        <v>0</v>
      </c>
      <c r="AH42" s="217">
        <f t="shared" ref="AH42" si="619">IF(Q42&gt;R42,1,0)</f>
        <v>0</v>
      </c>
      <c r="AI42" s="217">
        <f t="shared" ref="AI42" si="620">IF(S42&gt;T42,1,0)</f>
        <v>0</v>
      </c>
      <c r="AJ42" s="217">
        <f t="shared" ref="AJ42" si="621">IF(U42&gt;V42,1,0)</f>
        <v>0</v>
      </c>
      <c r="AK42" s="217">
        <f t="shared" ref="AK42" si="622">IF(W42&gt;X42,1,0)</f>
        <v>0</v>
      </c>
      <c r="AL42" s="217">
        <f t="shared" ref="AL42" si="623">IF(Y42&gt;Z42,1,0)</f>
        <v>0</v>
      </c>
      <c r="AM42" s="217">
        <f t="shared" ref="AM42" si="624">IF(M42&gt;N42,N42,IF(N42&gt;M42,-M42,""))</f>
        <v>-5</v>
      </c>
      <c r="AN42" s="217" t="str">
        <f t="shared" ref="AN42" si="625">IF(O42&gt;P42,", "&amp;P42,IF(P42&gt;O42,", "&amp;-O42,""))</f>
        <v>, -7</v>
      </c>
      <c r="AO42" s="217" t="str">
        <f t="shared" ref="AO42" si="626">IF(Q42&gt;R42,", "&amp;R42,IF(R42&gt;Q42,", "&amp;-Q42,""))</f>
        <v/>
      </c>
      <c r="AP42" s="217" t="str">
        <f t="shared" ref="AP42" si="627">IF(S42&gt;T42,", "&amp;T42,IF(T42&gt;S42,", "&amp;-S42,""))</f>
        <v/>
      </c>
      <c r="AQ42" s="217" t="str">
        <f t="shared" ref="AQ42" si="628">IF(U42&gt;V42,", "&amp;V42,IF(V42&gt;U42,", "&amp;-U42,""))</f>
        <v/>
      </c>
      <c r="AR42" s="217" t="str">
        <f t="shared" ref="AR42" si="629">IF(W42&gt;X42,", "&amp;X42,IF(X42&gt;W42,", "&amp;-W42,""))</f>
        <v/>
      </c>
      <c r="AS42" s="217" t="str">
        <f t="shared" ref="AS42" si="630">IF(Y42&gt;Z42,", "&amp;Z42,IF(Z42&gt;Y42,", "&amp;-Y42,""))</f>
        <v/>
      </c>
      <c r="AU42" s="224">
        <f>1+AU40</f>
        <v>20</v>
      </c>
      <c r="AV42" s="247">
        <f ca="1">VLOOKUP(AV41,$A$4:$L$83,8,FALSE)</f>
        <v>4673</v>
      </c>
      <c r="AW42" s="247" t="str">
        <f ca="1">IF(AV42=0,0,VLOOKUP(AV42,Inscripciones!$B$1:$I$464,2,FALSE))</f>
        <v>ALINA CHACON RETANA</v>
      </c>
      <c r="AX42" s="248" t="str">
        <f ca="1">IF(AV42=0,0,VLOOKUP(AV42,Inscripciones!$B$1:$L$364,3,FALSE))</f>
        <v>SAN CARLOS</v>
      </c>
      <c r="AY42" s="228"/>
      <c r="AZ42" s="229" t="str">
        <f>VLOOKUP(AV41,$A$4:$AD$87,29,FALSE)</f>
        <v>1 - 0  (0)</v>
      </c>
      <c r="BA42" s="228"/>
      <c r="BB42" s="222"/>
      <c r="BC42" s="222"/>
      <c r="BD42" s="249"/>
      <c r="BE42" s="228"/>
      <c r="BF42" s="229" t="str">
        <f>VLOOKUP(BB43,$A$4:$AD$83,29,FALSE)</f>
        <v>2 - 1  (-8, 4, 9)</v>
      </c>
      <c r="BG42" s="228"/>
      <c r="BJ42" s="253"/>
    </row>
    <row r="43" spans="1:80" s="220" customFormat="1" ht="12.75" x14ac:dyDescent="0.25">
      <c r="A43" s="433"/>
      <c r="B43" s="459"/>
      <c r="C43" s="461"/>
      <c r="D43" s="461"/>
      <c r="E43" s="449"/>
      <c r="F43" s="473"/>
      <c r="G43" s="449" t="s">
        <v>61</v>
      </c>
      <c r="H43" s="449" t="s">
        <v>61</v>
      </c>
      <c r="I43" s="449"/>
      <c r="J43" s="449"/>
      <c r="K43" s="449">
        <v>0</v>
      </c>
      <c r="L43" s="449">
        <v>0</v>
      </c>
      <c r="M43" s="457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51"/>
      <c r="AA43" s="452"/>
      <c r="AB43" s="452"/>
      <c r="AC43" s="217"/>
      <c r="AD43" s="217" t="str">
        <f t="shared" ref="AD43" si="631">IF(AA42&gt;AB42,AD42&amp;"  "&amp;AE42,IF(AB42&gt;AA42,AD42&amp;"  "&amp;AE43,""))</f>
        <v>2 - 0  (5, 7)</v>
      </c>
      <c r="AE43" s="217" t="str">
        <f t="shared" si="0"/>
        <v>(5, 7)</v>
      </c>
      <c r="AF43" s="217">
        <f t="shared" ref="AF43" si="632">IF(N42&gt;M42,1,0)</f>
        <v>1</v>
      </c>
      <c r="AG43" s="217">
        <f t="shared" ref="AG43" si="633">IF(P42&gt;O42,1,0)</f>
        <v>1</v>
      </c>
      <c r="AH43" s="217">
        <f t="shared" ref="AH43" si="634">IF(R42&gt;Q42,1,0)</f>
        <v>0</v>
      </c>
      <c r="AI43" s="217">
        <f t="shared" ref="AI43" si="635">IF(T42&gt;S42,1,0)</f>
        <v>0</v>
      </c>
      <c r="AJ43" s="217">
        <f t="shared" ref="AJ43" si="636">IF(V42&gt;U42,1,0)</f>
        <v>0</v>
      </c>
      <c r="AK43" s="217">
        <f t="shared" ref="AK43" si="637">IF(X42&gt;W42,1,0)</f>
        <v>0</v>
      </c>
      <c r="AL43" s="217">
        <f t="shared" ref="AL43" si="638">IF(Z42&gt;Y42,1,0)</f>
        <v>0</v>
      </c>
      <c r="AM43" s="217">
        <f t="shared" ref="AM43" si="639">IF(N42&gt;M42,M42,IF(M42&gt;N42,-N42,""))</f>
        <v>5</v>
      </c>
      <c r="AN43" s="217" t="str">
        <f t="shared" ref="AN43" si="640">IF(P42&gt;O42,", "&amp;O42,IF(O42&gt;P42,", "&amp;-P42,""))</f>
        <v>, 7</v>
      </c>
      <c r="AO43" s="217" t="str">
        <f t="shared" ref="AO43" si="641">IF(R42&gt;Q42,", "&amp;Q42,IF(Q42&gt;R42,", "&amp;-R42,""))</f>
        <v/>
      </c>
      <c r="AP43" s="217" t="str">
        <f t="shared" ref="AP43" si="642">IF(T42&gt;S42,", "&amp;S42,IF(S42&gt;T42,", "&amp;-T42,""))</f>
        <v/>
      </c>
      <c r="AQ43" s="217" t="str">
        <f t="shared" ref="AQ43" si="643">IF(V42&gt;U42,", "&amp;U42,IF(U42&gt;V42,", "&amp;-V42,""))</f>
        <v/>
      </c>
      <c r="AR43" s="217" t="str">
        <f t="shared" ref="AR43" si="644">IF(X42&gt;W42,", "&amp;W42,IF(W42&gt;X42,", "&amp;-X42,""))</f>
        <v/>
      </c>
      <c r="AS43" s="217" t="str">
        <f t="shared" ref="AS43" si="645">IF(Z42&gt;Y42,", "&amp;Y42,IF(Y42&gt;Z42,", "&amp;-Z42,""))</f>
        <v/>
      </c>
      <c r="AU43" s="221"/>
      <c r="AV43" s="222"/>
      <c r="AW43" s="222"/>
      <c r="AX43" s="250"/>
      <c r="AY43" s="222"/>
      <c r="AZ43" s="222"/>
      <c r="BA43" s="222"/>
      <c r="BB43" s="236">
        <v>27</v>
      </c>
      <c r="BC43" s="237" t="str">
        <f>VLOOKUP(BB43,$A$4:$L$83,6,FALSE)</f>
        <v>28/Sep-- Table</v>
      </c>
      <c r="BD43" s="249"/>
      <c r="BE43" s="225">
        <f ca="1">VLOOKUP(BE51,$A$4:$L$87,7,FALSE)</f>
        <v>3918</v>
      </c>
      <c r="BF43" s="226" t="str">
        <f ca="1">IF(BE43=0,0,VLOOKUP(BE43,Inscripciones!$B$1:$I$464,2,FALSE))</f>
        <v>MARIANA SOTO CALDERON</v>
      </c>
      <c r="BG43" s="227" t="str">
        <f ca="1">IF(BE43=0,0,VLOOKUP(BE43,Inscripciones!$B$1:$L$364,3,FALSE))</f>
        <v>ESPARZA</v>
      </c>
      <c r="BJ43" s="253"/>
    </row>
    <row r="44" spans="1:80" s="220" customFormat="1" ht="12.75" x14ac:dyDescent="0.25">
      <c r="A44" s="433">
        <v>21</v>
      </c>
      <c r="B44" s="507" t="s">
        <v>127</v>
      </c>
      <c r="C44" s="509" t="s">
        <v>78</v>
      </c>
      <c r="D44" s="509"/>
      <c r="E44" s="501"/>
      <c r="F44" s="505" t="str">
        <f t="shared" si="512"/>
        <v>28/Sep-- Table</v>
      </c>
      <c r="G44" s="501">
        <f ca="1">IF(M20="",0,IF(AA20&gt;AB20,G20,H20))</f>
        <v>3918</v>
      </c>
      <c r="H44" s="501">
        <f ca="1">IF(M22="",0,IF(AA22&gt;AB22,G22,H22))</f>
        <v>4673</v>
      </c>
      <c r="I44" s="501" t="str">
        <f ca="1">IF(G44=0,0,VLOOKUP(G44,Inscripciones!$B$1:$I$464,2,FALSE))</f>
        <v>MARIANA SOTO CALDERON</v>
      </c>
      <c r="J44" s="501" t="str">
        <f ca="1">IF(G44=0,0,VLOOKUP(G44,Inscripciones!$B$1:$L$364,3,FALSE))</f>
        <v>ESPARZA</v>
      </c>
      <c r="K44" s="501" t="str">
        <f ca="1">IF(I44=0,0,VLOOKUP(H44,Inscripciones!$B$1:$I$464,2,FALSE))</f>
        <v>ALINA CHACON RETANA</v>
      </c>
      <c r="L44" s="501" t="str">
        <f ca="1">IF(I44=0,0,VLOOKUP(H44,Inscripciones!$B$1:$L$364,3,FALSE))</f>
        <v>SAN CARLOS</v>
      </c>
      <c r="M44" s="503">
        <v>11</v>
      </c>
      <c r="N44" s="501">
        <v>4</v>
      </c>
      <c r="O44" s="501">
        <v>12</v>
      </c>
      <c r="P44" s="501">
        <v>10</v>
      </c>
      <c r="Q44" s="501"/>
      <c r="R44" s="501"/>
      <c r="S44" s="501"/>
      <c r="T44" s="501"/>
      <c r="U44" s="501"/>
      <c r="V44" s="501"/>
      <c r="W44" s="501"/>
      <c r="X44" s="501"/>
      <c r="Y44" s="501"/>
      <c r="Z44" s="511"/>
      <c r="AA44" s="452">
        <f t="shared" ref="AA44" si="646">IF(M44+N44&lt;&gt;0,SUM(AF44:AL44),"")</f>
        <v>2</v>
      </c>
      <c r="AB44" s="452">
        <f t="shared" ref="AB44" si="647">IF(M44+N44&lt;&gt;0,SUM(AF45:AL45),"")</f>
        <v>0</v>
      </c>
      <c r="AC44" s="217" t="str">
        <f t="shared" ref="AC44" si="648">IF(AA44&gt;AB44,AD44&amp;"  "&amp;AE44,IF(AB44&gt;AA44,AD44&amp;"  "&amp;AE45,""))</f>
        <v>2 - 0  (4, 10)</v>
      </c>
      <c r="AD44" s="217" t="str">
        <f t="shared" ref="AD44" si="649">IF(AA44&gt;AB44,AA44&amp;" - "&amp;AB44,IF(AB44&gt;AA44,AB44&amp;" - "&amp;AA44,""))</f>
        <v>2 - 0</v>
      </c>
      <c r="AE44" s="217" t="str">
        <f t="shared" si="0"/>
        <v>(4, 10)</v>
      </c>
      <c r="AF44" s="217">
        <f t="shared" ref="AF44" si="650">IF(M44&gt;N44,1,0)</f>
        <v>1</v>
      </c>
      <c r="AG44" s="217">
        <f t="shared" ref="AG44" si="651">IF(O44&gt;P44,1,0)</f>
        <v>1</v>
      </c>
      <c r="AH44" s="217">
        <f t="shared" ref="AH44" si="652">IF(Q44&gt;R44,1,0)</f>
        <v>0</v>
      </c>
      <c r="AI44" s="217">
        <f t="shared" ref="AI44" si="653">IF(S44&gt;T44,1,0)</f>
        <v>0</v>
      </c>
      <c r="AJ44" s="217">
        <f t="shared" ref="AJ44" si="654">IF(U44&gt;V44,1,0)</f>
        <v>0</v>
      </c>
      <c r="AK44" s="217">
        <f t="shared" ref="AK44" si="655">IF(W44&gt;X44,1,0)</f>
        <v>0</v>
      </c>
      <c r="AL44" s="217">
        <f t="shared" ref="AL44" si="656">IF(Y44&gt;Z44,1,0)</f>
        <v>0</v>
      </c>
      <c r="AM44" s="217">
        <f t="shared" ref="AM44" si="657">IF(M44&gt;N44,N44,IF(N44&gt;M44,-M44,""))</f>
        <v>4</v>
      </c>
      <c r="AN44" s="217" t="str">
        <f t="shared" ref="AN44" si="658">IF(O44&gt;P44,", "&amp;P44,IF(P44&gt;O44,", "&amp;-O44,""))</f>
        <v>, 10</v>
      </c>
      <c r="AO44" s="217" t="str">
        <f t="shared" ref="AO44" si="659">IF(Q44&gt;R44,", "&amp;R44,IF(R44&gt;Q44,", "&amp;-Q44,""))</f>
        <v/>
      </c>
      <c r="AP44" s="217" t="str">
        <f t="shared" ref="AP44" si="660">IF(S44&gt;T44,", "&amp;T44,IF(T44&gt;S44,", "&amp;-S44,""))</f>
        <v/>
      </c>
      <c r="AQ44" s="217" t="str">
        <f t="shared" ref="AQ44" si="661">IF(U44&gt;V44,", "&amp;V44,IF(V44&gt;U44,", "&amp;-U44,""))</f>
        <v/>
      </c>
      <c r="AR44" s="217" t="str">
        <f t="shared" ref="AR44" si="662">IF(W44&gt;X44,", "&amp;X44,IF(X44&gt;W44,", "&amp;-W44,""))</f>
        <v/>
      </c>
      <c r="AS44" s="217" t="str">
        <f t="shared" ref="AS44" si="663">IF(Y44&gt;Z44,", "&amp;Z44,IF(Z44&gt;Y44,", "&amp;-Y44,""))</f>
        <v/>
      </c>
      <c r="AU44" s="224">
        <f>1+AU42</f>
        <v>21</v>
      </c>
      <c r="AV44" s="225">
        <f ca="1">VLOOKUP(AV45,$A$4:$L$83,7,FALSE)</f>
        <v>4276</v>
      </c>
      <c r="AW44" s="226" t="str">
        <f ca="1">IF(AV44=0,0,VLOOKUP(AV44,Inscripciones!$B$1:$I$464,2,FALSE))</f>
        <v>SILOÉ MUÑOZ CÓRDOBA</v>
      </c>
      <c r="AX44" s="227" t="str">
        <f ca="1">IF(AV44=0,0,VLOOKUP(AV44,Inscripciones!$B$1:$L$364,3,FALSE))</f>
        <v>ESPARZA</v>
      </c>
      <c r="AY44" s="228"/>
      <c r="AZ44" s="229" t="str">
        <f>VLOOKUP(AV45,$A$4:$AD$83,29,FALSE)</f>
        <v>1 - 0  (0)</v>
      </c>
      <c r="BA44" s="228"/>
      <c r="BB44" s="222"/>
      <c r="BC44" s="222"/>
      <c r="BD44" s="249"/>
      <c r="BE44" s="222"/>
      <c r="BG44" s="253"/>
      <c r="BJ44" s="253"/>
    </row>
    <row r="45" spans="1:80" s="220" customFormat="1" ht="12.75" x14ac:dyDescent="0.25">
      <c r="A45" s="433"/>
      <c r="B45" s="508"/>
      <c r="C45" s="510"/>
      <c r="D45" s="510"/>
      <c r="E45" s="502"/>
      <c r="F45" s="506"/>
      <c r="G45" s="502" t="s">
        <v>61</v>
      </c>
      <c r="H45" s="502" t="s">
        <v>61</v>
      </c>
      <c r="I45" s="502"/>
      <c r="J45" s="502"/>
      <c r="K45" s="502">
        <v>0</v>
      </c>
      <c r="L45" s="502">
        <v>0</v>
      </c>
      <c r="M45" s="504"/>
      <c r="N45" s="502"/>
      <c r="O45" s="502"/>
      <c r="P45" s="502"/>
      <c r="Q45" s="502"/>
      <c r="R45" s="502"/>
      <c r="S45" s="502"/>
      <c r="T45" s="502"/>
      <c r="U45" s="502"/>
      <c r="V45" s="502"/>
      <c r="W45" s="502"/>
      <c r="X45" s="502"/>
      <c r="Y45" s="502"/>
      <c r="Z45" s="512"/>
      <c r="AA45" s="452"/>
      <c r="AB45" s="452"/>
      <c r="AC45" s="217"/>
      <c r="AD45" s="217" t="str">
        <f t="shared" ref="AD45" si="664">IF(AA44&gt;AB44,AD44&amp;"  "&amp;AE44,IF(AB44&gt;AA44,AD44&amp;"  "&amp;AE45,""))</f>
        <v>2 - 0  (4, 10)</v>
      </c>
      <c r="AE45" s="217" t="str">
        <f t="shared" si="0"/>
        <v>(-4, -10)</v>
      </c>
      <c r="AF45" s="217">
        <f t="shared" ref="AF45" si="665">IF(N44&gt;M44,1,0)</f>
        <v>0</v>
      </c>
      <c r="AG45" s="217">
        <f t="shared" ref="AG45" si="666">IF(P44&gt;O44,1,0)</f>
        <v>0</v>
      </c>
      <c r="AH45" s="217">
        <f t="shared" ref="AH45" si="667">IF(R44&gt;Q44,1,0)</f>
        <v>0</v>
      </c>
      <c r="AI45" s="217">
        <f t="shared" ref="AI45" si="668">IF(T44&gt;S44,1,0)</f>
        <v>0</v>
      </c>
      <c r="AJ45" s="217">
        <f t="shared" ref="AJ45" si="669">IF(V44&gt;U44,1,0)</f>
        <v>0</v>
      </c>
      <c r="AK45" s="217">
        <f t="shared" ref="AK45" si="670">IF(X44&gt;W44,1,0)</f>
        <v>0</v>
      </c>
      <c r="AL45" s="217">
        <f t="shared" ref="AL45" si="671">IF(Z44&gt;Y44,1,0)</f>
        <v>0</v>
      </c>
      <c r="AM45" s="217">
        <f t="shared" ref="AM45" si="672">IF(N44&gt;M44,M44,IF(M44&gt;N44,-N44,""))</f>
        <v>-4</v>
      </c>
      <c r="AN45" s="217" t="str">
        <f t="shared" ref="AN45" si="673">IF(P44&gt;O44,", "&amp;O44,IF(O44&gt;P44,", "&amp;-P44,""))</f>
        <v>, -10</v>
      </c>
      <c r="AO45" s="217" t="str">
        <f t="shared" ref="AO45" si="674">IF(R44&gt;Q44,", "&amp;Q44,IF(Q44&gt;R44,", "&amp;-R44,""))</f>
        <v/>
      </c>
      <c r="AP45" s="217" t="str">
        <f t="shared" ref="AP45" si="675">IF(T44&gt;S44,", "&amp;S44,IF(S44&gt;T44,", "&amp;-T44,""))</f>
        <v/>
      </c>
      <c r="AQ45" s="217" t="str">
        <f t="shared" ref="AQ45" si="676">IF(V44&gt;U44,", "&amp;U44,IF(U44&gt;V44,", "&amp;-V44,""))</f>
        <v/>
      </c>
      <c r="AR45" s="217" t="str">
        <f t="shared" ref="AR45" si="677">IF(X44&gt;W44,", "&amp;W44,IF(W44&gt;X44,", "&amp;-X44,""))</f>
        <v/>
      </c>
      <c r="AS45" s="217" t="str">
        <f t="shared" ref="AS45" si="678">IF(Z44&gt;Y44,", "&amp;Y44,IF(Y44&gt;Z44,", "&amp;-Z44,""))</f>
        <v/>
      </c>
      <c r="AU45" s="221"/>
      <c r="AV45" s="236">
        <v>11</v>
      </c>
      <c r="AW45" s="237" t="str">
        <f>VLOOKUP(AV45,$A$4:$L$83,6,FALSE)</f>
        <v>28/Sep-- Table</v>
      </c>
      <c r="AX45" s="238"/>
      <c r="AY45" s="225">
        <f ca="1">VLOOKUP(AY47,$A$4:$L$87,7,FALSE)</f>
        <v>4276</v>
      </c>
      <c r="AZ45" s="226" t="str">
        <f ca="1">IF(AY45=0,0,VLOOKUP(AY45,Inscripciones!$B$1:$I$464,2,FALSE))</f>
        <v>SILOÉ MUÑOZ CÓRDOBA</v>
      </c>
      <c r="BA45" s="227" t="str">
        <f ca="1">IF(AY45=0,0,VLOOKUP(AY45,Inscripciones!$B$1:$L$364,3,FALSE))</f>
        <v>ESPARZA</v>
      </c>
      <c r="BB45" s="222"/>
      <c r="BC45" s="222"/>
      <c r="BD45" s="249"/>
      <c r="BE45" s="222"/>
      <c r="BG45" s="253"/>
      <c r="BJ45" s="253"/>
    </row>
    <row r="46" spans="1:80" s="220" customFormat="1" ht="12.75" x14ac:dyDescent="0.25">
      <c r="A46" s="433">
        <v>22</v>
      </c>
      <c r="B46" s="500" t="s">
        <v>127</v>
      </c>
      <c r="C46" s="460" t="s">
        <v>78</v>
      </c>
      <c r="D46" s="460"/>
      <c r="E46" s="448"/>
      <c r="F46" s="472" t="str">
        <f t="shared" si="546"/>
        <v>28/Sep-- Table</v>
      </c>
      <c r="G46" s="448">
        <f ca="1">IF(M24="",0,IF(AA24&gt;AB24,G24,H24))</f>
        <v>4276</v>
      </c>
      <c r="H46" s="448">
        <f ca="1">IF(M26="",0,IF(AA26&gt;AB26,G26,H26))</f>
        <v>4183</v>
      </c>
      <c r="I46" s="448" t="str">
        <f ca="1">IF(G46=0,0,VLOOKUP(G46,Inscripciones!$B$1:$I$464,2,FALSE))</f>
        <v>SILOÉ MUÑOZ CÓRDOBA</v>
      </c>
      <c r="J46" s="448" t="str">
        <f ca="1">IF(G46=0,0,VLOOKUP(G46,Inscripciones!$B$1:$L$364,3,FALSE))</f>
        <v>ESPARZA</v>
      </c>
      <c r="K46" s="448" t="str">
        <f ca="1">IF(I46=0,0,VLOOKUP(H46,Inscripciones!$B$1:$I$464,2,FALSE))</f>
        <v>MONSERRAT RODRÍGUEZ SOLÍS</v>
      </c>
      <c r="L46" s="448" t="str">
        <f ca="1">IF(I46=0,0,VLOOKUP(H46,Inscripciones!$B$1:$L$364,3,FALSE))</f>
        <v>SAN CARLOS</v>
      </c>
      <c r="M46" s="456">
        <v>0</v>
      </c>
      <c r="N46" s="448">
        <v>11</v>
      </c>
      <c r="O46" s="448">
        <v>10</v>
      </c>
      <c r="P46" s="448">
        <v>12</v>
      </c>
      <c r="Q46" s="448"/>
      <c r="R46" s="448"/>
      <c r="S46" s="448"/>
      <c r="T46" s="448"/>
      <c r="U46" s="448"/>
      <c r="V46" s="448"/>
      <c r="W46" s="448"/>
      <c r="X46" s="448"/>
      <c r="Y46" s="448"/>
      <c r="Z46" s="450"/>
      <c r="AA46" s="452">
        <f t="shared" ref="AA46" si="679">IF(M46+N46&lt;&gt;0,SUM(AF46:AL46),"")</f>
        <v>0</v>
      </c>
      <c r="AB46" s="452">
        <f t="shared" ref="AB46" si="680">IF(M46+N46&lt;&gt;0,SUM(AF47:AL47),"")</f>
        <v>2</v>
      </c>
      <c r="AC46" s="217" t="str">
        <f t="shared" ref="AC46" si="681">IF(AA46&gt;AB46,AD46&amp;"  "&amp;AE46,IF(AB46&gt;AA46,AD46&amp;"  "&amp;AE47,""))</f>
        <v>2 - 0  (0, 10)</v>
      </c>
      <c r="AD46" s="217" t="str">
        <f t="shared" ref="AD46" si="682">IF(AA46&gt;AB46,AA46&amp;" - "&amp;AB46,IF(AB46&gt;AA46,AB46&amp;" - "&amp;AA46,""))</f>
        <v>2 - 0</v>
      </c>
      <c r="AE46" s="217" t="str">
        <f t="shared" si="0"/>
        <v>(0, -10)</v>
      </c>
      <c r="AF46" s="217">
        <f t="shared" ref="AF46" si="683">IF(M46&gt;N46,1,0)</f>
        <v>0</v>
      </c>
      <c r="AG46" s="217">
        <f t="shared" ref="AG46" si="684">IF(O46&gt;P46,1,0)</f>
        <v>0</v>
      </c>
      <c r="AH46" s="217">
        <f t="shared" ref="AH46" si="685">IF(Q46&gt;R46,1,0)</f>
        <v>0</v>
      </c>
      <c r="AI46" s="217">
        <f t="shared" ref="AI46" si="686">IF(S46&gt;T46,1,0)</f>
        <v>0</v>
      </c>
      <c r="AJ46" s="217">
        <f t="shared" ref="AJ46" si="687">IF(U46&gt;V46,1,0)</f>
        <v>0</v>
      </c>
      <c r="AK46" s="217">
        <f t="shared" ref="AK46" si="688">IF(W46&gt;X46,1,0)</f>
        <v>0</v>
      </c>
      <c r="AL46" s="217">
        <f t="shared" ref="AL46" si="689">IF(Y46&gt;Z46,1,0)</f>
        <v>0</v>
      </c>
      <c r="AM46" s="217">
        <f t="shared" ref="AM46" si="690">IF(M46&gt;N46,N46,IF(N46&gt;M46,-M46,""))</f>
        <v>0</v>
      </c>
      <c r="AN46" s="217" t="str">
        <f t="shared" ref="AN46" si="691">IF(O46&gt;P46,", "&amp;P46,IF(P46&gt;O46,", "&amp;-O46,""))</f>
        <v>, -10</v>
      </c>
      <c r="AO46" s="217" t="str">
        <f t="shared" ref="AO46" si="692">IF(Q46&gt;R46,", "&amp;R46,IF(R46&gt;Q46,", "&amp;-Q46,""))</f>
        <v/>
      </c>
      <c r="AP46" s="217" t="str">
        <f t="shared" ref="AP46" si="693">IF(S46&gt;T46,", "&amp;T46,IF(T46&gt;S46,", "&amp;-S46,""))</f>
        <v/>
      </c>
      <c r="AQ46" s="217" t="str">
        <f t="shared" ref="AQ46" si="694">IF(U46&gt;V46,", "&amp;V46,IF(V46&gt;U46,", "&amp;-U46,""))</f>
        <v/>
      </c>
      <c r="AR46" s="217" t="str">
        <f t="shared" ref="AR46" si="695">IF(W46&gt;X46,", "&amp;X46,IF(X46&gt;W46,", "&amp;-W46,""))</f>
        <v/>
      </c>
      <c r="AS46" s="217" t="str">
        <f t="shared" ref="AS46" si="696">IF(Y46&gt;Z46,", "&amp;Z46,IF(Z46&gt;Y46,", "&amp;-Y46,""))</f>
        <v/>
      </c>
      <c r="AU46" s="224">
        <f>1+AU44</f>
        <v>22</v>
      </c>
      <c r="AV46" s="247" t="str">
        <f>VLOOKUP(AV45,$A$4:$L$83,8,FALSE)</f>
        <v>X</v>
      </c>
      <c r="AW46" s="247" t="str">
        <f>IF(AV46=0,0,VLOOKUP(AV46,Inscripciones!$B$1:$I$464,2,FALSE))</f>
        <v>BYE</v>
      </c>
      <c r="AX46" s="248" t="str">
        <f>IF(AV46=0,0,VLOOKUP(AV46,Inscripciones!$B$1:$L$364,3,FALSE))</f>
        <v>BYE</v>
      </c>
      <c r="AY46" s="222"/>
      <c r="AZ46" s="222"/>
      <c r="BA46" s="249"/>
      <c r="BB46" s="222"/>
      <c r="BC46" s="222"/>
      <c r="BD46" s="249"/>
      <c r="BE46" s="222"/>
      <c r="BG46" s="253"/>
      <c r="BJ46" s="253"/>
    </row>
    <row r="47" spans="1:80" s="220" customFormat="1" ht="12.75" x14ac:dyDescent="0.25">
      <c r="A47" s="433"/>
      <c r="B47" s="459"/>
      <c r="C47" s="461"/>
      <c r="D47" s="461"/>
      <c r="E47" s="449"/>
      <c r="F47" s="473"/>
      <c r="G47" s="449" t="s">
        <v>61</v>
      </c>
      <c r="H47" s="449" t="s">
        <v>61</v>
      </c>
      <c r="I47" s="449"/>
      <c r="J47" s="449"/>
      <c r="K47" s="449">
        <v>0</v>
      </c>
      <c r="L47" s="449">
        <v>0</v>
      </c>
      <c r="M47" s="457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51"/>
      <c r="AA47" s="452"/>
      <c r="AB47" s="452"/>
      <c r="AC47" s="217"/>
      <c r="AD47" s="217" t="str">
        <f t="shared" ref="AD47" si="697">IF(AA46&gt;AB46,AD46&amp;"  "&amp;AE46,IF(AB46&gt;AA46,AD46&amp;"  "&amp;AE47,""))</f>
        <v>2 - 0  (0, 10)</v>
      </c>
      <c r="AE47" s="217" t="str">
        <f t="shared" si="0"/>
        <v>(0, 10)</v>
      </c>
      <c r="AF47" s="217">
        <f t="shared" ref="AF47" si="698">IF(N46&gt;M46,1,0)</f>
        <v>1</v>
      </c>
      <c r="AG47" s="217">
        <f t="shared" ref="AG47" si="699">IF(P46&gt;O46,1,0)</f>
        <v>1</v>
      </c>
      <c r="AH47" s="217">
        <f t="shared" ref="AH47" si="700">IF(R46&gt;Q46,1,0)</f>
        <v>0</v>
      </c>
      <c r="AI47" s="217">
        <f t="shared" ref="AI47" si="701">IF(T46&gt;S46,1,0)</f>
        <v>0</v>
      </c>
      <c r="AJ47" s="217">
        <f t="shared" ref="AJ47" si="702">IF(V46&gt;U46,1,0)</f>
        <v>0</v>
      </c>
      <c r="AK47" s="217">
        <f t="shared" ref="AK47" si="703">IF(X46&gt;W46,1,0)</f>
        <v>0</v>
      </c>
      <c r="AL47" s="217">
        <f t="shared" ref="AL47" si="704">IF(Z46&gt;Y46,1,0)</f>
        <v>0</v>
      </c>
      <c r="AM47" s="217">
        <f t="shared" ref="AM47" si="705">IF(N46&gt;M46,M46,IF(M46&gt;N46,-N46,""))</f>
        <v>0</v>
      </c>
      <c r="AN47" s="217" t="str">
        <f t="shared" ref="AN47" si="706">IF(P46&gt;O46,", "&amp;O46,IF(O46&gt;P46,", "&amp;-P46,""))</f>
        <v>, 10</v>
      </c>
      <c r="AO47" s="217" t="str">
        <f t="shared" ref="AO47" si="707">IF(R46&gt;Q46,", "&amp;Q46,IF(Q46&gt;R46,", "&amp;-R46,""))</f>
        <v/>
      </c>
      <c r="AP47" s="217" t="str">
        <f t="shared" ref="AP47" si="708">IF(T46&gt;S46,", "&amp;S46,IF(S46&gt;T46,", "&amp;-T46,""))</f>
        <v/>
      </c>
      <c r="AQ47" s="217" t="str">
        <f t="shared" ref="AQ47" si="709">IF(V46&gt;U46,", "&amp;U46,IF(U46&gt;V46,", "&amp;-V46,""))</f>
        <v/>
      </c>
      <c r="AR47" s="217" t="str">
        <f t="shared" ref="AR47" si="710">IF(X46&gt;W46,", "&amp;W46,IF(W46&gt;X46,", "&amp;-X46,""))</f>
        <v/>
      </c>
      <c r="AS47" s="217" t="str">
        <f t="shared" ref="AS47" si="711">IF(Z46&gt;Y46,", "&amp;Y46,IF(Y46&gt;Z46,", "&amp;-Z46,""))</f>
        <v/>
      </c>
      <c r="AU47" s="221"/>
      <c r="AV47" s="222"/>
      <c r="AW47" s="222"/>
      <c r="AX47" s="250"/>
      <c r="AY47" s="236">
        <v>22</v>
      </c>
      <c r="AZ47" s="237" t="str">
        <f>VLOOKUP(AY47,$A$4:$L$83,6,FALSE)</f>
        <v>28/Sep-- Table</v>
      </c>
      <c r="BA47" s="251"/>
      <c r="BB47" s="247">
        <f ca="1">VLOOKUP(BB43,$A$4:$L$87,8,FALSE)</f>
        <v>4183</v>
      </c>
      <c r="BC47" s="247" t="str">
        <f ca="1">IF(BB47=0,0,VLOOKUP(BB47,Inscripciones!$B$1:$I$464,2,FALSE))</f>
        <v>MONSERRAT RODRÍGUEZ SOLÍS</v>
      </c>
      <c r="BD47" s="248" t="str">
        <f ca="1">IF(BB47=0,0,VLOOKUP(BB47,Inscripciones!$B$1:$L$364,3,FALSE))</f>
        <v>SAN CARLOS</v>
      </c>
      <c r="BE47" s="222"/>
      <c r="BG47" s="253"/>
      <c r="BJ47" s="253"/>
    </row>
    <row r="48" spans="1:80" s="220" customFormat="1" ht="12.75" x14ac:dyDescent="0.25">
      <c r="A48" s="433">
        <v>23</v>
      </c>
      <c r="B48" s="507" t="s">
        <v>127</v>
      </c>
      <c r="C48" s="509" t="s">
        <v>78</v>
      </c>
      <c r="D48" s="509"/>
      <c r="E48" s="501"/>
      <c r="F48" s="505" t="str">
        <f t="shared" si="512"/>
        <v>28/Sep-- Table</v>
      </c>
      <c r="G48" s="501">
        <f ca="1">IF(M28="",0,IF(AA28&gt;AB28,G28,H28))</f>
        <v>4273</v>
      </c>
      <c r="H48" s="501">
        <f ca="1">IF(M30="",0,IF(AA30&gt;AB30,G30,H30))</f>
        <v>4104</v>
      </c>
      <c r="I48" s="501" t="str">
        <f ca="1">IF(G48=0,0,VLOOKUP(G48,Inscripciones!$B$1:$I$464,2,FALSE))</f>
        <v>JAQUELINE HERNÁNDEZ ZUÑIGA</v>
      </c>
      <c r="J48" s="501" t="str">
        <f ca="1">IF(G48=0,0,VLOOKUP(G48,Inscripciones!$B$1:$L$364,3,FALSE))</f>
        <v>ESCAZÚ</v>
      </c>
      <c r="K48" s="501" t="str">
        <f ca="1">IF(I48=0,0,VLOOKUP(H48,Inscripciones!$B$1:$I$464,2,FALSE))</f>
        <v>ARIANA SANCHEZ DELGADO</v>
      </c>
      <c r="L48" s="501" t="str">
        <f ca="1">IF(I48=0,0,VLOOKUP(H48,Inscripciones!$B$1:$L$364,3,FALSE))</f>
        <v>ESCAZÚ</v>
      </c>
      <c r="M48" s="503">
        <v>10</v>
      </c>
      <c r="N48" s="501">
        <v>12</v>
      </c>
      <c r="O48" s="501">
        <v>11</v>
      </c>
      <c r="P48" s="501">
        <v>6</v>
      </c>
      <c r="Q48" s="501">
        <v>11</v>
      </c>
      <c r="R48" s="501">
        <v>6</v>
      </c>
      <c r="S48" s="501"/>
      <c r="T48" s="501"/>
      <c r="U48" s="501"/>
      <c r="V48" s="501"/>
      <c r="W48" s="501"/>
      <c r="X48" s="501"/>
      <c r="Y48" s="501"/>
      <c r="Z48" s="511"/>
      <c r="AA48" s="452">
        <f t="shared" ref="AA48" si="712">IF(M48+N48&lt;&gt;0,SUM(AF48:AL48),"")</f>
        <v>2</v>
      </c>
      <c r="AB48" s="452">
        <f t="shared" ref="AB48" si="713">IF(M48+N48&lt;&gt;0,SUM(AF49:AL49),"")</f>
        <v>1</v>
      </c>
      <c r="AC48" s="217" t="str">
        <f t="shared" ref="AC48" si="714">IF(AA48&gt;AB48,AD48&amp;"  "&amp;AE48,IF(AB48&gt;AA48,AD48&amp;"  "&amp;AE49,""))</f>
        <v>2 - 1  (-10, 6, 6)</v>
      </c>
      <c r="AD48" s="217" t="str">
        <f t="shared" ref="AD48" si="715">IF(AA48&gt;AB48,AA48&amp;" - "&amp;AB48,IF(AB48&gt;AA48,AB48&amp;" - "&amp;AA48,""))</f>
        <v>2 - 1</v>
      </c>
      <c r="AE48" s="217" t="str">
        <f t="shared" si="0"/>
        <v>(-10, 6, 6)</v>
      </c>
      <c r="AF48" s="217">
        <f t="shared" ref="AF48" si="716">IF(M48&gt;N48,1,0)</f>
        <v>0</v>
      </c>
      <c r="AG48" s="217">
        <f t="shared" ref="AG48" si="717">IF(O48&gt;P48,1,0)</f>
        <v>1</v>
      </c>
      <c r="AH48" s="217">
        <f t="shared" ref="AH48" si="718">IF(Q48&gt;R48,1,0)</f>
        <v>1</v>
      </c>
      <c r="AI48" s="217">
        <f t="shared" ref="AI48" si="719">IF(S48&gt;T48,1,0)</f>
        <v>0</v>
      </c>
      <c r="AJ48" s="217">
        <f t="shared" ref="AJ48" si="720">IF(U48&gt;V48,1,0)</f>
        <v>0</v>
      </c>
      <c r="AK48" s="217">
        <f t="shared" ref="AK48" si="721">IF(W48&gt;X48,1,0)</f>
        <v>0</v>
      </c>
      <c r="AL48" s="217">
        <f t="shared" ref="AL48" si="722">IF(Y48&gt;Z48,1,0)</f>
        <v>0</v>
      </c>
      <c r="AM48" s="217">
        <f t="shared" ref="AM48" si="723">IF(M48&gt;N48,N48,IF(N48&gt;M48,-M48,""))</f>
        <v>-10</v>
      </c>
      <c r="AN48" s="217" t="str">
        <f t="shared" ref="AN48" si="724">IF(O48&gt;P48,", "&amp;P48,IF(P48&gt;O48,", "&amp;-O48,""))</f>
        <v>, 6</v>
      </c>
      <c r="AO48" s="217" t="str">
        <f t="shared" ref="AO48" si="725">IF(Q48&gt;R48,", "&amp;R48,IF(R48&gt;Q48,", "&amp;-Q48,""))</f>
        <v>, 6</v>
      </c>
      <c r="AP48" s="217" t="str">
        <f t="shared" ref="AP48" si="726">IF(S48&gt;T48,", "&amp;T48,IF(T48&gt;S48,", "&amp;-S48,""))</f>
        <v/>
      </c>
      <c r="AQ48" s="217" t="str">
        <f t="shared" ref="AQ48" si="727">IF(U48&gt;V48,", "&amp;V48,IF(V48&gt;U48,", "&amp;-U48,""))</f>
        <v/>
      </c>
      <c r="AR48" s="217" t="str">
        <f t="shared" ref="AR48" si="728">IF(W48&gt;X48,", "&amp;X48,IF(X48&gt;W48,", "&amp;-W48,""))</f>
        <v/>
      </c>
      <c r="AS48" s="217" t="str">
        <f t="shared" ref="AS48" si="729">IF(Y48&gt;Z48,", "&amp;Z48,IF(Z48&gt;Y48,", "&amp;-Y48,""))</f>
        <v/>
      </c>
      <c r="AU48" s="224">
        <f>1+AU46</f>
        <v>23</v>
      </c>
      <c r="AV48" s="225" t="str">
        <f>VLOOKUP(AV49,$A$4:$L$83,7,FALSE)</f>
        <v>X</v>
      </c>
      <c r="AW48" s="226" t="str">
        <f>IF(AV48=0,0,VLOOKUP(AV48,Inscripciones!$B$1:$I$464,2,FALSE))</f>
        <v>BYE</v>
      </c>
      <c r="AX48" s="227" t="str">
        <f>IF(AV48=0,0,VLOOKUP(AV48,Inscripciones!$B$1:$L$364,3,FALSE))</f>
        <v>BYE</v>
      </c>
      <c r="AY48" s="252"/>
      <c r="AZ48" s="222"/>
      <c r="BA48" s="249"/>
      <c r="BB48" s="228"/>
      <c r="BC48" s="229" t="str">
        <f>VLOOKUP(AY47,$A$4:$AD$87,29,FALSE)</f>
        <v>2 - 0  (0, 10)</v>
      </c>
      <c r="BD48" s="228"/>
      <c r="BE48" s="222"/>
      <c r="BG48" s="253"/>
      <c r="BJ48" s="253"/>
    </row>
    <row r="49" spans="1:62" s="220" customFormat="1" ht="12.75" x14ac:dyDescent="0.25">
      <c r="A49" s="433"/>
      <c r="B49" s="508"/>
      <c r="C49" s="510"/>
      <c r="D49" s="510"/>
      <c r="E49" s="502"/>
      <c r="F49" s="506"/>
      <c r="G49" s="502" t="s">
        <v>61</v>
      </c>
      <c r="H49" s="502" t="s">
        <v>61</v>
      </c>
      <c r="I49" s="502"/>
      <c r="J49" s="502"/>
      <c r="K49" s="502">
        <v>0</v>
      </c>
      <c r="L49" s="502">
        <v>0</v>
      </c>
      <c r="M49" s="504"/>
      <c r="N49" s="502"/>
      <c r="O49" s="502"/>
      <c r="P49" s="502"/>
      <c r="Q49" s="502"/>
      <c r="R49" s="502"/>
      <c r="S49" s="502"/>
      <c r="T49" s="502"/>
      <c r="U49" s="502"/>
      <c r="V49" s="502"/>
      <c r="W49" s="502"/>
      <c r="X49" s="502"/>
      <c r="Y49" s="502"/>
      <c r="Z49" s="512"/>
      <c r="AA49" s="452"/>
      <c r="AB49" s="452"/>
      <c r="AC49" s="217"/>
      <c r="AD49" s="217" t="str">
        <f t="shared" ref="AD49" si="730">IF(AA48&gt;AB48,AD48&amp;"  "&amp;AE48,IF(AB48&gt;AA48,AD48&amp;"  "&amp;AE49,""))</f>
        <v>2 - 1  (-10, 6, 6)</v>
      </c>
      <c r="AE49" s="217" t="str">
        <f t="shared" si="0"/>
        <v>(10, -6, -6)</v>
      </c>
      <c r="AF49" s="217">
        <f t="shared" ref="AF49" si="731">IF(N48&gt;M48,1,0)</f>
        <v>1</v>
      </c>
      <c r="AG49" s="217">
        <f t="shared" ref="AG49" si="732">IF(P48&gt;O48,1,0)</f>
        <v>0</v>
      </c>
      <c r="AH49" s="217">
        <f t="shared" ref="AH49" si="733">IF(R48&gt;Q48,1,0)</f>
        <v>0</v>
      </c>
      <c r="AI49" s="217">
        <f t="shared" ref="AI49" si="734">IF(T48&gt;S48,1,0)</f>
        <v>0</v>
      </c>
      <c r="AJ49" s="217">
        <f t="shared" ref="AJ49" si="735">IF(V48&gt;U48,1,0)</f>
        <v>0</v>
      </c>
      <c r="AK49" s="217">
        <f t="shared" ref="AK49" si="736">IF(X48&gt;W48,1,0)</f>
        <v>0</v>
      </c>
      <c r="AL49" s="217">
        <f t="shared" ref="AL49" si="737">IF(Z48&gt;Y48,1,0)</f>
        <v>0</v>
      </c>
      <c r="AM49" s="217">
        <f t="shared" ref="AM49" si="738">IF(N48&gt;M48,M48,IF(M48&gt;N48,-N48,""))</f>
        <v>10</v>
      </c>
      <c r="AN49" s="217" t="str">
        <f t="shared" ref="AN49" si="739">IF(P48&gt;O48,", "&amp;O48,IF(O48&gt;P48,", "&amp;-P48,""))</f>
        <v>, -6</v>
      </c>
      <c r="AO49" s="217" t="str">
        <f t="shared" ref="AO49" si="740">IF(R48&gt;Q48,", "&amp;Q48,IF(Q48&gt;R48,", "&amp;-R48,""))</f>
        <v>, -6</v>
      </c>
      <c r="AP49" s="217" t="str">
        <f t="shared" ref="AP49" si="741">IF(T48&gt;S48,", "&amp;S48,IF(S48&gt;T48,", "&amp;-T48,""))</f>
        <v/>
      </c>
      <c r="AQ49" s="217" t="str">
        <f t="shared" ref="AQ49" si="742">IF(V48&gt;U48,", "&amp;U48,IF(U48&gt;V48,", "&amp;-V48,""))</f>
        <v/>
      </c>
      <c r="AR49" s="217" t="str">
        <f t="shared" ref="AR49" si="743">IF(X48&gt;W48,", "&amp;W48,IF(W48&gt;X48,", "&amp;-X48,""))</f>
        <v/>
      </c>
      <c r="AS49" s="217" t="str">
        <f t="shared" ref="AS49" si="744">IF(Z48&gt;Y48,", "&amp;Y48,IF(Y48&gt;Z48,", "&amp;-Z48,""))</f>
        <v/>
      </c>
      <c r="AU49" s="221"/>
      <c r="AV49" s="236">
        <v>12</v>
      </c>
      <c r="AW49" s="237" t="str">
        <f>VLOOKUP(AV49,$A$4:$L$83,6,FALSE)</f>
        <v>28/Sep-- Table</v>
      </c>
      <c r="AX49" s="238"/>
      <c r="AY49" s="247">
        <f ca="1">VLOOKUP(AY47,$A$4:$L$87,8,FALSE)</f>
        <v>4183</v>
      </c>
      <c r="AZ49" s="247" t="str">
        <f ca="1">IF(AY49=0,0,VLOOKUP(AY49,Inscripciones!$B$1:$I$464,2,FALSE))</f>
        <v>MONSERRAT RODRÍGUEZ SOLÍS</v>
      </c>
      <c r="BA49" s="248" t="str">
        <f ca="1">IF(AY49=0,0,VLOOKUP(AY49,Inscripciones!$B$1:$L$364,3,FALSE))</f>
        <v>SAN CARLOS</v>
      </c>
      <c r="BB49" s="222"/>
      <c r="BC49" s="222"/>
      <c r="BD49" s="222"/>
      <c r="BE49" s="222"/>
      <c r="BG49" s="253"/>
      <c r="BJ49" s="253"/>
    </row>
    <row r="50" spans="1:62" s="220" customFormat="1" ht="12.75" x14ac:dyDescent="0.25">
      <c r="A50" s="433">
        <v>24</v>
      </c>
      <c r="B50" s="500" t="s">
        <v>127</v>
      </c>
      <c r="C50" s="460" t="s">
        <v>78</v>
      </c>
      <c r="D50" s="460"/>
      <c r="E50" s="448"/>
      <c r="F50" s="472" t="str">
        <f t="shared" si="546"/>
        <v>28/Sep-- Table</v>
      </c>
      <c r="G50" s="448">
        <f ca="1">IF(M32="",0,IF(AA32&gt;AB32,G32,H32))</f>
        <v>3828</v>
      </c>
      <c r="H50" s="448">
        <f ca="1">IF(M34="",0,IF(AA34&gt;AB34,G34,H34))</f>
        <v>4101</v>
      </c>
      <c r="I50" s="448" t="str">
        <f ca="1">IF(G50=0,0,VLOOKUP(G50,Inscripciones!$B$1:$I$464,2,FALSE))</f>
        <v>AMANDA CHEN CEN</v>
      </c>
      <c r="J50" s="448" t="str">
        <f ca="1">IF(G50=0,0,VLOOKUP(G50,Inscripciones!$B$1:$L$364,3,FALSE))</f>
        <v>ESCAZÚ</v>
      </c>
      <c r="K50" s="448" t="str">
        <f ca="1">IF(I50=0,0,VLOOKUP(H50,Inscripciones!$B$1:$I$464,2,FALSE))</f>
        <v>ABIGAIL QUIROS BALTODANO</v>
      </c>
      <c r="L50" s="448" t="str">
        <f ca="1">IF(I50=0,0,VLOOKUP(H50,Inscripciones!$B$1:$L$364,3,FALSE))</f>
        <v>ESPARZA</v>
      </c>
      <c r="M50" s="456">
        <v>5</v>
      </c>
      <c r="N50" s="448">
        <v>11</v>
      </c>
      <c r="O50" s="448">
        <v>9</v>
      </c>
      <c r="P50" s="448">
        <v>11</v>
      </c>
      <c r="Q50" s="448"/>
      <c r="R50" s="448"/>
      <c r="S50" s="448"/>
      <c r="T50" s="448"/>
      <c r="U50" s="448"/>
      <c r="V50" s="448"/>
      <c r="W50" s="448"/>
      <c r="X50" s="448"/>
      <c r="Y50" s="448"/>
      <c r="Z50" s="450"/>
      <c r="AA50" s="452">
        <f t="shared" ref="AA50" si="745">IF(M50+N50&lt;&gt;0,SUM(AF50:AL50),"")</f>
        <v>0</v>
      </c>
      <c r="AB50" s="452">
        <f t="shared" ref="AB50" si="746">IF(M50+N50&lt;&gt;0,SUM(AF51:AL51),"")</f>
        <v>2</v>
      </c>
      <c r="AC50" s="217" t="str">
        <f t="shared" ref="AC50" si="747">IF(AA50&gt;AB50,AD50&amp;"  "&amp;AE50,IF(AB50&gt;AA50,AD50&amp;"  "&amp;AE51,""))</f>
        <v>2 - 0  (5, 9)</v>
      </c>
      <c r="AD50" s="217" t="str">
        <f t="shared" ref="AD50" si="748">IF(AA50&gt;AB50,AA50&amp;" - "&amp;AB50,IF(AB50&gt;AA50,AB50&amp;" - "&amp;AA50,""))</f>
        <v>2 - 0</v>
      </c>
      <c r="AE50" s="217" t="str">
        <f t="shared" si="0"/>
        <v>(-5, -9)</v>
      </c>
      <c r="AF50" s="217">
        <f t="shared" ref="AF50" si="749">IF(M50&gt;N50,1,0)</f>
        <v>0</v>
      </c>
      <c r="AG50" s="217">
        <f t="shared" ref="AG50" si="750">IF(O50&gt;P50,1,0)</f>
        <v>0</v>
      </c>
      <c r="AH50" s="217">
        <f t="shared" ref="AH50" si="751">IF(Q50&gt;R50,1,0)</f>
        <v>0</v>
      </c>
      <c r="AI50" s="217">
        <f t="shared" ref="AI50" si="752">IF(S50&gt;T50,1,0)</f>
        <v>0</v>
      </c>
      <c r="AJ50" s="217">
        <f t="shared" ref="AJ50" si="753">IF(U50&gt;V50,1,0)</f>
        <v>0</v>
      </c>
      <c r="AK50" s="217">
        <f t="shared" ref="AK50" si="754">IF(W50&gt;X50,1,0)</f>
        <v>0</v>
      </c>
      <c r="AL50" s="217">
        <f t="shared" ref="AL50" si="755">IF(Y50&gt;Z50,1,0)</f>
        <v>0</v>
      </c>
      <c r="AM50" s="217">
        <f t="shared" ref="AM50" si="756">IF(M50&gt;N50,N50,IF(N50&gt;M50,-M50,""))</f>
        <v>-5</v>
      </c>
      <c r="AN50" s="217" t="str">
        <f t="shared" ref="AN50" si="757">IF(O50&gt;P50,", "&amp;P50,IF(P50&gt;O50,", "&amp;-O50,""))</f>
        <v>, -9</v>
      </c>
      <c r="AO50" s="217" t="str">
        <f t="shared" ref="AO50" si="758">IF(Q50&gt;R50,", "&amp;R50,IF(R50&gt;Q50,", "&amp;-Q50,""))</f>
        <v/>
      </c>
      <c r="AP50" s="217" t="str">
        <f t="shared" ref="AP50" si="759">IF(S50&gt;T50,", "&amp;T50,IF(T50&gt;S50,", "&amp;-S50,""))</f>
        <v/>
      </c>
      <c r="AQ50" s="217" t="str">
        <f t="shared" ref="AQ50" si="760">IF(U50&gt;V50,", "&amp;V50,IF(V50&gt;U50,", "&amp;-U50,""))</f>
        <v/>
      </c>
      <c r="AR50" s="217" t="str">
        <f t="shared" ref="AR50" si="761">IF(W50&gt;X50,", "&amp;X50,IF(X50&gt;W50,", "&amp;-W50,""))</f>
        <v/>
      </c>
      <c r="AS50" s="217" t="str">
        <f t="shared" ref="AS50" si="762">IF(Y50&gt;Z50,", "&amp;Z50,IF(Z50&gt;Y50,", "&amp;-Y50,""))</f>
        <v/>
      </c>
      <c r="AU50" s="224">
        <f>1+AU48</f>
        <v>24</v>
      </c>
      <c r="AV50" s="247">
        <f ca="1">VLOOKUP(AV49,$A$4:$L$83,8,FALSE)</f>
        <v>4183</v>
      </c>
      <c r="AW50" s="247" t="str">
        <f ca="1">IF(AV50=0,0,VLOOKUP(AV50,Inscripciones!$B$1:$I$464,2,FALSE))</f>
        <v>MONSERRAT RODRÍGUEZ SOLÍS</v>
      </c>
      <c r="AX50" s="248" t="str">
        <f ca="1">IF(AV50=0,0,VLOOKUP(AV50,Inscripciones!$B$1:$L$364,3,FALSE))</f>
        <v>SAN CARLOS</v>
      </c>
      <c r="AY50" s="228"/>
      <c r="AZ50" s="229" t="str">
        <f>VLOOKUP(AV49,$A$4:$AD$87,29,FALSE)</f>
        <v>1 - 0  (0)</v>
      </c>
      <c r="BA50" s="228"/>
      <c r="BB50" s="222"/>
      <c r="BC50" s="222"/>
      <c r="BD50" s="222"/>
      <c r="BE50" s="222"/>
      <c r="BF50" s="222"/>
      <c r="BG50" s="249"/>
      <c r="BJ50" s="253"/>
    </row>
    <row r="51" spans="1:62" s="220" customFormat="1" ht="12.75" x14ac:dyDescent="0.25">
      <c r="A51" s="433"/>
      <c r="B51" s="459"/>
      <c r="C51" s="461"/>
      <c r="D51" s="461"/>
      <c r="E51" s="449"/>
      <c r="F51" s="473"/>
      <c r="G51" s="449" t="s">
        <v>61</v>
      </c>
      <c r="H51" s="449" t="s">
        <v>61</v>
      </c>
      <c r="I51" s="449"/>
      <c r="J51" s="449"/>
      <c r="K51" s="449">
        <v>0</v>
      </c>
      <c r="L51" s="449">
        <v>0</v>
      </c>
      <c r="M51" s="457"/>
      <c r="N51" s="449"/>
      <c r="O51" s="449"/>
      <c r="P51" s="449"/>
      <c r="Q51" s="449"/>
      <c r="R51" s="449"/>
      <c r="S51" s="449"/>
      <c r="T51" s="449"/>
      <c r="U51" s="449"/>
      <c r="V51" s="449"/>
      <c r="W51" s="449"/>
      <c r="X51" s="449"/>
      <c r="Y51" s="449"/>
      <c r="Z51" s="451"/>
      <c r="AA51" s="452"/>
      <c r="AB51" s="452"/>
      <c r="AC51" s="217"/>
      <c r="AD51" s="217" t="str">
        <f t="shared" ref="AD51" si="763">IF(AA50&gt;AB50,AD50&amp;"  "&amp;AE50,IF(AB50&gt;AA50,AD50&amp;"  "&amp;AE51,""))</f>
        <v>2 - 0  (5, 9)</v>
      </c>
      <c r="AE51" s="217" t="str">
        <f t="shared" si="0"/>
        <v>(5, 9)</v>
      </c>
      <c r="AF51" s="217">
        <f t="shared" ref="AF51" si="764">IF(N50&gt;M50,1,0)</f>
        <v>1</v>
      </c>
      <c r="AG51" s="217">
        <f t="shared" ref="AG51" si="765">IF(P50&gt;O50,1,0)</f>
        <v>1</v>
      </c>
      <c r="AH51" s="217">
        <f t="shared" ref="AH51" si="766">IF(R50&gt;Q50,1,0)</f>
        <v>0</v>
      </c>
      <c r="AI51" s="217">
        <f t="shared" ref="AI51" si="767">IF(T50&gt;S50,1,0)</f>
        <v>0</v>
      </c>
      <c r="AJ51" s="217">
        <f t="shared" ref="AJ51" si="768">IF(V50&gt;U50,1,0)</f>
        <v>0</v>
      </c>
      <c r="AK51" s="217">
        <f t="shared" ref="AK51" si="769">IF(X50&gt;W50,1,0)</f>
        <v>0</v>
      </c>
      <c r="AL51" s="217">
        <f t="shared" ref="AL51" si="770">IF(Z50&gt;Y50,1,0)</f>
        <v>0</v>
      </c>
      <c r="AM51" s="217">
        <f t="shared" ref="AM51" si="771">IF(N50&gt;M50,M50,IF(M50&gt;N50,-N50,""))</f>
        <v>5</v>
      </c>
      <c r="AN51" s="217" t="str">
        <f t="shared" ref="AN51" si="772">IF(P50&gt;O50,", "&amp;O50,IF(O50&gt;P50,", "&amp;-P50,""))</f>
        <v>, 9</v>
      </c>
      <c r="AO51" s="217" t="str">
        <f t="shared" ref="AO51" si="773">IF(R50&gt;Q50,", "&amp;Q50,IF(Q50&gt;R50,", "&amp;-R50,""))</f>
        <v/>
      </c>
      <c r="AP51" s="217" t="str">
        <f t="shared" ref="AP51" si="774">IF(T50&gt;S50,", "&amp;S50,IF(S50&gt;T50,", "&amp;-T50,""))</f>
        <v/>
      </c>
      <c r="AQ51" s="217" t="str">
        <f t="shared" ref="AQ51" si="775">IF(V50&gt;U50,", "&amp;U50,IF(U50&gt;V50,", "&amp;-V50,""))</f>
        <v/>
      </c>
      <c r="AR51" s="217" t="str">
        <f t="shared" ref="AR51" si="776">IF(X50&gt;W50,", "&amp;W50,IF(W50&gt;X50,", "&amp;-X50,""))</f>
        <v/>
      </c>
      <c r="AS51" s="217" t="str">
        <f t="shared" ref="AS51" si="777">IF(Z50&gt;Y50,", "&amp;Y50,IF(Y50&gt;Z50,", "&amp;-Z50,""))</f>
        <v/>
      </c>
      <c r="AU51" s="221"/>
      <c r="AV51" s="222"/>
      <c r="AW51" s="222"/>
      <c r="AX51" s="250"/>
      <c r="AY51" s="222"/>
      <c r="AZ51" s="222"/>
      <c r="BA51" s="222"/>
      <c r="BB51" s="222"/>
      <c r="BC51" s="222"/>
      <c r="BD51" s="222"/>
      <c r="BE51" s="236">
        <v>30</v>
      </c>
      <c r="BF51" s="237" t="str">
        <f>VLOOKUP(BE51,$A$4:$L$83,6,FALSE)</f>
        <v>28/Sep-- Table</v>
      </c>
      <c r="BG51" s="249"/>
      <c r="BH51" s="247">
        <f ca="1">VLOOKUP(BH34,$A$4:$L$87,8,FALSE)</f>
        <v>3918</v>
      </c>
      <c r="BI51" s="247" t="str">
        <f ca="1">IF(BH51=0,0,VLOOKUP(BH51,Inscripciones!$B$1:$I$464,2,FALSE))</f>
        <v>MARIANA SOTO CALDERON</v>
      </c>
      <c r="BJ51" s="248" t="str">
        <f ca="1">IF(BH51=0,0,VLOOKUP(BH51,Inscripciones!$B$1:$L$364,3,FALSE))</f>
        <v>ESPARZA</v>
      </c>
    </row>
    <row r="52" spans="1:62" s="220" customFormat="1" ht="12.75" x14ac:dyDescent="0.25">
      <c r="A52" s="433">
        <v>25</v>
      </c>
      <c r="B52" s="492" t="s">
        <v>128</v>
      </c>
      <c r="C52" s="494" t="s">
        <v>78</v>
      </c>
      <c r="D52" s="494"/>
      <c r="E52" s="486"/>
      <c r="F52" s="490" t="str">
        <f t="shared" ref="F52:F64" si="778">C52&amp;"-"&amp;D52&amp;"- Table"&amp;E52</f>
        <v>28/Sep-- Table</v>
      </c>
      <c r="G52" s="486">
        <f ca="1">IF(M36="",0,IF(AA36&gt;AB36,G36,H36))</f>
        <v>4159</v>
      </c>
      <c r="H52" s="486">
        <f ca="1">IF(M38="",0,IF(AA38&gt;AB38,G38,H38))</f>
        <v>4100</v>
      </c>
      <c r="I52" s="486" t="str">
        <f ca="1">IF(G52=0,0,VLOOKUP(G52,Inscripciones!$B$1:$I$464,2,FALSE))</f>
        <v>MARÍA FERNANDA ZELEDÓN HERRERA</v>
      </c>
      <c r="J52" s="486" t="str">
        <f ca="1">IF(G52=0,0,VLOOKUP(G52,Inscripciones!$B$1:$L$364,3,FALSE))</f>
        <v>ESPARZA</v>
      </c>
      <c r="K52" s="486" t="str">
        <f ca="1">IF(I52=0,0,VLOOKUP(H52,Inscripciones!$B$1:$I$464,2,FALSE))</f>
        <v>BRENDA HERRERA RIVAS</v>
      </c>
      <c r="L52" s="486" t="str">
        <f ca="1">IF(I52=0,0,VLOOKUP(H52,Inscripciones!$B$1:$L$364,3,FALSE))</f>
        <v>ESPARZA</v>
      </c>
      <c r="M52" s="488">
        <v>11</v>
      </c>
      <c r="N52" s="486">
        <v>8</v>
      </c>
      <c r="O52" s="486">
        <v>11</v>
      </c>
      <c r="P52" s="486">
        <v>8</v>
      </c>
      <c r="Q52" s="486"/>
      <c r="R52" s="486"/>
      <c r="S52" s="486"/>
      <c r="T52" s="486"/>
      <c r="U52" s="486"/>
      <c r="V52" s="486"/>
      <c r="W52" s="486"/>
      <c r="X52" s="486"/>
      <c r="Y52" s="486"/>
      <c r="Z52" s="498"/>
      <c r="AA52" s="452">
        <f t="shared" ref="AA52" si="779">IF(M52+N52&lt;&gt;0,SUM(AF52:AL52),"")</f>
        <v>2</v>
      </c>
      <c r="AB52" s="452">
        <f t="shared" ref="AB52" si="780">IF(M52+N52&lt;&gt;0,SUM(AF53:AL53),"")</f>
        <v>0</v>
      </c>
      <c r="AC52" s="217" t="str">
        <f t="shared" ref="AC52" si="781">IF(AA52&gt;AB52,AD52&amp;"  "&amp;AE52,IF(AB52&gt;AA52,AD52&amp;"  "&amp;AE53,""))</f>
        <v>2 - 0  (8, 8)</v>
      </c>
      <c r="AD52" s="217" t="str">
        <f t="shared" ref="AD52" si="782">IF(AA52&gt;AB52,AA52&amp;" - "&amp;AB52,IF(AB52&gt;AA52,AB52&amp;" - "&amp;AA52,""))</f>
        <v>2 - 0</v>
      </c>
      <c r="AE52" s="217" t="str">
        <f t="shared" si="0"/>
        <v>(8, 8)</v>
      </c>
      <c r="AF52" s="217">
        <f t="shared" ref="AF52" si="783">IF(M52&gt;N52,1,0)</f>
        <v>1</v>
      </c>
      <c r="AG52" s="217">
        <f t="shared" ref="AG52" si="784">IF(O52&gt;P52,1,0)</f>
        <v>1</v>
      </c>
      <c r="AH52" s="217">
        <f t="shared" ref="AH52" si="785">IF(Q52&gt;R52,1,0)</f>
        <v>0</v>
      </c>
      <c r="AI52" s="217">
        <f t="shared" ref="AI52" si="786">IF(S52&gt;T52,1,0)</f>
        <v>0</v>
      </c>
      <c r="AJ52" s="217">
        <f t="shared" ref="AJ52" si="787">IF(U52&gt;V52,1,0)</f>
        <v>0</v>
      </c>
      <c r="AK52" s="217">
        <f t="shared" ref="AK52" si="788">IF(W52&gt;X52,1,0)</f>
        <v>0</v>
      </c>
      <c r="AL52" s="217">
        <f t="shared" ref="AL52" si="789">IF(Y52&gt;Z52,1,0)</f>
        <v>0</v>
      </c>
      <c r="AM52" s="217">
        <f t="shared" ref="AM52" si="790">IF(M52&gt;N52,N52,IF(N52&gt;M52,-M52,""))</f>
        <v>8</v>
      </c>
      <c r="AN52" s="217" t="str">
        <f t="shared" ref="AN52" si="791">IF(O52&gt;P52,", "&amp;P52,IF(P52&gt;O52,", "&amp;-O52,""))</f>
        <v>, 8</v>
      </c>
      <c r="AO52" s="217" t="str">
        <f t="shared" ref="AO52" si="792">IF(Q52&gt;R52,", "&amp;R52,IF(R52&gt;Q52,", "&amp;-Q52,""))</f>
        <v/>
      </c>
      <c r="AP52" s="217" t="str">
        <f t="shared" ref="AP52" si="793">IF(S52&gt;T52,", "&amp;T52,IF(T52&gt;S52,", "&amp;-S52,""))</f>
        <v/>
      </c>
      <c r="AQ52" s="217" t="str">
        <f t="shared" ref="AQ52" si="794">IF(U52&gt;V52,", "&amp;V52,IF(V52&gt;U52,", "&amp;-U52,""))</f>
        <v/>
      </c>
      <c r="AR52" s="217" t="str">
        <f t="shared" ref="AR52" si="795">IF(W52&gt;X52,", "&amp;X52,IF(X52&gt;W52,", "&amp;-W52,""))</f>
        <v/>
      </c>
      <c r="AS52" s="217" t="str">
        <f t="shared" ref="AS52" si="796">IF(Y52&gt;Z52,", "&amp;Z52,IF(Z52&gt;Y52,", "&amp;-Y52,""))</f>
        <v/>
      </c>
      <c r="AU52" s="224">
        <f>1+AU50</f>
        <v>25</v>
      </c>
      <c r="AV52" s="225">
        <f ca="1">VLOOKUP(AV53,$A$4:$L$83,7,FALSE)</f>
        <v>4273</v>
      </c>
      <c r="AW52" s="226" t="str">
        <f ca="1">IF(AV52=0,0,VLOOKUP(AV52,Inscripciones!$B$1:$I$464,2,FALSE))</f>
        <v>JAQUELINE HERNÁNDEZ ZUÑIGA</v>
      </c>
      <c r="AX52" s="227" t="str">
        <f ca="1">IF(AV52=0,0,VLOOKUP(AV52,Inscripciones!$B$1:$L$364,3,FALSE))</f>
        <v>ESCAZÚ</v>
      </c>
      <c r="AY52" s="228"/>
      <c r="AZ52" s="229" t="str">
        <f>VLOOKUP(AV53,$A$4:$AD$83,29,FALSE)</f>
        <v>1 - 0  (0)</v>
      </c>
      <c r="BA52" s="228"/>
      <c r="BB52" s="222"/>
      <c r="BC52" s="222"/>
      <c r="BD52" s="222"/>
      <c r="BE52" s="222"/>
      <c r="BF52" s="222"/>
      <c r="BG52" s="249"/>
      <c r="BH52" s="228"/>
      <c r="BI52" s="229" t="str">
        <f>VLOOKUP(BE51,$A$4:$AD$87,29,FALSE)</f>
        <v>3 - 2  (-3, -5, 6, 7, 3)</v>
      </c>
      <c r="BJ52" s="228"/>
    </row>
    <row r="53" spans="1:62" s="220" customFormat="1" ht="12.75" x14ac:dyDescent="0.25">
      <c r="A53" s="433"/>
      <c r="B53" s="493"/>
      <c r="C53" s="495"/>
      <c r="D53" s="495"/>
      <c r="E53" s="487"/>
      <c r="F53" s="491"/>
      <c r="G53" s="487" t="s">
        <v>61</v>
      </c>
      <c r="H53" s="487" t="s">
        <v>61</v>
      </c>
      <c r="I53" s="487"/>
      <c r="J53" s="487"/>
      <c r="K53" s="487">
        <v>0</v>
      </c>
      <c r="L53" s="487">
        <v>0</v>
      </c>
      <c r="M53" s="489"/>
      <c r="N53" s="487"/>
      <c r="O53" s="487"/>
      <c r="P53" s="487"/>
      <c r="Q53" s="487"/>
      <c r="R53" s="487"/>
      <c r="S53" s="487"/>
      <c r="T53" s="487"/>
      <c r="U53" s="487"/>
      <c r="V53" s="487"/>
      <c r="W53" s="487"/>
      <c r="X53" s="487"/>
      <c r="Y53" s="487"/>
      <c r="Z53" s="499"/>
      <c r="AA53" s="452"/>
      <c r="AB53" s="452"/>
      <c r="AC53" s="217"/>
      <c r="AD53" s="217" t="str">
        <f t="shared" ref="AD53" si="797">IF(AA52&gt;AB52,AD52&amp;"  "&amp;AE52,IF(AB52&gt;AA52,AD52&amp;"  "&amp;AE53,""))</f>
        <v>2 - 0  (8, 8)</v>
      </c>
      <c r="AE53" s="217" t="str">
        <f t="shared" si="0"/>
        <v>(-8, -8)</v>
      </c>
      <c r="AF53" s="217">
        <f t="shared" ref="AF53" si="798">IF(N52&gt;M52,1,0)</f>
        <v>0</v>
      </c>
      <c r="AG53" s="217">
        <f t="shared" ref="AG53" si="799">IF(P52&gt;O52,1,0)</f>
        <v>0</v>
      </c>
      <c r="AH53" s="217">
        <f t="shared" ref="AH53" si="800">IF(R52&gt;Q52,1,0)</f>
        <v>0</v>
      </c>
      <c r="AI53" s="217">
        <f t="shared" ref="AI53" si="801">IF(T52&gt;S52,1,0)</f>
        <v>0</v>
      </c>
      <c r="AJ53" s="217">
        <f t="shared" ref="AJ53" si="802">IF(V52&gt;U52,1,0)</f>
        <v>0</v>
      </c>
      <c r="AK53" s="217">
        <f t="shared" ref="AK53" si="803">IF(X52&gt;W52,1,0)</f>
        <v>0</v>
      </c>
      <c r="AL53" s="217">
        <f t="shared" ref="AL53" si="804">IF(Z52&gt;Y52,1,0)</f>
        <v>0</v>
      </c>
      <c r="AM53" s="217">
        <f t="shared" ref="AM53" si="805">IF(N52&gt;M52,M52,IF(M52&gt;N52,-N52,""))</f>
        <v>-8</v>
      </c>
      <c r="AN53" s="217" t="str">
        <f t="shared" ref="AN53" si="806">IF(P52&gt;O52,", "&amp;O52,IF(O52&gt;P52,", "&amp;-P52,""))</f>
        <v>, -8</v>
      </c>
      <c r="AO53" s="217" t="str">
        <f t="shared" ref="AO53" si="807">IF(R52&gt;Q52,", "&amp;Q52,IF(Q52&gt;R52,", "&amp;-R52,""))</f>
        <v/>
      </c>
      <c r="AP53" s="217" t="str">
        <f t="shared" ref="AP53" si="808">IF(T52&gt;S52,", "&amp;S52,IF(S52&gt;T52,", "&amp;-T52,""))</f>
        <v/>
      </c>
      <c r="AQ53" s="217" t="str">
        <f t="shared" ref="AQ53" si="809">IF(V52&gt;U52,", "&amp;U52,IF(U52&gt;V52,", "&amp;-V52,""))</f>
        <v/>
      </c>
      <c r="AR53" s="217" t="str">
        <f t="shared" ref="AR53" si="810">IF(X52&gt;W52,", "&amp;W52,IF(W52&gt;X52,", "&amp;-X52,""))</f>
        <v/>
      </c>
      <c r="AS53" s="217" t="str">
        <f t="shared" ref="AS53" si="811">IF(Z52&gt;Y52,", "&amp;Y52,IF(Y52&gt;Z52,", "&amp;-Z52,""))</f>
        <v/>
      </c>
      <c r="AU53" s="221"/>
      <c r="AV53" s="236">
        <v>13</v>
      </c>
      <c r="AW53" s="237" t="str">
        <f>VLOOKUP(AV53,$A$4:$L$83,6,FALSE)</f>
        <v>28/Sep-- Table</v>
      </c>
      <c r="AX53" s="238"/>
      <c r="AY53" s="225">
        <f ca="1">VLOOKUP(AY55,$A$4:$L$87,7,FALSE)</f>
        <v>4273</v>
      </c>
      <c r="AZ53" s="226" t="str">
        <f ca="1">IF(AY53=0,0,VLOOKUP(AY53,Inscripciones!$B$1:$I$464,2,FALSE))</f>
        <v>JAQUELINE HERNÁNDEZ ZUÑIGA</v>
      </c>
      <c r="BA53" s="227" t="str">
        <f ca="1">IF(AY53=0,0,VLOOKUP(AY53,Inscripciones!$B$1:$L$364,3,FALSE))</f>
        <v>ESCAZÚ</v>
      </c>
      <c r="BB53" s="222"/>
      <c r="BC53" s="222"/>
      <c r="BD53" s="222"/>
      <c r="BE53" s="222"/>
      <c r="BG53" s="253"/>
    </row>
    <row r="54" spans="1:62" s="220" customFormat="1" ht="12.75" x14ac:dyDescent="0.25">
      <c r="A54" s="433">
        <v>26</v>
      </c>
      <c r="B54" s="482" t="s">
        <v>128</v>
      </c>
      <c r="C54" s="484" t="s">
        <v>78</v>
      </c>
      <c r="D54" s="484"/>
      <c r="E54" s="474"/>
      <c r="F54" s="496" t="str">
        <f t="shared" ref="F54:F66" si="812">C54&amp;"-"&amp;D54&amp;"- Table"&amp;E54</f>
        <v>28/Sep-- Table</v>
      </c>
      <c r="G54" s="474">
        <f ca="1">IF(M40="",0,IF(AA40&gt;AB40,G40,H40))</f>
        <v>4274</v>
      </c>
      <c r="H54" s="474">
        <f ca="1">IF(M42="",0,IF(AA42&gt;AB42,G42,H42))</f>
        <v>4176</v>
      </c>
      <c r="I54" s="474" t="str">
        <f ca="1">IF(G54=0,0,VLOOKUP(G54,Inscripciones!$B$1:$I$464,2,FALSE))</f>
        <v>MARÍA PAULA HERNÁNDEZ ZÚÑIGA</v>
      </c>
      <c r="J54" s="474" t="str">
        <f ca="1">IF(G54=0,0,VLOOKUP(G54,Inscripciones!$B$1:$L$364,3,FALSE))</f>
        <v>ESCAZÚ</v>
      </c>
      <c r="K54" s="474" t="str">
        <f ca="1">IF(I54=0,0,VLOOKUP(H54,Inscripciones!$B$1:$I$464,2,FALSE))</f>
        <v>LÍA SOFÍA SOLÍS VÁSQUEZ</v>
      </c>
      <c r="L54" s="474" t="str">
        <f ca="1">IF(I54=0,0,VLOOKUP(H54,Inscripciones!$B$1:$L$364,3,FALSE))</f>
        <v>ESPARZA</v>
      </c>
      <c r="M54" s="480">
        <v>8</v>
      </c>
      <c r="N54" s="474">
        <v>11</v>
      </c>
      <c r="O54" s="474">
        <v>11</v>
      </c>
      <c r="P54" s="474">
        <v>7</v>
      </c>
      <c r="Q54" s="474">
        <v>12</v>
      </c>
      <c r="R54" s="474">
        <v>10</v>
      </c>
      <c r="S54" s="474"/>
      <c r="T54" s="474"/>
      <c r="U54" s="474"/>
      <c r="V54" s="474"/>
      <c r="W54" s="474"/>
      <c r="X54" s="474"/>
      <c r="Y54" s="474"/>
      <c r="Z54" s="476"/>
      <c r="AA54" s="452">
        <f t="shared" ref="AA54" si="813">IF(M54+N54&lt;&gt;0,SUM(AF54:AL54),"")</f>
        <v>2</v>
      </c>
      <c r="AB54" s="452">
        <f t="shared" ref="AB54" si="814">IF(M54+N54&lt;&gt;0,SUM(AF55:AL55),"")</f>
        <v>1</v>
      </c>
      <c r="AC54" s="217" t="str">
        <f t="shared" ref="AC54" si="815">IF(AA54&gt;AB54,AD54&amp;"  "&amp;AE54,IF(AB54&gt;AA54,AD54&amp;"  "&amp;AE55,""))</f>
        <v>2 - 1  (-8, 7, 10)</v>
      </c>
      <c r="AD54" s="217" t="str">
        <f t="shared" ref="AD54" si="816">IF(AA54&gt;AB54,AA54&amp;" - "&amp;AB54,IF(AB54&gt;AA54,AB54&amp;" - "&amp;AA54,""))</f>
        <v>2 - 1</v>
      </c>
      <c r="AE54" s="217" t="str">
        <f t="shared" si="0"/>
        <v>(-8, 7, 10)</v>
      </c>
      <c r="AF54" s="217">
        <f t="shared" ref="AF54" si="817">IF(M54&gt;N54,1,0)</f>
        <v>0</v>
      </c>
      <c r="AG54" s="217">
        <f t="shared" ref="AG54" si="818">IF(O54&gt;P54,1,0)</f>
        <v>1</v>
      </c>
      <c r="AH54" s="217">
        <f t="shared" ref="AH54" si="819">IF(Q54&gt;R54,1,0)</f>
        <v>1</v>
      </c>
      <c r="AI54" s="217">
        <f t="shared" ref="AI54" si="820">IF(S54&gt;T54,1,0)</f>
        <v>0</v>
      </c>
      <c r="AJ54" s="217">
        <f t="shared" ref="AJ54" si="821">IF(U54&gt;V54,1,0)</f>
        <v>0</v>
      </c>
      <c r="AK54" s="217">
        <f t="shared" ref="AK54" si="822">IF(W54&gt;X54,1,0)</f>
        <v>0</v>
      </c>
      <c r="AL54" s="217">
        <f t="shared" ref="AL54" si="823">IF(Y54&gt;Z54,1,0)</f>
        <v>0</v>
      </c>
      <c r="AM54" s="217">
        <f t="shared" ref="AM54" si="824">IF(M54&gt;N54,N54,IF(N54&gt;M54,-M54,""))</f>
        <v>-8</v>
      </c>
      <c r="AN54" s="217" t="str">
        <f t="shared" ref="AN54" si="825">IF(O54&gt;P54,", "&amp;P54,IF(P54&gt;O54,", "&amp;-O54,""))</f>
        <v>, 7</v>
      </c>
      <c r="AO54" s="217" t="str">
        <f t="shared" ref="AO54" si="826">IF(Q54&gt;R54,", "&amp;R54,IF(R54&gt;Q54,", "&amp;-Q54,""))</f>
        <v>, 10</v>
      </c>
      <c r="AP54" s="217" t="str">
        <f t="shared" ref="AP54" si="827">IF(S54&gt;T54,", "&amp;T54,IF(T54&gt;S54,", "&amp;-S54,""))</f>
        <v/>
      </c>
      <c r="AQ54" s="217" t="str">
        <f t="shared" ref="AQ54" si="828">IF(U54&gt;V54,", "&amp;V54,IF(V54&gt;U54,", "&amp;-U54,""))</f>
        <v/>
      </c>
      <c r="AR54" s="217" t="str">
        <f t="shared" ref="AR54" si="829">IF(W54&gt;X54,", "&amp;X54,IF(X54&gt;W54,", "&amp;-W54,""))</f>
        <v/>
      </c>
      <c r="AS54" s="217" t="str">
        <f t="shared" ref="AS54" si="830">IF(Y54&gt;Z54,", "&amp;Z54,IF(Z54&gt;Y54,", "&amp;-Y54,""))</f>
        <v/>
      </c>
      <c r="AU54" s="224">
        <f>1+AU52</f>
        <v>26</v>
      </c>
      <c r="AV54" s="247" t="str">
        <f>VLOOKUP(AV53,$A$4:$L$83,8,FALSE)</f>
        <v>X</v>
      </c>
      <c r="AW54" s="247" t="str">
        <f>IF(AV54=0,0,VLOOKUP(AV54,Inscripciones!$B$1:$I$464,2,FALSE))</f>
        <v>BYE</v>
      </c>
      <c r="AX54" s="248" t="str">
        <f>IF(AV54=0,0,VLOOKUP(AV54,Inscripciones!$B$1:$L$364,3,FALSE))</f>
        <v>BYE</v>
      </c>
      <c r="AY54" s="222"/>
      <c r="AZ54" s="222"/>
      <c r="BA54" s="249"/>
      <c r="BB54" s="228"/>
      <c r="BC54" s="229" t="str">
        <f>VLOOKUP(AY55,$A$4:$AD$83,29,FALSE)</f>
        <v>2 - 1  (-10, 6, 6)</v>
      </c>
      <c r="BD54" s="228"/>
      <c r="BE54" s="222"/>
      <c r="BG54" s="253"/>
    </row>
    <row r="55" spans="1:62" s="220" customFormat="1" ht="12.75" x14ac:dyDescent="0.25">
      <c r="A55" s="433"/>
      <c r="B55" s="483"/>
      <c r="C55" s="485"/>
      <c r="D55" s="485"/>
      <c r="E55" s="475"/>
      <c r="F55" s="497"/>
      <c r="G55" s="475" t="s">
        <v>61</v>
      </c>
      <c r="H55" s="475" t="s">
        <v>61</v>
      </c>
      <c r="I55" s="475"/>
      <c r="J55" s="475"/>
      <c r="K55" s="475">
        <v>0</v>
      </c>
      <c r="L55" s="475">
        <v>0</v>
      </c>
      <c r="M55" s="481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7"/>
      <c r="AA55" s="452"/>
      <c r="AB55" s="452"/>
      <c r="AC55" s="217"/>
      <c r="AD55" s="217" t="str">
        <f t="shared" ref="AD55" si="831">IF(AA54&gt;AB54,AD54&amp;"  "&amp;AE54,IF(AB54&gt;AA54,AD54&amp;"  "&amp;AE55,""))</f>
        <v>2 - 1  (-8, 7, 10)</v>
      </c>
      <c r="AE55" s="217" t="str">
        <f t="shared" si="0"/>
        <v>(8, -7, -10)</v>
      </c>
      <c r="AF55" s="217">
        <f t="shared" ref="AF55" si="832">IF(N54&gt;M54,1,0)</f>
        <v>1</v>
      </c>
      <c r="AG55" s="217">
        <f t="shared" ref="AG55" si="833">IF(P54&gt;O54,1,0)</f>
        <v>0</v>
      </c>
      <c r="AH55" s="217">
        <f t="shared" ref="AH55" si="834">IF(R54&gt;Q54,1,0)</f>
        <v>0</v>
      </c>
      <c r="AI55" s="217">
        <f t="shared" ref="AI55" si="835">IF(T54&gt;S54,1,0)</f>
        <v>0</v>
      </c>
      <c r="AJ55" s="217">
        <f t="shared" ref="AJ55" si="836">IF(V54&gt;U54,1,0)</f>
        <v>0</v>
      </c>
      <c r="AK55" s="217">
        <f t="shared" ref="AK55" si="837">IF(X54&gt;W54,1,0)</f>
        <v>0</v>
      </c>
      <c r="AL55" s="217">
        <f t="shared" ref="AL55" si="838">IF(Z54&gt;Y54,1,0)</f>
        <v>0</v>
      </c>
      <c r="AM55" s="217">
        <f t="shared" ref="AM55" si="839">IF(N54&gt;M54,M54,IF(M54&gt;N54,-N54,""))</f>
        <v>8</v>
      </c>
      <c r="AN55" s="217" t="str">
        <f t="shared" ref="AN55" si="840">IF(P54&gt;O54,", "&amp;O54,IF(O54&gt;P54,", "&amp;-P54,""))</f>
        <v>, -7</v>
      </c>
      <c r="AO55" s="217" t="str">
        <f t="shared" ref="AO55" si="841">IF(R54&gt;Q54,", "&amp;Q54,IF(Q54&gt;R54,", "&amp;-R54,""))</f>
        <v>, -10</v>
      </c>
      <c r="AP55" s="217" t="str">
        <f t="shared" ref="AP55" si="842">IF(T54&gt;S54,", "&amp;S54,IF(S54&gt;T54,", "&amp;-T54,""))</f>
        <v/>
      </c>
      <c r="AQ55" s="217" t="str">
        <f t="shared" ref="AQ55" si="843">IF(V54&gt;U54,", "&amp;U54,IF(U54&gt;V54,", "&amp;-V54,""))</f>
        <v/>
      </c>
      <c r="AR55" s="217" t="str">
        <f t="shared" ref="AR55" si="844">IF(X54&gt;W54,", "&amp;W54,IF(W54&gt;X54,", "&amp;-X54,""))</f>
        <v/>
      </c>
      <c r="AS55" s="217" t="str">
        <f t="shared" ref="AS55" si="845">IF(Z54&gt;Y54,", "&amp;Y54,IF(Y54&gt;Z54,", "&amp;-Z54,""))</f>
        <v/>
      </c>
      <c r="AU55" s="221"/>
      <c r="AV55" s="222"/>
      <c r="AW55" s="222"/>
      <c r="AX55" s="250"/>
      <c r="AY55" s="236">
        <v>23</v>
      </c>
      <c r="AZ55" s="237" t="str">
        <f>VLOOKUP(AY55,$A$4:$L$83,6,FALSE)</f>
        <v>28/Sep-- Table</v>
      </c>
      <c r="BA55" s="251"/>
      <c r="BB55" s="225">
        <f ca="1">VLOOKUP(BB59,$A$4:$L$87,7,FALSE)</f>
        <v>4273</v>
      </c>
      <c r="BC55" s="226" t="str">
        <f ca="1">IF(BB55=0,0,VLOOKUP(BB55,Inscripciones!$B$1:$I$464,2,FALSE))</f>
        <v>JAQUELINE HERNÁNDEZ ZUÑIGA</v>
      </c>
      <c r="BD55" s="227" t="str">
        <f ca="1">IF(BB55=0,0,VLOOKUP(BB55,Inscripciones!$B$1:$L$364,3,FALSE))</f>
        <v>ESCAZÚ</v>
      </c>
      <c r="BE55" s="222"/>
      <c r="BG55" s="253"/>
    </row>
    <row r="56" spans="1:62" s="220" customFormat="1" ht="12.75" x14ac:dyDescent="0.25">
      <c r="A56" s="433">
        <v>27</v>
      </c>
      <c r="B56" s="492" t="s">
        <v>128</v>
      </c>
      <c r="C56" s="494" t="s">
        <v>78</v>
      </c>
      <c r="D56" s="494"/>
      <c r="E56" s="486"/>
      <c r="F56" s="490" t="str">
        <f t="shared" si="778"/>
        <v>28/Sep-- Table</v>
      </c>
      <c r="G56" s="486">
        <f ca="1">IF(M44="",0,IF(AA44&gt;AB44,G44,H44))</f>
        <v>3918</v>
      </c>
      <c r="H56" s="486">
        <f ca="1">IF(M46="",0,IF(AA46&gt;AB46,G46,H46))</f>
        <v>4183</v>
      </c>
      <c r="I56" s="486" t="str">
        <f ca="1">IF(G56=0,0,VLOOKUP(G56,Inscripciones!$B$1:$I$464,2,FALSE))</f>
        <v>MARIANA SOTO CALDERON</v>
      </c>
      <c r="J56" s="486" t="str">
        <f ca="1">IF(G56=0,0,VLOOKUP(G56,Inscripciones!$B$1:$L$364,3,FALSE))</f>
        <v>ESPARZA</v>
      </c>
      <c r="K56" s="486" t="str">
        <f ca="1">IF(I56=0,0,VLOOKUP(H56,Inscripciones!$B$1:$I$464,2,FALSE))</f>
        <v>MONSERRAT RODRÍGUEZ SOLÍS</v>
      </c>
      <c r="L56" s="486" t="str">
        <f ca="1">IF(I56=0,0,VLOOKUP(H56,Inscripciones!$B$1:$L$364,3,FALSE))</f>
        <v>SAN CARLOS</v>
      </c>
      <c r="M56" s="488">
        <v>8</v>
      </c>
      <c r="N56" s="486">
        <v>11</v>
      </c>
      <c r="O56" s="486">
        <v>11</v>
      </c>
      <c r="P56" s="486">
        <v>4</v>
      </c>
      <c r="Q56" s="486">
        <v>11</v>
      </c>
      <c r="R56" s="486">
        <v>9</v>
      </c>
      <c r="S56" s="486"/>
      <c r="T56" s="486"/>
      <c r="U56" s="486"/>
      <c r="V56" s="486"/>
      <c r="W56" s="486"/>
      <c r="X56" s="486"/>
      <c r="Y56" s="486"/>
      <c r="Z56" s="498"/>
      <c r="AA56" s="452">
        <f t="shared" ref="AA56" si="846">IF(M56+N56&lt;&gt;0,SUM(AF56:AL56),"")</f>
        <v>2</v>
      </c>
      <c r="AB56" s="452">
        <f t="shared" ref="AB56" si="847">IF(M56+N56&lt;&gt;0,SUM(AF57:AL57),"")</f>
        <v>1</v>
      </c>
      <c r="AC56" s="217" t="str">
        <f t="shared" ref="AC56" si="848">IF(AA56&gt;AB56,AD56&amp;"  "&amp;AE56,IF(AB56&gt;AA56,AD56&amp;"  "&amp;AE57,""))</f>
        <v>2 - 1  (-8, 4, 9)</v>
      </c>
      <c r="AD56" s="217" t="str">
        <f t="shared" ref="AD56" si="849">IF(AA56&gt;AB56,AA56&amp;" - "&amp;AB56,IF(AB56&gt;AA56,AB56&amp;" - "&amp;AA56,""))</f>
        <v>2 - 1</v>
      </c>
      <c r="AE56" s="217" t="str">
        <f t="shared" si="0"/>
        <v>(-8, 4, 9)</v>
      </c>
      <c r="AF56" s="217">
        <f t="shared" ref="AF56" si="850">IF(M56&gt;N56,1,0)</f>
        <v>0</v>
      </c>
      <c r="AG56" s="217">
        <f t="shared" ref="AG56" si="851">IF(O56&gt;P56,1,0)</f>
        <v>1</v>
      </c>
      <c r="AH56" s="217">
        <f t="shared" ref="AH56" si="852">IF(Q56&gt;R56,1,0)</f>
        <v>1</v>
      </c>
      <c r="AI56" s="217">
        <f t="shared" ref="AI56" si="853">IF(S56&gt;T56,1,0)</f>
        <v>0</v>
      </c>
      <c r="AJ56" s="217">
        <f t="shared" ref="AJ56" si="854">IF(U56&gt;V56,1,0)</f>
        <v>0</v>
      </c>
      <c r="AK56" s="217">
        <f t="shared" ref="AK56" si="855">IF(W56&gt;X56,1,0)</f>
        <v>0</v>
      </c>
      <c r="AL56" s="217">
        <f t="shared" ref="AL56" si="856">IF(Y56&gt;Z56,1,0)</f>
        <v>0</v>
      </c>
      <c r="AM56" s="217">
        <f t="shared" ref="AM56" si="857">IF(M56&gt;N56,N56,IF(N56&gt;M56,-M56,""))</f>
        <v>-8</v>
      </c>
      <c r="AN56" s="217" t="str">
        <f t="shared" ref="AN56" si="858">IF(O56&gt;P56,", "&amp;P56,IF(P56&gt;O56,", "&amp;-O56,""))</f>
        <v>, 4</v>
      </c>
      <c r="AO56" s="217" t="str">
        <f t="shared" ref="AO56" si="859">IF(Q56&gt;R56,", "&amp;R56,IF(R56&gt;Q56,", "&amp;-Q56,""))</f>
        <v>, 9</v>
      </c>
      <c r="AP56" s="217" t="str">
        <f t="shared" ref="AP56" si="860">IF(S56&gt;T56,", "&amp;T56,IF(T56&gt;S56,", "&amp;-S56,""))</f>
        <v/>
      </c>
      <c r="AQ56" s="217" t="str">
        <f t="shared" ref="AQ56" si="861">IF(U56&gt;V56,", "&amp;V56,IF(V56&gt;U56,", "&amp;-U56,""))</f>
        <v/>
      </c>
      <c r="AR56" s="217" t="str">
        <f t="shared" ref="AR56" si="862">IF(W56&gt;X56,", "&amp;X56,IF(X56&gt;W56,", "&amp;-W56,""))</f>
        <v/>
      </c>
      <c r="AS56" s="217" t="str">
        <f t="shared" ref="AS56" si="863">IF(Y56&gt;Z56,", "&amp;Z56,IF(Z56&gt;Y56,", "&amp;-Y56,""))</f>
        <v/>
      </c>
      <c r="AU56" s="224">
        <f>1+AU54</f>
        <v>27</v>
      </c>
      <c r="AV56" s="225">
        <f ca="1">VLOOKUP(AV57,$A$4:$L$83,7,FALSE)</f>
        <v>4212</v>
      </c>
      <c r="AW56" s="226" t="str">
        <f ca="1">IF(AV56=0,0,VLOOKUP(AV56,Inscripciones!$B$1:$I$464,2,FALSE))</f>
        <v>FIORELLA RETANA AGUILAR</v>
      </c>
      <c r="AX56" s="227" t="str">
        <f ca="1">IF(AV56=0,0,VLOOKUP(AV56,Inscripciones!$B$1:$L$364,3,FALSE))</f>
        <v>CURRIDABAT</v>
      </c>
      <c r="AY56" s="252"/>
      <c r="AZ56" s="222"/>
      <c r="BA56" s="249"/>
      <c r="BB56" s="222"/>
      <c r="BC56" s="222"/>
      <c r="BD56" s="249"/>
      <c r="BE56" s="222"/>
      <c r="BG56" s="253"/>
    </row>
    <row r="57" spans="1:62" s="220" customFormat="1" ht="12.75" x14ac:dyDescent="0.25">
      <c r="A57" s="433"/>
      <c r="B57" s="493"/>
      <c r="C57" s="495"/>
      <c r="D57" s="495"/>
      <c r="E57" s="487"/>
      <c r="F57" s="491"/>
      <c r="G57" s="487" t="s">
        <v>61</v>
      </c>
      <c r="H57" s="487" t="s">
        <v>61</v>
      </c>
      <c r="I57" s="487"/>
      <c r="J57" s="487"/>
      <c r="K57" s="487">
        <v>0</v>
      </c>
      <c r="L57" s="487">
        <v>0</v>
      </c>
      <c r="M57" s="489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99"/>
      <c r="AA57" s="452"/>
      <c r="AB57" s="452"/>
      <c r="AC57" s="217"/>
      <c r="AD57" s="217" t="str">
        <f t="shared" ref="AD57" si="864">IF(AA56&gt;AB56,AD56&amp;"  "&amp;AE56,IF(AB56&gt;AA56,AD56&amp;"  "&amp;AE57,""))</f>
        <v>2 - 1  (-8, 4, 9)</v>
      </c>
      <c r="AE57" s="217" t="str">
        <f t="shared" si="0"/>
        <v>(8, -4, -9)</v>
      </c>
      <c r="AF57" s="217">
        <f t="shared" ref="AF57" si="865">IF(N56&gt;M56,1,0)</f>
        <v>1</v>
      </c>
      <c r="AG57" s="217">
        <f t="shared" ref="AG57" si="866">IF(P56&gt;O56,1,0)</f>
        <v>0</v>
      </c>
      <c r="AH57" s="217">
        <f t="shared" ref="AH57" si="867">IF(R56&gt;Q56,1,0)</f>
        <v>0</v>
      </c>
      <c r="AI57" s="217">
        <f t="shared" ref="AI57" si="868">IF(T56&gt;S56,1,0)</f>
        <v>0</v>
      </c>
      <c r="AJ57" s="217">
        <f t="shared" ref="AJ57" si="869">IF(V56&gt;U56,1,0)</f>
        <v>0</v>
      </c>
      <c r="AK57" s="217">
        <f t="shared" ref="AK57" si="870">IF(X56&gt;W56,1,0)</f>
        <v>0</v>
      </c>
      <c r="AL57" s="217">
        <f t="shared" ref="AL57" si="871">IF(Z56&gt;Y56,1,0)</f>
        <v>0</v>
      </c>
      <c r="AM57" s="217">
        <f t="shared" ref="AM57" si="872">IF(N56&gt;M56,M56,IF(M56&gt;N56,-N56,""))</f>
        <v>8</v>
      </c>
      <c r="AN57" s="217" t="str">
        <f t="shared" ref="AN57" si="873">IF(P56&gt;O56,", "&amp;O56,IF(O56&gt;P56,", "&amp;-P56,""))</f>
        <v>, -4</v>
      </c>
      <c r="AO57" s="217" t="str">
        <f t="shared" ref="AO57" si="874">IF(R56&gt;Q56,", "&amp;Q56,IF(Q56&gt;R56,", "&amp;-R56,""))</f>
        <v>, -9</v>
      </c>
      <c r="AP57" s="217" t="str">
        <f t="shared" ref="AP57" si="875">IF(T56&gt;S56,", "&amp;S56,IF(S56&gt;T56,", "&amp;-T56,""))</f>
        <v/>
      </c>
      <c r="AQ57" s="217" t="str">
        <f t="shared" ref="AQ57" si="876">IF(V56&gt;U56,", "&amp;U56,IF(U56&gt;V56,", "&amp;-V56,""))</f>
        <v/>
      </c>
      <c r="AR57" s="217" t="str">
        <f t="shared" ref="AR57" si="877">IF(X56&gt;W56,", "&amp;W56,IF(W56&gt;X56,", "&amp;-X56,""))</f>
        <v/>
      </c>
      <c r="AS57" s="217" t="str">
        <f t="shared" ref="AS57" si="878">IF(Z56&gt;Y56,", "&amp;Y56,IF(Y56&gt;Z56,", "&amp;-Z56,""))</f>
        <v/>
      </c>
      <c r="AU57" s="221"/>
      <c r="AV57" s="236">
        <v>14</v>
      </c>
      <c r="AW57" s="237" t="str">
        <f>VLOOKUP(AV57,$A$4:$L$83,6,FALSE)</f>
        <v>28/Sep-- Table</v>
      </c>
      <c r="AX57" s="238"/>
      <c r="AY57" s="247">
        <f ca="1">VLOOKUP(AY55,$A$4:$L$87,8,FALSE)</f>
        <v>4104</v>
      </c>
      <c r="AZ57" s="247" t="str">
        <f ca="1">IF(AY57=0,0,VLOOKUP(AY57,Inscripciones!$B$1:$I$464,2,FALSE))</f>
        <v>ARIANA SANCHEZ DELGADO</v>
      </c>
      <c r="BA57" s="248" t="str">
        <f ca="1">IF(AY57=0,0,VLOOKUP(AY57,Inscripciones!$B$1:$L$364,3,FALSE))</f>
        <v>ESCAZÚ</v>
      </c>
      <c r="BB57" s="222"/>
      <c r="BC57" s="222"/>
      <c r="BD57" s="249"/>
      <c r="BE57" s="222"/>
      <c r="BG57" s="253"/>
    </row>
    <row r="58" spans="1:62" s="220" customFormat="1" ht="12.75" x14ac:dyDescent="0.25">
      <c r="A58" s="433">
        <v>28</v>
      </c>
      <c r="B58" s="482" t="s">
        <v>128</v>
      </c>
      <c r="C58" s="484" t="s">
        <v>78</v>
      </c>
      <c r="D58" s="484"/>
      <c r="E58" s="474"/>
      <c r="F58" s="496" t="str">
        <f t="shared" si="812"/>
        <v>28/Sep-- Table</v>
      </c>
      <c r="G58" s="474">
        <f ca="1">IF(M48="",0,IF(AA48&gt;AB48,G48,H48))</f>
        <v>4273</v>
      </c>
      <c r="H58" s="474">
        <f ca="1">IF(M50="",0,IF(AA50&gt;AB50,G50,H50))</f>
        <v>4101</v>
      </c>
      <c r="I58" s="474" t="str">
        <f ca="1">IF(G58=0,0,VLOOKUP(G58,Inscripciones!$B$1:$I$464,2,FALSE))</f>
        <v>JAQUELINE HERNÁNDEZ ZUÑIGA</v>
      </c>
      <c r="J58" s="474" t="str">
        <f ca="1">IF(G58=0,0,VLOOKUP(G58,Inscripciones!$B$1:$L$364,3,FALSE))</f>
        <v>ESCAZÚ</v>
      </c>
      <c r="K58" s="474" t="str">
        <f ca="1">IF(I58=0,0,VLOOKUP(H58,Inscripciones!$B$1:$I$464,2,FALSE))</f>
        <v>ABIGAIL QUIROS BALTODANO</v>
      </c>
      <c r="L58" s="474" t="str">
        <f ca="1">IF(I58=0,0,VLOOKUP(H58,Inscripciones!$B$1:$L$364,3,FALSE))</f>
        <v>ESPARZA</v>
      </c>
      <c r="M58" s="480">
        <v>11</v>
      </c>
      <c r="N58" s="474">
        <v>6</v>
      </c>
      <c r="O58" s="474">
        <v>5</v>
      </c>
      <c r="P58" s="474">
        <v>11</v>
      </c>
      <c r="Q58" s="474">
        <v>5</v>
      </c>
      <c r="R58" s="474">
        <v>11</v>
      </c>
      <c r="S58" s="474"/>
      <c r="T58" s="474"/>
      <c r="U58" s="474"/>
      <c r="V58" s="474"/>
      <c r="W58" s="474"/>
      <c r="X58" s="474"/>
      <c r="Y58" s="474"/>
      <c r="Z58" s="476"/>
      <c r="AA58" s="452">
        <f t="shared" ref="AA58" si="879">IF(M58+N58&lt;&gt;0,SUM(AF58:AL58),"")</f>
        <v>1</v>
      </c>
      <c r="AB58" s="452">
        <f t="shared" ref="AB58" si="880">IF(M58+N58&lt;&gt;0,SUM(AF59:AL59),"")</f>
        <v>2</v>
      </c>
      <c r="AC58" s="217" t="str">
        <f t="shared" ref="AC58" si="881">IF(AA58&gt;AB58,AD58&amp;"  "&amp;AE58,IF(AB58&gt;AA58,AD58&amp;"  "&amp;AE59,""))</f>
        <v>2 - 1  (-6, 5, 5)</v>
      </c>
      <c r="AD58" s="217" t="str">
        <f t="shared" ref="AD58" si="882">IF(AA58&gt;AB58,AA58&amp;" - "&amp;AB58,IF(AB58&gt;AA58,AB58&amp;" - "&amp;AA58,""))</f>
        <v>2 - 1</v>
      </c>
      <c r="AE58" s="217" t="str">
        <f t="shared" si="0"/>
        <v>(6, -5, -5)</v>
      </c>
      <c r="AF58" s="217">
        <f t="shared" ref="AF58" si="883">IF(M58&gt;N58,1,0)</f>
        <v>1</v>
      </c>
      <c r="AG58" s="217">
        <f t="shared" ref="AG58" si="884">IF(O58&gt;P58,1,0)</f>
        <v>0</v>
      </c>
      <c r="AH58" s="217">
        <f t="shared" ref="AH58" si="885">IF(Q58&gt;R58,1,0)</f>
        <v>0</v>
      </c>
      <c r="AI58" s="217">
        <f t="shared" ref="AI58" si="886">IF(S58&gt;T58,1,0)</f>
        <v>0</v>
      </c>
      <c r="AJ58" s="217">
        <f t="shared" ref="AJ58" si="887">IF(U58&gt;V58,1,0)</f>
        <v>0</v>
      </c>
      <c r="AK58" s="217">
        <f t="shared" ref="AK58" si="888">IF(W58&gt;X58,1,0)</f>
        <v>0</v>
      </c>
      <c r="AL58" s="217">
        <f t="shared" ref="AL58" si="889">IF(Y58&gt;Z58,1,0)</f>
        <v>0</v>
      </c>
      <c r="AM58" s="217">
        <f t="shared" ref="AM58" si="890">IF(M58&gt;N58,N58,IF(N58&gt;M58,-M58,""))</f>
        <v>6</v>
      </c>
      <c r="AN58" s="217" t="str">
        <f t="shared" ref="AN58" si="891">IF(O58&gt;P58,", "&amp;P58,IF(P58&gt;O58,", "&amp;-O58,""))</f>
        <v>, -5</v>
      </c>
      <c r="AO58" s="217" t="str">
        <f t="shared" ref="AO58" si="892">IF(Q58&gt;R58,", "&amp;R58,IF(R58&gt;Q58,", "&amp;-Q58,""))</f>
        <v>, -5</v>
      </c>
      <c r="AP58" s="217" t="str">
        <f t="shared" ref="AP58" si="893">IF(S58&gt;T58,", "&amp;T58,IF(T58&gt;S58,", "&amp;-S58,""))</f>
        <v/>
      </c>
      <c r="AQ58" s="217" t="str">
        <f t="shared" ref="AQ58" si="894">IF(U58&gt;V58,", "&amp;V58,IF(V58&gt;U58,", "&amp;-U58,""))</f>
        <v/>
      </c>
      <c r="AR58" s="217" t="str">
        <f t="shared" ref="AR58" si="895">IF(W58&gt;X58,", "&amp;X58,IF(X58&gt;W58,", "&amp;-W58,""))</f>
        <v/>
      </c>
      <c r="AS58" s="217" t="str">
        <f t="shared" ref="AS58" si="896">IF(Y58&gt;Z58,", "&amp;Z58,IF(Z58&gt;Y58,", "&amp;-Y58,""))</f>
        <v/>
      </c>
      <c r="AU58" s="224">
        <f>1+AU56</f>
        <v>28</v>
      </c>
      <c r="AV58" s="247">
        <f ca="1">VLOOKUP(AV57,$A$4:$L$83,8,FALSE)</f>
        <v>4104</v>
      </c>
      <c r="AW58" s="247" t="str">
        <f ca="1">IF(AV58=0,0,VLOOKUP(AV58,Inscripciones!$B$1:$I$464,2,FALSE))</f>
        <v>ARIANA SANCHEZ DELGADO</v>
      </c>
      <c r="AX58" s="248" t="str">
        <f ca="1">IF(AV58=0,0,VLOOKUP(AV58,Inscripciones!$B$1:$L$364,3,FALSE))</f>
        <v>ESCAZÚ</v>
      </c>
      <c r="AY58" s="228"/>
      <c r="AZ58" s="229" t="str">
        <f>VLOOKUP(AV57,$A$4:$AD$87,29,FALSE)</f>
        <v>2 - 0  (6, 6)</v>
      </c>
      <c r="BA58" s="228"/>
      <c r="BB58" s="222"/>
      <c r="BC58" s="222"/>
      <c r="BD58" s="249"/>
      <c r="BE58" s="222"/>
      <c r="BG58" s="253"/>
    </row>
    <row r="59" spans="1:62" s="220" customFormat="1" ht="12.75" x14ac:dyDescent="0.25">
      <c r="A59" s="433"/>
      <c r="B59" s="483"/>
      <c r="C59" s="485"/>
      <c r="D59" s="485"/>
      <c r="E59" s="475"/>
      <c r="F59" s="497"/>
      <c r="G59" s="475" t="s">
        <v>61</v>
      </c>
      <c r="H59" s="475" t="s">
        <v>61</v>
      </c>
      <c r="I59" s="475"/>
      <c r="J59" s="475"/>
      <c r="K59" s="475">
        <v>0</v>
      </c>
      <c r="L59" s="475">
        <v>0</v>
      </c>
      <c r="M59" s="481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7"/>
      <c r="AA59" s="452"/>
      <c r="AB59" s="452"/>
      <c r="AC59" s="217"/>
      <c r="AD59" s="217" t="str">
        <f t="shared" ref="AD59" si="897">IF(AA58&gt;AB58,AD58&amp;"  "&amp;AE58,IF(AB58&gt;AA58,AD58&amp;"  "&amp;AE59,""))</f>
        <v>2 - 1  (-6, 5, 5)</v>
      </c>
      <c r="AE59" s="217" t="str">
        <f t="shared" si="0"/>
        <v>(-6, 5, 5)</v>
      </c>
      <c r="AF59" s="217">
        <f t="shared" ref="AF59" si="898">IF(N58&gt;M58,1,0)</f>
        <v>0</v>
      </c>
      <c r="AG59" s="217">
        <f t="shared" ref="AG59" si="899">IF(P58&gt;O58,1,0)</f>
        <v>1</v>
      </c>
      <c r="AH59" s="217">
        <f t="shared" ref="AH59" si="900">IF(R58&gt;Q58,1,0)</f>
        <v>1</v>
      </c>
      <c r="AI59" s="217">
        <f t="shared" ref="AI59" si="901">IF(T58&gt;S58,1,0)</f>
        <v>0</v>
      </c>
      <c r="AJ59" s="217">
        <f t="shared" ref="AJ59" si="902">IF(V58&gt;U58,1,0)</f>
        <v>0</v>
      </c>
      <c r="AK59" s="217">
        <f t="shared" ref="AK59" si="903">IF(X58&gt;W58,1,0)</f>
        <v>0</v>
      </c>
      <c r="AL59" s="217">
        <f t="shared" ref="AL59" si="904">IF(Z58&gt;Y58,1,0)</f>
        <v>0</v>
      </c>
      <c r="AM59" s="217">
        <f t="shared" ref="AM59" si="905">IF(N58&gt;M58,M58,IF(M58&gt;N58,-N58,""))</f>
        <v>-6</v>
      </c>
      <c r="AN59" s="217" t="str">
        <f t="shared" ref="AN59" si="906">IF(P58&gt;O58,", "&amp;O58,IF(O58&gt;P58,", "&amp;-P58,""))</f>
        <v>, 5</v>
      </c>
      <c r="AO59" s="217" t="str">
        <f t="shared" ref="AO59" si="907">IF(R58&gt;Q58,", "&amp;Q58,IF(Q58&gt;R58,", "&amp;-R58,""))</f>
        <v>, 5</v>
      </c>
      <c r="AP59" s="217" t="str">
        <f t="shared" ref="AP59" si="908">IF(T58&gt;S58,", "&amp;S58,IF(S58&gt;T58,", "&amp;-T58,""))</f>
        <v/>
      </c>
      <c r="AQ59" s="217" t="str">
        <f t="shared" ref="AQ59" si="909">IF(V58&gt;U58,", "&amp;U58,IF(U58&gt;V58,", "&amp;-V58,""))</f>
        <v/>
      </c>
      <c r="AR59" s="217" t="str">
        <f t="shared" ref="AR59" si="910">IF(X58&gt;W58,", "&amp;W58,IF(W58&gt;X58,", "&amp;-X58,""))</f>
        <v/>
      </c>
      <c r="AS59" s="217" t="str">
        <f t="shared" ref="AS59" si="911">IF(Z58&gt;Y58,", "&amp;Y58,IF(Y58&gt;Z58,", "&amp;-Z58,""))</f>
        <v/>
      </c>
      <c r="AU59" s="221"/>
      <c r="AV59" s="222"/>
      <c r="AW59" s="222"/>
      <c r="AX59" s="250"/>
      <c r="AY59" s="222"/>
      <c r="AZ59" s="222"/>
      <c r="BA59" s="222"/>
      <c r="BB59" s="236">
        <v>28</v>
      </c>
      <c r="BC59" s="237" t="str">
        <f>VLOOKUP(BB59,$A$4:$L$83,6,FALSE)</f>
        <v>28/Sep-- Table</v>
      </c>
      <c r="BD59" s="249"/>
      <c r="BE59" s="247">
        <f ca="1">VLOOKUP(BE51,$A$4:$L$87,8,FALSE)</f>
        <v>4101</v>
      </c>
      <c r="BF59" s="247" t="str">
        <f ca="1">IF(BE59=0,0,VLOOKUP(BE59,Inscripciones!$B$1:$I$464,2,FALSE))</f>
        <v>ABIGAIL QUIROS BALTODANO</v>
      </c>
      <c r="BG59" s="248" t="str">
        <f ca="1">IF(BE59=0,0,VLOOKUP(BE59,Inscripciones!$B$1:$L$364,3,FALSE))</f>
        <v>ESPARZA</v>
      </c>
    </row>
    <row r="60" spans="1:62" s="220" customFormat="1" ht="12.75" x14ac:dyDescent="0.25">
      <c r="A60" s="433">
        <v>29</v>
      </c>
      <c r="B60" s="468" t="s">
        <v>129</v>
      </c>
      <c r="C60" s="470" t="s">
        <v>78</v>
      </c>
      <c r="D60" s="470"/>
      <c r="E60" s="462"/>
      <c r="F60" s="466" t="str">
        <f t="shared" si="778"/>
        <v>28/Sep-- Table</v>
      </c>
      <c r="G60" s="462">
        <f ca="1">IF(M52="",0,IF(AA52&gt;AB52,G52,H52))</f>
        <v>4159</v>
      </c>
      <c r="H60" s="462">
        <f ca="1">IF(M54="",0,IF(AA54&gt;AB54,G54,H54))</f>
        <v>4274</v>
      </c>
      <c r="I60" s="462" t="str">
        <f ca="1">IF(G60=0,0,VLOOKUP(G60,Inscripciones!$B$1:$I$464,2,FALSE))</f>
        <v>MARÍA FERNANDA ZELEDÓN HERRERA</v>
      </c>
      <c r="J60" s="462" t="str">
        <f ca="1">IF(G60=0,0,VLOOKUP(G60,Inscripciones!$B$1:$L$364,3,FALSE))</f>
        <v>ESPARZA</v>
      </c>
      <c r="K60" s="462" t="str">
        <f ca="1">IF(I60=0,0,VLOOKUP(H60,Inscripciones!$B$1:$I$464,2,FALSE))</f>
        <v>MARÍA PAULA HERNÁNDEZ ZÚÑIGA</v>
      </c>
      <c r="L60" s="462" t="str">
        <f ca="1">IF(I60=0,0,VLOOKUP(H60,Inscripciones!$B$1:$L$364,3,FALSE))</f>
        <v>ESCAZÚ</v>
      </c>
      <c r="M60" s="464">
        <v>11</v>
      </c>
      <c r="N60" s="462">
        <v>8</v>
      </c>
      <c r="O60" s="462">
        <v>11</v>
      </c>
      <c r="P60" s="462">
        <v>5</v>
      </c>
      <c r="Q60" s="462">
        <v>11</v>
      </c>
      <c r="R60" s="462">
        <v>6</v>
      </c>
      <c r="S60" s="462"/>
      <c r="T60" s="462"/>
      <c r="U60" s="462"/>
      <c r="V60" s="462"/>
      <c r="W60" s="462"/>
      <c r="X60" s="462"/>
      <c r="Y60" s="462"/>
      <c r="Z60" s="478"/>
      <c r="AA60" s="452">
        <f t="shared" ref="AA60" si="912">IF(M60+N60&lt;&gt;0,SUM(AF60:AL60),"")</f>
        <v>3</v>
      </c>
      <c r="AB60" s="452">
        <f t="shared" ref="AB60" si="913">IF(M60+N60&lt;&gt;0,SUM(AF61:AL61),"")</f>
        <v>0</v>
      </c>
      <c r="AC60" s="217" t="str">
        <f t="shared" ref="AC60" si="914">IF(AA60&gt;AB60,AD60&amp;"  "&amp;AE60,IF(AB60&gt;AA60,AD60&amp;"  "&amp;AE61,""))</f>
        <v>3 - 0  (8, 5, 6)</v>
      </c>
      <c r="AD60" s="217" t="str">
        <f t="shared" ref="AD60" si="915">IF(AA60&gt;AB60,AA60&amp;" - "&amp;AB60,IF(AB60&gt;AA60,AB60&amp;" - "&amp;AA60,""))</f>
        <v>3 - 0</v>
      </c>
      <c r="AE60" s="217" t="str">
        <f t="shared" si="0"/>
        <v>(8, 5, 6)</v>
      </c>
      <c r="AF60" s="217">
        <f t="shared" ref="AF60" si="916">IF(M60&gt;N60,1,0)</f>
        <v>1</v>
      </c>
      <c r="AG60" s="217">
        <f t="shared" ref="AG60" si="917">IF(O60&gt;P60,1,0)</f>
        <v>1</v>
      </c>
      <c r="AH60" s="217">
        <f t="shared" ref="AH60" si="918">IF(Q60&gt;R60,1,0)</f>
        <v>1</v>
      </c>
      <c r="AI60" s="217">
        <f t="shared" ref="AI60" si="919">IF(S60&gt;T60,1,0)</f>
        <v>0</v>
      </c>
      <c r="AJ60" s="217">
        <f t="shared" ref="AJ60" si="920">IF(U60&gt;V60,1,0)</f>
        <v>0</v>
      </c>
      <c r="AK60" s="217">
        <f t="shared" ref="AK60" si="921">IF(W60&gt;X60,1,0)</f>
        <v>0</v>
      </c>
      <c r="AL60" s="217">
        <f t="shared" ref="AL60" si="922">IF(Y60&gt;Z60,1,0)</f>
        <v>0</v>
      </c>
      <c r="AM60" s="217">
        <f t="shared" ref="AM60" si="923">IF(M60&gt;N60,N60,IF(N60&gt;M60,-M60,""))</f>
        <v>8</v>
      </c>
      <c r="AN60" s="217" t="str">
        <f t="shared" ref="AN60" si="924">IF(O60&gt;P60,", "&amp;P60,IF(P60&gt;O60,", "&amp;-O60,""))</f>
        <v>, 5</v>
      </c>
      <c r="AO60" s="217" t="str">
        <f t="shared" ref="AO60" si="925">IF(Q60&gt;R60,", "&amp;R60,IF(R60&gt;Q60,", "&amp;-Q60,""))</f>
        <v>, 6</v>
      </c>
      <c r="AP60" s="217" t="str">
        <f t="shared" ref="AP60" si="926">IF(S60&gt;T60,", "&amp;T60,IF(T60&gt;S60,", "&amp;-S60,""))</f>
        <v/>
      </c>
      <c r="AQ60" s="217" t="str">
        <f t="shared" ref="AQ60" si="927">IF(U60&gt;V60,", "&amp;V60,IF(V60&gt;U60,", "&amp;-U60,""))</f>
        <v/>
      </c>
      <c r="AR60" s="217" t="str">
        <f t="shared" ref="AR60" si="928">IF(W60&gt;X60,", "&amp;X60,IF(X60&gt;W60,", "&amp;-W60,""))</f>
        <v/>
      </c>
      <c r="AS60" s="217" t="str">
        <f t="shared" ref="AS60" si="929">IF(Y60&gt;Z60,", "&amp;Z60,IF(Z60&gt;Y60,", "&amp;-Y60,""))</f>
        <v/>
      </c>
      <c r="AU60" s="224">
        <f>1+AU58</f>
        <v>29</v>
      </c>
      <c r="AV60" s="225">
        <f ca="1">VLOOKUP(AV61,$A$4:$L$83,7,FALSE)</f>
        <v>3828</v>
      </c>
      <c r="AW60" s="226" t="str">
        <f ca="1">IF(AV60=0,0,VLOOKUP(AV60,Inscripciones!$B$1:$I$464,2,FALSE))</f>
        <v>AMANDA CHEN CEN</v>
      </c>
      <c r="AX60" s="227" t="str">
        <f ca="1">IF(AV60=0,0,VLOOKUP(AV60,Inscripciones!$B$1:$L$364,3,FALSE))</f>
        <v>ESCAZÚ</v>
      </c>
      <c r="AY60" s="228"/>
      <c r="AZ60" s="229" t="str">
        <f>VLOOKUP(AV61,$A$4:$AD$83,29,FALSE)</f>
        <v>1 - 0  (0)</v>
      </c>
      <c r="BA60" s="228"/>
      <c r="BB60" s="222"/>
      <c r="BC60" s="222"/>
      <c r="BD60" s="249"/>
      <c r="BE60" s="228"/>
      <c r="BF60" s="229" t="str">
        <f>VLOOKUP(BB59,$A$4:$AD$87,29,FALSE)</f>
        <v>2 - 1  (-6, 5, 5)</v>
      </c>
      <c r="BG60" s="228"/>
    </row>
    <row r="61" spans="1:62" s="220" customFormat="1" ht="12.75" x14ac:dyDescent="0.25">
      <c r="A61" s="433"/>
      <c r="B61" s="469"/>
      <c r="C61" s="471"/>
      <c r="D61" s="471"/>
      <c r="E61" s="463"/>
      <c r="F61" s="467"/>
      <c r="G61" s="463" t="s">
        <v>61</v>
      </c>
      <c r="H61" s="463" t="s">
        <v>61</v>
      </c>
      <c r="I61" s="463"/>
      <c r="J61" s="463"/>
      <c r="K61" s="463">
        <v>0</v>
      </c>
      <c r="L61" s="463">
        <v>0</v>
      </c>
      <c r="M61" s="465"/>
      <c r="N61" s="463"/>
      <c r="O61" s="463"/>
      <c r="P61" s="463"/>
      <c r="Q61" s="463"/>
      <c r="R61" s="463"/>
      <c r="S61" s="463"/>
      <c r="T61" s="463"/>
      <c r="U61" s="463"/>
      <c r="V61" s="463"/>
      <c r="W61" s="463"/>
      <c r="X61" s="463"/>
      <c r="Y61" s="463"/>
      <c r="Z61" s="479"/>
      <c r="AA61" s="452"/>
      <c r="AB61" s="452"/>
      <c r="AC61" s="217"/>
      <c r="AD61" s="217" t="str">
        <f t="shared" ref="AD61" si="930">IF(AA60&gt;AB60,AD60&amp;"  "&amp;AE60,IF(AB60&gt;AA60,AD60&amp;"  "&amp;AE61,""))</f>
        <v>3 - 0  (8, 5, 6)</v>
      </c>
      <c r="AE61" s="217" t="str">
        <f t="shared" si="0"/>
        <v>(-8, -5, -6)</v>
      </c>
      <c r="AF61" s="217">
        <f t="shared" ref="AF61" si="931">IF(N60&gt;M60,1,0)</f>
        <v>0</v>
      </c>
      <c r="AG61" s="217">
        <f t="shared" ref="AG61" si="932">IF(P60&gt;O60,1,0)</f>
        <v>0</v>
      </c>
      <c r="AH61" s="217">
        <f t="shared" ref="AH61" si="933">IF(R60&gt;Q60,1,0)</f>
        <v>0</v>
      </c>
      <c r="AI61" s="217">
        <f t="shared" ref="AI61" si="934">IF(T60&gt;S60,1,0)</f>
        <v>0</v>
      </c>
      <c r="AJ61" s="217">
        <f t="shared" ref="AJ61" si="935">IF(V60&gt;U60,1,0)</f>
        <v>0</v>
      </c>
      <c r="AK61" s="217">
        <f t="shared" ref="AK61" si="936">IF(X60&gt;W60,1,0)</f>
        <v>0</v>
      </c>
      <c r="AL61" s="217">
        <f t="shared" ref="AL61" si="937">IF(Z60&gt;Y60,1,0)</f>
        <v>0</v>
      </c>
      <c r="AM61" s="217">
        <f t="shared" ref="AM61" si="938">IF(N60&gt;M60,M60,IF(M60&gt;N60,-N60,""))</f>
        <v>-8</v>
      </c>
      <c r="AN61" s="217" t="str">
        <f t="shared" ref="AN61" si="939">IF(P60&gt;O60,", "&amp;O60,IF(O60&gt;P60,", "&amp;-P60,""))</f>
        <v>, -5</v>
      </c>
      <c r="AO61" s="217" t="str">
        <f t="shared" ref="AO61" si="940">IF(R60&gt;Q60,", "&amp;Q60,IF(Q60&gt;R60,", "&amp;-R60,""))</f>
        <v>, -6</v>
      </c>
      <c r="AP61" s="217" t="str">
        <f t="shared" ref="AP61" si="941">IF(T60&gt;S60,", "&amp;S60,IF(S60&gt;T60,", "&amp;-T60,""))</f>
        <v/>
      </c>
      <c r="AQ61" s="217" t="str">
        <f t="shared" ref="AQ61" si="942">IF(V60&gt;U60,", "&amp;U60,IF(U60&gt;V60,", "&amp;-V60,""))</f>
        <v/>
      </c>
      <c r="AR61" s="217" t="str">
        <f t="shared" ref="AR61" si="943">IF(X60&gt;W60,", "&amp;W60,IF(W60&gt;X60,", "&amp;-X60,""))</f>
        <v/>
      </c>
      <c r="AS61" s="217" t="str">
        <f t="shared" ref="AS61" si="944">IF(Z60&gt;Y60,", "&amp;Y60,IF(Y60&gt;Z60,", "&amp;-Z60,""))</f>
        <v/>
      </c>
      <c r="AU61" s="221"/>
      <c r="AV61" s="236">
        <v>15</v>
      </c>
      <c r="AW61" s="237" t="str">
        <f>VLOOKUP(AV61,$A$4:$L$83,6,FALSE)</f>
        <v>28/Sep-- Table</v>
      </c>
      <c r="AX61" s="238"/>
      <c r="AY61" s="225">
        <f ca="1">VLOOKUP(AY63,$A$4:$L$87,7,FALSE)</f>
        <v>3828</v>
      </c>
      <c r="AZ61" s="226" t="str">
        <f ca="1">IF(AY61=0,0,VLOOKUP(AY61,Inscripciones!$B$1:$I$464,2,FALSE))</f>
        <v>AMANDA CHEN CEN</v>
      </c>
      <c r="BA61" s="227" t="str">
        <f ca="1">IF(AY61=0,0,VLOOKUP(AY61,Inscripciones!$B$1:$L$364,3,FALSE))</f>
        <v>ESCAZÚ</v>
      </c>
      <c r="BB61" s="222"/>
      <c r="BC61" s="222"/>
      <c r="BD61" s="249"/>
      <c r="BE61" s="222"/>
    </row>
    <row r="62" spans="1:62" s="220" customFormat="1" ht="12.75" x14ac:dyDescent="0.25">
      <c r="A62" s="433">
        <v>30</v>
      </c>
      <c r="B62" s="458" t="s">
        <v>129</v>
      </c>
      <c r="C62" s="460" t="s">
        <v>78</v>
      </c>
      <c r="D62" s="460"/>
      <c r="E62" s="448"/>
      <c r="F62" s="472" t="str">
        <f t="shared" si="812"/>
        <v>28/Sep-- Table</v>
      </c>
      <c r="G62" s="448">
        <f ca="1">IF(M56="",0,IF(AA56&gt;AB56,G56,H56))</f>
        <v>3918</v>
      </c>
      <c r="H62" s="448">
        <f ca="1">IF(M58="",0,IF(AA58&gt;AB58,G58,H58))</f>
        <v>4101</v>
      </c>
      <c r="I62" s="448" t="str">
        <f ca="1">IF(G62=0,0,VLOOKUP(G62,Inscripciones!$B$1:$I$464,2,FALSE))</f>
        <v>MARIANA SOTO CALDERON</v>
      </c>
      <c r="J62" s="448" t="str">
        <f ca="1">IF(G62=0,0,VLOOKUP(G62,Inscripciones!$B$1:$L$364,3,FALSE))</f>
        <v>ESPARZA</v>
      </c>
      <c r="K62" s="448" t="str">
        <f ca="1">IF(I62=0,0,VLOOKUP(H62,Inscripciones!$B$1:$I$464,2,FALSE))</f>
        <v>ABIGAIL QUIROS BALTODANO</v>
      </c>
      <c r="L62" s="448" t="str">
        <f ca="1">IF(I62=0,0,VLOOKUP(H62,Inscripciones!$B$1:$L$364,3,FALSE))</f>
        <v>ESPARZA</v>
      </c>
      <c r="M62" s="456">
        <v>3</v>
      </c>
      <c r="N62" s="448">
        <v>11</v>
      </c>
      <c r="O62" s="448">
        <v>5</v>
      </c>
      <c r="P62" s="448">
        <v>11</v>
      </c>
      <c r="Q62" s="448">
        <v>11</v>
      </c>
      <c r="R62" s="448">
        <v>6</v>
      </c>
      <c r="S62" s="448">
        <v>11</v>
      </c>
      <c r="T62" s="448">
        <v>7</v>
      </c>
      <c r="U62" s="448">
        <v>11</v>
      </c>
      <c r="V62" s="448">
        <v>3</v>
      </c>
      <c r="W62" s="448"/>
      <c r="X62" s="448"/>
      <c r="Y62" s="448"/>
      <c r="Z62" s="450"/>
      <c r="AA62" s="452">
        <f t="shared" ref="AA62" si="945">IF(M62+N62&lt;&gt;0,SUM(AF62:AL62),"")</f>
        <v>3</v>
      </c>
      <c r="AB62" s="452">
        <f t="shared" ref="AB62" si="946">IF(M62+N62&lt;&gt;0,SUM(AF63:AL63),"")</f>
        <v>2</v>
      </c>
      <c r="AC62" s="217" t="str">
        <f t="shared" ref="AC62" si="947">IF(AA62&gt;AB62,AD62&amp;"  "&amp;AE62,IF(AB62&gt;AA62,AD62&amp;"  "&amp;AE63,""))</f>
        <v>3 - 2  (-3, -5, 6, 7, 3)</v>
      </c>
      <c r="AD62" s="217" t="str">
        <f t="shared" ref="AD62" si="948">IF(AA62&gt;AB62,AA62&amp;" - "&amp;AB62,IF(AB62&gt;AA62,AB62&amp;" - "&amp;AA62,""))</f>
        <v>3 - 2</v>
      </c>
      <c r="AE62" s="217" t="str">
        <f t="shared" si="0"/>
        <v>(-3, -5, 6, 7, 3)</v>
      </c>
      <c r="AF62" s="217">
        <f t="shared" ref="AF62" si="949">IF(M62&gt;N62,1,0)</f>
        <v>0</v>
      </c>
      <c r="AG62" s="217">
        <f t="shared" ref="AG62" si="950">IF(O62&gt;P62,1,0)</f>
        <v>0</v>
      </c>
      <c r="AH62" s="217">
        <f t="shared" ref="AH62" si="951">IF(Q62&gt;R62,1,0)</f>
        <v>1</v>
      </c>
      <c r="AI62" s="217">
        <f t="shared" ref="AI62" si="952">IF(S62&gt;T62,1,0)</f>
        <v>1</v>
      </c>
      <c r="AJ62" s="217">
        <f t="shared" ref="AJ62" si="953">IF(U62&gt;V62,1,0)</f>
        <v>1</v>
      </c>
      <c r="AK62" s="217">
        <f t="shared" ref="AK62" si="954">IF(W62&gt;X62,1,0)</f>
        <v>0</v>
      </c>
      <c r="AL62" s="217">
        <f t="shared" ref="AL62" si="955">IF(Y62&gt;Z62,1,0)</f>
        <v>0</v>
      </c>
      <c r="AM62" s="217">
        <f t="shared" ref="AM62" si="956">IF(M62&gt;N62,N62,IF(N62&gt;M62,-M62,""))</f>
        <v>-3</v>
      </c>
      <c r="AN62" s="217" t="str">
        <f t="shared" ref="AN62" si="957">IF(O62&gt;P62,", "&amp;P62,IF(P62&gt;O62,", "&amp;-O62,""))</f>
        <v>, -5</v>
      </c>
      <c r="AO62" s="217" t="str">
        <f t="shared" ref="AO62" si="958">IF(Q62&gt;R62,", "&amp;R62,IF(R62&gt;Q62,", "&amp;-Q62,""))</f>
        <v>, 6</v>
      </c>
      <c r="AP62" s="217" t="str">
        <f t="shared" ref="AP62" si="959">IF(S62&gt;T62,", "&amp;T62,IF(T62&gt;S62,", "&amp;-S62,""))</f>
        <v>, 7</v>
      </c>
      <c r="AQ62" s="217" t="str">
        <f t="shared" ref="AQ62" si="960">IF(U62&gt;V62,", "&amp;V62,IF(V62&gt;U62,", "&amp;-U62,""))</f>
        <v>, 3</v>
      </c>
      <c r="AR62" s="217" t="str">
        <f t="shared" ref="AR62" si="961">IF(W62&gt;X62,", "&amp;X62,IF(X62&gt;W62,", "&amp;-W62,""))</f>
        <v/>
      </c>
      <c r="AS62" s="217" t="str">
        <f t="shared" ref="AS62" si="962">IF(Y62&gt;Z62,", "&amp;Z62,IF(Z62&gt;Y62,", "&amp;-Y62,""))</f>
        <v/>
      </c>
      <c r="AU62" s="224">
        <f>1+AU60</f>
        <v>30</v>
      </c>
      <c r="AV62" s="247" t="str">
        <f>VLOOKUP(AV61,$A$4:$L$83,8,FALSE)</f>
        <v>X</v>
      </c>
      <c r="AW62" s="247" t="str">
        <f>IF(AV62=0,0,VLOOKUP(AV62,Inscripciones!$B$1:$I$464,2,FALSE))</f>
        <v>BYE</v>
      </c>
      <c r="AX62" s="248" t="str">
        <f>IF(AV62=0,0,VLOOKUP(AV62,Inscripciones!$B$1:$L$364,3,FALSE))</f>
        <v>BYE</v>
      </c>
      <c r="AY62" s="222"/>
      <c r="AZ62" s="222"/>
      <c r="BA62" s="249"/>
      <c r="BB62" s="222"/>
      <c r="BC62" s="222"/>
      <c r="BD62" s="249"/>
      <c r="BE62" s="222"/>
    </row>
    <row r="63" spans="1:62" s="220" customFormat="1" ht="12.75" x14ac:dyDescent="0.25">
      <c r="A63" s="433"/>
      <c r="B63" s="459"/>
      <c r="C63" s="461"/>
      <c r="D63" s="461"/>
      <c r="E63" s="449"/>
      <c r="F63" s="473"/>
      <c r="G63" s="449" t="s">
        <v>61</v>
      </c>
      <c r="H63" s="449" t="s">
        <v>61</v>
      </c>
      <c r="I63" s="449"/>
      <c r="J63" s="449"/>
      <c r="K63" s="449">
        <v>0</v>
      </c>
      <c r="L63" s="449">
        <v>0</v>
      </c>
      <c r="M63" s="457"/>
      <c r="N63" s="449"/>
      <c r="O63" s="449"/>
      <c r="P63" s="449"/>
      <c r="Q63" s="449"/>
      <c r="R63" s="449"/>
      <c r="S63" s="449"/>
      <c r="T63" s="449"/>
      <c r="U63" s="449"/>
      <c r="V63" s="449"/>
      <c r="W63" s="449"/>
      <c r="X63" s="449"/>
      <c r="Y63" s="449"/>
      <c r="Z63" s="451"/>
      <c r="AA63" s="452"/>
      <c r="AB63" s="452"/>
      <c r="AC63" s="217"/>
      <c r="AD63" s="217" t="str">
        <f t="shared" ref="AD63" si="963">IF(AA62&gt;AB62,AD62&amp;"  "&amp;AE62,IF(AB62&gt;AA62,AD62&amp;"  "&amp;AE63,""))</f>
        <v>3 - 2  (-3, -5, 6, 7, 3)</v>
      </c>
      <c r="AE63" s="217" t="str">
        <f t="shared" si="0"/>
        <v>(3, 5, -6, -7, -3)</v>
      </c>
      <c r="AF63" s="217">
        <f t="shared" ref="AF63" si="964">IF(N62&gt;M62,1,0)</f>
        <v>1</v>
      </c>
      <c r="AG63" s="217">
        <f t="shared" ref="AG63" si="965">IF(P62&gt;O62,1,0)</f>
        <v>1</v>
      </c>
      <c r="AH63" s="217">
        <f t="shared" ref="AH63" si="966">IF(R62&gt;Q62,1,0)</f>
        <v>0</v>
      </c>
      <c r="AI63" s="217">
        <f t="shared" ref="AI63" si="967">IF(T62&gt;S62,1,0)</f>
        <v>0</v>
      </c>
      <c r="AJ63" s="217">
        <f t="shared" ref="AJ63" si="968">IF(V62&gt;U62,1,0)</f>
        <v>0</v>
      </c>
      <c r="AK63" s="217">
        <f t="shared" ref="AK63" si="969">IF(X62&gt;W62,1,0)</f>
        <v>0</v>
      </c>
      <c r="AL63" s="217">
        <f t="shared" ref="AL63" si="970">IF(Z62&gt;Y62,1,0)</f>
        <v>0</v>
      </c>
      <c r="AM63" s="217">
        <f t="shared" ref="AM63" si="971">IF(N62&gt;M62,M62,IF(M62&gt;N62,-N62,""))</f>
        <v>3</v>
      </c>
      <c r="AN63" s="217" t="str">
        <f t="shared" ref="AN63" si="972">IF(P62&gt;O62,", "&amp;O62,IF(O62&gt;P62,", "&amp;-P62,""))</f>
        <v>, 5</v>
      </c>
      <c r="AO63" s="217" t="str">
        <f t="shared" ref="AO63" si="973">IF(R62&gt;Q62,", "&amp;Q62,IF(Q62&gt;R62,", "&amp;-R62,""))</f>
        <v>, -6</v>
      </c>
      <c r="AP63" s="217" t="str">
        <f t="shared" ref="AP63" si="974">IF(T62&gt;S62,", "&amp;S62,IF(S62&gt;T62,", "&amp;-T62,""))</f>
        <v>, -7</v>
      </c>
      <c r="AQ63" s="217" t="str">
        <f t="shared" ref="AQ63" si="975">IF(V62&gt;U62,", "&amp;U62,IF(U62&gt;V62,", "&amp;-V62,""))</f>
        <v>, -3</v>
      </c>
      <c r="AR63" s="217" t="str">
        <f t="shared" ref="AR63" si="976">IF(X62&gt;W62,", "&amp;W62,IF(W62&gt;X62,", "&amp;-X62,""))</f>
        <v/>
      </c>
      <c r="AS63" s="217" t="str">
        <f t="shared" ref="AS63" si="977">IF(Z62&gt;Y62,", "&amp;Y62,IF(Y62&gt;Z62,", "&amp;-Z62,""))</f>
        <v/>
      </c>
      <c r="AU63" s="221"/>
      <c r="AV63" s="222"/>
      <c r="AW63" s="222"/>
      <c r="AX63" s="250"/>
      <c r="AY63" s="236">
        <v>24</v>
      </c>
      <c r="AZ63" s="237" t="str">
        <f>VLOOKUP(AY63,$A$4:$L$83,6,FALSE)</f>
        <v>28/Sep-- Table</v>
      </c>
      <c r="BA63" s="251"/>
      <c r="BB63" s="247">
        <f ca="1">VLOOKUP(BB59,$A$4:$L$87,8,FALSE)</f>
        <v>4101</v>
      </c>
      <c r="BC63" s="247" t="str">
        <f ca="1">IF(BB63=0,0,VLOOKUP(BB63,Inscripciones!$B$1:$I$464,2,FALSE))</f>
        <v>ABIGAIL QUIROS BALTODANO</v>
      </c>
      <c r="BD63" s="248" t="str">
        <f ca="1">IF(BB63=0,0,VLOOKUP(BB63,Inscripciones!$B$1:$L$364,3,FALSE))</f>
        <v>ESPARZA</v>
      </c>
      <c r="BE63" s="222"/>
    </row>
    <row r="64" spans="1:62" s="220" customFormat="1" ht="12.75" x14ac:dyDescent="0.25">
      <c r="A64" s="433">
        <v>31</v>
      </c>
      <c r="B64" s="444" t="s">
        <v>130</v>
      </c>
      <c r="C64" s="446" t="s">
        <v>78</v>
      </c>
      <c r="D64" s="446"/>
      <c r="E64" s="438"/>
      <c r="F64" s="442" t="str">
        <f t="shared" si="778"/>
        <v>28/Sep-- Table</v>
      </c>
      <c r="G64" s="438">
        <f ca="1">IF(M60="",0,IF(AA60&lt;AB60,G60,H60))</f>
        <v>4274</v>
      </c>
      <c r="H64" s="438">
        <f ca="1">IF(M62="",0,IF(AA62&lt;AB62,G62,H62))</f>
        <v>4101</v>
      </c>
      <c r="I64" s="438" t="str">
        <f ca="1">IF(G64=0,0,VLOOKUP(G64,Inscripciones!$B$1:$I$464,2,FALSE))</f>
        <v>MARÍA PAULA HERNÁNDEZ ZÚÑIGA</v>
      </c>
      <c r="J64" s="438" t="str">
        <f ca="1">IF(G64=0,0,VLOOKUP(G64,Inscripciones!$B$1:$L$364,3,FALSE))</f>
        <v>ESCAZÚ</v>
      </c>
      <c r="K64" s="438" t="str">
        <f ca="1">IF(I64=0,0,VLOOKUP(H64,Inscripciones!$B$1:$I$464,2,FALSE))</f>
        <v>ABIGAIL QUIROS BALTODANO</v>
      </c>
      <c r="L64" s="438" t="str">
        <f ca="1">IF(I64=0,0,VLOOKUP(H64,Inscripciones!$B$1:$L$364,3,FALSE))</f>
        <v>ESPARZA</v>
      </c>
      <c r="M64" s="440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53"/>
      <c r="AA64" s="455" t="str">
        <f t="shared" ref="AA64" si="978">IF(M64+N64&lt;&gt;0,SUM(AF64:AL64),"")</f>
        <v/>
      </c>
      <c r="AB64" s="455" t="str">
        <f t="shared" ref="AB64" si="979">IF(M64+N64&lt;&gt;0,SUM(AF65:AL65),"")</f>
        <v/>
      </c>
      <c r="AC64" s="237" t="str">
        <f t="shared" ref="AC64" si="980">IF(AA64&gt;AB64,AD64&amp;"  "&amp;AE64,IF(AB64&gt;AA64,AD64&amp;"  "&amp;AE65,""))</f>
        <v/>
      </c>
      <c r="AD64" s="237" t="str">
        <f t="shared" ref="AD64" si="981">IF(AA64&gt;AB64,AA64&amp;" - "&amp;AB64,IF(AB64&gt;AA64,AB64&amp;" - "&amp;AA64,""))</f>
        <v/>
      </c>
      <c r="AE64" s="237" t="str">
        <f t="shared" si="0"/>
        <v>()</v>
      </c>
      <c r="AF64" s="237">
        <f t="shared" ref="AF64" si="982">IF(M64&gt;N64,1,0)</f>
        <v>0</v>
      </c>
      <c r="AG64" s="237">
        <f t="shared" ref="AG64" si="983">IF(O64&gt;P64,1,0)</f>
        <v>0</v>
      </c>
      <c r="AH64" s="237">
        <f t="shared" ref="AH64" si="984">IF(Q64&gt;R64,1,0)</f>
        <v>0</v>
      </c>
      <c r="AI64" s="237">
        <f t="shared" ref="AI64" si="985">IF(S64&gt;T64,1,0)</f>
        <v>0</v>
      </c>
      <c r="AJ64" s="237">
        <f t="shared" ref="AJ64" si="986">IF(U64&gt;V64,1,0)</f>
        <v>0</v>
      </c>
      <c r="AK64" s="237">
        <f t="shared" ref="AK64" si="987">IF(W64&gt;X64,1,0)</f>
        <v>0</v>
      </c>
      <c r="AL64" s="237">
        <f t="shared" ref="AL64" si="988">IF(Y64&gt;Z64,1,0)</f>
        <v>0</v>
      </c>
      <c r="AM64" s="217" t="str">
        <f t="shared" ref="AM64" si="989">IF(M64&gt;N64,N64,IF(N64&gt;M64,-M64,""))</f>
        <v/>
      </c>
      <c r="AN64" s="217" t="str">
        <f t="shared" ref="AN64" si="990">IF(O64&gt;P64,", "&amp;P64,IF(P64&gt;O64,", "&amp;-O64,""))</f>
        <v/>
      </c>
      <c r="AO64" s="217" t="str">
        <f t="shared" ref="AO64" si="991">IF(Q64&gt;R64,", "&amp;R64,IF(R64&gt;Q64,", "&amp;-Q64,""))</f>
        <v/>
      </c>
      <c r="AP64" s="217" t="str">
        <f t="shared" ref="AP64" si="992">IF(S64&gt;T64,", "&amp;T64,IF(T64&gt;S64,", "&amp;-S64,""))</f>
        <v/>
      </c>
      <c r="AQ64" s="217" t="str">
        <f t="shared" ref="AQ64" si="993">IF(U64&gt;V64,", "&amp;V64,IF(V64&gt;U64,", "&amp;-U64,""))</f>
        <v/>
      </c>
      <c r="AR64" s="217" t="str">
        <f t="shared" ref="AR64" si="994">IF(W64&gt;X64,", "&amp;X64,IF(X64&gt;W64,", "&amp;-W64,""))</f>
        <v/>
      </c>
      <c r="AS64" s="217" t="str">
        <f t="shared" ref="AS64" si="995">IF(Y64&gt;Z64,", "&amp;Z64,IF(Z64&gt;Y64,", "&amp;-Y64,""))</f>
        <v/>
      </c>
      <c r="AT64" s="279"/>
      <c r="AU64" s="224">
        <f>1+AU62</f>
        <v>31</v>
      </c>
      <c r="AV64" s="225" t="str">
        <f>VLOOKUP(AV65,$A$4:$L$83,7,FALSE)</f>
        <v>X</v>
      </c>
      <c r="AW64" s="226" t="str">
        <f>IF(AV64=0,0,VLOOKUP(AV64,Inscripciones!$B$1:$I$464,2,FALSE))</f>
        <v>BYE</v>
      </c>
      <c r="AX64" s="227" t="str">
        <f>IF(AV64=0,0,VLOOKUP(AV64,Inscripciones!$B$1:$L$364,3,FALSE))</f>
        <v>BYE</v>
      </c>
      <c r="AY64" s="252"/>
      <c r="AZ64" s="222"/>
      <c r="BA64" s="249"/>
      <c r="BB64" s="228"/>
      <c r="BC64" s="229" t="str">
        <f>VLOOKUP(AY63,$A$4:$AD$87,29,FALSE)</f>
        <v>2 - 0  (5, 9)</v>
      </c>
      <c r="BD64" s="228"/>
      <c r="BE64" s="222"/>
    </row>
    <row r="65" spans="1:62" s="220" customFormat="1" ht="12.75" x14ac:dyDescent="0.25">
      <c r="A65" s="433"/>
      <c r="B65" s="445"/>
      <c r="C65" s="447"/>
      <c r="D65" s="447"/>
      <c r="E65" s="439"/>
      <c r="F65" s="443"/>
      <c r="G65" s="439" t="s">
        <v>61</v>
      </c>
      <c r="H65" s="439" t="s">
        <v>61</v>
      </c>
      <c r="I65" s="439"/>
      <c r="J65" s="439"/>
      <c r="K65" s="439">
        <v>0</v>
      </c>
      <c r="L65" s="439">
        <v>0</v>
      </c>
      <c r="M65" s="441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54"/>
      <c r="AA65" s="455"/>
      <c r="AB65" s="455"/>
      <c r="AC65" s="237"/>
      <c r="AD65" s="237" t="str">
        <f t="shared" ref="AD65" si="996">IF(AA64&gt;AB64,AD64&amp;"  "&amp;AE64,IF(AB64&gt;AA64,AD64&amp;"  "&amp;AE65,""))</f>
        <v/>
      </c>
      <c r="AE65" s="237" t="str">
        <f t="shared" si="0"/>
        <v>()</v>
      </c>
      <c r="AF65" s="237">
        <f t="shared" ref="AF65" si="997">IF(N64&gt;M64,1,0)</f>
        <v>0</v>
      </c>
      <c r="AG65" s="237">
        <f t="shared" ref="AG65" si="998">IF(P64&gt;O64,1,0)</f>
        <v>0</v>
      </c>
      <c r="AH65" s="237">
        <f t="shared" ref="AH65" si="999">IF(R64&gt;Q64,1,0)</f>
        <v>0</v>
      </c>
      <c r="AI65" s="237">
        <f t="shared" ref="AI65" si="1000">IF(T64&gt;S64,1,0)</f>
        <v>0</v>
      </c>
      <c r="AJ65" s="237">
        <f t="shared" ref="AJ65" si="1001">IF(V64&gt;U64,1,0)</f>
        <v>0</v>
      </c>
      <c r="AK65" s="237">
        <f t="shared" ref="AK65" si="1002">IF(X64&gt;W64,1,0)</f>
        <v>0</v>
      </c>
      <c r="AL65" s="237">
        <f t="shared" ref="AL65" si="1003">IF(Z64&gt;Y64,1,0)</f>
        <v>0</v>
      </c>
      <c r="AM65" s="217" t="str">
        <f t="shared" ref="AM65" si="1004">IF(N64&gt;M64,M64,IF(M64&gt;N64,-N64,""))</f>
        <v/>
      </c>
      <c r="AN65" s="217" t="str">
        <f t="shared" ref="AN65" si="1005">IF(P64&gt;O64,", "&amp;O64,IF(O64&gt;P64,", "&amp;-P64,""))</f>
        <v/>
      </c>
      <c r="AO65" s="217" t="str">
        <f t="shared" ref="AO65" si="1006">IF(R64&gt;Q64,", "&amp;Q64,IF(Q64&gt;R64,", "&amp;-R64,""))</f>
        <v/>
      </c>
      <c r="AP65" s="217" t="str">
        <f t="shared" ref="AP65" si="1007">IF(T64&gt;S64,", "&amp;S64,IF(S64&gt;T64,", "&amp;-T64,""))</f>
        <v/>
      </c>
      <c r="AQ65" s="217" t="str">
        <f t="shared" ref="AQ65" si="1008">IF(V64&gt;U64,", "&amp;U64,IF(U64&gt;V64,", "&amp;-V64,""))</f>
        <v/>
      </c>
      <c r="AR65" s="217" t="str">
        <f t="shared" ref="AR65" si="1009">IF(X64&gt;W64,", "&amp;W64,IF(W64&gt;X64,", "&amp;-X64,""))</f>
        <v/>
      </c>
      <c r="AS65" s="217" t="str">
        <f t="shared" ref="AS65" si="1010">IF(Z64&gt;Y64,", "&amp;Y64,IF(Y64&gt;Z64,", "&amp;-Z64,""))</f>
        <v/>
      </c>
      <c r="AT65" s="279"/>
      <c r="AU65" s="221"/>
      <c r="AV65" s="236">
        <v>16</v>
      </c>
      <c r="AW65" s="237" t="str">
        <f>VLOOKUP(AV65,$A$4:$L$83,6,FALSE)</f>
        <v>28/Sep-- Table</v>
      </c>
      <c r="AX65" s="238"/>
      <c r="AY65" s="247">
        <f ca="1">VLOOKUP(AY63,$A$4:$L$87,8,FALSE)</f>
        <v>4101</v>
      </c>
      <c r="AZ65" s="247" t="str">
        <f ca="1">IF(AY65=0,0,VLOOKUP(AY65,Inscripciones!$B$1:$I$464,2,FALSE))</f>
        <v>ABIGAIL QUIROS BALTODANO</v>
      </c>
      <c r="BA65" s="248" t="str">
        <f ca="1">IF(AY65=0,0,VLOOKUP(AY65,Inscripciones!$B$1:$L$364,3,FALSE))</f>
        <v>ESPARZA</v>
      </c>
      <c r="BB65" s="222"/>
      <c r="BC65" s="222"/>
      <c r="BD65" s="222"/>
      <c r="BE65" s="222"/>
    </row>
    <row r="66" spans="1:62" s="220" customFormat="1" ht="12.75" x14ac:dyDescent="0.25">
      <c r="A66" s="433">
        <v>32</v>
      </c>
      <c r="B66" s="434" t="s">
        <v>131</v>
      </c>
      <c r="C66" s="436" t="s">
        <v>78</v>
      </c>
      <c r="D66" s="436"/>
      <c r="E66" s="416"/>
      <c r="F66" s="431" t="str">
        <f t="shared" si="812"/>
        <v>28/Sep-- Table</v>
      </c>
      <c r="G66" s="416">
        <f ca="1">IF(M60="",0,IF(AA60&gt;AB60,G60,H60))</f>
        <v>4159</v>
      </c>
      <c r="H66" s="416">
        <f ca="1">IF(M62="",0,IF(AA62&gt;AB62,G62,H62))</f>
        <v>3918</v>
      </c>
      <c r="I66" s="416" t="str">
        <f ca="1">IF(G66=0,0,VLOOKUP(G66,Inscripciones!$B$1:$I$464,2,FALSE))</f>
        <v>MARÍA FERNANDA ZELEDÓN HERRERA</v>
      </c>
      <c r="J66" s="416" t="str">
        <f ca="1">IF(G66=0,0,VLOOKUP(G66,Inscripciones!$B$1:$L$364,3,FALSE))</f>
        <v>ESPARZA</v>
      </c>
      <c r="K66" s="416" t="str">
        <f ca="1">IF(I66=0,0,VLOOKUP(H66,Inscripciones!$B$1:$I$464,2,FALSE))</f>
        <v>MARIANA SOTO CALDERON</v>
      </c>
      <c r="L66" s="416" t="str">
        <f ca="1">IF(I66=0,0,VLOOKUP(H66,Inscripciones!$B$1:$L$364,3,FALSE))</f>
        <v>ESPARZA</v>
      </c>
      <c r="M66" s="429">
        <v>11</v>
      </c>
      <c r="N66" s="416">
        <v>8</v>
      </c>
      <c r="O66" s="416">
        <v>11</v>
      </c>
      <c r="P66" s="416">
        <v>7</v>
      </c>
      <c r="Q66" s="416">
        <v>11</v>
      </c>
      <c r="R66" s="416">
        <v>8</v>
      </c>
      <c r="S66" s="416"/>
      <c r="T66" s="416"/>
      <c r="U66" s="416"/>
      <c r="V66" s="416"/>
      <c r="W66" s="416"/>
      <c r="X66" s="416"/>
      <c r="Y66" s="416"/>
      <c r="Z66" s="418"/>
      <c r="AA66" s="217">
        <f t="shared" ref="AA66" si="1011">IF(M66+N66&lt;&gt;0,SUM(AF66:AL66),"")</f>
        <v>3</v>
      </c>
      <c r="AB66" s="217">
        <f t="shared" ref="AB66" si="1012">IF(M66+N66&lt;&gt;0,SUM(AF67:AL67),"")</f>
        <v>0</v>
      </c>
      <c r="AC66" s="217" t="str">
        <f t="shared" ref="AC66" si="1013">IF(AA66&gt;AB66,AD66&amp;"  "&amp;AE66,IF(AB66&gt;AA66,AD66&amp;"  "&amp;AE67,""))</f>
        <v>3 - 0  (8, 7, 8)</v>
      </c>
      <c r="AD66" s="217" t="str">
        <f t="shared" ref="AD66" si="1014">IF(AA66&gt;AB66,AA66&amp;" - "&amp;AB66,IF(AB66&gt;AA66,AB66&amp;" - "&amp;AA66,""))</f>
        <v>3 - 0</v>
      </c>
      <c r="AE66" s="217" t="str">
        <f t="shared" si="0"/>
        <v>(8, 7, 8)</v>
      </c>
      <c r="AF66" s="217">
        <f t="shared" ref="AF66" si="1015">IF(M66&gt;N66,1,0)</f>
        <v>1</v>
      </c>
      <c r="AG66" s="217">
        <f t="shared" ref="AG66" si="1016">IF(O66&gt;P66,1,0)</f>
        <v>1</v>
      </c>
      <c r="AH66" s="217">
        <f t="shared" ref="AH66" si="1017">IF(Q66&gt;R66,1,0)</f>
        <v>1</v>
      </c>
      <c r="AI66" s="217">
        <f t="shared" ref="AI66" si="1018">IF(S66&gt;T66,1,0)</f>
        <v>0</v>
      </c>
      <c r="AJ66" s="217">
        <f t="shared" ref="AJ66" si="1019">IF(U66&gt;V66,1,0)</f>
        <v>0</v>
      </c>
      <c r="AK66" s="217">
        <f t="shared" ref="AK66" si="1020">IF(W66&gt;X66,1,0)</f>
        <v>0</v>
      </c>
      <c r="AL66" s="217">
        <f t="shared" ref="AL66" si="1021">IF(Y66&gt;Z66,1,0)</f>
        <v>0</v>
      </c>
      <c r="AM66" s="217">
        <f t="shared" ref="AM66" si="1022">IF(M66&gt;N66,N66,IF(N66&gt;M66,-M66,""))</f>
        <v>8</v>
      </c>
      <c r="AN66" s="217" t="str">
        <f t="shared" ref="AN66" si="1023">IF(O66&gt;P66,", "&amp;P66,IF(P66&gt;O66,", "&amp;-O66,""))</f>
        <v>, 7</v>
      </c>
      <c r="AO66" s="217" t="str">
        <f t="shared" ref="AO66" si="1024">IF(Q66&gt;R66,", "&amp;R66,IF(R66&gt;Q66,", "&amp;-Q66,""))</f>
        <v>, 8</v>
      </c>
      <c r="AP66" s="217" t="str">
        <f t="shared" ref="AP66" si="1025">IF(S66&gt;T66,", "&amp;T66,IF(T66&gt;S66,", "&amp;-S66,""))</f>
        <v/>
      </c>
      <c r="AQ66" s="217" t="str">
        <f t="shared" ref="AQ66" si="1026">IF(U66&gt;V66,", "&amp;V66,IF(V66&gt;U66,", "&amp;-U66,""))</f>
        <v/>
      </c>
      <c r="AR66" s="217" t="str">
        <f t="shared" ref="AR66" si="1027">IF(W66&gt;X66,", "&amp;X66,IF(X66&gt;W66,", "&amp;-W66,""))</f>
        <v/>
      </c>
      <c r="AS66" s="217" t="str">
        <f t="shared" ref="AS66" si="1028">IF(Y66&gt;Z66,", "&amp;Z66,IF(Z66&gt;Y66,", "&amp;-Y66,""))</f>
        <v/>
      </c>
      <c r="AU66" s="224">
        <f>1+AU64</f>
        <v>32</v>
      </c>
      <c r="AV66" s="247">
        <f ca="1">VLOOKUP(AV65,$A$4:$L$83,8,FALSE)</f>
        <v>4101</v>
      </c>
      <c r="AW66" s="247" t="str">
        <f ca="1">IF(AV66=0,0,VLOOKUP(AV66,Inscripciones!$B$1:$I$464,2,FALSE))</f>
        <v>ABIGAIL QUIROS BALTODANO</v>
      </c>
      <c r="AX66" s="248" t="str">
        <f ca="1">IF(AV66=0,0,VLOOKUP(AV66,Inscripciones!$B$1:$L$364,3,FALSE))</f>
        <v>ESPARZA</v>
      </c>
      <c r="AY66" s="228"/>
      <c r="AZ66" s="229" t="str">
        <f>VLOOKUP(AV65,$A$4:$AD$87,29,FALSE)</f>
        <v>1 - 0  (0)</v>
      </c>
      <c r="BA66" s="228"/>
      <c r="BB66" s="222"/>
      <c r="BC66" s="222"/>
      <c r="BD66" s="222"/>
      <c r="BE66" s="225">
        <f ca="1">VLOOKUP(BE67,$A$4:$L$87,7,FALSE)</f>
        <v>4274</v>
      </c>
      <c r="BF66" s="226" t="str">
        <f ca="1">IF(BE66=0,0,VLOOKUP(BE66,Inscripciones!$B$1:$I$464,2,FALSE))</f>
        <v>MARÍA PAULA HERNÁNDEZ ZÚÑIGA</v>
      </c>
      <c r="BG66" s="227" t="str">
        <f ca="1">IF(BE66=0,0,VLOOKUP(BE66,Inscripciones!$B$1:$L$364,3,FALSE))</f>
        <v>ESCAZÚ</v>
      </c>
      <c r="BH66" s="252"/>
      <c r="BI66" s="217" t="s">
        <v>132</v>
      </c>
      <c r="BJ66" s="222"/>
    </row>
    <row r="67" spans="1:62" s="220" customFormat="1" ht="13.5" thickBot="1" x14ac:dyDescent="0.3">
      <c r="A67" s="433"/>
      <c r="B67" s="435"/>
      <c r="C67" s="437"/>
      <c r="D67" s="437"/>
      <c r="E67" s="417"/>
      <c r="F67" s="432"/>
      <c r="G67" s="417" t="s">
        <v>61</v>
      </c>
      <c r="H67" s="417" t="s">
        <v>61</v>
      </c>
      <c r="I67" s="417"/>
      <c r="J67" s="417"/>
      <c r="K67" s="417">
        <v>0</v>
      </c>
      <c r="L67" s="417">
        <v>0</v>
      </c>
      <c r="M67" s="430"/>
      <c r="N67" s="417"/>
      <c r="O67" s="417"/>
      <c r="P67" s="417"/>
      <c r="Q67" s="417"/>
      <c r="R67" s="417"/>
      <c r="S67" s="417"/>
      <c r="T67" s="417"/>
      <c r="U67" s="417"/>
      <c r="V67" s="417"/>
      <c r="W67" s="417"/>
      <c r="X67" s="417"/>
      <c r="Y67" s="417"/>
      <c r="Z67" s="419"/>
      <c r="AA67" s="217"/>
      <c r="AB67" s="217"/>
      <c r="AC67" s="217"/>
      <c r="AD67" s="217" t="str">
        <f t="shared" ref="AD67" si="1029">IF(AA66&gt;AB66,AD66&amp;"  "&amp;AE66,IF(AB66&gt;AA66,AD66&amp;"  "&amp;AE67,""))</f>
        <v>3 - 0  (8, 7, 8)</v>
      </c>
      <c r="AE67" s="217" t="str">
        <f t="shared" si="0"/>
        <v>(-8, -7, -8)</v>
      </c>
      <c r="AF67" s="217">
        <f t="shared" ref="AF67" si="1030">IF(N66&gt;M66,1,0)</f>
        <v>0</v>
      </c>
      <c r="AG67" s="217">
        <f t="shared" ref="AG67" si="1031">IF(P66&gt;O66,1,0)</f>
        <v>0</v>
      </c>
      <c r="AH67" s="217">
        <f t="shared" ref="AH67" si="1032">IF(R66&gt;Q66,1,0)</f>
        <v>0</v>
      </c>
      <c r="AI67" s="217">
        <f t="shared" ref="AI67" si="1033">IF(T66&gt;S66,1,0)</f>
        <v>0</v>
      </c>
      <c r="AJ67" s="217">
        <f t="shared" ref="AJ67" si="1034">IF(V66&gt;U66,1,0)</f>
        <v>0</v>
      </c>
      <c r="AK67" s="217">
        <f t="shared" ref="AK67" si="1035">IF(X66&gt;W66,1,0)</f>
        <v>0</v>
      </c>
      <c r="AL67" s="217">
        <f t="shared" ref="AL67" si="1036">IF(Z66&gt;Y66,1,0)</f>
        <v>0</v>
      </c>
      <c r="AM67" s="217">
        <f t="shared" ref="AM67" si="1037">IF(N66&gt;M66,M66,IF(M66&gt;N66,-N66,""))</f>
        <v>-8</v>
      </c>
      <c r="AN67" s="217" t="str">
        <f t="shared" ref="AN67" si="1038">IF(P66&gt;O66,", "&amp;O66,IF(O66&gt;P66,", "&amp;-P66,""))</f>
        <v>, -7</v>
      </c>
      <c r="AO67" s="217" t="str">
        <f t="shared" ref="AO67" si="1039">IF(R66&gt;Q66,", "&amp;Q66,IF(Q66&gt;R66,", "&amp;-R66,""))</f>
        <v>, -8</v>
      </c>
      <c r="AP67" s="217" t="str">
        <f t="shared" ref="AP67" si="1040">IF(T66&gt;S66,", "&amp;S66,IF(S66&gt;T66,", "&amp;-T66,""))</f>
        <v/>
      </c>
      <c r="AQ67" s="217" t="str">
        <f t="shared" ref="AQ67" si="1041">IF(V66&gt;U66,", "&amp;U66,IF(U66&gt;V66,", "&amp;-V66,""))</f>
        <v/>
      </c>
      <c r="AR67" s="217" t="str">
        <f t="shared" ref="AR67" si="1042">IF(X66&gt;W66,", "&amp;W66,IF(W66&gt;X66,", "&amp;-X66,""))</f>
        <v/>
      </c>
      <c r="AS67" s="217" t="str">
        <f t="shared" ref="AS67" si="1043">IF(Z66&gt;Y66,", "&amp;Y66,IF(Y66&gt;Z66,", "&amp;-Z66,""))</f>
        <v/>
      </c>
      <c r="AU67" s="224"/>
      <c r="BE67" s="236">
        <v>31</v>
      </c>
      <c r="BF67" s="237" t="str">
        <f>VLOOKUP(BE67,$A$4:$L$83,6,FALSE)</f>
        <v>28/Sep-- Table</v>
      </c>
      <c r="BG67" s="238"/>
      <c r="BH67" s="270">
        <f>G68</f>
        <v>0</v>
      </c>
      <c r="BI67" s="280">
        <f>IF(BH67=0,0,VLOOKUP(BH67,Inscripciones!$B$1:$I$464,2,FALSE))</f>
        <v>0</v>
      </c>
      <c r="BJ67" s="272">
        <f>IF(BH67=0,0,VLOOKUP(BH67,Inscripciones!$B$1:$L$364,3,FALSE))</f>
        <v>0</v>
      </c>
    </row>
    <row r="68" spans="1:62" s="220" customFormat="1" ht="13.5" x14ac:dyDescent="0.25">
      <c r="A68" s="217"/>
      <c r="B68" s="420" t="s">
        <v>133</v>
      </c>
      <c r="C68" s="421"/>
      <c r="D68" s="421"/>
      <c r="E68" s="426"/>
      <c r="F68" s="217"/>
      <c r="G68" s="416">
        <f>IF(M64="",0,IF(AA64&gt;AB64,G64,H64))</f>
        <v>0</v>
      </c>
      <c r="H68" s="217"/>
      <c r="I68" s="416">
        <f>IF(G68=0,0,VLOOKUP(G68,Inscripciones!$B$1:$I$464,2,FALSE))</f>
        <v>0</v>
      </c>
      <c r="J68" s="416">
        <f>IF(G68=0,0,VLOOKUP(G68,Inscripciones!$B$1:$L$364,3,FALSE))</f>
        <v>0</v>
      </c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U68" s="224"/>
      <c r="AV68" s="281"/>
      <c r="AW68" s="222"/>
      <c r="BE68" s="247">
        <f ca="1">VLOOKUP(BE67,$A$4:$L$1445,8,FALSE)</f>
        <v>4101</v>
      </c>
      <c r="BF68" s="282" t="str">
        <f ca="1">IF(BE68=0,0,VLOOKUP(BE68,Inscripciones!$B$1:$I$464,2,FALSE))</f>
        <v>ABIGAIL QUIROS BALTODANO</v>
      </c>
      <c r="BG68" s="248" t="str">
        <f ca="1">IF(BE68=0,0,VLOOKUP(BE68,Inscripciones!$B$1:$L$364,3,FALSE))</f>
        <v>ESPARZA</v>
      </c>
      <c r="BH68" s="228"/>
      <c r="BI68" s="229" t="str">
        <f>VLOOKUP(BE67,$A$4:$AD$87,29,FALSE)</f>
        <v/>
      </c>
      <c r="BJ68" s="228"/>
    </row>
    <row r="69" spans="1:62" s="220" customFormat="1" ht="13.5" x14ac:dyDescent="0.25">
      <c r="A69" s="217"/>
      <c r="B69" s="422"/>
      <c r="C69" s="423"/>
      <c r="D69" s="423"/>
      <c r="E69" s="427"/>
      <c r="F69" s="217"/>
      <c r="G69" s="417" t="s">
        <v>61</v>
      </c>
      <c r="H69" s="217"/>
      <c r="I69" s="417"/>
      <c r="J69" s="4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7"/>
      <c r="AN69" s="217"/>
      <c r="AO69" s="217"/>
      <c r="AP69" s="217"/>
      <c r="AQ69" s="217"/>
      <c r="AR69" s="217"/>
      <c r="AS69" s="217"/>
      <c r="AU69" s="224"/>
      <c r="AV69" s="281"/>
      <c r="AW69" s="222"/>
    </row>
    <row r="70" spans="1:62" s="220" customFormat="1" ht="12.75" x14ac:dyDescent="0.25">
      <c r="A70" s="217"/>
      <c r="B70" s="422"/>
      <c r="C70" s="423"/>
      <c r="D70" s="423"/>
      <c r="E70" s="427"/>
      <c r="F70" s="217"/>
      <c r="G70" s="416">
        <f ca="1">IF(M66="",0,IF(AA66&gt;AB66,G66,H66))</f>
        <v>4159</v>
      </c>
      <c r="H70" s="217"/>
      <c r="I70" s="416" t="str">
        <f ca="1">IF(G70=0,0,VLOOKUP(G70,Inscripciones!$B$1:$I$464,2,FALSE))</f>
        <v>MARÍA FERNANDA ZELEDÓN HERRERA</v>
      </c>
      <c r="J70" s="416" t="str">
        <f ca="1">IF(G70=0,0,VLOOKUP(G70,Inscripciones!$B$1:$L$364,3,FALSE))</f>
        <v>ESPARZA</v>
      </c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217"/>
      <c r="AS70" s="217"/>
    </row>
    <row r="71" spans="1:62" s="220" customFormat="1" ht="13.5" thickBot="1" x14ac:dyDescent="0.3">
      <c r="A71" s="217"/>
      <c r="B71" s="424"/>
      <c r="C71" s="425"/>
      <c r="D71" s="425"/>
      <c r="E71" s="428"/>
      <c r="F71" s="217"/>
      <c r="G71" s="417" t="s">
        <v>61</v>
      </c>
      <c r="H71" s="217"/>
      <c r="I71" s="417"/>
      <c r="J71" s="4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  <c r="AQ71" s="217"/>
      <c r="AR71" s="217"/>
      <c r="AS71" s="217"/>
    </row>
    <row r="72" spans="1:62" s="220" customFormat="1" ht="12.75" x14ac:dyDescent="0.25">
      <c r="A72" s="217"/>
      <c r="B72" s="217"/>
      <c r="C72" s="217"/>
      <c r="D72" s="218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217"/>
      <c r="AS72" s="217"/>
    </row>
    <row r="73" spans="1:62" s="220" customFormat="1" ht="12.75" hidden="1" x14ac:dyDescent="0.25">
      <c r="A73" s="217"/>
      <c r="B73" s="217"/>
      <c r="C73" s="217"/>
      <c r="D73" s="218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  <c r="AQ73" s="217"/>
      <c r="AR73" s="217"/>
      <c r="AS73" s="217"/>
    </row>
    <row r="74" spans="1:62" s="220" customFormat="1" ht="12.75" hidden="1" x14ac:dyDescent="0.25">
      <c r="A74" s="217"/>
      <c r="B74" s="217"/>
      <c r="C74" s="217"/>
      <c r="D74" s="218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</row>
    <row r="75" spans="1:62" s="220" customFormat="1" ht="12.75" hidden="1" x14ac:dyDescent="0.25">
      <c r="A75" s="217"/>
      <c r="B75" s="217"/>
      <c r="C75" s="217"/>
      <c r="D75" s="218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217"/>
      <c r="AN75" s="217"/>
      <c r="AO75" s="217"/>
      <c r="AP75" s="217"/>
      <c r="AQ75" s="217"/>
      <c r="AR75" s="217"/>
      <c r="AS75" s="217"/>
    </row>
    <row r="76" spans="1:62" s="220" customFormat="1" ht="12.75" hidden="1" x14ac:dyDescent="0.25">
      <c r="A76" s="217"/>
      <c r="B76" s="217"/>
      <c r="C76" s="217"/>
      <c r="D76" s="218" t="s">
        <v>134</v>
      </c>
      <c r="E76" s="217">
        <v>1</v>
      </c>
      <c r="F76" s="217"/>
      <c r="G76" s="237">
        <f ca="1">G70</f>
        <v>4159</v>
      </c>
      <c r="H76" s="217"/>
      <c r="I76" s="217" t="str">
        <f ca="1">IF(G76=0,0,VLOOKUP(G76,Inscripciones!$B$1:$I$464,2,FALSE))</f>
        <v>MARÍA FERNANDA ZELEDÓN HERRERA</v>
      </c>
      <c r="J76" s="217" t="str">
        <f ca="1">IF(G76=0,0,VLOOKUP(G76,Inscripciones!$B$1:$L$364,3,FALSE))</f>
        <v>ESPARZA</v>
      </c>
      <c r="K76" s="283">
        <f ca="1">G60</f>
        <v>4159</v>
      </c>
      <c r="L76" s="284">
        <f ca="1">H60</f>
        <v>4274</v>
      </c>
      <c r="M76" s="408" t="s">
        <v>135</v>
      </c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217"/>
      <c r="AN76" s="217"/>
      <c r="AO76" s="217"/>
      <c r="AP76" s="217"/>
      <c r="AQ76" s="217"/>
      <c r="AR76" s="217"/>
      <c r="AS76" s="217"/>
    </row>
    <row r="77" spans="1:62" s="220" customFormat="1" ht="12.75" hidden="1" x14ac:dyDescent="0.25">
      <c r="A77" s="217"/>
      <c r="B77" s="217"/>
      <c r="C77" s="217"/>
      <c r="D77" s="218" t="s">
        <v>136</v>
      </c>
      <c r="E77" s="217">
        <v>2</v>
      </c>
      <c r="F77" s="217"/>
      <c r="G77" s="237">
        <f ca="1">IF(G76=G66,H66,G66)</f>
        <v>3918</v>
      </c>
      <c r="H77" s="217"/>
      <c r="I77" s="217" t="str">
        <f ca="1">IF(G77=0,0,VLOOKUP(G77,Inscripciones!$B$1:$I$464,2,FALSE))</f>
        <v>MARIANA SOTO CALDERON</v>
      </c>
      <c r="J77" s="217" t="str">
        <f ca="1">IF(G77=0,0,VLOOKUP(G77,Inscripciones!$B$1:$L$364,3,FALSE))</f>
        <v>ESPARZA</v>
      </c>
      <c r="K77" s="285">
        <f ca="1">H60</f>
        <v>4274</v>
      </c>
      <c r="L77" s="286">
        <f ca="1">G60</f>
        <v>4159</v>
      </c>
      <c r="M77" s="409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217"/>
      <c r="AN77" s="217"/>
      <c r="AO77" s="217"/>
      <c r="AP77" s="217"/>
      <c r="AQ77" s="217"/>
      <c r="AR77" s="217"/>
      <c r="AS77" s="217"/>
    </row>
    <row r="78" spans="1:62" s="220" customFormat="1" ht="12.75" hidden="1" x14ac:dyDescent="0.25">
      <c r="A78" s="217"/>
      <c r="B78" s="217"/>
      <c r="C78" s="217"/>
      <c r="D78" s="218" t="s">
        <v>137</v>
      </c>
      <c r="E78" s="217">
        <v>3</v>
      </c>
      <c r="F78" s="217"/>
      <c r="G78" s="237">
        <f ca="1">IF(E68=1,G68,VLOOKUP(G76,K76:L79,2,FALSE))</f>
        <v>4274</v>
      </c>
      <c r="H78" s="217"/>
      <c r="I78" s="217" t="str">
        <f ca="1">IF(G78=0,0,VLOOKUP(G78,Inscripciones!$B$1:$I$464,2,FALSE))</f>
        <v>MARÍA PAULA HERNÁNDEZ ZÚÑIGA</v>
      </c>
      <c r="J78" s="217" t="str">
        <f ca="1">IF(G78=0,0,VLOOKUP(G78,Inscripciones!$B$1:$L$364,3,FALSE))</f>
        <v>ESCAZÚ</v>
      </c>
      <c r="K78" s="285">
        <f ca="1">G62</f>
        <v>3918</v>
      </c>
      <c r="L78" s="286">
        <f ca="1">H62</f>
        <v>4101</v>
      </c>
      <c r="M78" s="409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217"/>
      <c r="AN78" s="217"/>
      <c r="AO78" s="217"/>
      <c r="AP78" s="217"/>
      <c r="AQ78" s="217"/>
      <c r="AR78" s="217"/>
      <c r="AS78" s="217"/>
    </row>
    <row r="79" spans="1:62" s="220" customFormat="1" ht="12.75" hidden="1" x14ac:dyDescent="0.25">
      <c r="A79" s="217"/>
      <c r="B79" s="217"/>
      <c r="C79" s="217"/>
      <c r="D79" s="218" t="s">
        <v>138</v>
      </c>
      <c r="E79" s="217">
        <v>4</v>
      </c>
      <c r="F79" s="217"/>
      <c r="G79" s="237">
        <f ca="1">IF(G78=G64,H64,G64)</f>
        <v>4101</v>
      </c>
      <c r="H79" s="217"/>
      <c r="I79" s="217" t="str">
        <f ca="1">IF(G79=0,0,VLOOKUP(G79,Inscripciones!$B$1:$I$464,2,FALSE))</f>
        <v>ABIGAIL QUIROS BALTODANO</v>
      </c>
      <c r="J79" s="217" t="str">
        <f ca="1">IF(G79=0,0,VLOOKUP(G79,Inscripciones!$B$1:$L$364,3,FALSE))</f>
        <v>ESPARZA</v>
      </c>
      <c r="K79" s="287">
        <f ca="1">H62</f>
        <v>4101</v>
      </c>
      <c r="L79" s="288">
        <f ca="1">G62</f>
        <v>3918</v>
      </c>
      <c r="M79" s="410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  <c r="AQ79" s="217"/>
      <c r="AR79" s="217"/>
      <c r="AS79" s="217"/>
    </row>
    <row r="80" spans="1:62" s="220" customFormat="1" ht="12.75" hidden="1" x14ac:dyDescent="0.25">
      <c r="A80" s="217"/>
      <c r="B80" s="217"/>
      <c r="C80" s="217"/>
      <c r="D80" s="218"/>
      <c r="E80" s="217"/>
      <c r="F80" s="217"/>
      <c r="G80" s="217"/>
      <c r="H80" s="217"/>
      <c r="I80" s="217"/>
      <c r="J80" s="217"/>
      <c r="K80" s="283">
        <f ca="1">G52</f>
        <v>4159</v>
      </c>
      <c r="L80" s="284">
        <f ca="1">H52</f>
        <v>4100</v>
      </c>
      <c r="M80" s="411" t="s">
        <v>139</v>
      </c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217"/>
      <c r="AN80" s="217"/>
      <c r="AO80" s="217"/>
      <c r="AP80" s="217"/>
      <c r="AQ80" s="217"/>
      <c r="AR80" s="217"/>
      <c r="AS80" s="217"/>
    </row>
    <row r="81" spans="1:45" s="220" customFormat="1" ht="12.75" hidden="1" x14ac:dyDescent="0.25">
      <c r="A81" s="217"/>
      <c r="B81" s="217"/>
      <c r="C81" s="217"/>
      <c r="D81" s="218"/>
      <c r="E81" s="217"/>
      <c r="F81" s="217"/>
      <c r="G81" s="217"/>
      <c r="H81" s="217"/>
      <c r="I81" s="217"/>
      <c r="J81" s="217"/>
      <c r="K81" s="285">
        <f ca="1">H52</f>
        <v>4100</v>
      </c>
      <c r="L81" s="286">
        <f ca="1">G52</f>
        <v>4159</v>
      </c>
      <c r="M81" s="412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217"/>
      <c r="AN81" s="217"/>
      <c r="AO81" s="217"/>
      <c r="AP81" s="217"/>
      <c r="AQ81" s="217"/>
      <c r="AR81" s="217"/>
      <c r="AS81" s="217"/>
    </row>
    <row r="82" spans="1:45" s="220" customFormat="1" ht="10.7" hidden="1" customHeight="1" x14ac:dyDescent="0.25">
      <c r="A82" s="217"/>
      <c r="B82" s="217"/>
      <c r="C82" s="217"/>
      <c r="D82" s="218"/>
      <c r="E82" s="217"/>
      <c r="F82" s="217"/>
      <c r="G82" s="217"/>
      <c r="H82" s="217"/>
      <c r="I82" s="217"/>
      <c r="J82" s="217"/>
      <c r="K82" s="285">
        <f ca="1">G54</f>
        <v>4274</v>
      </c>
      <c r="L82" s="286">
        <f ca="1">H54</f>
        <v>4176</v>
      </c>
      <c r="M82" s="412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217"/>
      <c r="AN82" s="217"/>
      <c r="AO82" s="217"/>
      <c r="AP82" s="217"/>
      <c r="AQ82" s="217"/>
      <c r="AR82" s="217"/>
      <c r="AS82" s="217"/>
    </row>
    <row r="83" spans="1:45" s="220" customFormat="1" ht="10.7" hidden="1" customHeight="1" x14ac:dyDescent="0.25">
      <c r="A83" s="217"/>
      <c r="B83" s="217"/>
      <c r="C83" s="217"/>
      <c r="D83" s="218"/>
      <c r="E83" s="217"/>
      <c r="F83" s="217"/>
      <c r="G83" s="217"/>
      <c r="H83" s="217"/>
      <c r="I83" s="217"/>
      <c r="J83" s="217"/>
      <c r="K83" s="285">
        <f ca="1">H54</f>
        <v>4176</v>
      </c>
      <c r="L83" s="286">
        <f ca="1">G54</f>
        <v>4274</v>
      </c>
      <c r="M83" s="412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217"/>
      <c r="AN83" s="217"/>
      <c r="AO83" s="217"/>
      <c r="AP83" s="217"/>
      <c r="AQ83" s="217"/>
      <c r="AR83" s="217"/>
      <c r="AS83" s="217"/>
    </row>
    <row r="84" spans="1:45" s="220" customFormat="1" ht="10.7" hidden="1" customHeight="1" x14ac:dyDescent="0.25">
      <c r="A84" s="217"/>
      <c r="B84" s="217"/>
      <c r="C84" s="217"/>
      <c r="D84" s="218" t="s">
        <v>140</v>
      </c>
      <c r="E84" s="217"/>
      <c r="F84" s="217"/>
      <c r="G84" s="237">
        <f ca="1">VLOOKUP(G76,K80:L87,2,FALSE)</f>
        <v>4100</v>
      </c>
      <c r="H84" s="217"/>
      <c r="I84" s="217" t="str">
        <f ca="1">IF(G84=0,0,VLOOKUP(G84,Inscripciones!$B$1:$I$464,2,FALSE))</f>
        <v>BRENDA HERRERA RIVAS</v>
      </c>
      <c r="J84" s="217" t="str">
        <f ca="1">IF(G84=0,0,VLOOKUP(G84,Inscripciones!$B$1:$L$364,3,FALSE))</f>
        <v>ESPARZA</v>
      </c>
      <c r="K84" s="285">
        <f ca="1">G56</f>
        <v>3918</v>
      </c>
      <c r="L84" s="286">
        <f ca="1">H56</f>
        <v>4183</v>
      </c>
      <c r="M84" s="412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217"/>
      <c r="AN84" s="217"/>
      <c r="AO84" s="217"/>
      <c r="AP84" s="217"/>
      <c r="AQ84" s="217"/>
      <c r="AR84" s="217"/>
      <c r="AS84" s="217"/>
    </row>
    <row r="85" spans="1:45" s="220" customFormat="1" ht="10.7" hidden="1" customHeight="1" x14ac:dyDescent="0.25">
      <c r="A85" s="217"/>
      <c r="B85" s="217"/>
      <c r="C85" s="217"/>
      <c r="D85" s="218" t="s">
        <v>141</v>
      </c>
      <c r="E85" s="217"/>
      <c r="F85" s="217"/>
      <c r="G85" s="237">
        <f ca="1">VLOOKUP(G77,K80:L87,2,FALSE)</f>
        <v>4183</v>
      </c>
      <c r="H85" s="217"/>
      <c r="I85" s="217" t="str">
        <f ca="1">IF(G85=0,0,VLOOKUP(G85,Inscripciones!$B$1:$I$464,2,FALSE))</f>
        <v>MONSERRAT RODRÍGUEZ SOLÍS</v>
      </c>
      <c r="J85" s="217" t="str">
        <f ca="1">IF(G85=0,0,VLOOKUP(G85,Inscripciones!$B$1:$L$364,3,FALSE))</f>
        <v>SAN CARLOS</v>
      </c>
      <c r="K85" s="285">
        <f ca="1">H56</f>
        <v>4183</v>
      </c>
      <c r="L85" s="286">
        <f ca="1">G56</f>
        <v>3918</v>
      </c>
      <c r="M85" s="412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217"/>
      <c r="AN85" s="217"/>
      <c r="AO85" s="217"/>
      <c r="AP85" s="217"/>
      <c r="AQ85" s="217"/>
      <c r="AR85" s="217"/>
      <c r="AS85" s="217"/>
    </row>
    <row r="86" spans="1:45" s="220" customFormat="1" ht="10.7" hidden="1" customHeight="1" x14ac:dyDescent="0.25">
      <c r="A86" s="217"/>
      <c r="B86" s="217"/>
      <c r="C86" s="217"/>
      <c r="D86" s="218" t="s">
        <v>142</v>
      </c>
      <c r="E86" s="217"/>
      <c r="F86" s="217"/>
      <c r="G86" s="237">
        <f ca="1">VLOOKUP(G78,K80:L87,2,FALSE)</f>
        <v>4176</v>
      </c>
      <c r="H86" s="217"/>
      <c r="I86" s="217" t="str">
        <f ca="1">IF(G86=0,0,VLOOKUP(G86,Inscripciones!$B$1:$I$464,2,FALSE))</f>
        <v>LÍA SOFÍA SOLÍS VÁSQUEZ</v>
      </c>
      <c r="J86" s="217" t="str">
        <f ca="1">IF(G86=0,0,VLOOKUP(G86,Inscripciones!$B$1:$L$364,3,FALSE))</f>
        <v>ESPARZA</v>
      </c>
      <c r="K86" s="285">
        <f ca="1">G58</f>
        <v>4273</v>
      </c>
      <c r="L86" s="286">
        <f ca="1">H58</f>
        <v>4101</v>
      </c>
      <c r="M86" s="412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217"/>
      <c r="AN86" s="217"/>
      <c r="AO86" s="217"/>
      <c r="AP86" s="217"/>
      <c r="AQ86" s="217"/>
      <c r="AR86" s="217"/>
      <c r="AS86" s="217"/>
    </row>
    <row r="87" spans="1:45" s="220" customFormat="1" ht="10.7" hidden="1" customHeight="1" x14ac:dyDescent="0.25">
      <c r="A87" s="217"/>
      <c r="B87" s="217"/>
      <c r="C87" s="217"/>
      <c r="D87" s="218" t="s">
        <v>143</v>
      </c>
      <c r="E87" s="217"/>
      <c r="F87" s="217"/>
      <c r="G87" s="237">
        <f ca="1">VLOOKUP(G79,K80:L87,2,FALSE)</f>
        <v>4273</v>
      </c>
      <c r="H87" s="217"/>
      <c r="I87" s="217" t="str">
        <f ca="1">IF(G87=0,0,VLOOKUP(G87,Inscripciones!$B$1:$I$464,2,FALSE))</f>
        <v>JAQUELINE HERNÁNDEZ ZUÑIGA</v>
      </c>
      <c r="J87" s="217" t="str">
        <f ca="1">IF(G87=0,0,VLOOKUP(G87,Inscripciones!$B$1:$L$364,3,FALSE))</f>
        <v>ESCAZÚ</v>
      </c>
      <c r="K87" s="287">
        <f ca="1">H58</f>
        <v>4101</v>
      </c>
      <c r="L87" s="288">
        <f ca="1">G58</f>
        <v>4273</v>
      </c>
      <c r="M87" s="413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  <c r="AQ87" s="217"/>
      <c r="AR87" s="217"/>
      <c r="AS87" s="217"/>
    </row>
    <row r="88" spans="1:45" s="220" customFormat="1" ht="10.7" hidden="1" customHeight="1" x14ac:dyDescent="0.25">
      <c r="A88" s="217"/>
      <c r="B88" s="217"/>
      <c r="C88" s="217"/>
      <c r="D88" s="218"/>
      <c r="E88" s="217"/>
      <c r="F88" s="217"/>
      <c r="G88" s="217"/>
      <c r="H88" s="217"/>
      <c r="I88" s="217"/>
      <c r="J88" s="217"/>
      <c r="K88" s="283">
        <f ca="1">G36</f>
        <v>4159</v>
      </c>
      <c r="L88" s="284">
        <f ca="1">H36</f>
        <v>4191</v>
      </c>
      <c r="M88" s="412" t="s">
        <v>144</v>
      </c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</row>
    <row r="89" spans="1:45" s="220" customFormat="1" ht="10.7" hidden="1" customHeight="1" x14ac:dyDescent="0.25">
      <c r="A89" s="217"/>
      <c r="B89" s="217"/>
      <c r="C89" s="217"/>
      <c r="D89" s="218"/>
      <c r="E89" s="217"/>
      <c r="F89" s="217"/>
      <c r="G89" s="217"/>
      <c r="H89" s="217"/>
      <c r="I89" s="217"/>
      <c r="J89" s="217"/>
      <c r="K89" s="285">
        <f ca="1">H36</f>
        <v>4191</v>
      </c>
      <c r="L89" s="286">
        <f ca="1">G36</f>
        <v>4159</v>
      </c>
      <c r="M89" s="412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</row>
    <row r="90" spans="1:45" s="220" customFormat="1" ht="10.7" hidden="1" customHeight="1" x14ac:dyDescent="0.25">
      <c r="A90" s="217"/>
      <c r="B90" s="217"/>
      <c r="C90" s="217"/>
      <c r="D90" s="218"/>
      <c r="E90" s="217"/>
      <c r="F90" s="217"/>
      <c r="G90" s="217"/>
      <c r="H90" s="217"/>
      <c r="I90" s="217"/>
      <c r="J90" s="217"/>
      <c r="K90" s="285">
        <f ca="1">G38</f>
        <v>3912</v>
      </c>
      <c r="L90" s="286">
        <f ca="1">H38</f>
        <v>4100</v>
      </c>
      <c r="M90" s="412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</row>
    <row r="91" spans="1:45" s="220" customFormat="1" ht="10.7" hidden="1" customHeight="1" x14ac:dyDescent="0.25">
      <c r="A91" s="217"/>
      <c r="B91" s="217"/>
      <c r="C91" s="217"/>
      <c r="D91" s="218"/>
      <c r="E91" s="217"/>
      <c r="F91" s="217"/>
      <c r="G91" s="217"/>
      <c r="H91" s="217"/>
      <c r="I91" s="217"/>
      <c r="J91" s="217"/>
      <c r="K91" s="285">
        <f ca="1">H38</f>
        <v>4100</v>
      </c>
      <c r="L91" s="286">
        <f ca="1">G38</f>
        <v>3912</v>
      </c>
      <c r="M91" s="412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</row>
    <row r="92" spans="1:45" s="220" customFormat="1" ht="10.7" hidden="1" customHeight="1" x14ac:dyDescent="0.25">
      <c r="A92" s="217"/>
      <c r="B92" s="217"/>
      <c r="C92" s="217"/>
      <c r="D92" s="218"/>
      <c r="E92" s="217"/>
      <c r="F92" s="217"/>
      <c r="G92" s="217"/>
      <c r="H92" s="217"/>
      <c r="I92" s="217"/>
      <c r="J92" s="217"/>
      <c r="K92" s="285">
        <f ca="1">G40</f>
        <v>4274</v>
      </c>
      <c r="L92" s="286">
        <f ca="1">H40</f>
        <v>3907</v>
      </c>
      <c r="M92" s="412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</row>
    <row r="93" spans="1:45" s="220" customFormat="1" ht="10.7" hidden="1" customHeight="1" x14ac:dyDescent="0.25">
      <c r="A93" s="217"/>
      <c r="B93" s="217"/>
      <c r="C93" s="217"/>
      <c r="D93" s="218"/>
      <c r="E93" s="217"/>
      <c r="F93" s="217"/>
      <c r="G93" s="217"/>
      <c r="H93" s="217"/>
      <c r="I93" s="217"/>
      <c r="J93" s="217"/>
      <c r="K93" s="285">
        <f ca="1">H40</f>
        <v>3907</v>
      </c>
      <c r="L93" s="286">
        <f ca="1">G40</f>
        <v>4274</v>
      </c>
      <c r="M93" s="412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</row>
    <row r="94" spans="1:45" s="220" customFormat="1" ht="10.7" hidden="1" customHeight="1" x14ac:dyDescent="0.25">
      <c r="A94" s="217"/>
      <c r="B94" s="217"/>
      <c r="C94" s="217"/>
      <c r="D94" s="218"/>
      <c r="E94" s="217"/>
      <c r="F94" s="217"/>
      <c r="G94" s="217"/>
      <c r="H94" s="217"/>
      <c r="I94" s="217"/>
      <c r="J94" s="217"/>
      <c r="K94" s="285">
        <f ca="1">G42</f>
        <v>4348</v>
      </c>
      <c r="L94" s="286">
        <f ca="1">H42</f>
        <v>4176</v>
      </c>
      <c r="M94" s="412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</row>
    <row r="95" spans="1:45" s="220" customFormat="1" ht="10.7" hidden="1" customHeight="1" x14ac:dyDescent="0.25">
      <c r="A95" s="217"/>
      <c r="B95" s="217"/>
      <c r="C95" s="217"/>
      <c r="D95" s="218"/>
      <c r="E95" s="217"/>
      <c r="F95" s="217"/>
      <c r="G95" s="217"/>
      <c r="H95" s="217"/>
      <c r="I95" s="217"/>
      <c r="J95" s="217"/>
      <c r="K95" s="285">
        <f ca="1">H42</f>
        <v>4176</v>
      </c>
      <c r="L95" s="286">
        <f ca="1">G42</f>
        <v>4348</v>
      </c>
      <c r="M95" s="412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  <c r="AP95" s="217"/>
      <c r="AQ95" s="217"/>
      <c r="AR95" s="217"/>
      <c r="AS95" s="217"/>
    </row>
    <row r="96" spans="1:45" s="220" customFormat="1" ht="10.7" hidden="1" customHeight="1" x14ac:dyDescent="0.25">
      <c r="A96" s="217"/>
      <c r="B96" s="217"/>
      <c r="C96" s="217"/>
      <c r="D96" s="218" t="s">
        <v>145</v>
      </c>
      <c r="E96" s="217"/>
      <c r="F96" s="217"/>
      <c r="G96" s="237">
        <f ca="1">VLOOKUP(G76,$K$88:$L$103,2,FALSE)</f>
        <v>4191</v>
      </c>
      <c r="H96" s="217"/>
      <c r="I96" s="217" t="str">
        <f ca="1">IF(G96=0,0,VLOOKUP(G96,Inscripciones!$B$1:$I$464,2,FALSE))</f>
        <v>ISABELA CHACÓN ALVARADO</v>
      </c>
      <c r="J96" s="217" t="str">
        <f ca="1">IF(G96=0,0,VLOOKUP(G96,Inscripciones!$B$1:$L$364,3,FALSE))</f>
        <v>CCDR SAN JOSÉ</v>
      </c>
      <c r="K96" s="285">
        <f ca="1">G44</f>
        <v>3918</v>
      </c>
      <c r="L96" s="286">
        <f ca="1">H44</f>
        <v>4673</v>
      </c>
      <c r="M96" s="412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  <c r="AP96" s="217"/>
      <c r="AQ96" s="217"/>
      <c r="AR96" s="217"/>
      <c r="AS96" s="217"/>
    </row>
    <row r="97" spans="1:45" s="220" customFormat="1" ht="10.7" hidden="1" customHeight="1" x14ac:dyDescent="0.25">
      <c r="A97" s="217"/>
      <c r="B97" s="217"/>
      <c r="C97" s="217"/>
      <c r="D97" s="218" t="s">
        <v>146</v>
      </c>
      <c r="E97" s="217"/>
      <c r="F97" s="217"/>
      <c r="G97" s="237">
        <f t="shared" ref="G97:G99" ca="1" si="1044">VLOOKUP(G77,$K$88:$L$103,2,FALSE)</f>
        <v>4673</v>
      </c>
      <c r="H97" s="217"/>
      <c r="I97" s="217" t="str">
        <f ca="1">IF(G97=0,0,VLOOKUP(G97,Inscripciones!$B$1:$I$464,2,FALSE))</f>
        <v>ALINA CHACON RETANA</v>
      </c>
      <c r="J97" s="217" t="str">
        <f ca="1">IF(G97=0,0,VLOOKUP(G97,Inscripciones!$B$1:$L$364,3,FALSE))</f>
        <v>SAN CARLOS</v>
      </c>
      <c r="K97" s="285">
        <f ca="1">H44</f>
        <v>4673</v>
      </c>
      <c r="L97" s="286">
        <f ca="1">G44</f>
        <v>3918</v>
      </c>
      <c r="M97" s="412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</row>
    <row r="98" spans="1:45" s="220" customFormat="1" ht="10.7" hidden="1" customHeight="1" x14ac:dyDescent="0.25">
      <c r="A98" s="217"/>
      <c r="B98" s="217"/>
      <c r="C98" s="217"/>
      <c r="D98" s="218" t="s">
        <v>147</v>
      </c>
      <c r="E98" s="217"/>
      <c r="F98" s="217"/>
      <c r="G98" s="237">
        <f t="shared" ca="1" si="1044"/>
        <v>3907</v>
      </c>
      <c r="H98" s="217"/>
      <c r="I98" s="217" t="str">
        <f ca="1">IF(G98=0,0,VLOOKUP(G98,Inscripciones!$B$1:$I$464,2,FALSE))</f>
        <v>LUCIANA CASCANTE BARBOZA</v>
      </c>
      <c r="J98" s="217" t="str">
        <f ca="1">IF(G98=0,0,VLOOKUP(G98,Inscripciones!$B$1:$L$364,3,FALSE))</f>
        <v>ASERRÍ</v>
      </c>
      <c r="K98" s="285">
        <f ca="1">G46</f>
        <v>4276</v>
      </c>
      <c r="L98" s="286">
        <f ca="1">H46</f>
        <v>4183</v>
      </c>
      <c r="M98" s="412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217"/>
      <c r="AN98" s="217"/>
      <c r="AO98" s="217"/>
      <c r="AP98" s="217"/>
      <c r="AQ98" s="217"/>
      <c r="AR98" s="217"/>
      <c r="AS98" s="217"/>
    </row>
    <row r="99" spans="1:45" s="220" customFormat="1" ht="10.7" hidden="1" customHeight="1" x14ac:dyDescent="0.25">
      <c r="A99" s="217"/>
      <c r="B99" s="217"/>
      <c r="C99" s="217"/>
      <c r="D99" s="218" t="s">
        <v>148</v>
      </c>
      <c r="E99" s="217"/>
      <c r="F99" s="217"/>
      <c r="G99" s="237">
        <f t="shared" ca="1" si="1044"/>
        <v>3828</v>
      </c>
      <c r="H99" s="217"/>
      <c r="I99" s="217" t="str">
        <f ca="1">IF(G99=0,0,VLOOKUP(G99,Inscripciones!$B$1:$I$464,2,FALSE))</f>
        <v>AMANDA CHEN CEN</v>
      </c>
      <c r="J99" s="217" t="str">
        <f ca="1">IF(G99=0,0,VLOOKUP(G99,Inscripciones!$B$1:$L$364,3,FALSE))</f>
        <v>ESCAZÚ</v>
      </c>
      <c r="K99" s="285">
        <f ca="1">H46</f>
        <v>4183</v>
      </c>
      <c r="L99" s="286">
        <f ca="1">G46</f>
        <v>4276</v>
      </c>
      <c r="M99" s="412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217"/>
      <c r="AN99" s="217"/>
      <c r="AO99" s="217"/>
      <c r="AP99" s="217"/>
      <c r="AQ99" s="217"/>
      <c r="AR99" s="217"/>
      <c r="AS99" s="217"/>
    </row>
    <row r="100" spans="1:45" s="220" customFormat="1" ht="10.7" hidden="1" customHeight="1" x14ac:dyDescent="0.25">
      <c r="A100" s="217"/>
      <c r="B100" s="217"/>
      <c r="C100" s="217"/>
      <c r="D100" s="218" t="s">
        <v>149</v>
      </c>
      <c r="E100" s="217"/>
      <c r="F100" s="217"/>
      <c r="G100" s="237">
        <f ca="1">VLOOKUP(G84,$K$88:$L$103,2,FALSE)</f>
        <v>3912</v>
      </c>
      <c r="H100" s="217"/>
      <c r="I100" s="217" t="str">
        <f ca="1">IF(G100=0,0,VLOOKUP(G100,Inscripciones!$B$1:$I$464,2,FALSE))</f>
        <v>AMBAR PADILLA GRANADOS</v>
      </c>
      <c r="J100" s="217" t="str">
        <f ca="1">IF(G100=0,0,VLOOKUP(G100,Inscripciones!$B$1:$L$364,3,FALSE))</f>
        <v>PÉREZ ZELEDÓN</v>
      </c>
      <c r="K100" s="285">
        <f ca="1">G48</f>
        <v>4273</v>
      </c>
      <c r="L100" s="286">
        <f ca="1">H48</f>
        <v>4104</v>
      </c>
      <c r="M100" s="412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  <c r="AQ100" s="217"/>
      <c r="AR100" s="217"/>
      <c r="AS100" s="217"/>
    </row>
    <row r="101" spans="1:45" s="220" customFormat="1" ht="10.7" hidden="1" customHeight="1" x14ac:dyDescent="0.25">
      <c r="A101" s="217"/>
      <c r="B101" s="217"/>
      <c r="C101" s="217"/>
      <c r="D101" s="218" t="s">
        <v>150</v>
      </c>
      <c r="E101" s="217"/>
      <c r="F101" s="217"/>
      <c r="G101" s="237">
        <f t="shared" ref="G101:G103" ca="1" si="1045">VLOOKUP(G85,$K$88:$L$103,2,FALSE)</f>
        <v>4276</v>
      </c>
      <c r="H101" s="217"/>
      <c r="I101" s="217" t="str">
        <f ca="1">IF(G101=0,0,VLOOKUP(G101,Inscripciones!$B$1:$I$464,2,FALSE))</f>
        <v>SILOÉ MUÑOZ CÓRDOBA</v>
      </c>
      <c r="J101" s="217" t="str">
        <f ca="1">IF(G101=0,0,VLOOKUP(G101,Inscripciones!$B$1:$L$364,3,FALSE))</f>
        <v>ESPARZA</v>
      </c>
      <c r="K101" s="285">
        <f ca="1">H48</f>
        <v>4104</v>
      </c>
      <c r="L101" s="286">
        <f ca="1">G48</f>
        <v>4273</v>
      </c>
      <c r="M101" s="412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  <c r="AQ101" s="217"/>
      <c r="AR101" s="217"/>
      <c r="AS101" s="217"/>
    </row>
    <row r="102" spans="1:45" s="220" customFormat="1" ht="10.7" hidden="1" customHeight="1" x14ac:dyDescent="0.25">
      <c r="A102" s="217"/>
      <c r="B102" s="217"/>
      <c r="C102" s="217"/>
      <c r="D102" s="218" t="s">
        <v>151</v>
      </c>
      <c r="E102" s="217"/>
      <c r="F102" s="217"/>
      <c r="G102" s="237">
        <f t="shared" ca="1" si="1045"/>
        <v>4348</v>
      </c>
      <c r="H102" s="217"/>
      <c r="I102" s="217" t="str">
        <f ca="1">IF(G102=0,0,VLOOKUP(G102,Inscripciones!$B$1:$I$464,2,FALSE))</f>
        <v>AMANDA PEREZ CABEZAS</v>
      </c>
      <c r="J102" s="217" t="str">
        <f ca="1">IF(G102=0,0,VLOOKUP(G102,Inscripciones!$B$1:$L$364,3,FALSE))</f>
        <v>CORREDORES</v>
      </c>
      <c r="K102" s="285">
        <f ca="1">G50</f>
        <v>3828</v>
      </c>
      <c r="L102" s="286">
        <f ca="1">H50</f>
        <v>4101</v>
      </c>
      <c r="M102" s="412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  <c r="AQ102" s="217"/>
      <c r="AR102" s="217"/>
      <c r="AS102" s="217"/>
    </row>
    <row r="103" spans="1:45" s="220" customFormat="1" ht="10.7" hidden="1" customHeight="1" x14ac:dyDescent="0.25">
      <c r="A103" s="217"/>
      <c r="B103" s="217"/>
      <c r="C103" s="217"/>
      <c r="D103" s="218" t="s">
        <v>152</v>
      </c>
      <c r="E103" s="217"/>
      <c r="F103" s="217"/>
      <c r="G103" s="237">
        <f t="shared" ca="1" si="1045"/>
        <v>4104</v>
      </c>
      <c r="H103" s="217"/>
      <c r="I103" s="217" t="str">
        <f ca="1">IF(G103=0,0,VLOOKUP(G103,Inscripciones!$B$1:$I$464,2,FALSE))</f>
        <v>ARIANA SANCHEZ DELGADO</v>
      </c>
      <c r="J103" s="217" t="str">
        <f ca="1">IF(G103=0,0,VLOOKUP(G103,Inscripciones!$B$1:$L$364,3,FALSE))</f>
        <v>ESCAZÚ</v>
      </c>
      <c r="K103" s="287">
        <f ca="1">H50</f>
        <v>4101</v>
      </c>
      <c r="L103" s="288">
        <f ca="1">G50</f>
        <v>3828</v>
      </c>
      <c r="M103" s="413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  <c r="AQ103" s="217"/>
      <c r="AR103" s="217"/>
      <c r="AS103" s="217"/>
    </row>
    <row r="104" spans="1:45" s="220" customFormat="1" ht="10.7" hidden="1" customHeight="1" x14ac:dyDescent="0.25">
      <c r="A104" s="217"/>
      <c r="B104" s="217"/>
      <c r="C104" s="217"/>
      <c r="D104" s="218"/>
      <c r="E104" s="217"/>
      <c r="F104" s="217"/>
      <c r="G104" s="217"/>
      <c r="H104" s="217"/>
      <c r="I104" s="217"/>
      <c r="J104" s="217"/>
      <c r="K104" s="283">
        <f ca="1">G4</f>
        <v>4159</v>
      </c>
      <c r="L104" s="284" t="str">
        <f>H4</f>
        <v>X</v>
      </c>
      <c r="M104" s="414" t="s">
        <v>153</v>
      </c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  <c r="AQ104" s="217"/>
      <c r="AR104" s="217"/>
      <c r="AS104" s="217"/>
    </row>
    <row r="105" spans="1:45" s="220" customFormat="1" ht="10.7" hidden="1" customHeight="1" x14ac:dyDescent="0.25">
      <c r="A105" s="217"/>
      <c r="B105" s="217"/>
      <c r="C105" s="217"/>
      <c r="D105" s="218"/>
      <c r="E105" s="217"/>
      <c r="F105" s="217"/>
      <c r="G105" s="217"/>
      <c r="H105" s="217"/>
      <c r="I105" s="217"/>
      <c r="J105" s="217"/>
      <c r="K105" s="285" t="str">
        <f>H4</f>
        <v>X</v>
      </c>
      <c r="L105" s="286">
        <f ca="1">G4</f>
        <v>4159</v>
      </c>
      <c r="M105" s="412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  <c r="AQ105" s="217"/>
      <c r="AR105" s="217"/>
      <c r="AS105" s="217"/>
    </row>
    <row r="106" spans="1:45" s="220" customFormat="1" ht="10.7" hidden="1" customHeight="1" x14ac:dyDescent="0.25">
      <c r="A106" s="217"/>
      <c r="B106" s="217"/>
      <c r="C106" s="217"/>
      <c r="D106" s="218"/>
      <c r="E106" s="217"/>
      <c r="F106" s="217"/>
      <c r="G106" s="217"/>
      <c r="H106" s="217"/>
      <c r="I106" s="217"/>
      <c r="J106" s="217"/>
      <c r="K106" s="285" t="str">
        <f>G6</f>
        <v>X</v>
      </c>
      <c r="L106" s="286">
        <f ca="1">H6</f>
        <v>4191</v>
      </c>
      <c r="M106" s="412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217"/>
      <c r="AN106" s="217"/>
      <c r="AO106" s="217"/>
      <c r="AP106" s="217"/>
      <c r="AQ106" s="217"/>
      <c r="AR106" s="217"/>
      <c r="AS106" s="217"/>
    </row>
    <row r="107" spans="1:45" s="220" customFormat="1" ht="10.7" hidden="1" customHeight="1" x14ac:dyDescent="0.25">
      <c r="A107" s="217"/>
      <c r="B107" s="217"/>
      <c r="C107" s="217"/>
      <c r="D107" s="218"/>
      <c r="E107" s="217"/>
      <c r="F107" s="217"/>
      <c r="G107" s="217"/>
      <c r="H107" s="217"/>
      <c r="I107" s="217"/>
      <c r="J107" s="217"/>
      <c r="K107" s="285">
        <f ca="1">H6</f>
        <v>4191</v>
      </c>
      <c r="L107" s="286" t="str">
        <f>G6</f>
        <v>X</v>
      </c>
      <c r="M107" s="412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  <c r="AP107" s="217"/>
      <c r="AQ107" s="217"/>
      <c r="AR107" s="217"/>
      <c r="AS107" s="217"/>
    </row>
    <row r="108" spans="1:45" s="220" customFormat="1" ht="10.7" hidden="1" customHeight="1" x14ac:dyDescent="0.25">
      <c r="A108" s="217"/>
      <c r="B108" s="217"/>
      <c r="C108" s="217"/>
      <c r="D108" s="218"/>
      <c r="E108" s="217"/>
      <c r="F108" s="217"/>
      <c r="G108" s="217"/>
      <c r="H108" s="217"/>
      <c r="I108" s="217"/>
      <c r="J108" s="217"/>
      <c r="K108" s="285">
        <f ca="1">G8</f>
        <v>3912</v>
      </c>
      <c r="L108" s="286">
        <f ca="1">H8</f>
        <v>4275</v>
      </c>
      <c r="M108" s="412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217"/>
      <c r="AN108" s="217"/>
      <c r="AO108" s="217"/>
      <c r="AP108" s="217"/>
      <c r="AQ108" s="217"/>
      <c r="AR108" s="217"/>
      <c r="AS108" s="217"/>
    </row>
    <row r="109" spans="1:45" s="220" customFormat="1" ht="10.7" hidden="1" customHeight="1" x14ac:dyDescent="0.25">
      <c r="A109" s="217"/>
      <c r="B109" s="217"/>
      <c r="C109" s="217"/>
      <c r="D109" s="218"/>
      <c r="E109" s="217"/>
      <c r="F109" s="217"/>
      <c r="G109" s="217"/>
      <c r="H109" s="217"/>
      <c r="I109" s="217"/>
      <c r="J109" s="217"/>
      <c r="K109" s="285">
        <f ca="1">H8</f>
        <v>4275</v>
      </c>
      <c r="L109" s="286">
        <f ca="1">G8</f>
        <v>3912</v>
      </c>
      <c r="M109" s="412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217"/>
      <c r="AN109" s="217"/>
      <c r="AO109" s="217"/>
      <c r="AP109" s="217"/>
      <c r="AQ109" s="217"/>
      <c r="AR109" s="217"/>
      <c r="AS109" s="217"/>
    </row>
    <row r="110" spans="1:45" s="220" customFormat="1" ht="10.7" hidden="1" customHeight="1" x14ac:dyDescent="0.25">
      <c r="A110" s="217"/>
      <c r="B110" s="217"/>
      <c r="C110" s="217"/>
      <c r="D110" s="218"/>
      <c r="E110" s="217"/>
      <c r="F110" s="217"/>
      <c r="G110" s="217"/>
      <c r="H110" s="217"/>
      <c r="I110" s="217"/>
      <c r="J110" s="217"/>
      <c r="K110" s="285" t="str">
        <f>G10</f>
        <v>X</v>
      </c>
      <c r="L110" s="286">
        <f ca="1">H10</f>
        <v>4100</v>
      </c>
      <c r="M110" s="412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  <c r="AQ110" s="217"/>
      <c r="AR110" s="217"/>
      <c r="AS110" s="217"/>
    </row>
    <row r="111" spans="1:45" s="220" customFormat="1" ht="10.7" hidden="1" customHeight="1" x14ac:dyDescent="0.25">
      <c r="A111" s="217"/>
      <c r="B111" s="217"/>
      <c r="C111" s="217"/>
      <c r="D111" s="218"/>
      <c r="E111" s="217"/>
      <c r="F111" s="217"/>
      <c r="G111" s="217"/>
      <c r="H111" s="217"/>
      <c r="I111" s="217"/>
      <c r="J111" s="217"/>
      <c r="K111" s="285">
        <f ca="1">H10</f>
        <v>4100</v>
      </c>
      <c r="L111" s="286" t="str">
        <f>G10</f>
        <v>X</v>
      </c>
      <c r="M111" s="412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  <c r="AQ111" s="217"/>
      <c r="AR111" s="217"/>
      <c r="AS111" s="217"/>
    </row>
    <row r="112" spans="1:45" s="220" customFormat="1" ht="10.7" hidden="1" customHeight="1" x14ac:dyDescent="0.25">
      <c r="A112" s="217"/>
      <c r="B112" s="217"/>
      <c r="C112" s="217"/>
      <c r="D112" s="218"/>
      <c r="E112" s="217"/>
      <c r="F112" s="217"/>
      <c r="G112" s="217"/>
      <c r="H112" s="217"/>
      <c r="I112" s="217"/>
      <c r="J112" s="217"/>
      <c r="K112" s="285">
        <f ca="1">G12</f>
        <v>4274</v>
      </c>
      <c r="L112" s="286" t="str">
        <f>H12</f>
        <v>X</v>
      </c>
      <c r="M112" s="412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  <c r="AR112" s="217"/>
      <c r="AS112" s="217"/>
    </row>
    <row r="113" spans="1:45" s="220" customFormat="1" ht="10.7" hidden="1" customHeight="1" x14ac:dyDescent="0.25">
      <c r="A113" s="217"/>
      <c r="B113" s="217"/>
      <c r="C113" s="217"/>
      <c r="D113" s="218"/>
      <c r="E113" s="217"/>
      <c r="F113" s="217"/>
      <c r="G113" s="217"/>
      <c r="H113" s="217"/>
      <c r="I113" s="217"/>
      <c r="J113" s="217"/>
      <c r="K113" s="285" t="str">
        <f>H12</f>
        <v>X</v>
      </c>
      <c r="L113" s="286">
        <f ca="1">G12</f>
        <v>4274</v>
      </c>
      <c r="M113" s="412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  <c r="AQ113" s="217"/>
      <c r="AR113" s="217"/>
      <c r="AS113" s="217"/>
    </row>
    <row r="114" spans="1:45" s="220" customFormat="1" ht="10.7" hidden="1" customHeight="1" x14ac:dyDescent="0.25">
      <c r="A114" s="217"/>
      <c r="B114" s="217"/>
      <c r="C114" s="217"/>
      <c r="D114" s="218"/>
      <c r="E114" s="217"/>
      <c r="F114" s="217"/>
      <c r="G114" s="217"/>
      <c r="H114" s="217"/>
      <c r="I114" s="217"/>
      <c r="J114" s="217"/>
      <c r="K114" s="285" t="str">
        <f>G14</f>
        <v>X</v>
      </c>
      <c r="L114" s="286">
        <f ca="1">H14</f>
        <v>3907</v>
      </c>
      <c r="M114" s="412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  <c r="AQ114" s="217"/>
      <c r="AR114" s="217"/>
      <c r="AS114" s="217"/>
    </row>
    <row r="115" spans="1:45" s="220" customFormat="1" ht="10.7" hidden="1" customHeight="1" x14ac:dyDescent="0.25">
      <c r="A115" s="217"/>
      <c r="B115" s="217"/>
      <c r="C115" s="217"/>
      <c r="D115" s="218"/>
      <c r="E115" s="217"/>
      <c r="F115" s="217"/>
      <c r="G115" s="217"/>
      <c r="H115" s="217"/>
      <c r="I115" s="217"/>
      <c r="J115" s="217"/>
      <c r="K115" s="285">
        <f ca="1">H14</f>
        <v>3907</v>
      </c>
      <c r="L115" s="286" t="str">
        <f>G14</f>
        <v>X</v>
      </c>
      <c r="M115" s="412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217"/>
      <c r="AN115" s="217"/>
      <c r="AO115" s="217"/>
      <c r="AP115" s="217"/>
      <c r="AQ115" s="217"/>
      <c r="AR115" s="217"/>
      <c r="AS115" s="217"/>
    </row>
    <row r="116" spans="1:45" s="220" customFormat="1" ht="10.7" hidden="1" customHeight="1" x14ac:dyDescent="0.25">
      <c r="A116" s="217"/>
      <c r="B116" s="217"/>
      <c r="C116" s="217"/>
      <c r="D116" s="218"/>
      <c r="E116" s="217"/>
      <c r="F116" s="217"/>
      <c r="G116" s="217"/>
      <c r="H116" s="217"/>
      <c r="I116" s="217"/>
      <c r="J116" s="217"/>
      <c r="K116" s="285">
        <f ca="1">G16</f>
        <v>4348</v>
      </c>
      <c r="L116" s="286" t="str">
        <f>H16</f>
        <v>X</v>
      </c>
      <c r="M116" s="412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217"/>
      <c r="AN116" s="217"/>
      <c r="AO116" s="217"/>
      <c r="AP116" s="217"/>
      <c r="AQ116" s="217"/>
      <c r="AR116" s="217"/>
      <c r="AS116" s="217"/>
    </row>
    <row r="117" spans="1:45" s="220" customFormat="1" ht="10.7" hidden="1" customHeight="1" x14ac:dyDescent="0.25">
      <c r="A117" s="217"/>
      <c r="B117" s="217"/>
      <c r="C117" s="217"/>
      <c r="D117" s="218"/>
      <c r="E117" s="217"/>
      <c r="F117" s="217"/>
      <c r="G117" s="217"/>
      <c r="H117" s="217"/>
      <c r="I117" s="217"/>
      <c r="J117" s="217"/>
      <c r="K117" s="285" t="str">
        <f>H16</f>
        <v>X</v>
      </c>
      <c r="L117" s="286">
        <f ca="1">G16</f>
        <v>4348</v>
      </c>
      <c r="M117" s="412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217"/>
      <c r="AN117" s="217"/>
      <c r="AO117" s="217"/>
      <c r="AP117" s="217"/>
      <c r="AQ117" s="217"/>
      <c r="AR117" s="217"/>
      <c r="AS117" s="217"/>
    </row>
    <row r="118" spans="1:45" s="220" customFormat="1" ht="10.7" hidden="1" customHeight="1" x14ac:dyDescent="0.25">
      <c r="A118" s="217"/>
      <c r="B118" s="217"/>
      <c r="C118" s="217"/>
      <c r="D118" s="218"/>
      <c r="E118" s="217"/>
      <c r="F118" s="217"/>
      <c r="G118" s="217"/>
      <c r="H118" s="217"/>
      <c r="I118" s="217"/>
      <c r="J118" s="217"/>
      <c r="K118" s="285" t="str">
        <f>G18</f>
        <v>X</v>
      </c>
      <c r="L118" s="286">
        <f ca="1">H18</f>
        <v>4176</v>
      </c>
      <c r="M118" s="412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</row>
    <row r="119" spans="1:45" s="220" customFormat="1" ht="10.7" hidden="1" customHeight="1" x14ac:dyDescent="0.25">
      <c r="A119" s="217"/>
      <c r="B119" s="217"/>
      <c r="C119" s="217"/>
      <c r="D119" s="218"/>
      <c r="E119" s="217"/>
      <c r="F119" s="217"/>
      <c r="G119" s="217"/>
      <c r="H119" s="217"/>
      <c r="I119" s="217"/>
      <c r="J119" s="217"/>
      <c r="K119" s="285">
        <f ca="1">H18</f>
        <v>4176</v>
      </c>
      <c r="L119" s="286" t="str">
        <f>G18</f>
        <v>X</v>
      </c>
      <c r="M119" s="412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217"/>
      <c r="AN119" s="217"/>
      <c r="AO119" s="217"/>
      <c r="AP119" s="217"/>
      <c r="AQ119" s="217"/>
      <c r="AR119" s="217"/>
      <c r="AS119" s="217"/>
    </row>
    <row r="120" spans="1:45" s="220" customFormat="1" ht="10.7" hidden="1" customHeight="1" x14ac:dyDescent="0.25">
      <c r="A120" s="217"/>
      <c r="B120" s="217"/>
      <c r="C120" s="217"/>
      <c r="D120" s="218" t="s">
        <v>154</v>
      </c>
      <c r="E120" s="217"/>
      <c r="F120" s="217"/>
      <c r="G120" s="237" t="str">
        <f ca="1">VLOOKUP(G76,$K$104:$L$135,2,FALSE)</f>
        <v>X</v>
      </c>
      <c r="H120" s="217"/>
      <c r="I120" s="217" t="str">
        <f ca="1">IF(G120=0,0,VLOOKUP(G120,Inscripciones!$B$1:$I$464,2,FALSE))</f>
        <v>BYE</v>
      </c>
      <c r="J120" s="217" t="str">
        <f ca="1">IF(G120=0,0,VLOOKUP(G120,Inscripciones!$B$1:$L$364,3,FALSE))</f>
        <v>BYE</v>
      </c>
      <c r="K120" s="285">
        <f ca="1">G20</f>
        <v>3918</v>
      </c>
      <c r="L120" s="286" t="str">
        <f>H20</f>
        <v>X</v>
      </c>
      <c r="M120" s="412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217"/>
      <c r="AN120" s="217"/>
      <c r="AO120" s="217"/>
      <c r="AP120" s="217"/>
      <c r="AQ120" s="217"/>
      <c r="AR120" s="217"/>
      <c r="AS120" s="217"/>
    </row>
    <row r="121" spans="1:45" s="220" customFormat="1" ht="10.7" hidden="1" customHeight="1" x14ac:dyDescent="0.25">
      <c r="A121" s="217"/>
      <c r="B121" s="217"/>
      <c r="C121" s="217"/>
      <c r="D121" s="218" t="s">
        <v>155</v>
      </c>
      <c r="E121" s="217"/>
      <c r="F121" s="217"/>
      <c r="G121" s="237" t="str">
        <f ca="1">VLOOKUP(G77,$K$104:$L$135,2,FALSE)</f>
        <v>X</v>
      </c>
      <c r="H121" s="217"/>
      <c r="I121" s="217" t="str">
        <f ca="1">IF(G121=0,0,VLOOKUP(G121,Inscripciones!$B$1:$I$464,2,FALSE))</f>
        <v>BYE</v>
      </c>
      <c r="J121" s="217" t="str">
        <f ca="1">IF(G121=0,0,VLOOKUP(G121,Inscripciones!$B$1:$L$364,3,FALSE))</f>
        <v>BYE</v>
      </c>
      <c r="K121" s="285" t="str">
        <f>H20</f>
        <v>X</v>
      </c>
      <c r="L121" s="286">
        <f ca="1">G20</f>
        <v>3918</v>
      </c>
      <c r="M121" s="412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217"/>
      <c r="AN121" s="217"/>
      <c r="AO121" s="217"/>
      <c r="AP121" s="217"/>
      <c r="AQ121" s="217"/>
      <c r="AR121" s="217"/>
      <c r="AS121" s="217"/>
    </row>
    <row r="122" spans="1:45" s="220" customFormat="1" ht="10.7" hidden="1" customHeight="1" x14ac:dyDescent="0.25">
      <c r="A122" s="217"/>
      <c r="B122" s="217"/>
      <c r="C122" s="217"/>
      <c r="D122" s="218" t="s">
        <v>156</v>
      </c>
      <c r="E122" s="217"/>
      <c r="F122" s="217"/>
      <c r="G122" s="237" t="str">
        <f ca="1">VLOOKUP(G78,$K$104:$L$135,2,FALSE)</f>
        <v>X</v>
      </c>
      <c r="H122" s="217"/>
      <c r="I122" s="217" t="str">
        <f ca="1">IF(G122=0,0,VLOOKUP(G122,Inscripciones!$B$1:$I$464,2,FALSE))</f>
        <v>BYE</v>
      </c>
      <c r="J122" s="217" t="str">
        <f ca="1">IF(G122=0,0,VLOOKUP(G122,Inscripciones!$B$1:$L$364,3,FALSE))</f>
        <v>BYE</v>
      </c>
      <c r="K122" s="285" t="str">
        <f>G22</f>
        <v>X</v>
      </c>
      <c r="L122" s="286">
        <f ca="1">H22</f>
        <v>4673</v>
      </c>
      <c r="M122" s="412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217"/>
      <c r="AN122" s="217"/>
      <c r="AO122" s="217"/>
      <c r="AP122" s="217"/>
      <c r="AQ122" s="217"/>
      <c r="AR122" s="217"/>
      <c r="AS122" s="217"/>
    </row>
    <row r="123" spans="1:45" s="220" customFormat="1" ht="10.7" hidden="1" customHeight="1" x14ac:dyDescent="0.25">
      <c r="A123" s="217"/>
      <c r="B123" s="217"/>
      <c r="C123" s="217"/>
      <c r="D123" s="218" t="s">
        <v>157</v>
      </c>
      <c r="E123" s="217"/>
      <c r="F123" s="217"/>
      <c r="G123" s="237" t="str">
        <f ca="1">VLOOKUP(G79,$K$104:$L$135,2,FALSE)</f>
        <v>X</v>
      </c>
      <c r="H123" s="217"/>
      <c r="I123" s="217" t="str">
        <f ca="1">IF(G123=0,0,VLOOKUP(G123,Inscripciones!$B$1:$I$464,2,FALSE))</f>
        <v>BYE</v>
      </c>
      <c r="J123" s="217" t="str">
        <f ca="1">IF(G123=0,0,VLOOKUP(G123,Inscripciones!$B$1:$L$364,3,FALSE))</f>
        <v>BYE</v>
      </c>
      <c r="K123" s="285">
        <f ca="1">H22</f>
        <v>4673</v>
      </c>
      <c r="L123" s="286" t="str">
        <f>G22</f>
        <v>X</v>
      </c>
      <c r="M123" s="412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  <c r="AQ123" s="217"/>
      <c r="AR123" s="217"/>
      <c r="AS123" s="217"/>
    </row>
    <row r="124" spans="1:45" s="220" customFormat="1" ht="10.7" hidden="1" customHeight="1" x14ac:dyDescent="0.25">
      <c r="A124" s="217"/>
      <c r="B124" s="217"/>
      <c r="C124" s="217"/>
      <c r="D124" s="218" t="s">
        <v>158</v>
      </c>
      <c r="E124" s="217"/>
      <c r="F124" s="217"/>
      <c r="G124" s="237" t="str">
        <f ca="1">VLOOKUP(G84,$K$104:$L$135,2,FALSE)</f>
        <v>X</v>
      </c>
      <c r="H124" s="217"/>
      <c r="I124" s="217" t="str">
        <f ca="1">IF(G124=0,0,VLOOKUP(G124,Inscripciones!$B$1:$I$464,2,FALSE))</f>
        <v>BYE</v>
      </c>
      <c r="J124" s="217" t="str">
        <f ca="1">IF(G124=0,0,VLOOKUP(G124,Inscripciones!$B$1:$L$364,3,FALSE))</f>
        <v>BYE</v>
      </c>
      <c r="K124" s="285">
        <f ca="1">G24</f>
        <v>4276</v>
      </c>
      <c r="L124" s="286" t="str">
        <f>H24</f>
        <v>X</v>
      </c>
      <c r="M124" s="412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  <c r="AQ124" s="217"/>
      <c r="AR124" s="217"/>
      <c r="AS124" s="217"/>
    </row>
    <row r="125" spans="1:45" s="220" customFormat="1" ht="10.7" hidden="1" customHeight="1" x14ac:dyDescent="0.25">
      <c r="A125" s="217"/>
      <c r="B125" s="217"/>
      <c r="C125" s="217"/>
      <c r="D125" s="218" t="s">
        <v>159</v>
      </c>
      <c r="E125" s="217"/>
      <c r="F125" s="217"/>
      <c r="G125" s="237" t="str">
        <f ca="1">VLOOKUP(G85,$K$104:$L$135,2,FALSE)</f>
        <v>X</v>
      </c>
      <c r="H125" s="217"/>
      <c r="I125" s="217" t="str">
        <f ca="1">IF(G125=0,0,VLOOKUP(G125,Inscripciones!$B$1:$I$464,2,FALSE))</f>
        <v>BYE</v>
      </c>
      <c r="J125" s="217" t="str">
        <f ca="1">IF(G125=0,0,VLOOKUP(G125,Inscripciones!$B$1:$L$364,3,FALSE))</f>
        <v>BYE</v>
      </c>
      <c r="K125" s="285" t="str">
        <f>H24</f>
        <v>X</v>
      </c>
      <c r="L125" s="286">
        <f ca="1">G24</f>
        <v>4276</v>
      </c>
      <c r="M125" s="412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</row>
    <row r="126" spans="1:45" s="220" customFormat="1" ht="10.7" hidden="1" customHeight="1" x14ac:dyDescent="0.25">
      <c r="A126" s="217"/>
      <c r="B126" s="217"/>
      <c r="C126" s="217"/>
      <c r="D126" s="218" t="s">
        <v>160</v>
      </c>
      <c r="E126" s="217"/>
      <c r="F126" s="217"/>
      <c r="G126" s="237" t="str">
        <f ca="1">VLOOKUP(G86,$K$104:$L$135,2,FALSE)</f>
        <v>X</v>
      </c>
      <c r="H126" s="217"/>
      <c r="I126" s="217" t="str">
        <f ca="1">IF(G126=0,0,VLOOKUP(G126,Inscripciones!$B$1:$I$464,2,FALSE))</f>
        <v>BYE</v>
      </c>
      <c r="J126" s="217" t="str">
        <f ca="1">IF(G126=0,0,VLOOKUP(G126,Inscripciones!$B$1:$L$364,3,FALSE))</f>
        <v>BYE</v>
      </c>
      <c r="K126" s="285" t="str">
        <f>G26</f>
        <v>X</v>
      </c>
      <c r="L126" s="286">
        <f ca="1">H26</f>
        <v>4183</v>
      </c>
      <c r="M126" s="412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</row>
    <row r="127" spans="1:45" s="220" customFormat="1" ht="10.7" hidden="1" customHeight="1" x14ac:dyDescent="0.25">
      <c r="A127" s="217"/>
      <c r="B127" s="217"/>
      <c r="C127" s="217"/>
      <c r="D127" s="218" t="s">
        <v>161</v>
      </c>
      <c r="E127" s="217"/>
      <c r="F127" s="217"/>
      <c r="G127" s="237" t="str">
        <f ca="1">VLOOKUP(G87,$K$104:$L$135,2,FALSE)</f>
        <v>X</v>
      </c>
      <c r="H127" s="217"/>
      <c r="I127" s="217" t="str">
        <f ca="1">IF(G127=0,0,VLOOKUP(G127,Inscripciones!$B$1:$I$464,2,FALSE))</f>
        <v>BYE</v>
      </c>
      <c r="J127" s="217" t="str">
        <f ca="1">IF(G127=0,0,VLOOKUP(G127,Inscripciones!$B$1:$L$364,3,FALSE))</f>
        <v>BYE</v>
      </c>
      <c r="K127" s="285">
        <f ca="1">H26</f>
        <v>4183</v>
      </c>
      <c r="L127" s="286" t="str">
        <f>G26</f>
        <v>X</v>
      </c>
      <c r="M127" s="412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</row>
    <row r="128" spans="1:45" s="220" customFormat="1" ht="10.7" hidden="1" customHeight="1" x14ac:dyDescent="0.25">
      <c r="A128" s="217"/>
      <c r="B128" s="217"/>
      <c r="C128" s="217"/>
      <c r="D128" s="218" t="s">
        <v>162</v>
      </c>
      <c r="E128" s="217"/>
      <c r="F128" s="217"/>
      <c r="G128" s="237" t="str">
        <f t="shared" ref="G128:G135" ca="1" si="1046">VLOOKUP(G96,$K$104:$L$135,2,FALSE)</f>
        <v>X</v>
      </c>
      <c r="H128" s="217"/>
      <c r="I128" s="217" t="str">
        <f ca="1">IF(G128=0,0,VLOOKUP(G128,Inscripciones!$B$1:$I$464,2,FALSE))</f>
        <v>BYE</v>
      </c>
      <c r="J128" s="217" t="str">
        <f ca="1">IF(G128=0,0,VLOOKUP(G128,Inscripciones!$B$1:$L$364,3,FALSE))</f>
        <v>BYE</v>
      </c>
      <c r="K128" s="285">
        <f ca="1">G28</f>
        <v>4273</v>
      </c>
      <c r="L128" s="286" t="str">
        <f>H28</f>
        <v>X</v>
      </c>
      <c r="M128" s="412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37"/>
      <c r="AN128" s="237"/>
      <c r="AO128" s="237"/>
      <c r="AP128" s="237"/>
      <c r="AQ128" s="237"/>
      <c r="AR128" s="237"/>
      <c r="AS128" s="237"/>
    </row>
    <row r="129" spans="1:57" s="220" customFormat="1" ht="10.7" hidden="1" customHeight="1" x14ac:dyDescent="0.25">
      <c r="A129" s="217"/>
      <c r="B129" s="217"/>
      <c r="C129" s="217"/>
      <c r="D129" s="218" t="s">
        <v>163</v>
      </c>
      <c r="E129" s="217"/>
      <c r="F129" s="217"/>
      <c r="G129" s="237" t="str">
        <f t="shared" ca="1" si="1046"/>
        <v>X</v>
      </c>
      <c r="H129" s="217"/>
      <c r="I129" s="217" t="str">
        <f ca="1">IF(G129=0,0,VLOOKUP(G129,Inscripciones!$B$1:$I$464,2,FALSE))</f>
        <v>BYE</v>
      </c>
      <c r="J129" s="217" t="str">
        <f ca="1">IF(G129=0,0,VLOOKUP(G129,Inscripciones!$B$1:$L$364,3,FALSE))</f>
        <v>BYE</v>
      </c>
      <c r="K129" s="285" t="str">
        <f>H28</f>
        <v>X</v>
      </c>
      <c r="L129" s="286">
        <f ca="1">G28</f>
        <v>4273</v>
      </c>
      <c r="M129" s="412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37"/>
      <c r="AN129" s="237"/>
      <c r="AO129" s="237"/>
      <c r="AP129" s="237"/>
      <c r="AQ129" s="237"/>
      <c r="AR129" s="237"/>
      <c r="AS129" s="237"/>
    </row>
    <row r="130" spans="1:57" s="220" customFormat="1" ht="10.7" hidden="1" customHeight="1" x14ac:dyDescent="0.25">
      <c r="A130" s="217"/>
      <c r="B130" s="217"/>
      <c r="C130" s="217"/>
      <c r="D130" s="218" t="s">
        <v>164</v>
      </c>
      <c r="E130" s="217"/>
      <c r="F130" s="217"/>
      <c r="G130" s="237" t="str">
        <f t="shared" ca="1" si="1046"/>
        <v>X</v>
      </c>
      <c r="H130" s="217"/>
      <c r="I130" s="217" t="str">
        <f ca="1">IF(G130=0,0,VLOOKUP(G130,Inscripciones!$B$1:$I$464,2,FALSE))</f>
        <v>BYE</v>
      </c>
      <c r="J130" s="217" t="str">
        <f ca="1">IF(G130=0,0,VLOOKUP(G130,Inscripciones!$B$1:$L$364,3,FALSE))</f>
        <v>BYE</v>
      </c>
      <c r="K130" s="285">
        <f ca="1">G30</f>
        <v>4212</v>
      </c>
      <c r="L130" s="286">
        <f ca="1">H30</f>
        <v>4104</v>
      </c>
      <c r="M130" s="412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  <c r="AQ130" s="217"/>
      <c r="AR130" s="217"/>
      <c r="AS130" s="217"/>
    </row>
    <row r="131" spans="1:57" s="220" customFormat="1" ht="10.7" hidden="1" customHeight="1" x14ac:dyDescent="0.25">
      <c r="A131" s="217"/>
      <c r="B131" s="217"/>
      <c r="C131" s="217"/>
      <c r="D131" s="218" t="s">
        <v>165</v>
      </c>
      <c r="E131" s="217"/>
      <c r="F131" s="217"/>
      <c r="G131" s="237" t="str">
        <f t="shared" ca="1" si="1046"/>
        <v>X</v>
      </c>
      <c r="H131" s="217"/>
      <c r="I131" s="217" t="str">
        <f ca="1">IF(G131=0,0,VLOOKUP(G131,Inscripciones!$B$1:$I$464,2,FALSE))</f>
        <v>BYE</v>
      </c>
      <c r="J131" s="217" t="str">
        <f ca="1">IF(G131=0,0,VLOOKUP(G131,Inscripciones!$B$1:$L$364,3,FALSE))</f>
        <v>BYE</v>
      </c>
      <c r="K131" s="285">
        <f ca="1">H30</f>
        <v>4104</v>
      </c>
      <c r="L131" s="286">
        <f ca="1">G30</f>
        <v>4212</v>
      </c>
      <c r="M131" s="412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  <c r="AQ131" s="217"/>
      <c r="AR131" s="217"/>
      <c r="AS131" s="217"/>
    </row>
    <row r="132" spans="1:57" s="220" customFormat="1" ht="10.7" hidden="1" customHeight="1" x14ac:dyDescent="0.25">
      <c r="A132" s="217"/>
      <c r="B132" s="217"/>
      <c r="C132" s="217"/>
      <c r="D132" s="218" t="s">
        <v>166</v>
      </c>
      <c r="E132" s="217"/>
      <c r="F132" s="217"/>
      <c r="G132" s="237">
        <f t="shared" ca="1" si="1046"/>
        <v>4275</v>
      </c>
      <c r="H132" s="217"/>
      <c r="I132" s="217" t="str">
        <f ca="1">IF(G132=0,0,VLOOKUP(G132,Inscripciones!$B$1:$I$464,2,FALSE))</f>
        <v>CLARISSA MORA JIMÉNEZ</v>
      </c>
      <c r="J132" s="217" t="str">
        <f ca="1">IF(G132=0,0,VLOOKUP(G132,Inscripciones!$B$1:$L$364,3,FALSE))</f>
        <v>ESPARZA</v>
      </c>
      <c r="K132" s="285">
        <f ca="1">G32</f>
        <v>3828</v>
      </c>
      <c r="L132" s="286" t="str">
        <f>H32</f>
        <v>X</v>
      </c>
      <c r="M132" s="412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  <c r="AQ132" s="217"/>
      <c r="AR132" s="217"/>
      <c r="AS132" s="217"/>
    </row>
    <row r="133" spans="1:57" s="220" customFormat="1" ht="10.7" hidden="1" customHeight="1" x14ac:dyDescent="0.25">
      <c r="A133" s="217"/>
      <c r="B133" s="217"/>
      <c r="C133" s="217"/>
      <c r="D133" s="218" t="s">
        <v>167</v>
      </c>
      <c r="E133" s="217"/>
      <c r="F133" s="217"/>
      <c r="G133" s="237" t="str">
        <f t="shared" ca="1" si="1046"/>
        <v>X</v>
      </c>
      <c r="H133" s="217"/>
      <c r="I133" s="217" t="str">
        <f ca="1">IF(G133=0,0,VLOOKUP(G133,Inscripciones!$B$1:$I$464,2,FALSE))</f>
        <v>BYE</v>
      </c>
      <c r="J133" s="217" t="str">
        <f ca="1">IF(G133=0,0,VLOOKUP(G133,Inscripciones!$B$1:$L$364,3,FALSE))</f>
        <v>BYE</v>
      </c>
      <c r="K133" s="285" t="str">
        <f>H32</f>
        <v>X</v>
      </c>
      <c r="L133" s="286">
        <f ca="1">G32</f>
        <v>3828</v>
      </c>
      <c r="M133" s="412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  <c r="AQ133" s="217"/>
      <c r="AR133" s="217"/>
      <c r="AS133" s="217"/>
    </row>
    <row r="134" spans="1:57" s="220" customFormat="1" ht="10.7" hidden="1" customHeight="1" x14ac:dyDescent="0.25">
      <c r="A134" s="217"/>
      <c r="B134" s="217"/>
      <c r="C134" s="217"/>
      <c r="D134" s="218" t="s">
        <v>168</v>
      </c>
      <c r="E134" s="217"/>
      <c r="F134" s="217"/>
      <c r="G134" s="237" t="str">
        <f t="shared" ca="1" si="1046"/>
        <v>X</v>
      </c>
      <c r="H134" s="217"/>
      <c r="I134" s="217" t="str">
        <f ca="1">IF(G134=0,0,VLOOKUP(G134,Inscripciones!$B$1:$I$464,2,FALSE))</f>
        <v>BYE</v>
      </c>
      <c r="J134" s="217" t="str">
        <f ca="1">IF(G134=0,0,VLOOKUP(G134,Inscripciones!$B$1:$L$364,3,FALSE))</f>
        <v>BYE</v>
      </c>
      <c r="K134" s="285" t="str">
        <f>G34</f>
        <v>X</v>
      </c>
      <c r="L134" s="286">
        <f ca="1">H34</f>
        <v>4101</v>
      </c>
      <c r="M134" s="412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  <c r="AQ134" s="217"/>
      <c r="AR134" s="217"/>
      <c r="AS134" s="217"/>
    </row>
    <row r="135" spans="1:57" s="220" customFormat="1" ht="10.7" hidden="1" customHeight="1" x14ac:dyDescent="0.25">
      <c r="A135" s="217"/>
      <c r="B135" s="217"/>
      <c r="C135" s="217"/>
      <c r="D135" s="218" t="s">
        <v>169</v>
      </c>
      <c r="E135" s="217"/>
      <c r="F135" s="217"/>
      <c r="G135" s="237">
        <f t="shared" ca="1" si="1046"/>
        <v>4212</v>
      </c>
      <c r="H135" s="217"/>
      <c r="I135" s="217" t="str">
        <f ca="1">IF(G135=0,0,VLOOKUP(G135,Inscripciones!$B$1:$I$464,2,FALSE))</f>
        <v>FIORELLA RETANA AGUILAR</v>
      </c>
      <c r="J135" s="217" t="str">
        <f ca="1">IF(G135=0,0,VLOOKUP(G135,Inscripciones!$B$1:$L$364,3,FALSE))</f>
        <v>CURRIDABAT</v>
      </c>
      <c r="K135" s="287">
        <f ca="1">H34</f>
        <v>4101</v>
      </c>
      <c r="L135" s="288" t="str">
        <f>G34</f>
        <v>X</v>
      </c>
      <c r="M135" s="413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  <c r="AQ135" s="217"/>
      <c r="AR135" s="217"/>
      <c r="AS135" s="217"/>
    </row>
    <row r="136" spans="1:57" s="220" customFormat="1" ht="10.7" hidden="1" customHeight="1" x14ac:dyDescent="0.25">
      <c r="A136" s="217"/>
      <c r="B136" s="217"/>
      <c r="C136" s="217"/>
      <c r="D136" s="218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  <c r="AQ136" s="217"/>
      <c r="AR136" s="217"/>
      <c r="AS136" s="217"/>
    </row>
    <row r="137" spans="1:57" s="220" customFormat="1" ht="10.7" hidden="1" customHeight="1" x14ac:dyDescent="0.25">
      <c r="A137" s="217"/>
      <c r="B137" s="217"/>
      <c r="C137" s="217"/>
      <c r="D137" s="218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  <c r="AQ137" s="217"/>
      <c r="AR137" s="217"/>
      <c r="AS137" s="217"/>
    </row>
    <row r="138" spans="1:57" s="220" customFormat="1" ht="10.7" hidden="1" customHeight="1" x14ac:dyDescent="0.25">
      <c r="A138" s="217"/>
      <c r="B138" s="217"/>
      <c r="C138" s="217"/>
      <c r="D138" s="218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  <c r="AQ138" s="217"/>
      <c r="AR138" s="217"/>
      <c r="AS138" s="217"/>
      <c r="AU138" s="221"/>
      <c r="AV138" s="222"/>
      <c r="AW138" s="222"/>
      <c r="AX138" s="223"/>
      <c r="AY138" s="222"/>
      <c r="AZ138" s="222"/>
      <c r="BA138" s="222"/>
      <c r="BB138" s="222"/>
      <c r="BC138" s="222"/>
      <c r="BD138" s="222"/>
      <c r="BE138" s="222"/>
    </row>
    <row r="139" spans="1:57" s="220" customFormat="1" ht="10.7" hidden="1" customHeight="1" x14ac:dyDescent="0.25">
      <c r="A139" s="217"/>
      <c r="B139" s="217"/>
      <c r="C139" s="217"/>
      <c r="D139" s="218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  <c r="AQ139" s="217"/>
      <c r="AR139" s="217"/>
      <c r="AS139" s="217"/>
      <c r="AU139" s="221"/>
      <c r="AV139" s="222"/>
      <c r="AW139" s="222"/>
      <c r="AX139" s="223"/>
      <c r="AY139" s="222"/>
      <c r="AZ139" s="222"/>
      <c r="BA139" s="222"/>
      <c r="BB139" s="222"/>
      <c r="BC139" s="222"/>
      <c r="BD139" s="222"/>
      <c r="BE139" s="222"/>
    </row>
    <row r="140" spans="1:57" s="220" customFormat="1" ht="10.7" customHeight="1" x14ac:dyDescent="0.25">
      <c r="A140" s="217"/>
      <c r="B140" s="217"/>
      <c r="C140" s="217"/>
      <c r="D140" s="218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  <c r="AQ140" s="217"/>
      <c r="AR140" s="217"/>
      <c r="AS140" s="217"/>
      <c r="AU140" s="221"/>
      <c r="AV140" s="222"/>
      <c r="AW140" s="222"/>
      <c r="AX140" s="223"/>
      <c r="AY140" s="222"/>
      <c r="AZ140" s="222"/>
      <c r="BA140" s="222"/>
      <c r="BB140" s="222"/>
      <c r="BC140" s="222"/>
      <c r="BD140" s="222"/>
      <c r="BE140" s="222"/>
    </row>
    <row r="141" spans="1:57" s="220" customFormat="1" ht="10.7" customHeight="1" x14ac:dyDescent="0.25">
      <c r="A141" s="217"/>
      <c r="B141" s="217"/>
      <c r="C141" s="217"/>
      <c r="D141" s="218"/>
      <c r="E141" s="217"/>
      <c r="F141" s="217"/>
      <c r="G141" s="415" t="s">
        <v>170</v>
      </c>
      <c r="H141" s="415"/>
      <c r="I141" s="415"/>
      <c r="J141" s="415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  <c r="AQ141" s="217"/>
      <c r="AR141" s="217"/>
      <c r="AS141" s="217"/>
      <c r="AU141" s="221"/>
      <c r="AV141" s="222"/>
      <c r="AW141" s="222"/>
      <c r="AX141" s="223"/>
      <c r="AY141" s="222"/>
      <c r="AZ141" s="222"/>
      <c r="BA141" s="222"/>
      <c r="BB141" s="222"/>
      <c r="BC141" s="222"/>
      <c r="BD141" s="222"/>
      <c r="BE141" s="222"/>
    </row>
    <row r="142" spans="1:57" s="220" customFormat="1" ht="10.7" customHeight="1" x14ac:dyDescent="0.25">
      <c r="A142" s="217"/>
      <c r="B142" s="217"/>
      <c r="C142" s="217"/>
      <c r="D142" s="218"/>
      <c r="E142" s="217"/>
      <c r="F142" s="217"/>
      <c r="G142" s="289"/>
      <c r="H142" s="289"/>
      <c r="I142" s="289"/>
      <c r="J142" s="289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  <c r="AQ142" s="217"/>
      <c r="AR142" s="217"/>
      <c r="AS142" s="217"/>
      <c r="AU142" s="221"/>
      <c r="AV142" s="222"/>
      <c r="AW142" s="222"/>
      <c r="AX142" s="223"/>
      <c r="AY142" s="222"/>
      <c r="AZ142" s="222"/>
      <c r="BA142" s="222"/>
      <c r="BB142" s="222"/>
      <c r="BC142" s="222"/>
      <c r="BD142" s="222"/>
      <c r="BE142" s="222"/>
    </row>
    <row r="143" spans="1:57" s="220" customFormat="1" ht="10.7" customHeight="1" x14ac:dyDescent="0.25">
      <c r="A143" s="217"/>
      <c r="B143" s="217"/>
      <c r="C143" s="217"/>
      <c r="D143" s="218"/>
      <c r="E143" s="217"/>
      <c r="F143" s="217"/>
      <c r="G143" s="290" t="s">
        <v>134</v>
      </c>
      <c r="H143" s="289">
        <f ca="1">G76</f>
        <v>4159</v>
      </c>
      <c r="I143" s="291" t="str">
        <f ca="1">IF(H143=0,0,VLOOKUP(H143,Inscripciones!$B$1:$I$464,2,FALSE))</f>
        <v>MARÍA FERNANDA ZELEDÓN HERRERA</v>
      </c>
      <c r="J143" s="291" t="str">
        <f ca="1">IF(H143=0,0,VLOOKUP(H143,Inscripciones!$B$1:$L$364,3,FALSE))</f>
        <v>ESPARZA</v>
      </c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  <c r="AQ143" s="217"/>
      <c r="AR143" s="217"/>
      <c r="AS143" s="217"/>
      <c r="AU143" s="221"/>
      <c r="AV143" s="222"/>
      <c r="AW143" s="222"/>
      <c r="AX143" s="223"/>
      <c r="AY143" s="222"/>
      <c r="AZ143" s="222"/>
      <c r="BA143" s="222"/>
      <c r="BB143" s="222"/>
      <c r="BC143" s="222"/>
      <c r="BD143" s="222"/>
      <c r="BE143" s="222"/>
    </row>
    <row r="144" spans="1:57" s="220" customFormat="1" ht="10.7" customHeight="1" x14ac:dyDescent="0.25">
      <c r="A144" s="217"/>
      <c r="B144" s="217"/>
      <c r="C144" s="217"/>
      <c r="D144" s="218"/>
      <c r="E144" s="217"/>
      <c r="F144" s="217"/>
      <c r="G144" s="290" t="s">
        <v>136</v>
      </c>
      <c r="H144" s="289">
        <f t="shared" ref="H144:H146" ca="1" si="1047">G77</f>
        <v>3918</v>
      </c>
      <c r="I144" s="291" t="str">
        <f ca="1">IF(H144=0,0,VLOOKUP(H144,Inscripciones!$B$1:$I$464,2,FALSE))</f>
        <v>MARIANA SOTO CALDERON</v>
      </c>
      <c r="J144" s="291" t="str">
        <f ca="1">IF(H144=0,0,VLOOKUP(H144,Inscripciones!$B$1:$L$364,3,FALSE))</f>
        <v>ESPARZA</v>
      </c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U144" s="221"/>
      <c r="AV144" s="222"/>
      <c r="AW144" s="222"/>
      <c r="AX144" s="223"/>
      <c r="AY144" s="222"/>
      <c r="AZ144" s="222"/>
      <c r="BA144" s="222"/>
      <c r="BB144" s="222"/>
      <c r="BC144" s="222"/>
      <c r="BD144" s="222"/>
      <c r="BE144" s="222"/>
    </row>
    <row r="145" spans="1:57" s="220" customFormat="1" ht="10.7" customHeight="1" x14ac:dyDescent="0.25">
      <c r="A145" s="217"/>
      <c r="B145" s="217"/>
      <c r="C145" s="217"/>
      <c r="D145" s="218"/>
      <c r="E145" s="217"/>
      <c r="F145" s="217"/>
      <c r="G145" s="290" t="s">
        <v>137</v>
      </c>
      <c r="H145" s="289">
        <f t="shared" ca="1" si="1047"/>
        <v>4274</v>
      </c>
      <c r="I145" s="291" t="str">
        <f ca="1">IF(H145=0,0,VLOOKUP(H145,Inscripciones!$B$1:$I$464,2,FALSE))</f>
        <v>MARÍA PAULA HERNÁNDEZ ZÚÑIGA</v>
      </c>
      <c r="J145" s="291" t="str">
        <f ca="1">IF(H145=0,0,VLOOKUP(H145,Inscripciones!$B$1:$L$364,3,FALSE))</f>
        <v>ESCAZÚ</v>
      </c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  <c r="AQ145" s="217"/>
      <c r="AR145" s="217"/>
      <c r="AS145" s="217"/>
      <c r="AU145" s="221"/>
      <c r="AV145" s="222"/>
      <c r="AW145" s="222"/>
      <c r="AX145" s="223"/>
      <c r="AY145" s="222"/>
      <c r="AZ145" s="222"/>
      <c r="BA145" s="222"/>
      <c r="BB145" s="222"/>
      <c r="BC145" s="222"/>
      <c r="BD145" s="222"/>
      <c r="BE145" s="222"/>
    </row>
    <row r="146" spans="1:57" s="220" customFormat="1" ht="10.7" customHeight="1" x14ac:dyDescent="0.25">
      <c r="A146" s="217"/>
      <c r="B146" s="217"/>
      <c r="C146" s="217"/>
      <c r="D146" s="218"/>
      <c r="E146" s="217"/>
      <c r="F146" s="217"/>
      <c r="G146" s="292">
        <f>IF(E68=1,4,3)</f>
        <v>3</v>
      </c>
      <c r="H146" s="289">
        <f t="shared" ca="1" si="1047"/>
        <v>4101</v>
      </c>
      <c r="I146" s="291" t="str">
        <f ca="1">IF(H146=0,0,VLOOKUP(H146,Inscripciones!$B$1:$I$464,2,FALSE))</f>
        <v>ABIGAIL QUIROS BALTODANO</v>
      </c>
      <c r="J146" s="291" t="str">
        <f ca="1">IF(H146=0,0,VLOOKUP(H146,Inscripciones!$B$1:$L$364,3,FALSE))</f>
        <v>ESPARZA</v>
      </c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  <c r="AQ146" s="217"/>
      <c r="AR146" s="217"/>
      <c r="AS146" s="217"/>
      <c r="AU146" s="221"/>
      <c r="AV146" s="222"/>
      <c r="AW146" s="222"/>
      <c r="AX146" s="223"/>
      <c r="AY146" s="222"/>
      <c r="AZ146" s="222"/>
      <c r="BA146" s="222"/>
      <c r="BB146" s="222"/>
      <c r="BC146" s="222"/>
      <c r="BD146" s="222"/>
      <c r="BE146" s="222"/>
    </row>
    <row r="147" spans="1:57" s="220" customFormat="1" ht="10.7" customHeight="1" x14ac:dyDescent="0.25">
      <c r="A147" s="217"/>
      <c r="B147" s="217"/>
      <c r="C147" s="217"/>
      <c r="D147" s="218"/>
      <c r="E147" s="217"/>
      <c r="F147" s="217"/>
      <c r="G147" s="290" t="s">
        <v>171</v>
      </c>
      <c r="H147" s="289">
        <f ca="1">G84</f>
        <v>4100</v>
      </c>
      <c r="I147" s="291" t="str">
        <f ca="1">IF(H147=0,0,VLOOKUP(H147,Inscripciones!$B$1:$I$464,2,FALSE))</f>
        <v>BRENDA HERRERA RIVAS</v>
      </c>
      <c r="J147" s="291" t="str">
        <f ca="1">IF(H147=0,0,VLOOKUP(H147,Inscripciones!$B$1:$L$364,3,FALSE))</f>
        <v>ESPARZA</v>
      </c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  <c r="AQ147" s="217"/>
      <c r="AR147" s="217"/>
      <c r="AS147" s="217"/>
      <c r="AU147" s="221"/>
      <c r="AV147" s="222"/>
      <c r="AW147" s="222"/>
      <c r="AX147" s="223"/>
      <c r="AY147" s="222"/>
      <c r="AZ147" s="222"/>
      <c r="BA147" s="222"/>
      <c r="BB147" s="222"/>
      <c r="BC147" s="222"/>
      <c r="BD147" s="222"/>
      <c r="BE147" s="222"/>
    </row>
    <row r="148" spans="1:57" s="220" customFormat="1" ht="10.7" customHeight="1" x14ac:dyDescent="0.25">
      <c r="A148" s="217"/>
      <c r="B148" s="217"/>
      <c r="C148" s="217"/>
      <c r="D148" s="218"/>
      <c r="E148" s="217"/>
      <c r="F148" s="217"/>
      <c r="G148" s="290" t="s">
        <v>171</v>
      </c>
      <c r="H148" s="289">
        <f t="shared" ref="H148:H150" ca="1" si="1048">G85</f>
        <v>4183</v>
      </c>
      <c r="I148" s="291" t="str">
        <f ca="1">IF(H148=0,0,VLOOKUP(H148,Inscripciones!$B$1:$I$464,2,FALSE))</f>
        <v>MONSERRAT RODRÍGUEZ SOLÍS</v>
      </c>
      <c r="J148" s="291" t="str">
        <f ca="1">IF(H148=0,0,VLOOKUP(H148,Inscripciones!$B$1:$L$364,3,FALSE))</f>
        <v>SAN CARLOS</v>
      </c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  <c r="AQ148" s="217"/>
      <c r="AR148" s="217"/>
      <c r="AS148" s="217"/>
      <c r="AU148" s="221"/>
      <c r="AV148" s="222"/>
      <c r="AW148" s="222"/>
      <c r="AX148" s="223"/>
      <c r="AY148" s="222"/>
      <c r="AZ148" s="222"/>
      <c r="BA148" s="222"/>
      <c r="BB148" s="222"/>
      <c r="BC148" s="222"/>
      <c r="BD148" s="222"/>
      <c r="BE148" s="222"/>
    </row>
    <row r="149" spans="1:57" s="220" customFormat="1" ht="10.7" customHeight="1" x14ac:dyDescent="0.25">
      <c r="A149" s="217"/>
      <c r="B149" s="217"/>
      <c r="C149" s="217"/>
      <c r="D149" s="218"/>
      <c r="E149" s="217"/>
      <c r="F149" s="217"/>
      <c r="G149" s="290" t="s">
        <v>171</v>
      </c>
      <c r="H149" s="289">
        <f t="shared" ca="1" si="1048"/>
        <v>4176</v>
      </c>
      <c r="I149" s="291" t="str">
        <f ca="1">IF(H149=0,0,VLOOKUP(H149,Inscripciones!$B$1:$I$464,2,FALSE))</f>
        <v>LÍA SOFÍA SOLÍS VÁSQUEZ</v>
      </c>
      <c r="J149" s="291" t="str">
        <f ca="1">IF(H149=0,0,VLOOKUP(H149,Inscripciones!$B$1:$L$364,3,FALSE))</f>
        <v>ESPARZA</v>
      </c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  <c r="AQ149" s="217"/>
      <c r="AR149" s="217"/>
      <c r="AS149" s="217"/>
      <c r="AU149" s="221"/>
      <c r="AV149" s="222"/>
      <c r="AW149" s="222"/>
      <c r="AX149" s="223"/>
      <c r="AY149" s="222"/>
      <c r="AZ149" s="222"/>
      <c r="BA149" s="222"/>
      <c r="BB149" s="222"/>
      <c r="BC149" s="222"/>
      <c r="BD149" s="222"/>
      <c r="BE149" s="222"/>
    </row>
    <row r="150" spans="1:57" s="220" customFormat="1" ht="10.7" customHeight="1" x14ac:dyDescent="0.25">
      <c r="A150" s="217"/>
      <c r="B150" s="217"/>
      <c r="C150" s="217"/>
      <c r="D150" s="218"/>
      <c r="E150" s="217"/>
      <c r="F150" s="217"/>
      <c r="G150" s="290" t="s">
        <v>171</v>
      </c>
      <c r="H150" s="289">
        <f t="shared" ca="1" si="1048"/>
        <v>4273</v>
      </c>
      <c r="I150" s="291" t="str">
        <f ca="1">IF(H150=0,0,VLOOKUP(H150,Inscripciones!$B$1:$I$464,2,FALSE))</f>
        <v>JAQUELINE HERNÁNDEZ ZUÑIGA</v>
      </c>
      <c r="J150" s="291" t="str">
        <f ca="1">IF(H150=0,0,VLOOKUP(H150,Inscripciones!$B$1:$L$364,3,FALSE))</f>
        <v>ESCAZÚ</v>
      </c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  <c r="AQ150" s="217"/>
      <c r="AR150" s="217"/>
      <c r="AS150" s="217"/>
      <c r="AU150" s="221"/>
      <c r="AV150" s="222"/>
      <c r="AW150" s="222"/>
      <c r="AX150" s="223"/>
      <c r="AY150" s="222"/>
      <c r="AZ150" s="222"/>
      <c r="BA150" s="222"/>
      <c r="BB150" s="222"/>
      <c r="BC150" s="222"/>
      <c r="BD150" s="222"/>
      <c r="BE150" s="222"/>
    </row>
    <row r="151" spans="1:57" s="220" customFormat="1" ht="10.7" customHeight="1" x14ac:dyDescent="0.25">
      <c r="A151" s="217"/>
      <c r="B151" s="217"/>
      <c r="C151" s="217"/>
      <c r="D151" s="218"/>
      <c r="E151" s="217"/>
      <c r="F151" s="217"/>
      <c r="G151" s="293" t="s">
        <v>172</v>
      </c>
      <c r="H151" s="217">
        <f ca="1">G96</f>
        <v>4191</v>
      </c>
      <c r="I151" s="294" t="str">
        <f ca="1">IF(H151=0,0,VLOOKUP(H151,Inscripciones!$B$1:$I$464,2,FALSE))</f>
        <v>ISABELA CHACÓN ALVARADO</v>
      </c>
      <c r="J151" s="294" t="str">
        <f ca="1">IF(H151=0,0,VLOOKUP(H151,Inscripciones!$B$1:$L$364,3,FALSE))</f>
        <v>CCDR SAN JOSÉ</v>
      </c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  <c r="AQ151" s="217"/>
      <c r="AR151" s="217"/>
      <c r="AS151" s="217"/>
      <c r="AU151" s="221"/>
      <c r="AV151" s="222"/>
      <c r="AW151" s="222"/>
      <c r="AX151" s="223"/>
      <c r="AY151" s="222"/>
      <c r="AZ151" s="222"/>
      <c r="BA151" s="222"/>
      <c r="BB151" s="222"/>
      <c r="BC151" s="222"/>
      <c r="BD151" s="222"/>
      <c r="BE151" s="222"/>
    </row>
    <row r="152" spans="1:57" s="220" customFormat="1" ht="10.7" customHeight="1" x14ac:dyDescent="0.25">
      <c r="A152" s="217"/>
      <c r="B152" s="217"/>
      <c r="C152" s="217"/>
      <c r="D152" s="218"/>
      <c r="E152" s="217"/>
      <c r="F152" s="217"/>
      <c r="G152" s="293" t="s">
        <v>172</v>
      </c>
      <c r="H152" s="217">
        <f t="shared" ref="H152:H158" ca="1" si="1049">G97</f>
        <v>4673</v>
      </c>
      <c r="I152" s="294" t="str">
        <f ca="1">IF(H152=0,0,VLOOKUP(H152,Inscripciones!$B$1:$I$464,2,FALSE))</f>
        <v>ALINA CHACON RETANA</v>
      </c>
      <c r="J152" s="294" t="str">
        <f ca="1">IF(H152=0,0,VLOOKUP(H152,Inscripciones!$B$1:$L$364,3,FALSE))</f>
        <v>SAN CARLOS</v>
      </c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  <c r="AQ152" s="217"/>
      <c r="AR152" s="217"/>
      <c r="AS152" s="217"/>
      <c r="AU152" s="221"/>
      <c r="AV152" s="222"/>
      <c r="AW152" s="222"/>
      <c r="AX152" s="223"/>
      <c r="AY152" s="222"/>
      <c r="AZ152" s="222"/>
      <c r="BA152" s="222"/>
      <c r="BB152" s="222"/>
      <c r="BC152" s="222"/>
      <c r="BD152" s="222"/>
      <c r="BE152" s="222"/>
    </row>
    <row r="153" spans="1:57" s="220" customFormat="1" ht="10.7" customHeight="1" x14ac:dyDescent="0.25">
      <c r="A153" s="217"/>
      <c r="B153" s="217"/>
      <c r="C153" s="217"/>
      <c r="D153" s="218"/>
      <c r="E153" s="217"/>
      <c r="F153" s="217"/>
      <c r="G153" s="293" t="s">
        <v>172</v>
      </c>
      <c r="H153" s="217">
        <f t="shared" ca="1" si="1049"/>
        <v>3907</v>
      </c>
      <c r="I153" s="294" t="str">
        <f ca="1">IF(H153=0,0,VLOOKUP(H153,Inscripciones!$B$1:$I$464,2,FALSE))</f>
        <v>LUCIANA CASCANTE BARBOZA</v>
      </c>
      <c r="J153" s="294" t="str">
        <f ca="1">IF(H153=0,0,VLOOKUP(H153,Inscripciones!$B$1:$L$364,3,FALSE))</f>
        <v>ASERRÍ</v>
      </c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  <c r="AQ153" s="217"/>
      <c r="AR153" s="217"/>
      <c r="AS153" s="217"/>
      <c r="AU153" s="221"/>
      <c r="AV153" s="222"/>
      <c r="AW153" s="222"/>
      <c r="AX153" s="223"/>
      <c r="AY153" s="222"/>
      <c r="AZ153" s="222"/>
      <c r="BA153" s="222"/>
      <c r="BB153" s="222"/>
      <c r="BC153" s="222"/>
      <c r="BD153" s="222"/>
      <c r="BE153" s="222"/>
    </row>
    <row r="154" spans="1:57" s="220" customFormat="1" ht="10.7" customHeight="1" x14ac:dyDescent="0.25">
      <c r="A154" s="217"/>
      <c r="B154" s="217"/>
      <c r="C154" s="217"/>
      <c r="D154" s="218"/>
      <c r="E154" s="217"/>
      <c r="F154" s="217"/>
      <c r="G154" s="293" t="s">
        <v>172</v>
      </c>
      <c r="H154" s="217">
        <f t="shared" ca="1" si="1049"/>
        <v>3828</v>
      </c>
      <c r="I154" s="294" t="str">
        <f ca="1">IF(H154=0,0,VLOOKUP(H154,Inscripciones!$B$1:$I$464,2,FALSE))</f>
        <v>AMANDA CHEN CEN</v>
      </c>
      <c r="J154" s="294" t="str">
        <f ca="1">IF(H154=0,0,VLOOKUP(H154,Inscripciones!$B$1:$L$364,3,FALSE))</f>
        <v>ESCAZÚ</v>
      </c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  <c r="AQ154" s="217"/>
      <c r="AR154" s="217"/>
      <c r="AS154" s="217"/>
      <c r="AU154" s="221"/>
      <c r="AV154" s="222"/>
      <c r="AW154" s="222"/>
      <c r="AX154" s="223"/>
      <c r="AY154" s="222"/>
      <c r="AZ154" s="222"/>
      <c r="BA154" s="222"/>
      <c r="BB154" s="222"/>
      <c r="BC154" s="222"/>
      <c r="BD154" s="222"/>
      <c r="BE154" s="222"/>
    </row>
    <row r="155" spans="1:57" s="220" customFormat="1" ht="10.7" customHeight="1" x14ac:dyDescent="0.25">
      <c r="A155" s="217"/>
      <c r="B155" s="217"/>
      <c r="C155" s="217"/>
      <c r="D155" s="218"/>
      <c r="E155" s="217"/>
      <c r="F155" s="217"/>
      <c r="G155" s="293" t="s">
        <v>172</v>
      </c>
      <c r="H155" s="217">
        <f t="shared" ca="1" si="1049"/>
        <v>3912</v>
      </c>
      <c r="I155" s="294" t="str">
        <f ca="1">IF(H155=0,0,VLOOKUP(H155,Inscripciones!$B$1:$I$464,2,FALSE))</f>
        <v>AMBAR PADILLA GRANADOS</v>
      </c>
      <c r="J155" s="294" t="str">
        <f ca="1">IF(H155=0,0,VLOOKUP(H155,Inscripciones!$B$1:$L$364,3,FALSE))</f>
        <v>PÉREZ ZELEDÓN</v>
      </c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  <c r="AQ155" s="217"/>
      <c r="AR155" s="217"/>
      <c r="AS155" s="217"/>
      <c r="AU155" s="221"/>
      <c r="AV155" s="222"/>
      <c r="AW155" s="222"/>
      <c r="AX155" s="223"/>
      <c r="AY155" s="222"/>
      <c r="AZ155" s="222"/>
      <c r="BA155" s="222"/>
      <c r="BB155" s="222"/>
      <c r="BC155" s="222"/>
      <c r="BD155" s="222"/>
      <c r="BE155" s="222"/>
    </row>
    <row r="156" spans="1:57" s="220" customFormat="1" ht="10.7" customHeight="1" x14ac:dyDescent="0.25">
      <c r="A156" s="217"/>
      <c r="B156" s="217"/>
      <c r="C156" s="217"/>
      <c r="D156" s="218"/>
      <c r="E156" s="217"/>
      <c r="F156" s="217"/>
      <c r="G156" s="293" t="s">
        <v>172</v>
      </c>
      <c r="H156" s="217">
        <f t="shared" ca="1" si="1049"/>
        <v>4276</v>
      </c>
      <c r="I156" s="294" t="str">
        <f ca="1">IF(H156=0,0,VLOOKUP(H156,Inscripciones!$B$1:$I$464,2,FALSE))</f>
        <v>SILOÉ MUÑOZ CÓRDOBA</v>
      </c>
      <c r="J156" s="294" t="str">
        <f ca="1">IF(H156=0,0,VLOOKUP(H156,Inscripciones!$B$1:$L$364,3,FALSE))</f>
        <v>ESPARZA</v>
      </c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  <c r="AQ156" s="217"/>
      <c r="AR156" s="217"/>
      <c r="AS156" s="217"/>
      <c r="AU156" s="221"/>
      <c r="AV156" s="222"/>
      <c r="AW156" s="222"/>
      <c r="AX156" s="223"/>
      <c r="AY156" s="222"/>
      <c r="AZ156" s="222"/>
      <c r="BA156" s="222"/>
      <c r="BB156" s="222"/>
      <c r="BC156" s="222"/>
      <c r="BD156" s="222"/>
      <c r="BE156" s="222"/>
    </row>
    <row r="157" spans="1:57" s="220" customFormat="1" ht="10.7" customHeight="1" x14ac:dyDescent="0.25">
      <c r="A157" s="217"/>
      <c r="B157" s="217"/>
      <c r="C157" s="217"/>
      <c r="D157" s="218"/>
      <c r="E157" s="217"/>
      <c r="F157" s="217"/>
      <c r="G157" s="293" t="s">
        <v>172</v>
      </c>
      <c r="H157" s="217">
        <f t="shared" ca="1" si="1049"/>
        <v>4348</v>
      </c>
      <c r="I157" s="294" t="str">
        <f ca="1">IF(H157=0,0,VLOOKUP(H157,Inscripciones!$B$1:$I$464,2,FALSE))</f>
        <v>AMANDA PEREZ CABEZAS</v>
      </c>
      <c r="J157" s="294" t="str">
        <f ca="1">IF(H157=0,0,VLOOKUP(H157,Inscripciones!$B$1:$L$364,3,FALSE))</f>
        <v>CORREDORES</v>
      </c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  <c r="AQ157" s="217"/>
      <c r="AR157" s="217"/>
      <c r="AS157" s="217"/>
      <c r="AU157" s="221"/>
      <c r="AV157" s="222"/>
      <c r="AW157" s="222"/>
      <c r="AX157" s="223"/>
      <c r="AY157" s="222"/>
      <c r="AZ157" s="222"/>
      <c r="BA157" s="222"/>
      <c r="BB157" s="222"/>
      <c r="BC157" s="222"/>
      <c r="BD157" s="222"/>
      <c r="BE157" s="222"/>
    </row>
    <row r="158" spans="1:57" s="220" customFormat="1" ht="10.7" customHeight="1" x14ac:dyDescent="0.25">
      <c r="A158" s="217"/>
      <c r="B158" s="217"/>
      <c r="C158" s="217"/>
      <c r="D158" s="218"/>
      <c r="E158" s="217"/>
      <c r="F158" s="217"/>
      <c r="G158" s="293" t="s">
        <v>172</v>
      </c>
      <c r="H158" s="217">
        <f t="shared" ca="1" si="1049"/>
        <v>4104</v>
      </c>
      <c r="I158" s="294" t="str">
        <f ca="1">IF(H158=0,0,VLOOKUP(H158,Inscripciones!$B$1:$I$464,2,FALSE))</f>
        <v>ARIANA SANCHEZ DELGADO</v>
      </c>
      <c r="J158" s="294" t="str">
        <f ca="1">IF(H158=0,0,VLOOKUP(H158,Inscripciones!$B$1:$L$364,3,FALSE))</f>
        <v>ESCAZÚ</v>
      </c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  <c r="AQ158" s="217"/>
      <c r="AR158" s="217"/>
      <c r="AS158" s="217"/>
      <c r="AU158" s="221"/>
      <c r="AV158" s="222"/>
      <c r="AW158" s="222"/>
      <c r="AX158" s="223"/>
      <c r="AY158" s="222"/>
      <c r="AZ158" s="222"/>
      <c r="BA158" s="222"/>
      <c r="BB158" s="222"/>
      <c r="BC158" s="222"/>
      <c r="BD158" s="222"/>
      <c r="BE158" s="222"/>
    </row>
    <row r="159" spans="1:57" s="220" customFormat="1" ht="10.7" customHeight="1" x14ac:dyDescent="0.25">
      <c r="A159" s="217"/>
      <c r="B159" s="217"/>
      <c r="C159" s="217"/>
      <c r="D159" s="218"/>
      <c r="E159" s="217"/>
      <c r="F159" s="217"/>
      <c r="G159" s="293" t="s">
        <v>173</v>
      </c>
      <c r="H159" s="217" t="str">
        <f ca="1">G120</f>
        <v>X</v>
      </c>
      <c r="I159" s="294" t="str">
        <f ca="1">IF(H159=0,0,VLOOKUP(H159,Inscripciones!$B$1:$I$464,2,FALSE))</f>
        <v>BYE</v>
      </c>
      <c r="J159" s="294" t="str">
        <f ca="1">IF(H159=0,0,VLOOKUP(H159,Inscripciones!$B$1:$L$364,3,FALSE))</f>
        <v>BYE</v>
      </c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  <c r="AQ159" s="217"/>
      <c r="AR159" s="217"/>
      <c r="AS159" s="217"/>
      <c r="AU159" s="221"/>
      <c r="AV159" s="222"/>
      <c r="AW159" s="222"/>
      <c r="AX159" s="223"/>
      <c r="AY159" s="222"/>
      <c r="AZ159" s="222"/>
      <c r="BA159" s="222"/>
      <c r="BB159" s="222"/>
      <c r="BC159" s="222"/>
      <c r="BD159" s="222"/>
      <c r="BE159" s="222"/>
    </row>
    <row r="160" spans="1:57" s="220" customFormat="1" ht="10.7" customHeight="1" x14ac:dyDescent="0.25">
      <c r="A160" s="217"/>
      <c r="B160" s="217"/>
      <c r="C160" s="217"/>
      <c r="D160" s="218"/>
      <c r="E160" s="217"/>
      <c r="F160" s="217"/>
      <c r="G160" s="293" t="s">
        <v>173</v>
      </c>
      <c r="H160" s="217" t="str">
        <f t="shared" ref="H160:H174" ca="1" si="1050">G121</f>
        <v>X</v>
      </c>
      <c r="I160" s="294" t="str">
        <f ca="1">IF(H160=0,0,VLOOKUP(H160,Inscripciones!$B$1:$I$464,2,FALSE))</f>
        <v>BYE</v>
      </c>
      <c r="J160" s="294" t="str">
        <f ca="1">IF(H160=0,0,VLOOKUP(H160,Inscripciones!$B$1:$L$364,3,FALSE))</f>
        <v>BYE</v>
      </c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U160" s="221"/>
      <c r="AV160" s="222"/>
      <c r="AW160" s="222"/>
      <c r="AX160" s="223"/>
      <c r="AY160" s="222"/>
      <c r="AZ160" s="222"/>
      <c r="BA160" s="222"/>
      <c r="BB160" s="222"/>
      <c r="BC160" s="222"/>
      <c r="BD160" s="222"/>
      <c r="BE160" s="222"/>
    </row>
    <row r="161" spans="1:57" s="220" customFormat="1" ht="10.7" customHeight="1" x14ac:dyDescent="0.25">
      <c r="A161" s="217"/>
      <c r="B161" s="217"/>
      <c r="C161" s="217"/>
      <c r="D161" s="218"/>
      <c r="E161" s="217"/>
      <c r="F161" s="217"/>
      <c r="G161" s="293" t="s">
        <v>173</v>
      </c>
      <c r="H161" s="217" t="str">
        <f t="shared" ca="1" si="1050"/>
        <v>X</v>
      </c>
      <c r="I161" s="294" t="str">
        <f ca="1">IF(H161=0,0,VLOOKUP(H161,Inscripciones!$B$1:$I$464,2,FALSE))</f>
        <v>BYE</v>
      </c>
      <c r="J161" s="294" t="str">
        <f ca="1">IF(H161=0,0,VLOOKUP(H161,Inscripciones!$B$1:$L$364,3,FALSE))</f>
        <v>BYE</v>
      </c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  <c r="AQ161" s="217"/>
      <c r="AR161" s="217"/>
      <c r="AS161" s="217"/>
      <c r="AU161" s="221"/>
      <c r="AV161" s="222"/>
      <c r="AW161" s="222"/>
      <c r="AX161" s="223"/>
      <c r="AY161" s="222"/>
      <c r="AZ161" s="222"/>
      <c r="BA161" s="222"/>
      <c r="BB161" s="222"/>
      <c r="BC161" s="222"/>
      <c r="BD161" s="222"/>
      <c r="BE161" s="222"/>
    </row>
    <row r="162" spans="1:57" s="220" customFormat="1" ht="10.7" customHeight="1" x14ac:dyDescent="0.25">
      <c r="A162" s="217"/>
      <c r="B162" s="217"/>
      <c r="C162" s="217"/>
      <c r="D162" s="218"/>
      <c r="E162" s="217"/>
      <c r="F162" s="217"/>
      <c r="G162" s="293" t="s">
        <v>173</v>
      </c>
      <c r="H162" s="217" t="str">
        <f t="shared" ca="1" si="1050"/>
        <v>X</v>
      </c>
      <c r="I162" s="294" t="str">
        <f ca="1">IF(H162=0,0,VLOOKUP(H162,Inscripciones!$B$1:$I$464,2,FALSE))</f>
        <v>BYE</v>
      </c>
      <c r="J162" s="294" t="str">
        <f ca="1">IF(H162=0,0,VLOOKUP(H162,Inscripciones!$B$1:$L$364,3,FALSE))</f>
        <v>BYE</v>
      </c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  <c r="AQ162" s="217"/>
      <c r="AR162" s="217"/>
      <c r="AS162" s="217"/>
      <c r="AU162" s="221"/>
      <c r="AV162" s="222"/>
      <c r="AW162" s="222"/>
      <c r="AX162" s="223"/>
      <c r="AY162" s="222"/>
      <c r="AZ162" s="222"/>
      <c r="BA162" s="222"/>
      <c r="BB162" s="222"/>
      <c r="BC162" s="222"/>
      <c r="BD162" s="222"/>
      <c r="BE162" s="222"/>
    </row>
    <row r="163" spans="1:57" s="220" customFormat="1" ht="10.7" customHeight="1" x14ac:dyDescent="0.25">
      <c r="A163" s="217"/>
      <c r="B163" s="217"/>
      <c r="C163" s="217"/>
      <c r="D163" s="218"/>
      <c r="E163" s="217"/>
      <c r="F163" s="217"/>
      <c r="G163" s="293" t="s">
        <v>173</v>
      </c>
      <c r="H163" s="217" t="str">
        <f t="shared" ca="1" si="1050"/>
        <v>X</v>
      </c>
      <c r="I163" s="294" t="str">
        <f ca="1">IF(H163=0,0,VLOOKUP(H163,Inscripciones!$B$1:$I$464,2,FALSE))</f>
        <v>BYE</v>
      </c>
      <c r="J163" s="294" t="str">
        <f ca="1">IF(H163=0,0,VLOOKUP(H163,Inscripciones!$B$1:$L$364,3,FALSE))</f>
        <v>BYE</v>
      </c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  <c r="AQ163" s="217"/>
      <c r="AR163" s="217"/>
      <c r="AS163" s="217"/>
      <c r="AU163" s="221"/>
      <c r="AV163" s="222"/>
      <c r="AW163" s="222"/>
      <c r="AX163" s="223"/>
      <c r="AY163" s="222"/>
      <c r="AZ163" s="222"/>
      <c r="BA163" s="222"/>
      <c r="BB163" s="222"/>
      <c r="BC163" s="222"/>
      <c r="BD163" s="222"/>
      <c r="BE163" s="222"/>
    </row>
    <row r="164" spans="1:57" s="220" customFormat="1" ht="10.7" customHeight="1" x14ac:dyDescent="0.25">
      <c r="A164" s="217"/>
      <c r="B164" s="217"/>
      <c r="C164" s="217"/>
      <c r="D164" s="218"/>
      <c r="E164" s="217"/>
      <c r="F164" s="217"/>
      <c r="G164" s="293" t="s">
        <v>173</v>
      </c>
      <c r="H164" s="217" t="str">
        <f t="shared" ca="1" si="1050"/>
        <v>X</v>
      </c>
      <c r="I164" s="294" t="str">
        <f ca="1">IF(H164=0,0,VLOOKUP(H164,Inscripciones!$B$1:$I$464,2,FALSE))</f>
        <v>BYE</v>
      </c>
      <c r="J164" s="294" t="str">
        <f ca="1">IF(H164=0,0,VLOOKUP(H164,Inscripciones!$B$1:$L$364,3,FALSE))</f>
        <v>BYE</v>
      </c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  <c r="AQ164" s="217"/>
      <c r="AR164" s="217"/>
      <c r="AS164" s="217"/>
      <c r="AU164" s="221"/>
      <c r="AV164" s="222"/>
      <c r="AW164" s="222"/>
      <c r="AX164" s="223"/>
      <c r="AY164" s="222"/>
      <c r="AZ164" s="222"/>
      <c r="BA164" s="222"/>
      <c r="BB164" s="222"/>
      <c r="BC164" s="222"/>
      <c r="BD164" s="222"/>
      <c r="BE164" s="222"/>
    </row>
    <row r="165" spans="1:57" s="220" customFormat="1" ht="10.7" customHeight="1" x14ac:dyDescent="0.25">
      <c r="A165" s="217"/>
      <c r="B165" s="217"/>
      <c r="C165" s="217"/>
      <c r="D165" s="218"/>
      <c r="E165" s="217"/>
      <c r="F165" s="217"/>
      <c r="G165" s="293" t="s">
        <v>173</v>
      </c>
      <c r="H165" s="217" t="str">
        <f t="shared" ca="1" si="1050"/>
        <v>X</v>
      </c>
      <c r="I165" s="294" t="str">
        <f ca="1">IF(H165=0,0,VLOOKUP(H165,Inscripciones!$B$1:$I$464,2,FALSE))</f>
        <v>BYE</v>
      </c>
      <c r="J165" s="294" t="str">
        <f ca="1">IF(H165=0,0,VLOOKUP(H165,Inscripciones!$B$1:$L$364,3,FALSE))</f>
        <v>BYE</v>
      </c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  <c r="AQ165" s="217"/>
      <c r="AR165" s="217"/>
      <c r="AS165" s="217"/>
      <c r="AU165" s="221"/>
      <c r="AV165" s="222"/>
      <c r="AW165" s="222"/>
      <c r="AX165" s="223"/>
      <c r="AY165" s="222"/>
      <c r="AZ165" s="222"/>
      <c r="BA165" s="222"/>
      <c r="BB165" s="222"/>
      <c r="BC165" s="222"/>
      <c r="BD165" s="222"/>
      <c r="BE165" s="222"/>
    </row>
    <row r="166" spans="1:57" s="220" customFormat="1" ht="10.7" customHeight="1" x14ac:dyDescent="0.25">
      <c r="A166" s="217"/>
      <c r="B166" s="217"/>
      <c r="C166" s="217"/>
      <c r="D166" s="218"/>
      <c r="E166" s="217"/>
      <c r="F166" s="217"/>
      <c r="G166" s="293" t="s">
        <v>173</v>
      </c>
      <c r="H166" s="217" t="str">
        <f t="shared" ca="1" si="1050"/>
        <v>X</v>
      </c>
      <c r="I166" s="294" t="str">
        <f ca="1">IF(H166=0,0,VLOOKUP(H166,Inscripciones!$B$1:$I$464,2,FALSE))</f>
        <v>BYE</v>
      </c>
      <c r="J166" s="294" t="str">
        <f ca="1">IF(H166=0,0,VLOOKUP(H166,Inscripciones!$B$1:$L$364,3,FALSE))</f>
        <v>BYE</v>
      </c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  <c r="AQ166" s="217"/>
      <c r="AR166" s="217"/>
      <c r="AS166" s="217"/>
      <c r="AU166" s="221"/>
      <c r="AV166" s="222"/>
      <c r="AW166" s="222"/>
      <c r="AX166" s="223"/>
      <c r="AY166" s="222"/>
      <c r="AZ166" s="222"/>
      <c r="BA166" s="222"/>
      <c r="BB166" s="222"/>
      <c r="BC166" s="222"/>
      <c r="BD166" s="222"/>
      <c r="BE166" s="222"/>
    </row>
    <row r="167" spans="1:57" s="220" customFormat="1" ht="10.7" customHeight="1" x14ac:dyDescent="0.25">
      <c r="A167" s="217"/>
      <c r="B167" s="217"/>
      <c r="C167" s="217"/>
      <c r="D167" s="218"/>
      <c r="E167" s="217"/>
      <c r="F167" s="217"/>
      <c r="G167" s="293" t="s">
        <v>173</v>
      </c>
      <c r="H167" s="217" t="str">
        <f t="shared" ca="1" si="1050"/>
        <v>X</v>
      </c>
      <c r="I167" s="294" t="str">
        <f ca="1">IF(H167=0,0,VLOOKUP(H167,Inscripciones!$B$1:$I$464,2,FALSE))</f>
        <v>BYE</v>
      </c>
      <c r="J167" s="294" t="str">
        <f ca="1">IF(H167=0,0,VLOOKUP(H167,Inscripciones!$B$1:$L$364,3,FALSE))</f>
        <v>BYE</v>
      </c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  <c r="AQ167" s="217"/>
      <c r="AR167" s="217"/>
      <c r="AS167" s="217"/>
      <c r="AU167" s="221"/>
      <c r="AV167" s="222"/>
      <c r="AW167" s="222"/>
      <c r="AX167" s="223"/>
      <c r="AY167" s="222"/>
      <c r="AZ167" s="222"/>
      <c r="BA167" s="222"/>
      <c r="BB167" s="222"/>
      <c r="BC167" s="222"/>
      <c r="BD167" s="222"/>
      <c r="BE167" s="222"/>
    </row>
    <row r="168" spans="1:57" s="220" customFormat="1" ht="10.7" customHeight="1" x14ac:dyDescent="0.25">
      <c r="A168" s="217"/>
      <c r="B168" s="217"/>
      <c r="C168" s="217"/>
      <c r="D168" s="218"/>
      <c r="E168" s="217"/>
      <c r="F168" s="217"/>
      <c r="G168" s="293" t="s">
        <v>173</v>
      </c>
      <c r="H168" s="217" t="str">
        <f t="shared" ca="1" si="1050"/>
        <v>X</v>
      </c>
      <c r="I168" s="294" t="str">
        <f ca="1">IF(H168=0,0,VLOOKUP(H168,Inscripciones!$B$1:$I$464,2,FALSE))</f>
        <v>BYE</v>
      </c>
      <c r="J168" s="294" t="str">
        <f ca="1">IF(H168=0,0,VLOOKUP(H168,Inscripciones!$B$1:$L$364,3,FALSE))</f>
        <v>BYE</v>
      </c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  <c r="AQ168" s="217"/>
      <c r="AR168" s="217"/>
      <c r="AS168" s="217"/>
      <c r="AU168" s="221"/>
      <c r="AV168" s="222"/>
      <c r="AW168" s="222"/>
      <c r="AX168" s="223"/>
      <c r="AY168" s="222"/>
      <c r="AZ168" s="222"/>
      <c r="BA168" s="222"/>
      <c r="BB168" s="222"/>
      <c r="BC168" s="222"/>
      <c r="BD168" s="222"/>
      <c r="BE168" s="222"/>
    </row>
    <row r="169" spans="1:57" s="220" customFormat="1" ht="10.7" customHeight="1" x14ac:dyDescent="0.25">
      <c r="A169" s="217"/>
      <c r="B169" s="217"/>
      <c r="C169" s="217"/>
      <c r="D169" s="218"/>
      <c r="E169" s="217"/>
      <c r="F169" s="217"/>
      <c r="G169" s="293" t="s">
        <v>173</v>
      </c>
      <c r="H169" s="217" t="str">
        <f t="shared" ca="1" si="1050"/>
        <v>X</v>
      </c>
      <c r="I169" s="294" t="str">
        <f ca="1">IF(H169=0,0,VLOOKUP(H169,Inscripciones!$B$1:$I$464,2,FALSE))</f>
        <v>BYE</v>
      </c>
      <c r="J169" s="294" t="str">
        <f ca="1">IF(H169=0,0,VLOOKUP(H169,Inscripciones!$B$1:$L$364,3,FALSE))</f>
        <v>BYE</v>
      </c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  <c r="AQ169" s="217"/>
      <c r="AR169" s="217"/>
      <c r="AS169" s="217"/>
      <c r="AU169" s="221"/>
      <c r="AV169" s="222"/>
      <c r="AW169" s="222"/>
      <c r="AX169" s="223"/>
      <c r="AY169" s="222"/>
      <c r="AZ169" s="222"/>
      <c r="BA169" s="222"/>
      <c r="BB169" s="222"/>
      <c r="BC169" s="222"/>
      <c r="BD169" s="222"/>
      <c r="BE169" s="222"/>
    </row>
    <row r="170" spans="1:57" s="220" customFormat="1" ht="10.7" customHeight="1" x14ac:dyDescent="0.25">
      <c r="A170" s="217"/>
      <c r="B170" s="217"/>
      <c r="C170" s="217"/>
      <c r="D170" s="218"/>
      <c r="E170" s="217"/>
      <c r="F170" s="217"/>
      <c r="G170" s="293" t="s">
        <v>173</v>
      </c>
      <c r="H170" s="217" t="str">
        <f t="shared" ca="1" si="1050"/>
        <v>X</v>
      </c>
      <c r="I170" s="294" t="str">
        <f ca="1">IF(H170=0,0,VLOOKUP(H170,Inscripciones!$B$1:$I$464,2,FALSE))</f>
        <v>BYE</v>
      </c>
      <c r="J170" s="294" t="str">
        <f ca="1">IF(H170=0,0,VLOOKUP(H170,Inscripciones!$B$1:$L$364,3,FALSE))</f>
        <v>BYE</v>
      </c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  <c r="AQ170" s="217"/>
      <c r="AR170" s="217"/>
      <c r="AS170" s="217"/>
      <c r="AU170" s="221"/>
      <c r="AV170" s="222"/>
      <c r="AW170" s="222"/>
      <c r="AX170" s="223"/>
      <c r="AY170" s="222"/>
      <c r="AZ170" s="222"/>
      <c r="BA170" s="222"/>
      <c r="BB170" s="222"/>
      <c r="BC170" s="222"/>
      <c r="BD170" s="222"/>
      <c r="BE170" s="222"/>
    </row>
    <row r="171" spans="1:57" s="220" customFormat="1" ht="10.7" customHeight="1" x14ac:dyDescent="0.25">
      <c r="A171" s="217"/>
      <c r="B171" s="217"/>
      <c r="C171" s="217"/>
      <c r="D171" s="218"/>
      <c r="E171" s="217"/>
      <c r="F171" s="217"/>
      <c r="G171" s="293" t="s">
        <v>173</v>
      </c>
      <c r="H171" s="217">
        <f t="shared" ca="1" si="1050"/>
        <v>4275</v>
      </c>
      <c r="I171" s="294" t="str">
        <f ca="1">IF(H171=0,0,VLOOKUP(H171,Inscripciones!$B$1:$I$464,2,FALSE))</f>
        <v>CLARISSA MORA JIMÉNEZ</v>
      </c>
      <c r="J171" s="294" t="str">
        <f ca="1">IF(H171=0,0,VLOOKUP(H171,Inscripciones!$B$1:$L$364,3,FALSE))</f>
        <v>ESPARZA</v>
      </c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  <c r="AQ171" s="217"/>
      <c r="AR171" s="217"/>
      <c r="AS171" s="217"/>
      <c r="AU171" s="221"/>
      <c r="AV171" s="222"/>
      <c r="AW171" s="222"/>
      <c r="AX171" s="223"/>
      <c r="AY171" s="222"/>
      <c r="AZ171" s="222"/>
      <c r="BA171" s="222"/>
      <c r="BB171" s="222"/>
      <c r="BC171" s="222"/>
      <c r="BD171" s="222"/>
      <c r="BE171" s="222"/>
    </row>
    <row r="172" spans="1:57" s="220" customFormat="1" ht="10.7" customHeight="1" x14ac:dyDescent="0.25">
      <c r="A172" s="217"/>
      <c r="B172" s="217"/>
      <c r="C172" s="217"/>
      <c r="D172" s="218"/>
      <c r="E172" s="217"/>
      <c r="F172" s="217"/>
      <c r="G172" s="293" t="s">
        <v>173</v>
      </c>
      <c r="H172" s="217" t="str">
        <f t="shared" ca="1" si="1050"/>
        <v>X</v>
      </c>
      <c r="I172" s="294" t="str">
        <f ca="1">IF(H172=0,0,VLOOKUP(H172,Inscripciones!$B$1:$I$464,2,FALSE))</f>
        <v>BYE</v>
      </c>
      <c r="J172" s="294" t="str">
        <f ca="1">IF(H172=0,0,VLOOKUP(H172,Inscripciones!$B$1:$L$364,3,FALSE))</f>
        <v>BYE</v>
      </c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  <c r="AQ172" s="217"/>
      <c r="AR172" s="217"/>
      <c r="AS172" s="217"/>
      <c r="AU172" s="221"/>
      <c r="AV172" s="222"/>
      <c r="AW172" s="222"/>
      <c r="AX172" s="223"/>
      <c r="AY172" s="222"/>
      <c r="AZ172" s="222"/>
      <c r="BA172" s="222"/>
      <c r="BB172" s="222"/>
      <c r="BC172" s="222"/>
      <c r="BD172" s="222"/>
      <c r="BE172" s="222"/>
    </row>
    <row r="173" spans="1:57" s="220" customFormat="1" ht="10.7" customHeight="1" x14ac:dyDescent="0.25">
      <c r="A173" s="217"/>
      <c r="B173" s="217"/>
      <c r="C173" s="217"/>
      <c r="D173" s="218"/>
      <c r="E173" s="217"/>
      <c r="F173" s="217"/>
      <c r="G173" s="293" t="s">
        <v>173</v>
      </c>
      <c r="H173" s="217" t="str">
        <f t="shared" ca="1" si="1050"/>
        <v>X</v>
      </c>
      <c r="I173" s="294" t="str">
        <f ca="1">IF(H173=0,0,VLOOKUP(H173,Inscripciones!$B$1:$I$464,2,FALSE))</f>
        <v>BYE</v>
      </c>
      <c r="J173" s="294" t="str">
        <f ca="1">IF(H173=0,0,VLOOKUP(H173,Inscripciones!$B$1:$L$364,3,FALSE))</f>
        <v>BYE</v>
      </c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  <c r="AQ173" s="217"/>
      <c r="AR173" s="217"/>
      <c r="AS173" s="217"/>
      <c r="AU173" s="221"/>
      <c r="AV173" s="222"/>
      <c r="AW173" s="222"/>
      <c r="AX173" s="223"/>
      <c r="AY173" s="222"/>
      <c r="AZ173" s="222"/>
      <c r="BA173" s="222"/>
      <c r="BB173" s="222"/>
      <c r="BC173" s="222"/>
      <c r="BD173" s="222"/>
      <c r="BE173" s="222"/>
    </row>
    <row r="174" spans="1:57" s="220" customFormat="1" ht="10.7" customHeight="1" x14ac:dyDescent="0.25">
      <c r="A174" s="217"/>
      <c r="B174" s="217"/>
      <c r="C174" s="217"/>
      <c r="D174" s="218"/>
      <c r="E174" s="217"/>
      <c r="F174" s="217"/>
      <c r="G174" s="293" t="s">
        <v>173</v>
      </c>
      <c r="H174" s="217">
        <f t="shared" ca="1" si="1050"/>
        <v>4212</v>
      </c>
      <c r="I174" s="294" t="str">
        <f ca="1">IF(H174=0,0,VLOOKUP(H174,Inscripciones!$B$1:$I$464,2,FALSE))</f>
        <v>FIORELLA RETANA AGUILAR</v>
      </c>
      <c r="J174" s="294" t="str">
        <f ca="1">IF(H174=0,0,VLOOKUP(H174,Inscripciones!$B$1:$L$364,3,FALSE))</f>
        <v>CURRIDABAT</v>
      </c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217"/>
      <c r="AN174" s="217"/>
      <c r="AO174" s="217"/>
      <c r="AP174" s="217"/>
      <c r="AQ174" s="217"/>
      <c r="AR174" s="217"/>
      <c r="AS174" s="217"/>
      <c r="AU174" s="221"/>
      <c r="AV174" s="222"/>
      <c r="AW174" s="222"/>
      <c r="AX174" s="223"/>
      <c r="AY174" s="222"/>
      <c r="AZ174" s="222"/>
      <c r="BA174" s="222"/>
      <c r="BB174" s="222"/>
      <c r="BC174" s="222"/>
      <c r="BD174" s="222"/>
      <c r="BE174" s="222"/>
    </row>
  </sheetData>
  <mergeCells count="926">
    <mergeCell ref="AV1:BJ1"/>
    <mergeCell ref="AA2:AB2"/>
    <mergeCell ref="AV2:BI2"/>
    <mergeCell ref="I6:I7"/>
    <mergeCell ref="J6:J7"/>
    <mergeCell ref="K6:K7"/>
    <mergeCell ref="L6:L7"/>
    <mergeCell ref="Z4:Z5"/>
    <mergeCell ref="AA4:AA5"/>
    <mergeCell ref="AB4:AB5"/>
    <mergeCell ref="AC4:AC5"/>
    <mergeCell ref="W4:W5"/>
    <mergeCell ref="X4:X5"/>
    <mergeCell ref="Y4:Y5"/>
    <mergeCell ref="Y6:Y7"/>
    <mergeCell ref="Z6:Z7"/>
    <mergeCell ref="AA6:AA7"/>
    <mergeCell ref="AB6:AB7"/>
    <mergeCell ref="AC6:AC7"/>
    <mergeCell ref="W6:W7"/>
    <mergeCell ref="X6:X7"/>
    <mergeCell ref="R4:R5"/>
    <mergeCell ref="S4:S5"/>
    <mergeCell ref="V4:V5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D6:D7"/>
    <mergeCell ref="E6:E7"/>
    <mergeCell ref="F6:F7"/>
    <mergeCell ref="T4:T5"/>
    <mergeCell ref="U4:U5"/>
    <mergeCell ref="M4:M5"/>
    <mergeCell ref="N4:N5"/>
    <mergeCell ref="O4:O5"/>
    <mergeCell ref="P4:P5"/>
    <mergeCell ref="Q4:Q5"/>
    <mergeCell ref="K4:K5"/>
    <mergeCell ref="L4:L5"/>
    <mergeCell ref="I4:I5"/>
    <mergeCell ref="A8:A9"/>
    <mergeCell ref="B8:B9"/>
    <mergeCell ref="C8:C9"/>
    <mergeCell ref="D8:D9"/>
    <mergeCell ref="E8:E9"/>
    <mergeCell ref="S6:S7"/>
    <mergeCell ref="T6:T7"/>
    <mergeCell ref="U6:U7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6:A7"/>
    <mergeCell ref="B6:B7"/>
    <mergeCell ref="C6:C7"/>
    <mergeCell ref="V6:V7"/>
    <mergeCell ref="M6:M7"/>
    <mergeCell ref="N6:N7"/>
    <mergeCell ref="O6:O7"/>
    <mergeCell ref="P6:P7"/>
    <mergeCell ref="Q6:Q7"/>
    <mergeCell ref="R6:R7"/>
    <mergeCell ref="G6:G7"/>
    <mergeCell ref="H6:H7"/>
    <mergeCell ref="X8:X9"/>
    <mergeCell ref="Y8:Y9"/>
    <mergeCell ref="Z8:Z9"/>
    <mergeCell ref="AA8:AA9"/>
    <mergeCell ref="AB8:AB9"/>
    <mergeCell ref="AC8:AC9"/>
    <mergeCell ref="R8:R9"/>
    <mergeCell ref="S8:S9"/>
    <mergeCell ref="T8:T9"/>
    <mergeCell ref="U8:U9"/>
    <mergeCell ref="V8:V9"/>
    <mergeCell ref="W8:W9"/>
    <mergeCell ref="I10:I11"/>
    <mergeCell ref="J10:J11"/>
    <mergeCell ref="K10:K11"/>
    <mergeCell ref="L10:L11"/>
    <mergeCell ref="AB10:AB11"/>
    <mergeCell ref="AC10:AC11"/>
    <mergeCell ref="A10:A11"/>
    <mergeCell ref="B10:B11"/>
    <mergeCell ref="C10:C11"/>
    <mergeCell ref="D10:D11"/>
    <mergeCell ref="E10:E11"/>
    <mergeCell ref="F10:F11"/>
    <mergeCell ref="Y10:Y11"/>
    <mergeCell ref="Z10:Z11"/>
    <mergeCell ref="AA10:AA11"/>
    <mergeCell ref="W10:W11"/>
    <mergeCell ref="X10:X11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M10:M11"/>
    <mergeCell ref="N10:N11"/>
    <mergeCell ref="O10:O11"/>
    <mergeCell ref="P10:P11"/>
    <mergeCell ref="Q10:Q11"/>
    <mergeCell ref="R10:R11"/>
    <mergeCell ref="G10:G11"/>
    <mergeCell ref="H10:H11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X12:X13"/>
    <mergeCell ref="Y12:Y13"/>
    <mergeCell ref="Z12:Z13"/>
    <mergeCell ref="AA12:AA13"/>
    <mergeCell ref="AB12:AB13"/>
    <mergeCell ref="AC12:AC13"/>
    <mergeCell ref="R12:R13"/>
    <mergeCell ref="S12:S13"/>
    <mergeCell ref="T12:T13"/>
    <mergeCell ref="U12:U13"/>
    <mergeCell ref="V12:V13"/>
    <mergeCell ref="W12:W13"/>
    <mergeCell ref="I14:I15"/>
    <mergeCell ref="J14:J15"/>
    <mergeCell ref="K14:K15"/>
    <mergeCell ref="L14:L15"/>
    <mergeCell ref="AB14:AB15"/>
    <mergeCell ref="AC14:AC15"/>
    <mergeCell ref="A14:A15"/>
    <mergeCell ref="B14:B15"/>
    <mergeCell ref="C14:C15"/>
    <mergeCell ref="D14:D15"/>
    <mergeCell ref="E14:E15"/>
    <mergeCell ref="F14:F15"/>
    <mergeCell ref="Y14:Y15"/>
    <mergeCell ref="Z14:Z15"/>
    <mergeCell ref="AA14:AA15"/>
    <mergeCell ref="W14:W15"/>
    <mergeCell ref="X14:X15"/>
    <mergeCell ref="A16:A17"/>
    <mergeCell ref="B16:B17"/>
    <mergeCell ref="C16:C17"/>
    <mergeCell ref="D16:D17"/>
    <mergeCell ref="E16:E17"/>
    <mergeCell ref="S14:S15"/>
    <mergeCell ref="T14:T15"/>
    <mergeCell ref="U14:U15"/>
    <mergeCell ref="V14:V15"/>
    <mergeCell ref="M14:M15"/>
    <mergeCell ref="N14:N15"/>
    <mergeCell ref="O14:O15"/>
    <mergeCell ref="P14:P15"/>
    <mergeCell ref="Q14:Q15"/>
    <mergeCell ref="R14:R15"/>
    <mergeCell ref="G14:G15"/>
    <mergeCell ref="H14:H15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X16:X17"/>
    <mergeCell ref="Y16:Y17"/>
    <mergeCell ref="Z16:Z17"/>
    <mergeCell ref="AA16:AA17"/>
    <mergeCell ref="AB16:AB17"/>
    <mergeCell ref="AC16:AC17"/>
    <mergeCell ref="R16:R17"/>
    <mergeCell ref="S16:S17"/>
    <mergeCell ref="T16:T17"/>
    <mergeCell ref="U16:U17"/>
    <mergeCell ref="V16:V17"/>
    <mergeCell ref="W16:W17"/>
    <mergeCell ref="I18:I19"/>
    <mergeCell ref="J18:J19"/>
    <mergeCell ref="K18:K19"/>
    <mergeCell ref="L18:L19"/>
    <mergeCell ref="AB18:AB19"/>
    <mergeCell ref="AC18:AC19"/>
    <mergeCell ref="A18:A19"/>
    <mergeCell ref="B18:B19"/>
    <mergeCell ref="C18:C19"/>
    <mergeCell ref="D18:D19"/>
    <mergeCell ref="E18:E19"/>
    <mergeCell ref="F18:F19"/>
    <mergeCell ref="Y18:Y19"/>
    <mergeCell ref="Z18:Z19"/>
    <mergeCell ref="AA18:AA19"/>
    <mergeCell ref="W18:W19"/>
    <mergeCell ref="X18:X19"/>
    <mergeCell ref="A20:A21"/>
    <mergeCell ref="B20:B21"/>
    <mergeCell ref="C20:C21"/>
    <mergeCell ref="D20:D21"/>
    <mergeCell ref="E20:E21"/>
    <mergeCell ref="S18:S19"/>
    <mergeCell ref="T18:T19"/>
    <mergeCell ref="U18:U19"/>
    <mergeCell ref="V18:V19"/>
    <mergeCell ref="M18:M19"/>
    <mergeCell ref="N18:N19"/>
    <mergeCell ref="O18:O19"/>
    <mergeCell ref="P18:P19"/>
    <mergeCell ref="Q18:Q19"/>
    <mergeCell ref="R18:R19"/>
    <mergeCell ref="G18:G19"/>
    <mergeCell ref="H18:H19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I22:I23"/>
    <mergeCell ref="J22:J23"/>
    <mergeCell ref="K22:K23"/>
    <mergeCell ref="L22:L23"/>
    <mergeCell ref="AB22:AB23"/>
    <mergeCell ref="AC22:AC23"/>
    <mergeCell ref="A22:A23"/>
    <mergeCell ref="B22:B23"/>
    <mergeCell ref="C22:C23"/>
    <mergeCell ref="D22:D23"/>
    <mergeCell ref="E22:E23"/>
    <mergeCell ref="F22:F23"/>
    <mergeCell ref="Y22:Y23"/>
    <mergeCell ref="Z22:Z23"/>
    <mergeCell ref="AA22:AA23"/>
    <mergeCell ref="W22:W23"/>
    <mergeCell ref="X22:X23"/>
    <mergeCell ref="A24:A25"/>
    <mergeCell ref="B24:B25"/>
    <mergeCell ref="C24:C25"/>
    <mergeCell ref="D24:D25"/>
    <mergeCell ref="E24:E25"/>
    <mergeCell ref="S22:S23"/>
    <mergeCell ref="T22:T23"/>
    <mergeCell ref="U22:U23"/>
    <mergeCell ref="V22:V23"/>
    <mergeCell ref="M22:M23"/>
    <mergeCell ref="N22:N23"/>
    <mergeCell ref="O22:O23"/>
    <mergeCell ref="P22:P23"/>
    <mergeCell ref="Q22:Q23"/>
    <mergeCell ref="R22:R23"/>
    <mergeCell ref="G22:G23"/>
    <mergeCell ref="H22:H23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X24:X25"/>
    <mergeCell ref="Y24:Y25"/>
    <mergeCell ref="Z24:Z25"/>
    <mergeCell ref="AA24:AA25"/>
    <mergeCell ref="Y26:Y27"/>
    <mergeCell ref="Z26:Z27"/>
    <mergeCell ref="AA26:AA27"/>
    <mergeCell ref="W26:W27"/>
    <mergeCell ref="X26:X27"/>
    <mergeCell ref="AB24:AB25"/>
    <mergeCell ref="AC24:AC25"/>
    <mergeCell ref="R24:R25"/>
    <mergeCell ref="S24:S25"/>
    <mergeCell ref="T24:T25"/>
    <mergeCell ref="U24:U25"/>
    <mergeCell ref="V24:V25"/>
    <mergeCell ref="W24:W25"/>
    <mergeCell ref="AB26:AB27"/>
    <mergeCell ref="AC26:AC27"/>
    <mergeCell ref="P28:P29"/>
    <mergeCell ref="Q28:Q29"/>
    <mergeCell ref="F28:F29"/>
    <mergeCell ref="A26:A27"/>
    <mergeCell ref="B26:B27"/>
    <mergeCell ref="C26:C27"/>
    <mergeCell ref="D26:D27"/>
    <mergeCell ref="E26:E27"/>
    <mergeCell ref="F26:F27"/>
    <mergeCell ref="I26:I27"/>
    <mergeCell ref="J26:J27"/>
    <mergeCell ref="K26:K27"/>
    <mergeCell ref="L26:L27"/>
    <mergeCell ref="Y28:Y29"/>
    <mergeCell ref="Z28:Z29"/>
    <mergeCell ref="AA28:AA29"/>
    <mergeCell ref="A28:A29"/>
    <mergeCell ref="B28:B29"/>
    <mergeCell ref="C28:C29"/>
    <mergeCell ref="D28:D29"/>
    <mergeCell ref="E28:E29"/>
    <mergeCell ref="S26:S27"/>
    <mergeCell ref="T26:T27"/>
    <mergeCell ref="U26:U27"/>
    <mergeCell ref="V26:V27"/>
    <mergeCell ref="M26:M27"/>
    <mergeCell ref="N26:N27"/>
    <mergeCell ref="O26:O27"/>
    <mergeCell ref="P26:P27"/>
    <mergeCell ref="Q26:Q27"/>
    <mergeCell ref="R26:R27"/>
    <mergeCell ref="G26:G27"/>
    <mergeCell ref="H26:H27"/>
    <mergeCell ref="L28:L29"/>
    <mergeCell ref="M28:M29"/>
    <mergeCell ref="N28:N29"/>
    <mergeCell ref="O28:O29"/>
    <mergeCell ref="E30:E31"/>
    <mergeCell ref="F30:F31"/>
    <mergeCell ref="AB28:AB29"/>
    <mergeCell ref="AC28:AC29"/>
    <mergeCell ref="R28:R29"/>
    <mergeCell ref="S28:S29"/>
    <mergeCell ref="T28:T29"/>
    <mergeCell ref="U28:U29"/>
    <mergeCell ref="V28:V29"/>
    <mergeCell ref="W28:W29"/>
    <mergeCell ref="R30:R31"/>
    <mergeCell ref="Y30:Y31"/>
    <mergeCell ref="Z30:Z31"/>
    <mergeCell ref="AA30:AA31"/>
    <mergeCell ref="AB30:AB31"/>
    <mergeCell ref="AC30:AC31"/>
    <mergeCell ref="W30:W31"/>
    <mergeCell ref="X30:X31"/>
    <mergeCell ref="G28:G29"/>
    <mergeCell ref="H28:H29"/>
    <mergeCell ref="I28:I29"/>
    <mergeCell ref="J28:J29"/>
    <mergeCell ref="K28:K29"/>
    <mergeCell ref="X28:X29"/>
    <mergeCell ref="A32:A33"/>
    <mergeCell ref="B32:B33"/>
    <mergeCell ref="C32:C33"/>
    <mergeCell ref="D32:D33"/>
    <mergeCell ref="E32:E33"/>
    <mergeCell ref="S30:S31"/>
    <mergeCell ref="T30:T31"/>
    <mergeCell ref="U30:U31"/>
    <mergeCell ref="V30:V31"/>
    <mergeCell ref="M30:M31"/>
    <mergeCell ref="N30:N31"/>
    <mergeCell ref="O30:O31"/>
    <mergeCell ref="P30:P31"/>
    <mergeCell ref="Q30:Q31"/>
    <mergeCell ref="G30:G31"/>
    <mergeCell ref="H30:H31"/>
    <mergeCell ref="I30:I31"/>
    <mergeCell ref="J30:J31"/>
    <mergeCell ref="K30:K31"/>
    <mergeCell ref="L30:L31"/>
    <mergeCell ref="A30:A31"/>
    <mergeCell ref="B30:B31"/>
    <mergeCell ref="C30:C31"/>
    <mergeCell ref="D30:D31"/>
    <mergeCell ref="AB32:AB33"/>
    <mergeCell ref="AC32:AC33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X32:X33"/>
    <mergeCell ref="Y32:Y33"/>
    <mergeCell ref="Z32:Z33"/>
    <mergeCell ref="AA32:AA33"/>
    <mergeCell ref="F32:F33"/>
    <mergeCell ref="G32:G33"/>
    <mergeCell ref="H32:H33"/>
    <mergeCell ref="I32:I33"/>
    <mergeCell ref="J32:J33"/>
    <mergeCell ref="K32:K33"/>
    <mergeCell ref="Y34:Y35"/>
    <mergeCell ref="Z34:Z35"/>
    <mergeCell ref="AA34:AA35"/>
    <mergeCell ref="V36:V37"/>
    <mergeCell ref="W36:W37"/>
    <mergeCell ref="A36:A37"/>
    <mergeCell ref="B36:B37"/>
    <mergeCell ref="C36:C37"/>
    <mergeCell ref="D36:D37"/>
    <mergeCell ref="E36:E37"/>
    <mergeCell ref="S34:S35"/>
    <mergeCell ref="T34:T35"/>
    <mergeCell ref="U34:U35"/>
    <mergeCell ref="V34:V35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A34:A35"/>
    <mergeCell ref="AB34:AB35"/>
    <mergeCell ref="AC34:AC35"/>
    <mergeCell ref="W34:W35"/>
    <mergeCell ref="X34:X35"/>
    <mergeCell ref="X36:X37"/>
    <mergeCell ref="Y36:Y37"/>
    <mergeCell ref="Z36:Z37"/>
    <mergeCell ref="AA36:AA37"/>
    <mergeCell ref="AB36:AB37"/>
    <mergeCell ref="A38:A39"/>
    <mergeCell ref="B38:B39"/>
    <mergeCell ref="C38:C39"/>
    <mergeCell ref="D38:D39"/>
    <mergeCell ref="E38:E39"/>
    <mergeCell ref="R36:R37"/>
    <mergeCell ref="S36:S37"/>
    <mergeCell ref="T36:T37"/>
    <mergeCell ref="U36:U37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F38:F39"/>
    <mergeCell ref="G38:G39"/>
    <mergeCell ref="H38:H39"/>
    <mergeCell ref="I38:I39"/>
    <mergeCell ref="J38:J39"/>
    <mergeCell ref="K38:K39"/>
    <mergeCell ref="H40:H41"/>
    <mergeCell ref="I40:I41"/>
    <mergeCell ref="J40:J41"/>
    <mergeCell ref="R38:R39"/>
    <mergeCell ref="S38:S39"/>
    <mergeCell ref="T38:T39"/>
    <mergeCell ref="U38:U39"/>
    <mergeCell ref="L38:L39"/>
    <mergeCell ref="M38:M39"/>
    <mergeCell ref="N38:N39"/>
    <mergeCell ref="O38:O39"/>
    <mergeCell ref="P38:P39"/>
    <mergeCell ref="Q38:Q39"/>
    <mergeCell ref="X38:X39"/>
    <mergeCell ref="Y38:Y39"/>
    <mergeCell ref="Z38:Z39"/>
    <mergeCell ref="AA38:AA39"/>
    <mergeCell ref="AB38:AB39"/>
    <mergeCell ref="V38:V39"/>
    <mergeCell ref="W38:W39"/>
    <mergeCell ref="X40:X41"/>
    <mergeCell ref="Y40:Y41"/>
    <mergeCell ref="Z40:Z41"/>
    <mergeCell ref="AA40:AA41"/>
    <mergeCell ref="AB40:AB41"/>
    <mergeCell ref="V40:V41"/>
    <mergeCell ref="W40:W41"/>
    <mergeCell ref="A42:A43"/>
    <mergeCell ref="B42:B43"/>
    <mergeCell ref="C42:C43"/>
    <mergeCell ref="D42:D43"/>
    <mergeCell ref="E42:E43"/>
    <mergeCell ref="R40:R41"/>
    <mergeCell ref="S40:S41"/>
    <mergeCell ref="T40:T41"/>
    <mergeCell ref="U40:U41"/>
    <mergeCell ref="L40:L41"/>
    <mergeCell ref="M40:M41"/>
    <mergeCell ref="N40:N41"/>
    <mergeCell ref="O40:O41"/>
    <mergeCell ref="P40:P41"/>
    <mergeCell ref="Q40:Q41"/>
    <mergeCell ref="F40:F41"/>
    <mergeCell ref="G40:G41"/>
    <mergeCell ref="K40:K41"/>
    <mergeCell ref="A40:A41"/>
    <mergeCell ref="B40:B41"/>
    <mergeCell ref="C40:C41"/>
    <mergeCell ref="D40:D41"/>
    <mergeCell ref="E40:E41"/>
    <mergeCell ref="F42:F43"/>
    <mergeCell ref="G42:G43"/>
    <mergeCell ref="H42:H43"/>
    <mergeCell ref="I42:I43"/>
    <mergeCell ref="J42:J43"/>
    <mergeCell ref="K42:K43"/>
    <mergeCell ref="H44:H45"/>
    <mergeCell ref="I44:I45"/>
    <mergeCell ref="J44:J45"/>
    <mergeCell ref="R42:R43"/>
    <mergeCell ref="S42:S43"/>
    <mergeCell ref="T42:T43"/>
    <mergeCell ref="U42:U43"/>
    <mergeCell ref="L42:L43"/>
    <mergeCell ref="M42:M43"/>
    <mergeCell ref="N42:N43"/>
    <mergeCell ref="O42:O43"/>
    <mergeCell ref="P42:P43"/>
    <mergeCell ref="Q42:Q43"/>
    <mergeCell ref="X42:X43"/>
    <mergeCell ref="Y42:Y43"/>
    <mergeCell ref="Z42:Z43"/>
    <mergeCell ref="AA42:AA43"/>
    <mergeCell ref="AB42:AB43"/>
    <mergeCell ref="V42:V43"/>
    <mergeCell ref="W42:W43"/>
    <mergeCell ref="X44:X45"/>
    <mergeCell ref="Y44:Y45"/>
    <mergeCell ref="Z44:Z45"/>
    <mergeCell ref="AA44:AA45"/>
    <mergeCell ref="AB44:AB45"/>
    <mergeCell ref="V44:V45"/>
    <mergeCell ref="W44:W45"/>
    <mergeCell ref="A46:A47"/>
    <mergeCell ref="B46:B47"/>
    <mergeCell ref="C46:C47"/>
    <mergeCell ref="D46:D47"/>
    <mergeCell ref="E46:E47"/>
    <mergeCell ref="R44:R45"/>
    <mergeCell ref="S44:S45"/>
    <mergeCell ref="T44:T45"/>
    <mergeCell ref="U44:U45"/>
    <mergeCell ref="L44:L45"/>
    <mergeCell ref="M44:M45"/>
    <mergeCell ref="N44:N45"/>
    <mergeCell ref="O44:O45"/>
    <mergeCell ref="P44:P45"/>
    <mergeCell ref="Q44:Q45"/>
    <mergeCell ref="F44:F45"/>
    <mergeCell ref="G44:G45"/>
    <mergeCell ref="K44:K45"/>
    <mergeCell ref="A44:A45"/>
    <mergeCell ref="B44:B45"/>
    <mergeCell ref="C44:C45"/>
    <mergeCell ref="D44:D45"/>
    <mergeCell ref="E44:E45"/>
    <mergeCell ref="F46:F47"/>
    <mergeCell ref="G46:G47"/>
    <mergeCell ref="H46:H47"/>
    <mergeCell ref="I46:I47"/>
    <mergeCell ref="J46:J47"/>
    <mergeCell ref="K46:K47"/>
    <mergeCell ref="H48:H49"/>
    <mergeCell ref="I48:I49"/>
    <mergeCell ref="J48:J49"/>
    <mergeCell ref="R46:R47"/>
    <mergeCell ref="S46:S47"/>
    <mergeCell ref="T46:T47"/>
    <mergeCell ref="U46:U47"/>
    <mergeCell ref="L46:L47"/>
    <mergeCell ref="M46:M47"/>
    <mergeCell ref="N46:N47"/>
    <mergeCell ref="O46:O47"/>
    <mergeCell ref="P46:P47"/>
    <mergeCell ref="Q46:Q47"/>
    <mergeCell ref="X46:X47"/>
    <mergeCell ref="Y46:Y47"/>
    <mergeCell ref="Z46:Z47"/>
    <mergeCell ref="AA46:AA47"/>
    <mergeCell ref="AB46:AB47"/>
    <mergeCell ref="V46:V47"/>
    <mergeCell ref="W46:W47"/>
    <mergeCell ref="X48:X49"/>
    <mergeCell ref="Y48:Y49"/>
    <mergeCell ref="Z48:Z49"/>
    <mergeCell ref="AA48:AA49"/>
    <mergeCell ref="AB48:AB49"/>
    <mergeCell ref="V48:V49"/>
    <mergeCell ref="W48:W49"/>
    <mergeCell ref="A50:A51"/>
    <mergeCell ref="B50:B51"/>
    <mergeCell ref="C50:C51"/>
    <mergeCell ref="D50:D51"/>
    <mergeCell ref="E50:E51"/>
    <mergeCell ref="R48:R49"/>
    <mergeCell ref="S48:S49"/>
    <mergeCell ref="T48:T49"/>
    <mergeCell ref="U48:U49"/>
    <mergeCell ref="L48:L49"/>
    <mergeCell ref="M48:M49"/>
    <mergeCell ref="N48:N49"/>
    <mergeCell ref="O48:O49"/>
    <mergeCell ref="P48:P49"/>
    <mergeCell ref="Q48:Q49"/>
    <mergeCell ref="F48:F49"/>
    <mergeCell ref="G48:G49"/>
    <mergeCell ref="K48:K49"/>
    <mergeCell ref="A48:A49"/>
    <mergeCell ref="B48:B49"/>
    <mergeCell ref="C48:C49"/>
    <mergeCell ref="D48:D49"/>
    <mergeCell ref="E48:E49"/>
    <mergeCell ref="F50:F51"/>
    <mergeCell ref="G50:G51"/>
    <mergeCell ref="H50:H51"/>
    <mergeCell ref="I50:I51"/>
    <mergeCell ref="J50:J51"/>
    <mergeCell ref="K50:K51"/>
    <mergeCell ref="H52:H53"/>
    <mergeCell ref="I52:I53"/>
    <mergeCell ref="J52:J53"/>
    <mergeCell ref="R50:R51"/>
    <mergeCell ref="S50:S51"/>
    <mergeCell ref="T50:T51"/>
    <mergeCell ref="U50:U51"/>
    <mergeCell ref="L50:L51"/>
    <mergeCell ref="M50:M51"/>
    <mergeCell ref="N50:N51"/>
    <mergeCell ref="O50:O51"/>
    <mergeCell ref="P50:P51"/>
    <mergeCell ref="Q50:Q51"/>
    <mergeCell ref="X50:X51"/>
    <mergeCell ref="Y50:Y51"/>
    <mergeCell ref="Z50:Z51"/>
    <mergeCell ref="AA50:AA51"/>
    <mergeCell ref="AB50:AB51"/>
    <mergeCell ref="V50:V51"/>
    <mergeCell ref="W50:W51"/>
    <mergeCell ref="X52:X53"/>
    <mergeCell ref="Y52:Y53"/>
    <mergeCell ref="Z52:Z53"/>
    <mergeCell ref="AA52:AA53"/>
    <mergeCell ref="AB52:AB53"/>
    <mergeCell ref="V52:V53"/>
    <mergeCell ref="W52:W53"/>
    <mergeCell ref="A54:A55"/>
    <mergeCell ref="B54:B55"/>
    <mergeCell ref="C54:C55"/>
    <mergeCell ref="D54:D55"/>
    <mergeCell ref="E54:E55"/>
    <mergeCell ref="R52:R53"/>
    <mergeCell ref="S52:S53"/>
    <mergeCell ref="T52:T53"/>
    <mergeCell ref="U52:U53"/>
    <mergeCell ref="L52:L53"/>
    <mergeCell ref="M52:M53"/>
    <mergeCell ref="N52:N53"/>
    <mergeCell ref="O52:O53"/>
    <mergeCell ref="P52:P53"/>
    <mergeCell ref="Q52:Q53"/>
    <mergeCell ref="F52:F53"/>
    <mergeCell ref="G52:G53"/>
    <mergeCell ref="K52:K53"/>
    <mergeCell ref="A52:A53"/>
    <mergeCell ref="B52:B53"/>
    <mergeCell ref="C52:C53"/>
    <mergeCell ref="D52:D53"/>
    <mergeCell ref="E52:E53"/>
    <mergeCell ref="F54:F55"/>
    <mergeCell ref="G54:G55"/>
    <mergeCell ref="H54:H55"/>
    <mergeCell ref="I54:I55"/>
    <mergeCell ref="J54:J55"/>
    <mergeCell ref="K54:K55"/>
    <mergeCell ref="H56:H57"/>
    <mergeCell ref="I56:I57"/>
    <mergeCell ref="J56:J57"/>
    <mergeCell ref="R54:R55"/>
    <mergeCell ref="S54:S55"/>
    <mergeCell ref="T54:T55"/>
    <mergeCell ref="U54:U55"/>
    <mergeCell ref="L54:L55"/>
    <mergeCell ref="M54:M55"/>
    <mergeCell ref="N54:N55"/>
    <mergeCell ref="O54:O55"/>
    <mergeCell ref="P54:P55"/>
    <mergeCell ref="Q54:Q55"/>
    <mergeCell ref="X54:X55"/>
    <mergeCell ref="Y54:Y55"/>
    <mergeCell ref="Z54:Z55"/>
    <mergeCell ref="AA54:AA55"/>
    <mergeCell ref="AB54:AB55"/>
    <mergeCell ref="V54:V55"/>
    <mergeCell ref="W54:W55"/>
    <mergeCell ref="X56:X57"/>
    <mergeCell ref="Y56:Y57"/>
    <mergeCell ref="Z56:Z57"/>
    <mergeCell ref="AA56:AA57"/>
    <mergeCell ref="AB56:AB57"/>
    <mergeCell ref="V56:V57"/>
    <mergeCell ref="W56:W57"/>
    <mergeCell ref="A58:A59"/>
    <mergeCell ref="B58:B59"/>
    <mergeCell ref="C58:C59"/>
    <mergeCell ref="D58:D59"/>
    <mergeCell ref="E58:E59"/>
    <mergeCell ref="R56:R57"/>
    <mergeCell ref="S56:S57"/>
    <mergeCell ref="T56:T57"/>
    <mergeCell ref="U56:U57"/>
    <mergeCell ref="L56:L57"/>
    <mergeCell ref="M56:M57"/>
    <mergeCell ref="N56:N57"/>
    <mergeCell ref="O56:O57"/>
    <mergeCell ref="P56:P57"/>
    <mergeCell ref="Q56:Q57"/>
    <mergeCell ref="F56:F57"/>
    <mergeCell ref="G56:G57"/>
    <mergeCell ref="K56:K57"/>
    <mergeCell ref="A56:A57"/>
    <mergeCell ref="B56:B57"/>
    <mergeCell ref="C56:C57"/>
    <mergeCell ref="D56:D57"/>
    <mergeCell ref="E56:E57"/>
    <mergeCell ref="F58:F59"/>
    <mergeCell ref="G58:G59"/>
    <mergeCell ref="H58:H59"/>
    <mergeCell ref="I58:I59"/>
    <mergeCell ref="J58:J59"/>
    <mergeCell ref="K58:K59"/>
    <mergeCell ref="H60:H61"/>
    <mergeCell ref="I60:I61"/>
    <mergeCell ref="J60:J61"/>
    <mergeCell ref="R58:R59"/>
    <mergeCell ref="S58:S59"/>
    <mergeCell ref="T58:T59"/>
    <mergeCell ref="U58:U59"/>
    <mergeCell ref="L58:L59"/>
    <mergeCell ref="M58:M59"/>
    <mergeCell ref="N58:N59"/>
    <mergeCell ref="O58:O59"/>
    <mergeCell ref="P58:P59"/>
    <mergeCell ref="Q58:Q59"/>
    <mergeCell ref="X58:X59"/>
    <mergeCell ref="Y58:Y59"/>
    <mergeCell ref="Z58:Z59"/>
    <mergeCell ref="AA58:AA59"/>
    <mergeCell ref="AB58:AB59"/>
    <mergeCell ref="V58:V59"/>
    <mergeCell ref="W58:W59"/>
    <mergeCell ref="X60:X61"/>
    <mergeCell ref="Y60:Y61"/>
    <mergeCell ref="Z60:Z61"/>
    <mergeCell ref="AA60:AA61"/>
    <mergeCell ref="AB60:AB61"/>
    <mergeCell ref="V60:V61"/>
    <mergeCell ref="W60:W61"/>
    <mergeCell ref="A62:A63"/>
    <mergeCell ref="B62:B63"/>
    <mergeCell ref="C62:C63"/>
    <mergeCell ref="D62:D63"/>
    <mergeCell ref="E62:E63"/>
    <mergeCell ref="R60:R61"/>
    <mergeCell ref="S60:S61"/>
    <mergeCell ref="T60:T61"/>
    <mergeCell ref="U60:U61"/>
    <mergeCell ref="L60:L61"/>
    <mergeCell ref="M60:M61"/>
    <mergeCell ref="N60:N61"/>
    <mergeCell ref="O60:O61"/>
    <mergeCell ref="P60:P61"/>
    <mergeCell ref="Q60:Q61"/>
    <mergeCell ref="F60:F61"/>
    <mergeCell ref="G60:G61"/>
    <mergeCell ref="K60:K61"/>
    <mergeCell ref="A60:A61"/>
    <mergeCell ref="B60:B61"/>
    <mergeCell ref="C60:C61"/>
    <mergeCell ref="D60:D61"/>
    <mergeCell ref="E60:E61"/>
    <mergeCell ref="F62:F63"/>
    <mergeCell ref="G62:G63"/>
    <mergeCell ref="H62:H63"/>
    <mergeCell ref="I62:I63"/>
    <mergeCell ref="J62:J63"/>
    <mergeCell ref="K62:K63"/>
    <mergeCell ref="H64:H65"/>
    <mergeCell ref="I64:I65"/>
    <mergeCell ref="J64:J65"/>
    <mergeCell ref="R62:R63"/>
    <mergeCell ref="S62:S63"/>
    <mergeCell ref="T62:T63"/>
    <mergeCell ref="U62:U63"/>
    <mergeCell ref="L62:L63"/>
    <mergeCell ref="M62:M63"/>
    <mergeCell ref="N62:N63"/>
    <mergeCell ref="O62:O63"/>
    <mergeCell ref="P62:P63"/>
    <mergeCell ref="Q62:Q63"/>
    <mergeCell ref="X62:X63"/>
    <mergeCell ref="Y62:Y63"/>
    <mergeCell ref="Z62:Z63"/>
    <mergeCell ref="AA62:AA63"/>
    <mergeCell ref="AB62:AB63"/>
    <mergeCell ref="V62:V63"/>
    <mergeCell ref="W62:W63"/>
    <mergeCell ref="X64:X65"/>
    <mergeCell ref="Y64:Y65"/>
    <mergeCell ref="Z64:Z65"/>
    <mergeCell ref="AA64:AA65"/>
    <mergeCell ref="AB64:AB65"/>
    <mergeCell ref="V64:V65"/>
    <mergeCell ref="W64:W65"/>
    <mergeCell ref="A66:A67"/>
    <mergeCell ref="B66:B67"/>
    <mergeCell ref="C66:C67"/>
    <mergeCell ref="D66:D67"/>
    <mergeCell ref="E66:E67"/>
    <mergeCell ref="R64:R65"/>
    <mergeCell ref="S64:S65"/>
    <mergeCell ref="T64:T65"/>
    <mergeCell ref="U64:U65"/>
    <mergeCell ref="L64:L65"/>
    <mergeCell ref="M64:M65"/>
    <mergeCell ref="N64:N65"/>
    <mergeCell ref="O64:O65"/>
    <mergeCell ref="P64:P65"/>
    <mergeCell ref="Q64:Q65"/>
    <mergeCell ref="F64:F65"/>
    <mergeCell ref="G64:G65"/>
    <mergeCell ref="K64:K65"/>
    <mergeCell ref="A64:A65"/>
    <mergeCell ref="B64:B65"/>
    <mergeCell ref="C64:C65"/>
    <mergeCell ref="D64:D65"/>
    <mergeCell ref="E64:E65"/>
    <mergeCell ref="B68:D71"/>
    <mergeCell ref="E68:E71"/>
    <mergeCell ref="G68:G69"/>
    <mergeCell ref="I68:I69"/>
    <mergeCell ref="J68:J69"/>
    <mergeCell ref="G70:G71"/>
    <mergeCell ref="I70:I71"/>
    <mergeCell ref="R66:R67"/>
    <mergeCell ref="S66:S67"/>
    <mergeCell ref="L66:L67"/>
    <mergeCell ref="M66:M67"/>
    <mergeCell ref="N66:N67"/>
    <mergeCell ref="O66:O67"/>
    <mergeCell ref="P66:P67"/>
    <mergeCell ref="Q66:Q67"/>
    <mergeCell ref="F66:F67"/>
    <mergeCell ref="G66:G67"/>
    <mergeCell ref="H66:H67"/>
    <mergeCell ref="I66:I67"/>
    <mergeCell ref="J66:J67"/>
    <mergeCell ref="K66:K67"/>
    <mergeCell ref="J70:J71"/>
    <mergeCell ref="M76:M79"/>
    <mergeCell ref="M80:M87"/>
    <mergeCell ref="M88:M103"/>
    <mergeCell ref="M104:M135"/>
    <mergeCell ref="G141:J141"/>
    <mergeCell ref="X66:X67"/>
    <mergeCell ref="Y66:Y67"/>
    <mergeCell ref="Z66:Z67"/>
    <mergeCell ref="T66:T67"/>
    <mergeCell ref="U66:U67"/>
    <mergeCell ref="V66:V67"/>
    <mergeCell ref="W66:W67"/>
  </mergeCells>
  <pageMargins left="0.70866141732283472" right="0.70866141732283472" top="0.74803149606299213" bottom="0.74803149606299213" header="0.31496062992125984" footer="0.31496062992125984"/>
  <pageSetup scale="17" orientation="portrait" blackAndWhite="1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D2F6-84ED-4E16-8C52-B9402E781295}">
  <sheetPr published="0" codeName="Sheet15">
    <tabColor rgb="FFFFFF00"/>
    <pageSetUpPr fitToPage="1"/>
  </sheetPr>
  <dimension ref="B2:AA40"/>
  <sheetViews>
    <sheetView showGridLines="0" zoomScale="85" zoomScaleNormal="85" workbookViewId="0">
      <selection activeCell="F17" sqref="F17:K20"/>
    </sheetView>
  </sheetViews>
  <sheetFormatPr defaultColWidth="11.42578125" defaultRowHeight="12.75" x14ac:dyDescent="0.25"/>
  <cols>
    <col min="1" max="1" width="0.85546875" style="295" customWidth="1"/>
    <col min="2" max="2" width="3.7109375" style="295" customWidth="1"/>
    <col min="3" max="3" width="1.140625" style="295" customWidth="1"/>
    <col min="4" max="4" width="1.7109375" style="295" customWidth="1"/>
    <col min="5" max="5" width="32.42578125" style="296" bestFit="1" customWidth="1"/>
    <col min="6" max="6" width="8.28515625" style="296" customWidth="1"/>
    <col min="7" max="7" width="3.7109375" style="296" bestFit="1" customWidth="1"/>
    <col min="8" max="8" width="4.28515625" style="296" customWidth="1"/>
    <col min="9" max="9" width="3.140625" style="296" bestFit="1" customWidth="1"/>
    <col min="10" max="10" width="3.140625" style="295" bestFit="1" customWidth="1"/>
    <col min="11" max="11" width="2.7109375" style="296" bestFit="1" customWidth="1"/>
    <col min="12" max="12" width="5.28515625" style="296" bestFit="1" customWidth="1"/>
    <col min="13" max="13" width="4.42578125" style="296" bestFit="1" customWidth="1"/>
    <col min="14" max="14" width="5.28515625" style="296" bestFit="1" customWidth="1"/>
    <col min="15" max="15" width="2.7109375" style="296" bestFit="1" customWidth="1"/>
    <col min="16" max="16" width="4.140625" style="296" customWidth="1"/>
    <col min="17" max="17" width="3.140625" style="296" bestFit="1" customWidth="1"/>
    <col min="18" max="18" width="3.140625" style="295" bestFit="1" customWidth="1"/>
    <col min="19" max="19" width="3.7109375" style="296" bestFit="1" customWidth="1"/>
    <col min="20" max="20" width="8.28515625" style="296" customWidth="1"/>
    <col min="21" max="21" width="5.28515625" style="296" bestFit="1" customWidth="1"/>
    <col min="22" max="22" width="8.28515625" style="296" customWidth="1"/>
    <col min="23" max="23" width="8.28515625" style="295" customWidth="1"/>
    <col min="24" max="24" width="4.7109375" style="295" bestFit="1" customWidth="1"/>
    <col min="25" max="25" width="0.85546875" style="295" customWidth="1"/>
    <col min="26" max="256" width="11.42578125" style="295"/>
    <col min="257" max="257" width="0.85546875" style="295" customWidth="1"/>
    <col min="258" max="258" width="3.7109375" style="295" customWidth="1"/>
    <col min="259" max="263" width="4.85546875" style="295" customWidth="1"/>
    <col min="264" max="266" width="3.28515625" style="295" customWidth="1"/>
    <col min="267" max="267" width="3.42578125" style="295" customWidth="1"/>
    <col min="268" max="268" width="5.7109375" style="295" customWidth="1"/>
    <col min="269" max="269" width="4.7109375" style="295" customWidth="1"/>
    <col min="270" max="270" width="5.7109375" style="295" customWidth="1"/>
    <col min="271" max="271" width="3.42578125" style="295" customWidth="1"/>
    <col min="272" max="274" width="3.28515625" style="295" customWidth="1"/>
    <col min="275" max="279" width="4.85546875" style="295" customWidth="1"/>
    <col min="280" max="280" width="3.7109375" style="295" customWidth="1"/>
    <col min="281" max="281" width="0.85546875" style="295" customWidth="1"/>
    <col min="282" max="512" width="11.42578125" style="295"/>
    <col min="513" max="513" width="0.85546875" style="295" customWidth="1"/>
    <col min="514" max="514" width="3.7109375" style="295" customWidth="1"/>
    <col min="515" max="519" width="4.85546875" style="295" customWidth="1"/>
    <col min="520" max="522" width="3.28515625" style="295" customWidth="1"/>
    <col min="523" max="523" width="3.42578125" style="295" customWidth="1"/>
    <col min="524" max="524" width="5.7109375" style="295" customWidth="1"/>
    <col min="525" max="525" width="4.7109375" style="295" customWidth="1"/>
    <col min="526" max="526" width="5.7109375" style="295" customWidth="1"/>
    <col min="527" max="527" width="3.42578125" style="295" customWidth="1"/>
    <col min="528" max="530" width="3.28515625" style="295" customWidth="1"/>
    <col min="531" max="535" width="4.85546875" style="295" customWidth="1"/>
    <col min="536" max="536" width="3.7109375" style="295" customWidth="1"/>
    <col min="537" max="537" width="0.85546875" style="295" customWidth="1"/>
    <col min="538" max="768" width="11.42578125" style="295"/>
    <col min="769" max="769" width="0.85546875" style="295" customWidth="1"/>
    <col min="770" max="770" width="3.7109375" style="295" customWidth="1"/>
    <col min="771" max="775" width="4.85546875" style="295" customWidth="1"/>
    <col min="776" max="778" width="3.28515625" style="295" customWidth="1"/>
    <col min="779" max="779" width="3.42578125" style="295" customWidth="1"/>
    <col min="780" max="780" width="5.7109375" style="295" customWidth="1"/>
    <col min="781" max="781" width="4.7109375" style="295" customWidth="1"/>
    <col min="782" max="782" width="5.7109375" style="295" customWidth="1"/>
    <col min="783" max="783" width="3.42578125" style="295" customWidth="1"/>
    <col min="784" max="786" width="3.28515625" style="295" customWidth="1"/>
    <col min="787" max="791" width="4.85546875" style="295" customWidth="1"/>
    <col min="792" max="792" width="3.7109375" style="295" customWidth="1"/>
    <col min="793" max="793" width="0.85546875" style="295" customWidth="1"/>
    <col min="794" max="1024" width="11.42578125" style="295"/>
    <col min="1025" max="1025" width="0.85546875" style="295" customWidth="1"/>
    <col min="1026" max="1026" width="3.7109375" style="295" customWidth="1"/>
    <col min="1027" max="1031" width="4.85546875" style="295" customWidth="1"/>
    <col min="1032" max="1034" width="3.28515625" style="295" customWidth="1"/>
    <col min="1035" max="1035" width="3.42578125" style="295" customWidth="1"/>
    <col min="1036" max="1036" width="5.7109375" style="295" customWidth="1"/>
    <col min="1037" max="1037" width="4.7109375" style="295" customWidth="1"/>
    <col min="1038" max="1038" width="5.7109375" style="295" customWidth="1"/>
    <col min="1039" max="1039" width="3.42578125" style="295" customWidth="1"/>
    <col min="1040" max="1042" width="3.28515625" style="295" customWidth="1"/>
    <col min="1043" max="1047" width="4.85546875" style="295" customWidth="1"/>
    <col min="1048" max="1048" width="3.7109375" style="295" customWidth="1"/>
    <col min="1049" max="1049" width="0.85546875" style="295" customWidth="1"/>
    <col min="1050" max="1280" width="11.42578125" style="295"/>
    <col min="1281" max="1281" width="0.85546875" style="295" customWidth="1"/>
    <col min="1282" max="1282" width="3.7109375" style="295" customWidth="1"/>
    <col min="1283" max="1287" width="4.85546875" style="295" customWidth="1"/>
    <col min="1288" max="1290" width="3.28515625" style="295" customWidth="1"/>
    <col min="1291" max="1291" width="3.42578125" style="295" customWidth="1"/>
    <col min="1292" max="1292" width="5.7109375" style="295" customWidth="1"/>
    <col min="1293" max="1293" width="4.7109375" style="295" customWidth="1"/>
    <col min="1294" max="1294" width="5.7109375" style="295" customWidth="1"/>
    <col min="1295" max="1295" width="3.42578125" style="295" customWidth="1"/>
    <col min="1296" max="1298" width="3.28515625" style="295" customWidth="1"/>
    <col min="1299" max="1303" width="4.85546875" style="295" customWidth="1"/>
    <col min="1304" max="1304" width="3.7109375" style="295" customWidth="1"/>
    <col min="1305" max="1305" width="0.85546875" style="295" customWidth="1"/>
    <col min="1306" max="1536" width="11.42578125" style="295"/>
    <col min="1537" max="1537" width="0.85546875" style="295" customWidth="1"/>
    <col min="1538" max="1538" width="3.7109375" style="295" customWidth="1"/>
    <col min="1539" max="1543" width="4.85546875" style="295" customWidth="1"/>
    <col min="1544" max="1546" width="3.28515625" style="295" customWidth="1"/>
    <col min="1547" max="1547" width="3.42578125" style="295" customWidth="1"/>
    <col min="1548" max="1548" width="5.7109375" style="295" customWidth="1"/>
    <col min="1549" max="1549" width="4.7109375" style="295" customWidth="1"/>
    <col min="1550" max="1550" width="5.7109375" style="295" customWidth="1"/>
    <col min="1551" max="1551" width="3.42578125" style="295" customWidth="1"/>
    <col min="1552" max="1554" width="3.28515625" style="295" customWidth="1"/>
    <col min="1555" max="1559" width="4.85546875" style="295" customWidth="1"/>
    <col min="1560" max="1560" width="3.7109375" style="295" customWidth="1"/>
    <col min="1561" max="1561" width="0.85546875" style="295" customWidth="1"/>
    <col min="1562" max="1792" width="11.42578125" style="295"/>
    <col min="1793" max="1793" width="0.85546875" style="295" customWidth="1"/>
    <col min="1794" max="1794" width="3.7109375" style="295" customWidth="1"/>
    <col min="1795" max="1799" width="4.85546875" style="295" customWidth="1"/>
    <col min="1800" max="1802" width="3.28515625" style="295" customWidth="1"/>
    <col min="1803" max="1803" width="3.42578125" style="295" customWidth="1"/>
    <col min="1804" max="1804" width="5.7109375" style="295" customWidth="1"/>
    <col min="1805" max="1805" width="4.7109375" style="295" customWidth="1"/>
    <col min="1806" max="1806" width="5.7109375" style="295" customWidth="1"/>
    <col min="1807" max="1807" width="3.42578125" style="295" customWidth="1"/>
    <col min="1808" max="1810" width="3.28515625" style="295" customWidth="1"/>
    <col min="1811" max="1815" width="4.85546875" style="295" customWidth="1"/>
    <col min="1816" max="1816" width="3.7109375" style="295" customWidth="1"/>
    <col min="1817" max="1817" width="0.85546875" style="295" customWidth="1"/>
    <col min="1818" max="2048" width="11.42578125" style="295"/>
    <col min="2049" max="2049" width="0.85546875" style="295" customWidth="1"/>
    <col min="2050" max="2050" width="3.7109375" style="295" customWidth="1"/>
    <col min="2051" max="2055" width="4.85546875" style="295" customWidth="1"/>
    <col min="2056" max="2058" width="3.28515625" style="295" customWidth="1"/>
    <col min="2059" max="2059" width="3.42578125" style="295" customWidth="1"/>
    <col min="2060" max="2060" width="5.7109375" style="295" customWidth="1"/>
    <col min="2061" max="2061" width="4.7109375" style="295" customWidth="1"/>
    <col min="2062" max="2062" width="5.7109375" style="295" customWidth="1"/>
    <col min="2063" max="2063" width="3.42578125" style="295" customWidth="1"/>
    <col min="2064" max="2066" width="3.28515625" style="295" customWidth="1"/>
    <col min="2067" max="2071" width="4.85546875" style="295" customWidth="1"/>
    <col min="2072" max="2072" width="3.7109375" style="295" customWidth="1"/>
    <col min="2073" max="2073" width="0.85546875" style="295" customWidth="1"/>
    <col min="2074" max="2304" width="11.42578125" style="295"/>
    <col min="2305" max="2305" width="0.85546875" style="295" customWidth="1"/>
    <col min="2306" max="2306" width="3.7109375" style="295" customWidth="1"/>
    <col min="2307" max="2311" width="4.85546875" style="295" customWidth="1"/>
    <col min="2312" max="2314" width="3.28515625" style="295" customWidth="1"/>
    <col min="2315" max="2315" width="3.42578125" style="295" customWidth="1"/>
    <col min="2316" max="2316" width="5.7109375" style="295" customWidth="1"/>
    <col min="2317" max="2317" width="4.7109375" style="295" customWidth="1"/>
    <col min="2318" max="2318" width="5.7109375" style="295" customWidth="1"/>
    <col min="2319" max="2319" width="3.42578125" style="295" customWidth="1"/>
    <col min="2320" max="2322" width="3.28515625" style="295" customWidth="1"/>
    <col min="2323" max="2327" width="4.85546875" style="295" customWidth="1"/>
    <col min="2328" max="2328" width="3.7109375" style="295" customWidth="1"/>
    <col min="2329" max="2329" width="0.85546875" style="295" customWidth="1"/>
    <col min="2330" max="2560" width="11.42578125" style="295"/>
    <col min="2561" max="2561" width="0.85546875" style="295" customWidth="1"/>
    <col min="2562" max="2562" width="3.7109375" style="295" customWidth="1"/>
    <col min="2563" max="2567" width="4.85546875" style="295" customWidth="1"/>
    <col min="2568" max="2570" width="3.28515625" style="295" customWidth="1"/>
    <col min="2571" max="2571" width="3.42578125" style="295" customWidth="1"/>
    <col min="2572" max="2572" width="5.7109375" style="295" customWidth="1"/>
    <col min="2573" max="2573" width="4.7109375" style="295" customWidth="1"/>
    <col min="2574" max="2574" width="5.7109375" style="295" customWidth="1"/>
    <col min="2575" max="2575" width="3.42578125" style="295" customWidth="1"/>
    <col min="2576" max="2578" width="3.28515625" style="295" customWidth="1"/>
    <col min="2579" max="2583" width="4.85546875" style="295" customWidth="1"/>
    <col min="2584" max="2584" width="3.7109375" style="295" customWidth="1"/>
    <col min="2585" max="2585" width="0.85546875" style="295" customWidth="1"/>
    <col min="2586" max="2816" width="11.42578125" style="295"/>
    <col min="2817" max="2817" width="0.85546875" style="295" customWidth="1"/>
    <col min="2818" max="2818" width="3.7109375" style="295" customWidth="1"/>
    <col min="2819" max="2823" width="4.85546875" style="295" customWidth="1"/>
    <col min="2824" max="2826" width="3.28515625" style="295" customWidth="1"/>
    <col min="2827" max="2827" width="3.42578125" style="295" customWidth="1"/>
    <col min="2828" max="2828" width="5.7109375" style="295" customWidth="1"/>
    <col min="2829" max="2829" width="4.7109375" style="295" customWidth="1"/>
    <col min="2830" max="2830" width="5.7109375" style="295" customWidth="1"/>
    <col min="2831" max="2831" width="3.42578125" style="295" customWidth="1"/>
    <col min="2832" max="2834" width="3.28515625" style="295" customWidth="1"/>
    <col min="2835" max="2839" width="4.85546875" style="295" customWidth="1"/>
    <col min="2840" max="2840" width="3.7109375" style="295" customWidth="1"/>
    <col min="2841" max="2841" width="0.85546875" style="295" customWidth="1"/>
    <col min="2842" max="3072" width="11.42578125" style="295"/>
    <col min="3073" max="3073" width="0.85546875" style="295" customWidth="1"/>
    <col min="3074" max="3074" width="3.7109375" style="295" customWidth="1"/>
    <col min="3075" max="3079" width="4.85546875" style="295" customWidth="1"/>
    <col min="3080" max="3082" width="3.28515625" style="295" customWidth="1"/>
    <col min="3083" max="3083" width="3.42578125" style="295" customWidth="1"/>
    <col min="3084" max="3084" width="5.7109375" style="295" customWidth="1"/>
    <col min="3085" max="3085" width="4.7109375" style="295" customWidth="1"/>
    <col min="3086" max="3086" width="5.7109375" style="295" customWidth="1"/>
    <col min="3087" max="3087" width="3.42578125" style="295" customWidth="1"/>
    <col min="3088" max="3090" width="3.28515625" style="295" customWidth="1"/>
    <col min="3091" max="3095" width="4.85546875" style="295" customWidth="1"/>
    <col min="3096" max="3096" width="3.7109375" style="295" customWidth="1"/>
    <col min="3097" max="3097" width="0.85546875" style="295" customWidth="1"/>
    <col min="3098" max="3328" width="11.42578125" style="295"/>
    <col min="3329" max="3329" width="0.85546875" style="295" customWidth="1"/>
    <col min="3330" max="3330" width="3.7109375" style="295" customWidth="1"/>
    <col min="3331" max="3335" width="4.85546875" style="295" customWidth="1"/>
    <col min="3336" max="3338" width="3.28515625" style="295" customWidth="1"/>
    <col min="3339" max="3339" width="3.42578125" style="295" customWidth="1"/>
    <col min="3340" max="3340" width="5.7109375" style="295" customWidth="1"/>
    <col min="3341" max="3341" width="4.7109375" style="295" customWidth="1"/>
    <col min="3342" max="3342" width="5.7109375" style="295" customWidth="1"/>
    <col min="3343" max="3343" width="3.42578125" style="295" customWidth="1"/>
    <col min="3344" max="3346" width="3.28515625" style="295" customWidth="1"/>
    <col min="3347" max="3351" width="4.85546875" style="295" customWidth="1"/>
    <col min="3352" max="3352" width="3.7109375" style="295" customWidth="1"/>
    <col min="3353" max="3353" width="0.85546875" style="295" customWidth="1"/>
    <col min="3354" max="3584" width="11.42578125" style="295"/>
    <col min="3585" max="3585" width="0.85546875" style="295" customWidth="1"/>
    <col min="3586" max="3586" width="3.7109375" style="295" customWidth="1"/>
    <col min="3587" max="3591" width="4.85546875" style="295" customWidth="1"/>
    <col min="3592" max="3594" width="3.28515625" style="295" customWidth="1"/>
    <col min="3595" max="3595" width="3.42578125" style="295" customWidth="1"/>
    <col min="3596" max="3596" width="5.7109375" style="295" customWidth="1"/>
    <col min="3597" max="3597" width="4.7109375" style="295" customWidth="1"/>
    <col min="3598" max="3598" width="5.7109375" style="295" customWidth="1"/>
    <col min="3599" max="3599" width="3.42578125" style="295" customWidth="1"/>
    <col min="3600" max="3602" width="3.28515625" style="295" customWidth="1"/>
    <col min="3603" max="3607" width="4.85546875" style="295" customWidth="1"/>
    <col min="3608" max="3608" width="3.7109375" style="295" customWidth="1"/>
    <col min="3609" max="3609" width="0.85546875" style="295" customWidth="1"/>
    <col min="3610" max="3840" width="11.42578125" style="295"/>
    <col min="3841" max="3841" width="0.85546875" style="295" customWidth="1"/>
    <col min="3842" max="3842" width="3.7109375" style="295" customWidth="1"/>
    <col min="3843" max="3847" width="4.85546875" style="295" customWidth="1"/>
    <col min="3848" max="3850" width="3.28515625" style="295" customWidth="1"/>
    <col min="3851" max="3851" width="3.42578125" style="295" customWidth="1"/>
    <col min="3852" max="3852" width="5.7109375" style="295" customWidth="1"/>
    <col min="3853" max="3853" width="4.7109375" style="295" customWidth="1"/>
    <col min="3854" max="3854" width="5.7109375" style="295" customWidth="1"/>
    <col min="3855" max="3855" width="3.42578125" style="295" customWidth="1"/>
    <col min="3856" max="3858" width="3.28515625" style="295" customWidth="1"/>
    <col min="3859" max="3863" width="4.85546875" style="295" customWidth="1"/>
    <col min="3864" max="3864" width="3.7109375" style="295" customWidth="1"/>
    <col min="3865" max="3865" width="0.85546875" style="295" customWidth="1"/>
    <col min="3866" max="4096" width="11.42578125" style="295"/>
    <col min="4097" max="4097" width="0.85546875" style="295" customWidth="1"/>
    <col min="4098" max="4098" width="3.7109375" style="295" customWidth="1"/>
    <col min="4099" max="4103" width="4.85546875" style="295" customWidth="1"/>
    <col min="4104" max="4106" width="3.28515625" style="295" customWidth="1"/>
    <col min="4107" max="4107" width="3.42578125" style="295" customWidth="1"/>
    <col min="4108" max="4108" width="5.7109375" style="295" customWidth="1"/>
    <col min="4109" max="4109" width="4.7109375" style="295" customWidth="1"/>
    <col min="4110" max="4110" width="5.7109375" style="295" customWidth="1"/>
    <col min="4111" max="4111" width="3.42578125" style="295" customWidth="1"/>
    <col min="4112" max="4114" width="3.28515625" style="295" customWidth="1"/>
    <col min="4115" max="4119" width="4.85546875" style="295" customWidth="1"/>
    <col min="4120" max="4120" width="3.7109375" style="295" customWidth="1"/>
    <col min="4121" max="4121" width="0.85546875" style="295" customWidth="1"/>
    <col min="4122" max="4352" width="11.42578125" style="295"/>
    <col min="4353" max="4353" width="0.85546875" style="295" customWidth="1"/>
    <col min="4354" max="4354" width="3.7109375" style="295" customWidth="1"/>
    <col min="4355" max="4359" width="4.85546875" style="295" customWidth="1"/>
    <col min="4360" max="4362" width="3.28515625" style="295" customWidth="1"/>
    <col min="4363" max="4363" width="3.42578125" style="295" customWidth="1"/>
    <col min="4364" max="4364" width="5.7109375" style="295" customWidth="1"/>
    <col min="4365" max="4365" width="4.7109375" style="295" customWidth="1"/>
    <col min="4366" max="4366" width="5.7109375" style="295" customWidth="1"/>
    <col min="4367" max="4367" width="3.42578125" style="295" customWidth="1"/>
    <col min="4368" max="4370" width="3.28515625" style="295" customWidth="1"/>
    <col min="4371" max="4375" width="4.85546875" style="295" customWidth="1"/>
    <col min="4376" max="4376" width="3.7109375" style="295" customWidth="1"/>
    <col min="4377" max="4377" width="0.85546875" style="295" customWidth="1"/>
    <col min="4378" max="4608" width="11.42578125" style="295"/>
    <col min="4609" max="4609" width="0.85546875" style="295" customWidth="1"/>
    <col min="4610" max="4610" width="3.7109375" style="295" customWidth="1"/>
    <col min="4611" max="4615" width="4.85546875" style="295" customWidth="1"/>
    <col min="4616" max="4618" width="3.28515625" style="295" customWidth="1"/>
    <col min="4619" max="4619" width="3.42578125" style="295" customWidth="1"/>
    <col min="4620" max="4620" width="5.7109375" style="295" customWidth="1"/>
    <col min="4621" max="4621" width="4.7109375" style="295" customWidth="1"/>
    <col min="4622" max="4622" width="5.7109375" style="295" customWidth="1"/>
    <col min="4623" max="4623" width="3.42578125" style="295" customWidth="1"/>
    <col min="4624" max="4626" width="3.28515625" style="295" customWidth="1"/>
    <col min="4627" max="4631" width="4.85546875" style="295" customWidth="1"/>
    <col min="4632" max="4632" width="3.7109375" style="295" customWidth="1"/>
    <col min="4633" max="4633" width="0.85546875" style="295" customWidth="1"/>
    <col min="4634" max="4864" width="11.42578125" style="295"/>
    <col min="4865" max="4865" width="0.85546875" style="295" customWidth="1"/>
    <col min="4866" max="4866" width="3.7109375" style="295" customWidth="1"/>
    <col min="4867" max="4871" width="4.85546875" style="295" customWidth="1"/>
    <col min="4872" max="4874" width="3.28515625" style="295" customWidth="1"/>
    <col min="4875" max="4875" width="3.42578125" style="295" customWidth="1"/>
    <col min="4876" max="4876" width="5.7109375" style="295" customWidth="1"/>
    <col min="4877" max="4877" width="4.7109375" style="295" customWidth="1"/>
    <col min="4878" max="4878" width="5.7109375" style="295" customWidth="1"/>
    <col min="4879" max="4879" width="3.42578125" style="295" customWidth="1"/>
    <col min="4880" max="4882" width="3.28515625" style="295" customWidth="1"/>
    <col min="4883" max="4887" width="4.85546875" style="295" customWidth="1"/>
    <col min="4888" max="4888" width="3.7109375" style="295" customWidth="1"/>
    <col min="4889" max="4889" width="0.85546875" style="295" customWidth="1"/>
    <col min="4890" max="5120" width="11.42578125" style="295"/>
    <col min="5121" max="5121" width="0.85546875" style="295" customWidth="1"/>
    <col min="5122" max="5122" width="3.7109375" style="295" customWidth="1"/>
    <col min="5123" max="5127" width="4.85546875" style="295" customWidth="1"/>
    <col min="5128" max="5130" width="3.28515625" style="295" customWidth="1"/>
    <col min="5131" max="5131" width="3.42578125" style="295" customWidth="1"/>
    <col min="5132" max="5132" width="5.7109375" style="295" customWidth="1"/>
    <col min="5133" max="5133" width="4.7109375" style="295" customWidth="1"/>
    <col min="5134" max="5134" width="5.7109375" style="295" customWidth="1"/>
    <col min="5135" max="5135" width="3.42578125" style="295" customWidth="1"/>
    <col min="5136" max="5138" width="3.28515625" style="295" customWidth="1"/>
    <col min="5139" max="5143" width="4.85546875" style="295" customWidth="1"/>
    <col min="5144" max="5144" width="3.7109375" style="295" customWidth="1"/>
    <col min="5145" max="5145" width="0.85546875" style="295" customWidth="1"/>
    <col min="5146" max="5376" width="11.42578125" style="295"/>
    <col min="5377" max="5377" width="0.85546875" style="295" customWidth="1"/>
    <col min="5378" max="5378" width="3.7109375" style="295" customWidth="1"/>
    <col min="5379" max="5383" width="4.85546875" style="295" customWidth="1"/>
    <col min="5384" max="5386" width="3.28515625" style="295" customWidth="1"/>
    <col min="5387" max="5387" width="3.42578125" style="295" customWidth="1"/>
    <col min="5388" max="5388" width="5.7109375" style="295" customWidth="1"/>
    <col min="5389" max="5389" width="4.7109375" style="295" customWidth="1"/>
    <col min="5390" max="5390" width="5.7109375" style="295" customWidth="1"/>
    <col min="5391" max="5391" width="3.42578125" style="295" customWidth="1"/>
    <col min="5392" max="5394" width="3.28515625" style="295" customWidth="1"/>
    <col min="5395" max="5399" width="4.85546875" style="295" customWidth="1"/>
    <col min="5400" max="5400" width="3.7109375" style="295" customWidth="1"/>
    <col min="5401" max="5401" width="0.85546875" style="295" customWidth="1"/>
    <col min="5402" max="5632" width="11.42578125" style="295"/>
    <col min="5633" max="5633" width="0.85546875" style="295" customWidth="1"/>
    <col min="5634" max="5634" width="3.7109375" style="295" customWidth="1"/>
    <col min="5635" max="5639" width="4.85546875" style="295" customWidth="1"/>
    <col min="5640" max="5642" width="3.28515625" style="295" customWidth="1"/>
    <col min="5643" max="5643" width="3.42578125" style="295" customWidth="1"/>
    <col min="5644" max="5644" width="5.7109375" style="295" customWidth="1"/>
    <col min="5645" max="5645" width="4.7109375" style="295" customWidth="1"/>
    <col min="5646" max="5646" width="5.7109375" style="295" customWidth="1"/>
    <col min="5647" max="5647" width="3.42578125" style="295" customWidth="1"/>
    <col min="5648" max="5650" width="3.28515625" style="295" customWidth="1"/>
    <col min="5651" max="5655" width="4.85546875" style="295" customWidth="1"/>
    <col min="5656" max="5656" width="3.7109375" style="295" customWidth="1"/>
    <col min="5657" max="5657" width="0.85546875" style="295" customWidth="1"/>
    <col min="5658" max="5888" width="11.42578125" style="295"/>
    <col min="5889" max="5889" width="0.85546875" style="295" customWidth="1"/>
    <col min="5890" max="5890" width="3.7109375" style="295" customWidth="1"/>
    <col min="5891" max="5895" width="4.85546875" style="295" customWidth="1"/>
    <col min="5896" max="5898" width="3.28515625" style="295" customWidth="1"/>
    <col min="5899" max="5899" width="3.42578125" style="295" customWidth="1"/>
    <col min="5900" max="5900" width="5.7109375" style="295" customWidth="1"/>
    <col min="5901" max="5901" width="4.7109375" style="295" customWidth="1"/>
    <col min="5902" max="5902" width="5.7109375" style="295" customWidth="1"/>
    <col min="5903" max="5903" width="3.42578125" style="295" customWidth="1"/>
    <col min="5904" max="5906" width="3.28515625" style="295" customWidth="1"/>
    <col min="5907" max="5911" width="4.85546875" style="295" customWidth="1"/>
    <col min="5912" max="5912" width="3.7109375" style="295" customWidth="1"/>
    <col min="5913" max="5913" width="0.85546875" style="295" customWidth="1"/>
    <col min="5914" max="6144" width="11.42578125" style="295"/>
    <col min="6145" max="6145" width="0.85546875" style="295" customWidth="1"/>
    <col min="6146" max="6146" width="3.7109375" style="295" customWidth="1"/>
    <col min="6147" max="6151" width="4.85546875" style="295" customWidth="1"/>
    <col min="6152" max="6154" width="3.28515625" style="295" customWidth="1"/>
    <col min="6155" max="6155" width="3.42578125" style="295" customWidth="1"/>
    <col min="6156" max="6156" width="5.7109375" style="295" customWidth="1"/>
    <col min="6157" max="6157" width="4.7109375" style="295" customWidth="1"/>
    <col min="6158" max="6158" width="5.7109375" style="295" customWidth="1"/>
    <col min="6159" max="6159" width="3.42578125" style="295" customWidth="1"/>
    <col min="6160" max="6162" width="3.28515625" style="295" customWidth="1"/>
    <col min="6163" max="6167" width="4.85546875" style="295" customWidth="1"/>
    <col min="6168" max="6168" width="3.7109375" style="295" customWidth="1"/>
    <col min="6169" max="6169" width="0.85546875" style="295" customWidth="1"/>
    <col min="6170" max="6400" width="11.42578125" style="295"/>
    <col min="6401" max="6401" width="0.85546875" style="295" customWidth="1"/>
    <col min="6402" max="6402" width="3.7109375" style="295" customWidth="1"/>
    <col min="6403" max="6407" width="4.85546875" style="295" customWidth="1"/>
    <col min="6408" max="6410" width="3.28515625" style="295" customWidth="1"/>
    <col min="6411" max="6411" width="3.42578125" style="295" customWidth="1"/>
    <col min="6412" max="6412" width="5.7109375" style="295" customWidth="1"/>
    <col min="6413" max="6413" width="4.7109375" style="295" customWidth="1"/>
    <col min="6414" max="6414" width="5.7109375" style="295" customWidth="1"/>
    <col min="6415" max="6415" width="3.42578125" style="295" customWidth="1"/>
    <col min="6416" max="6418" width="3.28515625" style="295" customWidth="1"/>
    <col min="6419" max="6423" width="4.85546875" style="295" customWidth="1"/>
    <col min="6424" max="6424" width="3.7109375" style="295" customWidth="1"/>
    <col min="6425" max="6425" width="0.85546875" style="295" customWidth="1"/>
    <col min="6426" max="6656" width="11.42578125" style="295"/>
    <col min="6657" max="6657" width="0.85546875" style="295" customWidth="1"/>
    <col min="6658" max="6658" width="3.7109375" style="295" customWidth="1"/>
    <col min="6659" max="6663" width="4.85546875" style="295" customWidth="1"/>
    <col min="6664" max="6666" width="3.28515625" style="295" customWidth="1"/>
    <col min="6667" max="6667" width="3.42578125" style="295" customWidth="1"/>
    <col min="6668" max="6668" width="5.7109375" style="295" customWidth="1"/>
    <col min="6669" max="6669" width="4.7109375" style="295" customWidth="1"/>
    <col min="6670" max="6670" width="5.7109375" style="295" customWidth="1"/>
    <col min="6671" max="6671" width="3.42578125" style="295" customWidth="1"/>
    <col min="6672" max="6674" width="3.28515625" style="295" customWidth="1"/>
    <col min="6675" max="6679" width="4.85546875" style="295" customWidth="1"/>
    <col min="6680" max="6680" width="3.7109375" style="295" customWidth="1"/>
    <col min="6681" max="6681" width="0.85546875" style="295" customWidth="1"/>
    <col min="6682" max="6912" width="11.42578125" style="295"/>
    <col min="6913" max="6913" width="0.85546875" style="295" customWidth="1"/>
    <col min="6914" max="6914" width="3.7109375" style="295" customWidth="1"/>
    <col min="6915" max="6919" width="4.85546875" style="295" customWidth="1"/>
    <col min="6920" max="6922" width="3.28515625" style="295" customWidth="1"/>
    <col min="6923" max="6923" width="3.42578125" style="295" customWidth="1"/>
    <col min="6924" max="6924" width="5.7109375" style="295" customWidth="1"/>
    <col min="6925" max="6925" width="4.7109375" style="295" customWidth="1"/>
    <col min="6926" max="6926" width="5.7109375" style="295" customWidth="1"/>
    <col min="6927" max="6927" width="3.42578125" style="295" customWidth="1"/>
    <col min="6928" max="6930" width="3.28515625" style="295" customWidth="1"/>
    <col min="6931" max="6935" width="4.85546875" style="295" customWidth="1"/>
    <col min="6936" max="6936" width="3.7109375" style="295" customWidth="1"/>
    <col min="6937" max="6937" width="0.85546875" style="295" customWidth="1"/>
    <col min="6938" max="7168" width="11.42578125" style="295"/>
    <col min="7169" max="7169" width="0.85546875" style="295" customWidth="1"/>
    <col min="7170" max="7170" width="3.7109375" style="295" customWidth="1"/>
    <col min="7171" max="7175" width="4.85546875" style="295" customWidth="1"/>
    <col min="7176" max="7178" width="3.28515625" style="295" customWidth="1"/>
    <col min="7179" max="7179" width="3.42578125" style="295" customWidth="1"/>
    <col min="7180" max="7180" width="5.7109375" style="295" customWidth="1"/>
    <col min="7181" max="7181" width="4.7109375" style="295" customWidth="1"/>
    <col min="7182" max="7182" width="5.7109375" style="295" customWidth="1"/>
    <col min="7183" max="7183" width="3.42578125" style="295" customWidth="1"/>
    <col min="7184" max="7186" width="3.28515625" style="295" customWidth="1"/>
    <col min="7187" max="7191" width="4.85546875" style="295" customWidth="1"/>
    <col min="7192" max="7192" width="3.7109375" style="295" customWidth="1"/>
    <col min="7193" max="7193" width="0.85546875" style="295" customWidth="1"/>
    <col min="7194" max="7424" width="11.42578125" style="295"/>
    <col min="7425" max="7425" width="0.85546875" style="295" customWidth="1"/>
    <col min="7426" max="7426" width="3.7109375" style="295" customWidth="1"/>
    <col min="7427" max="7431" width="4.85546875" style="295" customWidth="1"/>
    <col min="7432" max="7434" width="3.28515625" style="295" customWidth="1"/>
    <col min="7435" max="7435" width="3.42578125" style="295" customWidth="1"/>
    <col min="7436" max="7436" width="5.7109375" style="295" customWidth="1"/>
    <col min="7437" max="7437" width="4.7109375" style="295" customWidth="1"/>
    <col min="7438" max="7438" width="5.7109375" style="295" customWidth="1"/>
    <col min="7439" max="7439" width="3.42578125" style="295" customWidth="1"/>
    <col min="7440" max="7442" width="3.28515625" style="295" customWidth="1"/>
    <col min="7443" max="7447" width="4.85546875" style="295" customWidth="1"/>
    <col min="7448" max="7448" width="3.7109375" style="295" customWidth="1"/>
    <col min="7449" max="7449" width="0.85546875" style="295" customWidth="1"/>
    <col min="7450" max="7680" width="11.42578125" style="295"/>
    <col min="7681" max="7681" width="0.85546875" style="295" customWidth="1"/>
    <col min="7682" max="7682" width="3.7109375" style="295" customWidth="1"/>
    <col min="7683" max="7687" width="4.85546875" style="295" customWidth="1"/>
    <col min="7688" max="7690" width="3.28515625" style="295" customWidth="1"/>
    <col min="7691" max="7691" width="3.42578125" style="295" customWidth="1"/>
    <col min="7692" max="7692" width="5.7109375" style="295" customWidth="1"/>
    <col min="7693" max="7693" width="4.7109375" style="295" customWidth="1"/>
    <col min="7694" max="7694" width="5.7109375" style="295" customWidth="1"/>
    <col min="7695" max="7695" width="3.42578125" style="295" customWidth="1"/>
    <col min="7696" max="7698" width="3.28515625" style="295" customWidth="1"/>
    <col min="7699" max="7703" width="4.85546875" style="295" customWidth="1"/>
    <col min="7704" max="7704" width="3.7109375" style="295" customWidth="1"/>
    <col min="7705" max="7705" width="0.85546875" style="295" customWidth="1"/>
    <col min="7706" max="7936" width="11.42578125" style="295"/>
    <col min="7937" max="7937" width="0.85546875" style="295" customWidth="1"/>
    <col min="7938" max="7938" width="3.7109375" style="295" customWidth="1"/>
    <col min="7939" max="7943" width="4.85546875" style="295" customWidth="1"/>
    <col min="7944" max="7946" width="3.28515625" style="295" customWidth="1"/>
    <col min="7947" max="7947" width="3.42578125" style="295" customWidth="1"/>
    <col min="7948" max="7948" width="5.7109375" style="295" customWidth="1"/>
    <col min="7949" max="7949" width="4.7109375" style="295" customWidth="1"/>
    <col min="7950" max="7950" width="5.7109375" style="295" customWidth="1"/>
    <col min="7951" max="7951" width="3.42578125" style="295" customWidth="1"/>
    <col min="7952" max="7954" width="3.28515625" style="295" customWidth="1"/>
    <col min="7955" max="7959" width="4.85546875" style="295" customWidth="1"/>
    <col min="7960" max="7960" width="3.7109375" style="295" customWidth="1"/>
    <col min="7961" max="7961" width="0.85546875" style="295" customWidth="1"/>
    <col min="7962" max="8192" width="11.42578125" style="295"/>
    <col min="8193" max="8193" width="0.85546875" style="295" customWidth="1"/>
    <col min="8194" max="8194" width="3.7109375" style="295" customWidth="1"/>
    <col min="8195" max="8199" width="4.85546875" style="295" customWidth="1"/>
    <col min="8200" max="8202" width="3.28515625" style="295" customWidth="1"/>
    <col min="8203" max="8203" width="3.42578125" style="295" customWidth="1"/>
    <col min="8204" max="8204" width="5.7109375" style="295" customWidth="1"/>
    <col min="8205" max="8205" width="4.7109375" style="295" customWidth="1"/>
    <col min="8206" max="8206" width="5.7109375" style="295" customWidth="1"/>
    <col min="8207" max="8207" width="3.42578125" style="295" customWidth="1"/>
    <col min="8208" max="8210" width="3.28515625" style="295" customWidth="1"/>
    <col min="8211" max="8215" width="4.85546875" style="295" customWidth="1"/>
    <col min="8216" max="8216" width="3.7109375" style="295" customWidth="1"/>
    <col min="8217" max="8217" width="0.85546875" style="295" customWidth="1"/>
    <col min="8218" max="8448" width="11.42578125" style="295"/>
    <col min="8449" max="8449" width="0.85546875" style="295" customWidth="1"/>
    <col min="8450" max="8450" width="3.7109375" style="295" customWidth="1"/>
    <col min="8451" max="8455" width="4.85546875" style="295" customWidth="1"/>
    <col min="8456" max="8458" width="3.28515625" style="295" customWidth="1"/>
    <col min="8459" max="8459" width="3.42578125" style="295" customWidth="1"/>
    <col min="8460" max="8460" width="5.7109375" style="295" customWidth="1"/>
    <col min="8461" max="8461" width="4.7109375" style="295" customWidth="1"/>
    <col min="8462" max="8462" width="5.7109375" style="295" customWidth="1"/>
    <col min="8463" max="8463" width="3.42578125" style="295" customWidth="1"/>
    <col min="8464" max="8466" width="3.28515625" style="295" customWidth="1"/>
    <col min="8467" max="8471" width="4.85546875" style="295" customWidth="1"/>
    <col min="8472" max="8472" width="3.7109375" style="295" customWidth="1"/>
    <col min="8473" max="8473" width="0.85546875" style="295" customWidth="1"/>
    <col min="8474" max="8704" width="11.42578125" style="295"/>
    <col min="8705" max="8705" width="0.85546875" style="295" customWidth="1"/>
    <col min="8706" max="8706" width="3.7109375" style="295" customWidth="1"/>
    <col min="8707" max="8711" width="4.85546875" style="295" customWidth="1"/>
    <col min="8712" max="8714" width="3.28515625" style="295" customWidth="1"/>
    <col min="8715" max="8715" width="3.42578125" style="295" customWidth="1"/>
    <col min="8716" max="8716" width="5.7109375" style="295" customWidth="1"/>
    <col min="8717" max="8717" width="4.7109375" style="295" customWidth="1"/>
    <col min="8718" max="8718" width="5.7109375" style="295" customWidth="1"/>
    <col min="8719" max="8719" width="3.42578125" style="295" customWidth="1"/>
    <col min="8720" max="8722" width="3.28515625" style="295" customWidth="1"/>
    <col min="8723" max="8727" width="4.85546875" style="295" customWidth="1"/>
    <col min="8728" max="8728" width="3.7109375" style="295" customWidth="1"/>
    <col min="8729" max="8729" width="0.85546875" style="295" customWidth="1"/>
    <col min="8730" max="8960" width="11.42578125" style="295"/>
    <col min="8961" max="8961" width="0.85546875" style="295" customWidth="1"/>
    <col min="8962" max="8962" width="3.7109375" style="295" customWidth="1"/>
    <col min="8963" max="8967" width="4.85546875" style="295" customWidth="1"/>
    <col min="8968" max="8970" width="3.28515625" style="295" customWidth="1"/>
    <col min="8971" max="8971" width="3.42578125" style="295" customWidth="1"/>
    <col min="8972" max="8972" width="5.7109375" style="295" customWidth="1"/>
    <col min="8973" max="8973" width="4.7109375" style="295" customWidth="1"/>
    <col min="8974" max="8974" width="5.7109375" style="295" customWidth="1"/>
    <col min="8975" max="8975" width="3.42578125" style="295" customWidth="1"/>
    <col min="8976" max="8978" width="3.28515625" style="295" customWidth="1"/>
    <col min="8979" max="8983" width="4.85546875" style="295" customWidth="1"/>
    <col min="8984" max="8984" width="3.7109375" style="295" customWidth="1"/>
    <col min="8985" max="8985" width="0.85546875" style="295" customWidth="1"/>
    <col min="8986" max="9216" width="11.42578125" style="295"/>
    <col min="9217" max="9217" width="0.85546875" style="295" customWidth="1"/>
    <col min="9218" max="9218" width="3.7109375" style="295" customWidth="1"/>
    <col min="9219" max="9223" width="4.85546875" style="295" customWidth="1"/>
    <col min="9224" max="9226" width="3.28515625" style="295" customWidth="1"/>
    <col min="9227" max="9227" width="3.42578125" style="295" customWidth="1"/>
    <col min="9228" max="9228" width="5.7109375" style="295" customWidth="1"/>
    <col min="9229" max="9229" width="4.7109375" style="295" customWidth="1"/>
    <col min="9230" max="9230" width="5.7109375" style="295" customWidth="1"/>
    <col min="9231" max="9231" width="3.42578125" style="295" customWidth="1"/>
    <col min="9232" max="9234" width="3.28515625" style="295" customWidth="1"/>
    <col min="9235" max="9239" width="4.85546875" style="295" customWidth="1"/>
    <col min="9240" max="9240" width="3.7109375" style="295" customWidth="1"/>
    <col min="9241" max="9241" width="0.85546875" style="295" customWidth="1"/>
    <col min="9242" max="9472" width="11.42578125" style="295"/>
    <col min="9473" max="9473" width="0.85546875" style="295" customWidth="1"/>
    <col min="9474" max="9474" width="3.7109375" style="295" customWidth="1"/>
    <col min="9475" max="9479" width="4.85546875" style="295" customWidth="1"/>
    <col min="9480" max="9482" width="3.28515625" style="295" customWidth="1"/>
    <col min="9483" max="9483" width="3.42578125" style="295" customWidth="1"/>
    <col min="9484" max="9484" width="5.7109375" style="295" customWidth="1"/>
    <col min="9485" max="9485" width="4.7109375" style="295" customWidth="1"/>
    <col min="9486" max="9486" width="5.7109375" style="295" customWidth="1"/>
    <col min="9487" max="9487" width="3.42578125" style="295" customWidth="1"/>
    <col min="9488" max="9490" width="3.28515625" style="295" customWidth="1"/>
    <col min="9491" max="9495" width="4.85546875" style="295" customWidth="1"/>
    <col min="9496" max="9496" width="3.7109375" style="295" customWidth="1"/>
    <col min="9497" max="9497" width="0.85546875" style="295" customWidth="1"/>
    <col min="9498" max="9728" width="11.42578125" style="295"/>
    <col min="9729" max="9729" width="0.85546875" style="295" customWidth="1"/>
    <col min="9730" max="9730" width="3.7109375" style="295" customWidth="1"/>
    <col min="9731" max="9735" width="4.85546875" style="295" customWidth="1"/>
    <col min="9736" max="9738" width="3.28515625" style="295" customWidth="1"/>
    <col min="9739" max="9739" width="3.42578125" style="295" customWidth="1"/>
    <col min="9740" max="9740" width="5.7109375" style="295" customWidth="1"/>
    <col min="9741" max="9741" width="4.7109375" style="295" customWidth="1"/>
    <col min="9742" max="9742" width="5.7109375" style="295" customWidth="1"/>
    <col min="9743" max="9743" width="3.42578125" style="295" customWidth="1"/>
    <col min="9744" max="9746" width="3.28515625" style="295" customWidth="1"/>
    <col min="9747" max="9751" width="4.85546875" style="295" customWidth="1"/>
    <col min="9752" max="9752" width="3.7109375" style="295" customWidth="1"/>
    <col min="9753" max="9753" width="0.85546875" style="295" customWidth="1"/>
    <col min="9754" max="9984" width="11.42578125" style="295"/>
    <col min="9985" max="9985" width="0.85546875" style="295" customWidth="1"/>
    <col min="9986" max="9986" width="3.7109375" style="295" customWidth="1"/>
    <col min="9987" max="9991" width="4.85546875" style="295" customWidth="1"/>
    <col min="9992" max="9994" width="3.28515625" style="295" customWidth="1"/>
    <col min="9995" max="9995" width="3.42578125" style="295" customWidth="1"/>
    <col min="9996" max="9996" width="5.7109375" style="295" customWidth="1"/>
    <col min="9997" max="9997" width="4.7109375" style="295" customWidth="1"/>
    <col min="9998" max="9998" width="5.7109375" style="295" customWidth="1"/>
    <col min="9999" max="9999" width="3.42578125" style="295" customWidth="1"/>
    <col min="10000" max="10002" width="3.28515625" style="295" customWidth="1"/>
    <col min="10003" max="10007" width="4.85546875" style="295" customWidth="1"/>
    <col min="10008" max="10008" width="3.7109375" style="295" customWidth="1"/>
    <col min="10009" max="10009" width="0.85546875" style="295" customWidth="1"/>
    <col min="10010" max="10240" width="11.42578125" style="295"/>
    <col min="10241" max="10241" width="0.85546875" style="295" customWidth="1"/>
    <col min="10242" max="10242" width="3.7109375" style="295" customWidth="1"/>
    <col min="10243" max="10247" width="4.85546875" style="295" customWidth="1"/>
    <col min="10248" max="10250" width="3.28515625" style="295" customWidth="1"/>
    <col min="10251" max="10251" width="3.42578125" style="295" customWidth="1"/>
    <col min="10252" max="10252" width="5.7109375" style="295" customWidth="1"/>
    <col min="10253" max="10253" width="4.7109375" style="295" customWidth="1"/>
    <col min="10254" max="10254" width="5.7109375" style="295" customWidth="1"/>
    <col min="10255" max="10255" width="3.42578125" style="295" customWidth="1"/>
    <col min="10256" max="10258" width="3.28515625" style="295" customWidth="1"/>
    <col min="10259" max="10263" width="4.85546875" style="295" customWidth="1"/>
    <col min="10264" max="10264" width="3.7109375" style="295" customWidth="1"/>
    <col min="10265" max="10265" width="0.85546875" style="295" customWidth="1"/>
    <col min="10266" max="10496" width="11.42578125" style="295"/>
    <col min="10497" max="10497" width="0.85546875" style="295" customWidth="1"/>
    <col min="10498" max="10498" width="3.7109375" style="295" customWidth="1"/>
    <col min="10499" max="10503" width="4.85546875" style="295" customWidth="1"/>
    <col min="10504" max="10506" width="3.28515625" style="295" customWidth="1"/>
    <col min="10507" max="10507" width="3.42578125" style="295" customWidth="1"/>
    <col min="10508" max="10508" width="5.7109375" style="295" customWidth="1"/>
    <col min="10509" max="10509" width="4.7109375" style="295" customWidth="1"/>
    <col min="10510" max="10510" width="5.7109375" style="295" customWidth="1"/>
    <col min="10511" max="10511" width="3.42578125" style="295" customWidth="1"/>
    <col min="10512" max="10514" width="3.28515625" style="295" customWidth="1"/>
    <col min="10515" max="10519" width="4.85546875" style="295" customWidth="1"/>
    <col min="10520" max="10520" width="3.7109375" style="295" customWidth="1"/>
    <col min="10521" max="10521" width="0.85546875" style="295" customWidth="1"/>
    <col min="10522" max="10752" width="11.42578125" style="295"/>
    <col min="10753" max="10753" width="0.85546875" style="295" customWidth="1"/>
    <col min="10754" max="10754" width="3.7109375" style="295" customWidth="1"/>
    <col min="10755" max="10759" width="4.85546875" style="295" customWidth="1"/>
    <col min="10760" max="10762" width="3.28515625" style="295" customWidth="1"/>
    <col min="10763" max="10763" width="3.42578125" style="295" customWidth="1"/>
    <col min="10764" max="10764" width="5.7109375" style="295" customWidth="1"/>
    <col min="10765" max="10765" width="4.7109375" style="295" customWidth="1"/>
    <col min="10766" max="10766" width="5.7109375" style="295" customWidth="1"/>
    <col min="10767" max="10767" width="3.42578125" style="295" customWidth="1"/>
    <col min="10768" max="10770" width="3.28515625" style="295" customWidth="1"/>
    <col min="10771" max="10775" width="4.85546875" style="295" customWidth="1"/>
    <col min="10776" max="10776" width="3.7109375" style="295" customWidth="1"/>
    <col min="10777" max="10777" width="0.85546875" style="295" customWidth="1"/>
    <col min="10778" max="11008" width="11.42578125" style="295"/>
    <col min="11009" max="11009" width="0.85546875" style="295" customWidth="1"/>
    <col min="11010" max="11010" width="3.7109375" style="295" customWidth="1"/>
    <col min="11011" max="11015" width="4.85546875" style="295" customWidth="1"/>
    <col min="11016" max="11018" width="3.28515625" style="295" customWidth="1"/>
    <col min="11019" max="11019" width="3.42578125" style="295" customWidth="1"/>
    <col min="11020" max="11020" width="5.7109375" style="295" customWidth="1"/>
    <col min="11021" max="11021" width="4.7109375" style="295" customWidth="1"/>
    <col min="11022" max="11022" width="5.7109375" style="295" customWidth="1"/>
    <col min="11023" max="11023" width="3.42578125" style="295" customWidth="1"/>
    <col min="11024" max="11026" width="3.28515625" style="295" customWidth="1"/>
    <col min="11027" max="11031" width="4.85546875" style="295" customWidth="1"/>
    <col min="11032" max="11032" width="3.7109375" style="295" customWidth="1"/>
    <col min="11033" max="11033" width="0.85546875" style="295" customWidth="1"/>
    <col min="11034" max="11264" width="11.42578125" style="295"/>
    <col min="11265" max="11265" width="0.85546875" style="295" customWidth="1"/>
    <col min="11266" max="11266" width="3.7109375" style="295" customWidth="1"/>
    <col min="11267" max="11271" width="4.85546875" style="295" customWidth="1"/>
    <col min="11272" max="11274" width="3.28515625" style="295" customWidth="1"/>
    <col min="11275" max="11275" width="3.42578125" style="295" customWidth="1"/>
    <col min="11276" max="11276" width="5.7109375" style="295" customWidth="1"/>
    <col min="11277" max="11277" width="4.7109375" style="295" customWidth="1"/>
    <col min="11278" max="11278" width="5.7109375" style="295" customWidth="1"/>
    <col min="11279" max="11279" width="3.42578125" style="295" customWidth="1"/>
    <col min="11280" max="11282" width="3.28515625" style="295" customWidth="1"/>
    <col min="11283" max="11287" width="4.85546875" style="295" customWidth="1"/>
    <col min="11288" max="11288" width="3.7109375" style="295" customWidth="1"/>
    <col min="11289" max="11289" width="0.85546875" style="295" customWidth="1"/>
    <col min="11290" max="11520" width="11.42578125" style="295"/>
    <col min="11521" max="11521" width="0.85546875" style="295" customWidth="1"/>
    <col min="11522" max="11522" width="3.7109375" style="295" customWidth="1"/>
    <col min="11523" max="11527" width="4.85546875" style="295" customWidth="1"/>
    <col min="11528" max="11530" width="3.28515625" style="295" customWidth="1"/>
    <col min="11531" max="11531" width="3.42578125" style="295" customWidth="1"/>
    <col min="11532" max="11532" width="5.7109375" style="295" customWidth="1"/>
    <col min="11533" max="11533" width="4.7109375" style="295" customWidth="1"/>
    <col min="11534" max="11534" width="5.7109375" style="295" customWidth="1"/>
    <col min="11535" max="11535" width="3.42578125" style="295" customWidth="1"/>
    <col min="11536" max="11538" width="3.28515625" style="295" customWidth="1"/>
    <col min="11539" max="11543" width="4.85546875" style="295" customWidth="1"/>
    <col min="11544" max="11544" width="3.7109375" style="295" customWidth="1"/>
    <col min="11545" max="11545" width="0.85546875" style="295" customWidth="1"/>
    <col min="11546" max="11776" width="11.42578125" style="295"/>
    <col min="11777" max="11777" width="0.85546875" style="295" customWidth="1"/>
    <col min="11778" max="11778" width="3.7109375" style="295" customWidth="1"/>
    <col min="11779" max="11783" width="4.85546875" style="295" customWidth="1"/>
    <col min="11784" max="11786" width="3.28515625" style="295" customWidth="1"/>
    <col min="11787" max="11787" width="3.42578125" style="295" customWidth="1"/>
    <col min="11788" max="11788" width="5.7109375" style="295" customWidth="1"/>
    <col min="11789" max="11789" width="4.7109375" style="295" customWidth="1"/>
    <col min="11790" max="11790" width="5.7109375" style="295" customWidth="1"/>
    <col min="11791" max="11791" width="3.42578125" style="295" customWidth="1"/>
    <col min="11792" max="11794" width="3.28515625" style="295" customWidth="1"/>
    <col min="11795" max="11799" width="4.85546875" style="295" customWidth="1"/>
    <col min="11800" max="11800" width="3.7109375" style="295" customWidth="1"/>
    <col min="11801" max="11801" width="0.85546875" style="295" customWidth="1"/>
    <col min="11802" max="12032" width="11.42578125" style="295"/>
    <col min="12033" max="12033" width="0.85546875" style="295" customWidth="1"/>
    <col min="12034" max="12034" width="3.7109375" style="295" customWidth="1"/>
    <col min="12035" max="12039" width="4.85546875" style="295" customWidth="1"/>
    <col min="12040" max="12042" width="3.28515625" style="295" customWidth="1"/>
    <col min="12043" max="12043" width="3.42578125" style="295" customWidth="1"/>
    <col min="12044" max="12044" width="5.7109375" style="295" customWidth="1"/>
    <col min="12045" max="12045" width="4.7109375" style="295" customWidth="1"/>
    <col min="12046" max="12046" width="5.7109375" style="295" customWidth="1"/>
    <col min="12047" max="12047" width="3.42578125" style="295" customWidth="1"/>
    <col min="12048" max="12050" width="3.28515625" style="295" customWidth="1"/>
    <col min="12051" max="12055" width="4.85546875" style="295" customWidth="1"/>
    <col min="12056" max="12056" width="3.7109375" style="295" customWidth="1"/>
    <col min="12057" max="12057" width="0.85546875" style="295" customWidth="1"/>
    <col min="12058" max="12288" width="11.42578125" style="295"/>
    <col min="12289" max="12289" width="0.85546875" style="295" customWidth="1"/>
    <col min="12290" max="12290" width="3.7109375" style="295" customWidth="1"/>
    <col min="12291" max="12295" width="4.85546875" style="295" customWidth="1"/>
    <col min="12296" max="12298" width="3.28515625" style="295" customWidth="1"/>
    <col min="12299" max="12299" width="3.42578125" style="295" customWidth="1"/>
    <col min="12300" max="12300" width="5.7109375" style="295" customWidth="1"/>
    <col min="12301" max="12301" width="4.7109375" style="295" customWidth="1"/>
    <col min="12302" max="12302" width="5.7109375" style="295" customWidth="1"/>
    <col min="12303" max="12303" width="3.42578125" style="295" customWidth="1"/>
    <col min="12304" max="12306" width="3.28515625" style="295" customWidth="1"/>
    <col min="12307" max="12311" width="4.85546875" style="295" customWidth="1"/>
    <col min="12312" max="12312" width="3.7109375" style="295" customWidth="1"/>
    <col min="12313" max="12313" width="0.85546875" style="295" customWidth="1"/>
    <col min="12314" max="12544" width="11.42578125" style="295"/>
    <col min="12545" max="12545" width="0.85546875" style="295" customWidth="1"/>
    <col min="12546" max="12546" width="3.7109375" style="295" customWidth="1"/>
    <col min="12547" max="12551" width="4.85546875" style="295" customWidth="1"/>
    <col min="12552" max="12554" width="3.28515625" style="295" customWidth="1"/>
    <col min="12555" max="12555" width="3.42578125" style="295" customWidth="1"/>
    <col min="12556" max="12556" width="5.7109375" style="295" customWidth="1"/>
    <col min="12557" max="12557" width="4.7109375" style="295" customWidth="1"/>
    <col min="12558" max="12558" width="5.7109375" style="295" customWidth="1"/>
    <col min="12559" max="12559" width="3.42578125" style="295" customWidth="1"/>
    <col min="12560" max="12562" width="3.28515625" style="295" customWidth="1"/>
    <col min="12563" max="12567" width="4.85546875" style="295" customWidth="1"/>
    <col min="12568" max="12568" width="3.7109375" style="295" customWidth="1"/>
    <col min="12569" max="12569" width="0.85546875" style="295" customWidth="1"/>
    <col min="12570" max="12800" width="11.42578125" style="295"/>
    <col min="12801" max="12801" width="0.85546875" style="295" customWidth="1"/>
    <col min="12802" max="12802" width="3.7109375" style="295" customWidth="1"/>
    <col min="12803" max="12807" width="4.85546875" style="295" customWidth="1"/>
    <col min="12808" max="12810" width="3.28515625" style="295" customWidth="1"/>
    <col min="12811" max="12811" width="3.42578125" style="295" customWidth="1"/>
    <col min="12812" max="12812" width="5.7109375" style="295" customWidth="1"/>
    <col min="12813" max="12813" width="4.7109375" style="295" customWidth="1"/>
    <col min="12814" max="12814" width="5.7109375" style="295" customWidth="1"/>
    <col min="12815" max="12815" width="3.42578125" style="295" customWidth="1"/>
    <col min="12816" max="12818" width="3.28515625" style="295" customWidth="1"/>
    <col min="12819" max="12823" width="4.85546875" style="295" customWidth="1"/>
    <col min="12824" max="12824" width="3.7109375" style="295" customWidth="1"/>
    <col min="12825" max="12825" width="0.85546875" style="295" customWidth="1"/>
    <col min="12826" max="13056" width="11.42578125" style="295"/>
    <col min="13057" max="13057" width="0.85546875" style="295" customWidth="1"/>
    <col min="13058" max="13058" width="3.7109375" style="295" customWidth="1"/>
    <col min="13059" max="13063" width="4.85546875" style="295" customWidth="1"/>
    <col min="13064" max="13066" width="3.28515625" style="295" customWidth="1"/>
    <col min="13067" max="13067" width="3.42578125" style="295" customWidth="1"/>
    <col min="13068" max="13068" width="5.7109375" style="295" customWidth="1"/>
    <col min="13069" max="13069" width="4.7109375" style="295" customWidth="1"/>
    <col min="13070" max="13070" width="5.7109375" style="295" customWidth="1"/>
    <col min="13071" max="13071" width="3.42578125" style="295" customWidth="1"/>
    <col min="13072" max="13074" width="3.28515625" style="295" customWidth="1"/>
    <col min="13075" max="13079" width="4.85546875" style="295" customWidth="1"/>
    <col min="13080" max="13080" width="3.7109375" style="295" customWidth="1"/>
    <col min="13081" max="13081" width="0.85546875" style="295" customWidth="1"/>
    <col min="13082" max="13312" width="11.42578125" style="295"/>
    <col min="13313" max="13313" width="0.85546875" style="295" customWidth="1"/>
    <col min="13314" max="13314" width="3.7109375" style="295" customWidth="1"/>
    <col min="13315" max="13319" width="4.85546875" style="295" customWidth="1"/>
    <col min="13320" max="13322" width="3.28515625" style="295" customWidth="1"/>
    <col min="13323" max="13323" width="3.42578125" style="295" customWidth="1"/>
    <col min="13324" max="13324" width="5.7109375" style="295" customWidth="1"/>
    <col min="13325" max="13325" width="4.7109375" style="295" customWidth="1"/>
    <col min="13326" max="13326" width="5.7109375" style="295" customWidth="1"/>
    <col min="13327" max="13327" width="3.42578125" style="295" customWidth="1"/>
    <col min="13328" max="13330" width="3.28515625" style="295" customWidth="1"/>
    <col min="13331" max="13335" width="4.85546875" style="295" customWidth="1"/>
    <col min="13336" max="13336" width="3.7109375" style="295" customWidth="1"/>
    <col min="13337" max="13337" width="0.85546875" style="295" customWidth="1"/>
    <col min="13338" max="13568" width="11.42578125" style="295"/>
    <col min="13569" max="13569" width="0.85546875" style="295" customWidth="1"/>
    <col min="13570" max="13570" width="3.7109375" style="295" customWidth="1"/>
    <col min="13571" max="13575" width="4.85546875" style="295" customWidth="1"/>
    <col min="13576" max="13578" width="3.28515625" style="295" customWidth="1"/>
    <col min="13579" max="13579" width="3.42578125" style="295" customWidth="1"/>
    <col min="13580" max="13580" width="5.7109375" style="295" customWidth="1"/>
    <col min="13581" max="13581" width="4.7109375" style="295" customWidth="1"/>
    <col min="13582" max="13582" width="5.7109375" style="295" customWidth="1"/>
    <col min="13583" max="13583" width="3.42578125" style="295" customWidth="1"/>
    <col min="13584" max="13586" width="3.28515625" style="295" customWidth="1"/>
    <col min="13587" max="13591" width="4.85546875" style="295" customWidth="1"/>
    <col min="13592" max="13592" width="3.7109375" style="295" customWidth="1"/>
    <col min="13593" max="13593" width="0.85546875" style="295" customWidth="1"/>
    <col min="13594" max="13824" width="11.42578125" style="295"/>
    <col min="13825" max="13825" width="0.85546875" style="295" customWidth="1"/>
    <col min="13826" max="13826" width="3.7109375" style="295" customWidth="1"/>
    <col min="13827" max="13831" width="4.85546875" style="295" customWidth="1"/>
    <col min="13832" max="13834" width="3.28515625" style="295" customWidth="1"/>
    <col min="13835" max="13835" width="3.42578125" style="295" customWidth="1"/>
    <col min="13836" max="13836" width="5.7109375" style="295" customWidth="1"/>
    <col min="13837" max="13837" width="4.7109375" style="295" customWidth="1"/>
    <col min="13838" max="13838" width="5.7109375" style="295" customWidth="1"/>
    <col min="13839" max="13839" width="3.42578125" style="295" customWidth="1"/>
    <col min="13840" max="13842" width="3.28515625" style="295" customWidth="1"/>
    <col min="13843" max="13847" width="4.85546875" style="295" customWidth="1"/>
    <col min="13848" max="13848" width="3.7109375" style="295" customWidth="1"/>
    <col min="13849" max="13849" width="0.85546875" style="295" customWidth="1"/>
    <col min="13850" max="14080" width="11.42578125" style="295"/>
    <col min="14081" max="14081" width="0.85546875" style="295" customWidth="1"/>
    <col min="14082" max="14082" width="3.7109375" style="295" customWidth="1"/>
    <col min="14083" max="14087" width="4.85546875" style="295" customWidth="1"/>
    <col min="14088" max="14090" width="3.28515625" style="295" customWidth="1"/>
    <col min="14091" max="14091" width="3.42578125" style="295" customWidth="1"/>
    <col min="14092" max="14092" width="5.7109375" style="295" customWidth="1"/>
    <col min="14093" max="14093" width="4.7109375" style="295" customWidth="1"/>
    <col min="14094" max="14094" width="5.7109375" style="295" customWidth="1"/>
    <col min="14095" max="14095" width="3.42578125" style="295" customWidth="1"/>
    <col min="14096" max="14098" width="3.28515625" style="295" customWidth="1"/>
    <col min="14099" max="14103" width="4.85546875" style="295" customWidth="1"/>
    <col min="14104" max="14104" width="3.7109375" style="295" customWidth="1"/>
    <col min="14105" max="14105" width="0.85546875" style="295" customWidth="1"/>
    <col min="14106" max="14336" width="11.42578125" style="295"/>
    <col min="14337" max="14337" width="0.85546875" style="295" customWidth="1"/>
    <col min="14338" max="14338" width="3.7109375" style="295" customWidth="1"/>
    <col min="14339" max="14343" width="4.85546875" style="295" customWidth="1"/>
    <col min="14344" max="14346" width="3.28515625" style="295" customWidth="1"/>
    <col min="14347" max="14347" width="3.42578125" style="295" customWidth="1"/>
    <col min="14348" max="14348" width="5.7109375" style="295" customWidth="1"/>
    <col min="14349" max="14349" width="4.7109375" style="295" customWidth="1"/>
    <col min="14350" max="14350" width="5.7109375" style="295" customWidth="1"/>
    <col min="14351" max="14351" width="3.42578125" style="295" customWidth="1"/>
    <col min="14352" max="14354" width="3.28515625" style="295" customWidth="1"/>
    <col min="14355" max="14359" width="4.85546875" style="295" customWidth="1"/>
    <col min="14360" max="14360" width="3.7109375" style="295" customWidth="1"/>
    <col min="14361" max="14361" width="0.85546875" style="295" customWidth="1"/>
    <col min="14362" max="14592" width="11.42578125" style="295"/>
    <col min="14593" max="14593" width="0.85546875" style="295" customWidth="1"/>
    <col min="14594" max="14594" width="3.7109375" style="295" customWidth="1"/>
    <col min="14595" max="14599" width="4.85546875" style="295" customWidth="1"/>
    <col min="14600" max="14602" width="3.28515625" style="295" customWidth="1"/>
    <col min="14603" max="14603" width="3.42578125" style="295" customWidth="1"/>
    <col min="14604" max="14604" width="5.7109375" style="295" customWidth="1"/>
    <col min="14605" max="14605" width="4.7109375" style="295" customWidth="1"/>
    <col min="14606" max="14606" width="5.7109375" style="295" customWidth="1"/>
    <col min="14607" max="14607" width="3.42578125" style="295" customWidth="1"/>
    <col min="14608" max="14610" width="3.28515625" style="295" customWidth="1"/>
    <col min="14611" max="14615" width="4.85546875" style="295" customWidth="1"/>
    <col min="14616" max="14616" width="3.7109375" style="295" customWidth="1"/>
    <col min="14617" max="14617" width="0.85546875" style="295" customWidth="1"/>
    <col min="14618" max="14848" width="11.42578125" style="295"/>
    <col min="14849" max="14849" width="0.85546875" style="295" customWidth="1"/>
    <col min="14850" max="14850" width="3.7109375" style="295" customWidth="1"/>
    <col min="14851" max="14855" width="4.85546875" style="295" customWidth="1"/>
    <col min="14856" max="14858" width="3.28515625" style="295" customWidth="1"/>
    <col min="14859" max="14859" width="3.42578125" style="295" customWidth="1"/>
    <col min="14860" max="14860" width="5.7109375" style="295" customWidth="1"/>
    <col min="14861" max="14861" width="4.7109375" style="295" customWidth="1"/>
    <col min="14862" max="14862" width="5.7109375" style="295" customWidth="1"/>
    <col min="14863" max="14863" width="3.42578125" style="295" customWidth="1"/>
    <col min="14864" max="14866" width="3.28515625" style="295" customWidth="1"/>
    <col min="14867" max="14871" width="4.85546875" style="295" customWidth="1"/>
    <col min="14872" max="14872" width="3.7109375" style="295" customWidth="1"/>
    <col min="14873" max="14873" width="0.85546875" style="295" customWidth="1"/>
    <col min="14874" max="15104" width="11.42578125" style="295"/>
    <col min="15105" max="15105" width="0.85546875" style="295" customWidth="1"/>
    <col min="15106" max="15106" width="3.7109375" style="295" customWidth="1"/>
    <col min="15107" max="15111" width="4.85546875" style="295" customWidth="1"/>
    <col min="15112" max="15114" width="3.28515625" style="295" customWidth="1"/>
    <col min="15115" max="15115" width="3.42578125" style="295" customWidth="1"/>
    <col min="15116" max="15116" width="5.7109375" style="295" customWidth="1"/>
    <col min="15117" max="15117" width="4.7109375" style="295" customWidth="1"/>
    <col min="15118" max="15118" width="5.7109375" style="295" customWidth="1"/>
    <col min="15119" max="15119" width="3.42578125" style="295" customWidth="1"/>
    <col min="15120" max="15122" width="3.28515625" style="295" customWidth="1"/>
    <col min="15123" max="15127" width="4.85546875" style="295" customWidth="1"/>
    <col min="15128" max="15128" width="3.7109375" style="295" customWidth="1"/>
    <col min="15129" max="15129" width="0.85546875" style="295" customWidth="1"/>
    <col min="15130" max="15360" width="11.42578125" style="295"/>
    <col min="15361" max="15361" width="0.85546875" style="295" customWidth="1"/>
    <col min="15362" max="15362" width="3.7109375" style="295" customWidth="1"/>
    <col min="15363" max="15367" width="4.85546875" style="295" customWidth="1"/>
    <col min="15368" max="15370" width="3.28515625" style="295" customWidth="1"/>
    <col min="15371" max="15371" width="3.42578125" style="295" customWidth="1"/>
    <col min="15372" max="15372" width="5.7109375" style="295" customWidth="1"/>
    <col min="15373" max="15373" width="4.7109375" style="295" customWidth="1"/>
    <col min="15374" max="15374" width="5.7109375" style="295" customWidth="1"/>
    <col min="15375" max="15375" width="3.42578125" style="295" customWidth="1"/>
    <col min="15376" max="15378" width="3.28515625" style="295" customWidth="1"/>
    <col min="15379" max="15383" width="4.85546875" style="295" customWidth="1"/>
    <col min="15384" max="15384" width="3.7109375" style="295" customWidth="1"/>
    <col min="15385" max="15385" width="0.85546875" style="295" customWidth="1"/>
    <col min="15386" max="15616" width="11.42578125" style="295"/>
    <col min="15617" max="15617" width="0.85546875" style="295" customWidth="1"/>
    <col min="15618" max="15618" width="3.7109375" style="295" customWidth="1"/>
    <col min="15619" max="15623" width="4.85546875" style="295" customWidth="1"/>
    <col min="15624" max="15626" width="3.28515625" style="295" customWidth="1"/>
    <col min="15627" max="15627" width="3.42578125" style="295" customWidth="1"/>
    <col min="15628" max="15628" width="5.7109375" style="295" customWidth="1"/>
    <col min="15629" max="15629" width="4.7109375" style="295" customWidth="1"/>
    <col min="15630" max="15630" width="5.7109375" style="295" customWidth="1"/>
    <col min="15631" max="15631" width="3.42578125" style="295" customWidth="1"/>
    <col min="15632" max="15634" width="3.28515625" style="295" customWidth="1"/>
    <col min="15635" max="15639" width="4.85546875" style="295" customWidth="1"/>
    <col min="15640" max="15640" width="3.7109375" style="295" customWidth="1"/>
    <col min="15641" max="15641" width="0.85546875" style="295" customWidth="1"/>
    <col min="15642" max="15872" width="11.42578125" style="295"/>
    <col min="15873" max="15873" width="0.85546875" style="295" customWidth="1"/>
    <col min="15874" max="15874" width="3.7109375" style="295" customWidth="1"/>
    <col min="15875" max="15879" width="4.85546875" style="295" customWidth="1"/>
    <col min="15880" max="15882" width="3.28515625" style="295" customWidth="1"/>
    <col min="15883" max="15883" width="3.42578125" style="295" customWidth="1"/>
    <col min="15884" max="15884" width="5.7109375" style="295" customWidth="1"/>
    <col min="15885" max="15885" width="4.7109375" style="295" customWidth="1"/>
    <col min="15886" max="15886" width="5.7109375" style="295" customWidth="1"/>
    <col min="15887" max="15887" width="3.42578125" style="295" customWidth="1"/>
    <col min="15888" max="15890" width="3.28515625" style="295" customWidth="1"/>
    <col min="15891" max="15895" width="4.85546875" style="295" customWidth="1"/>
    <col min="15896" max="15896" width="3.7109375" style="295" customWidth="1"/>
    <col min="15897" max="15897" width="0.85546875" style="295" customWidth="1"/>
    <col min="15898" max="16128" width="11.42578125" style="295"/>
    <col min="16129" max="16129" width="0.85546875" style="295" customWidth="1"/>
    <col min="16130" max="16130" width="3.7109375" style="295" customWidth="1"/>
    <col min="16131" max="16135" width="4.85546875" style="295" customWidth="1"/>
    <col min="16136" max="16138" width="3.28515625" style="295" customWidth="1"/>
    <col min="16139" max="16139" width="3.42578125" style="295" customWidth="1"/>
    <col min="16140" max="16140" width="5.7109375" style="295" customWidth="1"/>
    <col min="16141" max="16141" width="4.7109375" style="295" customWidth="1"/>
    <col min="16142" max="16142" width="5.7109375" style="295" customWidth="1"/>
    <col min="16143" max="16143" width="3.42578125" style="295" customWidth="1"/>
    <col min="16144" max="16146" width="3.28515625" style="295" customWidth="1"/>
    <col min="16147" max="16151" width="4.85546875" style="295" customWidth="1"/>
    <col min="16152" max="16152" width="3.7109375" style="295" customWidth="1"/>
    <col min="16153" max="16153" width="0.85546875" style="295" customWidth="1"/>
    <col min="16154" max="16384" width="11.42578125" style="295"/>
  </cols>
  <sheetData>
    <row r="2" spans="2:27" ht="27" thickBot="1" x14ac:dyDescent="0.3">
      <c r="H2" s="295"/>
      <c r="J2" s="296"/>
      <c r="R2" s="296"/>
      <c r="S2" s="295"/>
      <c r="T2" s="295"/>
      <c r="U2" s="295"/>
      <c r="V2" s="295"/>
      <c r="AA2" s="297" t="s">
        <v>174</v>
      </c>
    </row>
    <row r="3" spans="2:27" ht="39.75" customHeight="1" thickBot="1" x14ac:dyDescent="0.3">
      <c r="B3" s="582" t="e" vm="1">
        <v>#VALUE!</v>
      </c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  <c r="R3" s="584"/>
      <c r="S3" s="549" t="s">
        <v>175</v>
      </c>
      <c r="T3" s="550"/>
      <c r="U3" s="580">
        <f>AA3</f>
        <v>32</v>
      </c>
      <c r="V3" s="580"/>
      <c r="W3" s="580"/>
      <c r="X3" s="581"/>
      <c r="Y3" s="295">
        <f>AA3</f>
        <v>32</v>
      </c>
      <c r="AA3" s="298">
        <v>32</v>
      </c>
    </row>
    <row r="4" spans="2:27" ht="13.5" thickBot="1" x14ac:dyDescent="0.3">
      <c r="B4" s="549" t="s">
        <v>176</v>
      </c>
      <c r="C4" s="550"/>
      <c r="D4" s="575" t="str">
        <f>IF(U3=0,"",VLOOKUP(U3,'LLAVE 32'!$BL$5:$CB$437,16,FALSE))</f>
        <v>U13 FEMENINO</v>
      </c>
      <c r="E4" s="575"/>
      <c r="F4" s="575"/>
      <c r="G4" s="575"/>
      <c r="H4" s="575"/>
      <c r="I4" s="575"/>
      <c r="J4" s="562"/>
      <c r="K4" s="549" t="s">
        <v>177</v>
      </c>
      <c r="L4" s="550"/>
      <c r="M4" s="575" t="str">
        <f>IF(U3=0,"",VLOOKUP(U3,'LLAVE 32'!$BL$5:$CB$437,17,FALSE))</f>
        <v>FINAL</v>
      </c>
      <c r="N4" s="575"/>
      <c r="O4" s="575"/>
      <c r="P4" s="575"/>
      <c r="Q4" s="575"/>
      <c r="R4" s="562"/>
      <c r="S4" s="576" t="str">
        <f>IF(U3=0,"",VLOOKUP(U3,'LLAVE 32'!$BL$5:$CB$437,2,FALSE))</f>
        <v>28/Sep</v>
      </c>
      <c r="T4" s="577"/>
      <c r="U4" s="578">
        <f>IF(U3=0,"",VLOOKUP(U3,'LLAVE 32'!$BL$5:$CB$437,3,FALSE))</f>
        <v>0</v>
      </c>
      <c r="V4" s="579"/>
      <c r="W4" s="561" t="e">
        <f>IF(U3=0,"","Table "&amp;VLOOKUP(U3,'LLAVE 32'!$BM$8:$DE$437,4,FALSE))</f>
        <v>#N/A</v>
      </c>
      <c r="X4" s="562"/>
    </row>
    <row r="6" spans="2:27" ht="13.5" thickBot="1" x14ac:dyDescent="0.3">
      <c r="G6" s="299" t="s">
        <v>178</v>
      </c>
      <c r="H6" s="299" t="s">
        <v>179</v>
      </c>
      <c r="I6" s="299" t="s">
        <v>180</v>
      </c>
      <c r="J6" s="299" t="s">
        <v>181</v>
      </c>
      <c r="K6" s="299" t="s">
        <v>182</v>
      </c>
      <c r="L6" s="300"/>
      <c r="M6" s="301" t="s">
        <v>76</v>
      </c>
      <c r="N6" s="302"/>
      <c r="O6" s="299" t="s">
        <v>182</v>
      </c>
      <c r="P6" s="299" t="s">
        <v>179</v>
      </c>
      <c r="Q6" s="299" t="s">
        <v>180</v>
      </c>
      <c r="R6" s="299" t="s">
        <v>181</v>
      </c>
      <c r="S6" s="299" t="s">
        <v>178</v>
      </c>
      <c r="T6" s="303"/>
    </row>
    <row r="7" spans="2:27" ht="25.5" thickTop="1" x14ac:dyDescent="0.25">
      <c r="B7" s="563" t="s">
        <v>183</v>
      </c>
      <c r="C7" s="304"/>
      <c r="D7" s="305"/>
      <c r="E7" s="306">
        <f ca="1">IF(U3=0,"",VLOOKUP(U3,'LLAVE 32'!$BL$5:$CB$437,14,FALSE))</f>
        <v>4159</v>
      </c>
      <c r="F7" s="307"/>
      <c r="G7" s="308"/>
      <c r="H7" s="308"/>
      <c r="I7" s="308"/>
      <c r="J7" s="308"/>
      <c r="K7" s="309"/>
      <c r="L7" s="310"/>
      <c r="M7" s="311" t="s">
        <v>184</v>
      </c>
      <c r="N7" s="312"/>
      <c r="O7" s="313"/>
      <c r="P7" s="308"/>
      <c r="Q7" s="308"/>
      <c r="R7" s="308"/>
      <c r="S7" s="308"/>
      <c r="T7" s="314"/>
      <c r="U7" s="306">
        <f ca="1">IF(U3=0,"",VLOOKUP(U3,'LLAVE 32'!$BL$5:$CB$437,15,FALSE))</f>
        <v>3918</v>
      </c>
      <c r="V7" s="315"/>
      <c r="W7" s="316"/>
      <c r="X7" s="563" t="s">
        <v>185</v>
      </c>
    </row>
    <row r="8" spans="2:27" ht="24.75" x14ac:dyDescent="0.25">
      <c r="B8" s="564"/>
      <c r="C8" s="317"/>
      <c r="D8" s="318"/>
      <c r="E8" s="318" t="str">
        <f ca="1">IF(E7=0,0,VLOOKUP(E7,Inscripciones!$B$1:$K$405,2,FALSE))</f>
        <v>MARÍA FERNANDA ZELEDÓN HERRERA</v>
      </c>
      <c r="F8" s="318"/>
      <c r="G8" s="319"/>
      <c r="H8" s="308"/>
      <c r="I8" s="308"/>
      <c r="J8" s="308"/>
      <c r="K8" s="309"/>
      <c r="L8" s="320"/>
      <c r="M8" s="321" t="s">
        <v>186</v>
      </c>
      <c r="N8" s="322"/>
      <c r="O8" s="313"/>
      <c r="P8" s="308"/>
      <c r="Q8" s="308"/>
      <c r="R8" s="308"/>
      <c r="S8" s="323"/>
      <c r="T8" s="324"/>
      <c r="U8" s="318" t="str">
        <f ca="1">IF(U7=0,0,VLOOKUP(U7,Inscripciones!$B$1:$K$405,2,FALSE))</f>
        <v>MARIANA SOTO CALDERON</v>
      </c>
      <c r="V8" s="318"/>
      <c r="W8" s="325"/>
      <c r="X8" s="564"/>
    </row>
    <row r="9" spans="2:27" ht="24.75" x14ac:dyDescent="0.25">
      <c r="B9" s="564"/>
      <c r="C9" s="566" t="str">
        <f ca="1">IF(E7=0,0,VLOOKUP(E7,Inscripciones!$B$1:$K$405,3,FALSE))</f>
        <v>ESPARZA</v>
      </c>
      <c r="D9" s="567"/>
      <c r="E9" s="567"/>
      <c r="F9" s="567"/>
      <c r="G9" s="568"/>
      <c r="H9" s="308"/>
      <c r="I9" s="308"/>
      <c r="J9" s="308"/>
      <c r="K9" s="309"/>
      <c r="L9" s="320"/>
      <c r="M9" s="321" t="s">
        <v>187</v>
      </c>
      <c r="N9" s="322"/>
      <c r="O9" s="313"/>
      <c r="P9" s="308"/>
      <c r="Q9" s="308"/>
      <c r="R9" s="308"/>
      <c r="S9" s="566" t="str">
        <f ca="1">IF(U7=0,0,VLOOKUP(U7,Inscripciones!$B$1:$K$405,3,FALSE))</f>
        <v>ESPARZA</v>
      </c>
      <c r="T9" s="567"/>
      <c r="U9" s="567"/>
      <c r="V9" s="567"/>
      <c r="W9" s="568"/>
      <c r="X9" s="564"/>
    </row>
    <row r="10" spans="2:27" ht="36.75" x14ac:dyDescent="0.25">
      <c r="B10" s="564"/>
      <c r="C10" s="317"/>
      <c r="D10" s="306"/>
      <c r="E10" s="306"/>
      <c r="F10" s="306"/>
      <c r="G10" s="319"/>
      <c r="H10" s="308"/>
      <c r="I10" s="308"/>
      <c r="J10" s="308"/>
      <c r="K10" s="309"/>
      <c r="L10" s="326" t="str">
        <f>IF(U3&lt;29,"X","")</f>
        <v/>
      </c>
      <c r="M10" s="321" t="s">
        <v>188</v>
      </c>
      <c r="N10" s="327" t="str">
        <f>IF(U3&lt;29,"X","")</f>
        <v/>
      </c>
      <c r="O10" s="313"/>
      <c r="P10" s="308"/>
      <c r="Q10" s="308"/>
      <c r="R10" s="308"/>
      <c r="S10" s="323" t="str">
        <f>IF(ISBLANK(R10),"",VLOOKUP(R10,Inscripciones!$A$1:$L$200,2,FALSE))</f>
        <v/>
      </c>
      <c r="T10" s="328"/>
      <c r="U10" s="306"/>
      <c r="V10" s="306"/>
      <c r="W10" s="325"/>
      <c r="X10" s="564"/>
    </row>
    <row r="11" spans="2:27" ht="37.5" thickBot="1" x14ac:dyDescent="0.3">
      <c r="B11" s="564"/>
      <c r="C11" s="566"/>
      <c r="D11" s="567"/>
      <c r="E11" s="567"/>
      <c r="F11" s="567"/>
      <c r="G11" s="568"/>
      <c r="H11" s="308"/>
      <c r="I11" s="308"/>
      <c r="J11" s="308"/>
      <c r="K11" s="309"/>
      <c r="L11" s="326" t="str">
        <f>IF(U3&lt;29,"X","")</f>
        <v/>
      </c>
      <c r="M11" s="321" t="s">
        <v>189</v>
      </c>
      <c r="N11" s="329" t="str">
        <f>IF(U3&lt;29,"X","")</f>
        <v/>
      </c>
      <c r="O11" s="313"/>
      <c r="P11" s="308"/>
      <c r="Q11" s="308"/>
      <c r="R11" s="308"/>
      <c r="S11" s="566" t="str">
        <f>IF(ISBLANK(R11),"",VLOOKUP(R11,Inscripciones!$A$1:$L$200,2,FALSE))</f>
        <v/>
      </c>
      <c r="T11" s="567"/>
      <c r="U11" s="567"/>
      <c r="V11" s="567"/>
      <c r="W11" s="568"/>
      <c r="X11" s="564"/>
    </row>
    <row r="12" spans="2:27" ht="37.5" thickTop="1" x14ac:dyDescent="0.25">
      <c r="B12" s="564"/>
      <c r="C12" s="317"/>
      <c r="D12" s="569"/>
      <c r="E12" s="570"/>
      <c r="F12" s="571"/>
      <c r="G12" s="330"/>
      <c r="H12" s="308"/>
      <c r="I12" s="308"/>
      <c r="J12" s="308"/>
      <c r="K12" s="309"/>
      <c r="L12" s="326" t="str">
        <f>IF(U3&lt;600,"X","")</f>
        <v>X</v>
      </c>
      <c r="M12" s="321" t="s">
        <v>190</v>
      </c>
      <c r="N12" s="327" t="str">
        <f>IF(U3&lt;600,"X","")</f>
        <v>X</v>
      </c>
      <c r="O12" s="313"/>
      <c r="P12" s="308"/>
      <c r="Q12" s="308"/>
      <c r="R12" s="308"/>
      <c r="S12" s="331" t="str">
        <f>IF(ISBLANK(R12),"",VLOOKUP(R12,Inscripciones!$A$1:$L$200,2,FALSE))</f>
        <v/>
      </c>
      <c r="T12" s="569" t="str">
        <f>IF(ISBLANK(R12),"",VLOOKUP(R12,Inscripciones!$A$1:$L$200,3,FALSE))</f>
        <v/>
      </c>
      <c r="U12" s="570"/>
      <c r="V12" s="571"/>
      <c r="W12" s="325"/>
      <c r="X12" s="564"/>
    </row>
    <row r="13" spans="2:27" ht="37.5" thickBot="1" x14ac:dyDescent="0.3">
      <c r="B13" s="565"/>
      <c r="C13" s="332"/>
      <c r="D13" s="572"/>
      <c r="E13" s="573"/>
      <c r="F13" s="574"/>
      <c r="G13" s="333"/>
      <c r="H13" s="308"/>
      <c r="I13" s="308"/>
      <c r="J13" s="308"/>
      <c r="K13" s="309"/>
      <c r="L13" s="334" t="str">
        <f>IF(U3&lt;600,"X","")</f>
        <v>X</v>
      </c>
      <c r="M13" s="335" t="s">
        <v>191</v>
      </c>
      <c r="N13" s="329" t="str">
        <f>IF(U3&lt;600,"X","")</f>
        <v>X</v>
      </c>
      <c r="O13" s="313"/>
      <c r="P13" s="308"/>
      <c r="Q13" s="308"/>
      <c r="R13" s="308"/>
      <c r="S13" s="336" t="str">
        <f>IF(ISBLANK(R13),"",VLOOKUP(R13,Inscripciones!$A$1:$L$200,2,FALSE))</f>
        <v/>
      </c>
      <c r="T13" s="572"/>
      <c r="U13" s="573"/>
      <c r="V13" s="574"/>
      <c r="W13" s="337"/>
      <c r="X13" s="565"/>
    </row>
    <row r="14" spans="2:27" ht="14.25" thickTop="1" thickBot="1" x14ac:dyDescent="0.3">
      <c r="D14" s="338"/>
      <c r="S14" s="296" t="str">
        <f>IF(ISBLANK(R14),"",VLOOKUP(R14,Inscripciones!$A$1:$L$200,2,FALSE))</f>
        <v/>
      </c>
      <c r="T14" s="296" t="str">
        <f>IF(ISBLANK(R14),"",VLOOKUP(R14,Inscripciones!$A$1:$L$200,3,FALSE))</f>
        <v/>
      </c>
    </row>
    <row r="15" spans="2:27" ht="23.45" customHeight="1" thickBot="1" x14ac:dyDescent="0.3">
      <c r="B15" s="549" t="s">
        <v>192</v>
      </c>
      <c r="C15" s="550"/>
      <c r="D15" s="339" t="s">
        <v>193</v>
      </c>
      <c r="E15" s="551" t="e">
        <f>IF(D15=0,0,VLOOKUP(D15,Inscripciones!$A$1:$L$200,2,FALSE))</f>
        <v>#N/A</v>
      </c>
      <c r="F15" s="552"/>
      <c r="G15" s="552"/>
      <c r="H15" s="552"/>
      <c r="I15" s="552"/>
      <c r="J15" s="552"/>
      <c r="K15" s="552"/>
      <c r="L15" s="553"/>
      <c r="M15" s="295"/>
      <c r="N15" s="295"/>
      <c r="O15" s="554" t="s">
        <v>194</v>
      </c>
      <c r="P15" s="555"/>
      <c r="Q15" s="555"/>
      <c r="R15" s="555"/>
      <c r="S15" s="555"/>
      <c r="T15" s="555"/>
      <c r="U15" s="555"/>
      <c r="V15" s="555"/>
      <c r="W15" s="556"/>
      <c r="X15" s="340"/>
    </row>
    <row r="16" spans="2:27" x14ac:dyDescent="0.25">
      <c r="S16" s="296" t="str">
        <f>IF(ISBLANK(R16),"",VLOOKUP(R16,Inscripciones!$A$1:$L$200,2,FALSE))</f>
        <v/>
      </c>
      <c r="T16" s="296" t="str">
        <f>IF(ISBLANK(R16),"",VLOOKUP(R16,Inscripciones!$A$1:$L$200,3,FALSE))</f>
        <v/>
      </c>
    </row>
    <row r="17" spans="2:24" ht="23.45" customHeight="1" x14ac:dyDescent="0.25">
      <c r="B17" s="557" t="s">
        <v>195</v>
      </c>
      <c r="C17" s="558"/>
      <c r="D17" s="558"/>
      <c r="E17" s="559"/>
      <c r="F17" s="341"/>
      <c r="G17" s="341"/>
      <c r="H17" s="341"/>
      <c r="I17" s="341"/>
      <c r="J17" s="342"/>
      <c r="K17" s="341"/>
      <c r="L17" s="343"/>
      <c r="N17" s="344"/>
      <c r="O17" s="342"/>
      <c r="P17" s="342"/>
      <c r="Q17" s="341"/>
      <c r="R17" s="341"/>
      <c r="S17" s="341" t="str">
        <f>IF(ISBLANK(R17),"",VLOOKUP(R17,Inscripciones!$A$1:$L$200,2,FALSE))</f>
        <v/>
      </c>
      <c r="T17" s="341" t="str">
        <f>IF(ISBLANK(R17),"",VLOOKUP(R17,Inscripciones!$A$1:$L$200,3,FALSE))</f>
        <v/>
      </c>
      <c r="U17" s="557" t="s">
        <v>196</v>
      </c>
      <c r="V17" s="558"/>
      <c r="W17" s="558"/>
      <c r="X17" s="559"/>
    </row>
    <row r="18" spans="2:24" ht="44.25" customHeight="1" x14ac:dyDescent="0.25"/>
    <row r="19" spans="2:24" ht="24.75" customHeight="1" x14ac:dyDescent="0.25">
      <c r="B19" s="554" t="s">
        <v>197</v>
      </c>
      <c r="C19" s="555"/>
      <c r="D19" s="560"/>
      <c r="E19" s="345"/>
      <c r="F19" s="543"/>
      <c r="G19" s="544"/>
      <c r="H19" s="544"/>
      <c r="I19" s="544"/>
      <c r="J19" s="544"/>
      <c r="K19" s="545"/>
      <c r="L19" s="346"/>
      <c r="N19" s="546" t="s">
        <v>198</v>
      </c>
      <c r="O19" s="547"/>
      <c r="P19" s="547"/>
      <c r="Q19" s="548"/>
      <c r="R19" s="347"/>
      <c r="S19" s="347"/>
      <c r="T19" s="347"/>
      <c r="U19" s="347"/>
      <c r="V19" s="348"/>
      <c r="W19" s="347"/>
      <c r="X19" s="349"/>
    </row>
    <row r="20" spans="2:24" ht="24.75" customHeight="1" x14ac:dyDescent="0.25">
      <c r="B20" s="540" t="s">
        <v>199</v>
      </c>
      <c r="C20" s="541"/>
      <c r="D20" s="542"/>
      <c r="E20" s="345"/>
      <c r="F20" s="543"/>
      <c r="G20" s="544"/>
      <c r="H20" s="544"/>
      <c r="I20" s="544"/>
      <c r="J20" s="544"/>
      <c r="K20" s="545"/>
      <c r="L20" s="346"/>
      <c r="N20" s="546" t="s">
        <v>200</v>
      </c>
      <c r="O20" s="547"/>
      <c r="P20" s="547"/>
      <c r="Q20" s="548"/>
      <c r="R20" s="350"/>
      <c r="S20" s="350"/>
      <c r="T20" s="350"/>
      <c r="U20" s="350"/>
      <c r="V20" s="351"/>
      <c r="W20" s="350"/>
      <c r="X20" s="333"/>
    </row>
    <row r="21" spans="2:24" ht="15" customHeight="1" x14ac:dyDescent="0.25">
      <c r="E21" s="295"/>
      <c r="F21" s="295"/>
      <c r="G21" s="295"/>
      <c r="H21" s="295"/>
      <c r="I21" s="295"/>
      <c r="K21" s="295"/>
      <c r="L21" s="295"/>
      <c r="M21" s="295"/>
      <c r="N21" s="295"/>
      <c r="O21" s="295"/>
      <c r="P21" s="295"/>
      <c r="Q21" s="295"/>
      <c r="S21" s="295" t="str">
        <f>IF(ISBLANK(R21),"",VLOOKUP(R21,Inscripciones!$A$1:$L$200,2,FALSE))</f>
        <v/>
      </c>
      <c r="T21" s="295" t="str">
        <f>IF(ISBLANK(R21),"",VLOOKUP(R21,Inscripciones!$A$1:$L$200,3,FALSE))</f>
        <v/>
      </c>
      <c r="U21" s="295"/>
      <c r="V21" s="295"/>
    </row>
    <row r="22" spans="2:24" ht="15" customHeight="1" thickBot="1" x14ac:dyDescent="0.3">
      <c r="E22" s="295"/>
      <c r="F22" s="295"/>
      <c r="G22" s="295"/>
      <c r="H22" s="295"/>
      <c r="I22" s="295"/>
      <c r="K22" s="295"/>
      <c r="L22" s="295"/>
      <c r="M22" s="295"/>
      <c r="N22" s="295"/>
      <c r="O22" s="295"/>
      <c r="P22" s="295"/>
      <c r="Q22" s="295"/>
      <c r="S22" s="295"/>
      <c r="T22" s="295"/>
      <c r="U22" s="295"/>
      <c r="V22" s="295"/>
    </row>
    <row r="23" spans="2:24" ht="45" customHeight="1" thickBot="1" x14ac:dyDescent="0.3">
      <c r="B23" s="582" t="e" vm="1">
        <v>#VALUE!</v>
      </c>
      <c r="C23" s="583"/>
      <c r="D23" s="583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  <c r="P23" s="583"/>
      <c r="Q23" s="583"/>
      <c r="R23" s="584"/>
      <c r="S23" s="549" t="s">
        <v>175</v>
      </c>
      <c r="T23" s="550"/>
      <c r="U23" s="580">
        <f>1+U3</f>
        <v>33</v>
      </c>
      <c r="V23" s="580"/>
      <c r="W23" s="580"/>
      <c r="X23" s="581"/>
    </row>
    <row r="24" spans="2:24" ht="20.100000000000001" customHeight="1" thickBot="1" x14ac:dyDescent="0.3">
      <c r="B24" s="549" t="s">
        <v>176</v>
      </c>
      <c r="C24" s="550"/>
      <c r="D24" s="575" t="e">
        <f>IF(U23=0,"",VLOOKUP(U23,'LLAVE 32'!$BL$5:$CB$437,16,FALSE))</f>
        <v>#N/A</v>
      </c>
      <c r="E24" s="575"/>
      <c r="F24" s="575"/>
      <c r="G24" s="575"/>
      <c r="H24" s="575"/>
      <c r="I24" s="575"/>
      <c r="J24" s="562"/>
      <c r="K24" s="549" t="s">
        <v>177</v>
      </c>
      <c r="L24" s="550"/>
      <c r="M24" s="575" t="e">
        <f>IF(U23=0,"",VLOOKUP(U23,'LLAVE 32'!$BL$5:$CB$437,17,FALSE))</f>
        <v>#N/A</v>
      </c>
      <c r="N24" s="575"/>
      <c r="O24" s="575"/>
      <c r="P24" s="575"/>
      <c r="Q24" s="575"/>
      <c r="R24" s="562"/>
      <c r="S24" s="576" t="str">
        <f>IF(U3=0,"",VLOOKUP(U3,'LLAVE 32'!$BL$5:$CB$437,2,FALSE))</f>
        <v>28/Sep</v>
      </c>
      <c r="T24" s="577"/>
      <c r="U24" s="578" t="e">
        <f>IF(U23=0,"",VLOOKUP(U23,'LLAVE 32'!$BL$5:$CB$437,3,FALSE))</f>
        <v>#N/A</v>
      </c>
      <c r="V24" s="579"/>
      <c r="W24" s="561" t="e">
        <f>IF(U23=0,"","Table "&amp;VLOOKUP(U23,'LLAVE 32'!$BM$8:$DE$437,4,FALSE))</f>
        <v>#N/A</v>
      </c>
      <c r="X24" s="562"/>
    </row>
    <row r="25" spans="2:24" ht="6" customHeight="1" x14ac:dyDescent="0.25">
      <c r="S25" s="296" t="str">
        <f>IF(ISBLANK(R25),"",VLOOKUP(R25,Inscripciones!$A$1:$L$200,2,FALSE))</f>
        <v/>
      </c>
      <c r="T25" s="296" t="str">
        <f>IF(ISBLANK(R25),"",VLOOKUP(R25,Inscripciones!$A$1:$L$200,3,FALSE))</f>
        <v/>
      </c>
    </row>
    <row r="26" spans="2:24" ht="13.5" thickBot="1" x14ac:dyDescent="0.3">
      <c r="G26" s="299" t="s">
        <v>178</v>
      </c>
      <c r="H26" s="299" t="s">
        <v>179</v>
      </c>
      <c r="I26" s="299" t="s">
        <v>180</v>
      </c>
      <c r="J26" s="299" t="s">
        <v>181</v>
      </c>
      <c r="K26" s="299" t="s">
        <v>182</v>
      </c>
      <c r="L26" s="300"/>
      <c r="M26" s="301" t="s">
        <v>76</v>
      </c>
      <c r="N26" s="302"/>
      <c r="O26" s="299" t="s">
        <v>182</v>
      </c>
      <c r="P26" s="299" t="s">
        <v>179</v>
      </c>
      <c r="Q26" s="299" t="s">
        <v>180</v>
      </c>
      <c r="R26" s="299" t="s">
        <v>181</v>
      </c>
      <c r="S26" s="299" t="s">
        <v>178</v>
      </c>
      <c r="T26" s="303"/>
    </row>
    <row r="27" spans="2:24" ht="24.75" customHeight="1" thickTop="1" x14ac:dyDescent="0.25">
      <c r="B27" s="563" t="s">
        <v>183</v>
      </c>
      <c r="C27" s="304"/>
      <c r="D27" s="305"/>
      <c r="E27" s="306" t="e">
        <f>IF(U23=0,"",VLOOKUP(U23,'LLAVE 32'!$BL$5:$CB$437,14,FALSE))</f>
        <v>#N/A</v>
      </c>
      <c r="F27" s="307"/>
      <c r="G27" s="308"/>
      <c r="H27" s="308"/>
      <c r="I27" s="308"/>
      <c r="J27" s="308"/>
      <c r="K27" s="309"/>
      <c r="L27" s="310"/>
      <c r="M27" s="311" t="s">
        <v>184</v>
      </c>
      <c r="N27" s="312"/>
      <c r="O27" s="313"/>
      <c r="P27" s="308"/>
      <c r="Q27" s="308"/>
      <c r="R27" s="308"/>
      <c r="S27" s="308" t="str">
        <f>IF(ISBLANK(R27),"",VLOOKUP(R27,Inscripciones!$A$1:$L$200,2,FALSE))</f>
        <v/>
      </c>
      <c r="T27" s="314" t="str">
        <f>IF(ISBLANK(R27),"",VLOOKUP(R27,Inscripciones!$A$1:$L$200,3,FALSE))</f>
        <v/>
      </c>
      <c r="U27" s="306" t="e">
        <f>IF(U23=0,"",VLOOKUP(U23,'LLAVE 32'!$BL$5:$CB$437,15,FALSE))</f>
        <v>#N/A</v>
      </c>
      <c r="V27" s="315"/>
      <c r="W27" s="316"/>
      <c r="X27" s="563" t="s">
        <v>185</v>
      </c>
    </row>
    <row r="28" spans="2:24" ht="24.75" customHeight="1" x14ac:dyDescent="0.25">
      <c r="B28" s="564"/>
      <c r="C28" s="317"/>
      <c r="D28" s="318"/>
      <c r="E28" s="318" t="e">
        <f>IF(E27=0,0,VLOOKUP(E27,Inscripciones!$B$1:$K$405,2,FALSE))</f>
        <v>#N/A</v>
      </c>
      <c r="F28" s="318"/>
      <c r="G28" s="319"/>
      <c r="H28" s="308"/>
      <c r="I28" s="308"/>
      <c r="J28" s="308"/>
      <c r="K28" s="309"/>
      <c r="L28" s="320"/>
      <c r="M28" s="321" t="s">
        <v>186</v>
      </c>
      <c r="N28" s="322"/>
      <c r="O28" s="313"/>
      <c r="P28" s="308"/>
      <c r="Q28" s="308"/>
      <c r="R28" s="308"/>
      <c r="S28" s="323"/>
      <c r="T28" s="324"/>
      <c r="U28" s="318" t="e">
        <f>IF(U27=0,0,VLOOKUP(U27,Inscripciones!$B$1:$K$405,2,FALSE))</f>
        <v>#N/A</v>
      </c>
      <c r="V28" s="318"/>
      <c r="W28" s="325"/>
      <c r="X28" s="564"/>
    </row>
    <row r="29" spans="2:24" ht="24.75" customHeight="1" x14ac:dyDescent="0.25">
      <c r="B29" s="564"/>
      <c r="C29" s="566" t="e">
        <f>IF(E27=0,0,VLOOKUP(E27,Inscripciones!$B$1:$K$405,3,FALSE))</f>
        <v>#N/A</v>
      </c>
      <c r="D29" s="567"/>
      <c r="E29" s="567"/>
      <c r="F29" s="567"/>
      <c r="G29" s="568"/>
      <c r="H29" s="308"/>
      <c r="I29" s="308"/>
      <c r="J29" s="308"/>
      <c r="K29" s="309"/>
      <c r="L29" s="320"/>
      <c r="M29" s="321" t="s">
        <v>187</v>
      </c>
      <c r="N29" s="322"/>
      <c r="O29" s="313"/>
      <c r="P29" s="308"/>
      <c r="Q29" s="308"/>
      <c r="R29" s="308"/>
      <c r="S29" s="566" t="e">
        <f>IF(U27=0,0,VLOOKUP(U27,Inscripciones!$B$1:$K$405,3,FALSE))</f>
        <v>#N/A</v>
      </c>
      <c r="T29" s="567"/>
      <c r="U29" s="567"/>
      <c r="V29" s="567"/>
      <c r="W29" s="568"/>
      <c r="X29" s="564"/>
    </row>
    <row r="30" spans="2:24" ht="24.75" customHeight="1" x14ac:dyDescent="0.25">
      <c r="B30" s="564"/>
      <c r="C30" s="317"/>
      <c r="D30" s="306"/>
      <c r="E30" s="306"/>
      <c r="F30" s="306"/>
      <c r="G30" s="319"/>
      <c r="H30" s="308"/>
      <c r="I30" s="308"/>
      <c r="J30" s="308"/>
      <c r="K30" s="309"/>
      <c r="L30" s="326" t="str">
        <f>IF(U23&lt;29,"X","")</f>
        <v/>
      </c>
      <c r="M30" s="321" t="s">
        <v>188</v>
      </c>
      <c r="N30" s="326" t="str">
        <f>IF(U23&lt;29,"X","")</f>
        <v/>
      </c>
      <c r="O30" s="313"/>
      <c r="P30" s="308"/>
      <c r="Q30" s="308"/>
      <c r="R30" s="308"/>
      <c r="S30" s="323"/>
      <c r="T30" s="328"/>
      <c r="U30" s="306"/>
      <c r="V30" s="306"/>
      <c r="W30" s="325"/>
      <c r="X30" s="564"/>
    </row>
    <row r="31" spans="2:24" ht="24.75" customHeight="1" thickBot="1" x14ac:dyDescent="0.3">
      <c r="B31" s="564"/>
      <c r="C31" s="566"/>
      <c r="D31" s="567"/>
      <c r="E31" s="567"/>
      <c r="F31" s="567"/>
      <c r="G31" s="568"/>
      <c r="H31" s="308"/>
      <c r="I31" s="308"/>
      <c r="J31" s="308"/>
      <c r="K31" s="309"/>
      <c r="L31" s="334" t="str">
        <f>IF(U23&lt;29,"X","")</f>
        <v/>
      </c>
      <c r="M31" s="321" t="s">
        <v>189</v>
      </c>
      <c r="N31" s="334" t="str">
        <f>IF(U23&lt;29,"X","")</f>
        <v/>
      </c>
      <c r="O31" s="313"/>
      <c r="P31" s="308"/>
      <c r="Q31" s="308"/>
      <c r="R31" s="308"/>
      <c r="S31" s="566"/>
      <c r="T31" s="567"/>
      <c r="U31" s="567"/>
      <c r="V31" s="567"/>
      <c r="W31" s="568"/>
      <c r="X31" s="564"/>
    </row>
    <row r="32" spans="2:24" ht="24.75" customHeight="1" thickTop="1" x14ac:dyDescent="0.25">
      <c r="B32" s="564"/>
      <c r="C32" s="317"/>
      <c r="D32" s="569"/>
      <c r="E32" s="570"/>
      <c r="F32" s="571"/>
      <c r="G32" s="330"/>
      <c r="H32" s="308"/>
      <c r="I32" s="308"/>
      <c r="J32" s="308"/>
      <c r="K32" s="309"/>
      <c r="L32" s="326" t="str">
        <f>IF(U23&lt;600,"X","")</f>
        <v>X</v>
      </c>
      <c r="M32" s="321" t="s">
        <v>190</v>
      </c>
      <c r="N32" s="327" t="str">
        <f>IF(U23&lt;600,"X","")</f>
        <v>X</v>
      </c>
      <c r="O32" s="313"/>
      <c r="P32" s="308"/>
      <c r="Q32" s="308"/>
      <c r="R32" s="308"/>
      <c r="S32" s="331"/>
      <c r="T32" s="569"/>
      <c r="U32" s="570"/>
      <c r="V32" s="571"/>
      <c r="W32" s="325"/>
      <c r="X32" s="564"/>
    </row>
    <row r="33" spans="2:24" ht="24.75" customHeight="1" thickBot="1" x14ac:dyDescent="0.3">
      <c r="B33" s="565"/>
      <c r="C33" s="332"/>
      <c r="D33" s="572"/>
      <c r="E33" s="573"/>
      <c r="F33" s="574"/>
      <c r="G33" s="333"/>
      <c r="H33" s="308"/>
      <c r="I33" s="308"/>
      <c r="J33" s="308"/>
      <c r="K33" s="309"/>
      <c r="L33" s="334" t="str">
        <f>IF(U23&lt;600,"X","")</f>
        <v>X</v>
      </c>
      <c r="M33" s="335" t="s">
        <v>191</v>
      </c>
      <c r="N33" s="329" t="str">
        <f>IF(U23&lt;600,"X","")</f>
        <v>X</v>
      </c>
      <c r="O33" s="313"/>
      <c r="P33" s="308"/>
      <c r="Q33" s="308"/>
      <c r="R33" s="308"/>
      <c r="S33" s="336"/>
      <c r="T33" s="572"/>
      <c r="U33" s="573"/>
      <c r="V33" s="574"/>
      <c r="W33" s="337"/>
      <c r="X33" s="565"/>
    </row>
    <row r="34" spans="2:24" ht="6" customHeight="1" thickTop="1" thickBot="1" x14ac:dyDescent="0.3">
      <c r="D34" s="338"/>
    </row>
    <row r="35" spans="2:24" ht="25.9" customHeight="1" thickBot="1" x14ac:dyDescent="0.3">
      <c r="B35" s="549" t="s">
        <v>192</v>
      </c>
      <c r="C35" s="550"/>
      <c r="D35" s="339" t="s">
        <v>193</v>
      </c>
      <c r="E35" s="551" t="s">
        <v>201</v>
      </c>
      <c r="F35" s="552"/>
      <c r="G35" s="552"/>
      <c r="H35" s="552"/>
      <c r="I35" s="552"/>
      <c r="J35" s="552"/>
      <c r="K35" s="552"/>
      <c r="L35" s="553"/>
      <c r="M35" s="295"/>
      <c r="N35" s="295"/>
      <c r="O35" s="554" t="s">
        <v>194</v>
      </c>
      <c r="P35" s="555"/>
      <c r="Q35" s="555"/>
      <c r="R35" s="555"/>
      <c r="S35" s="555"/>
      <c r="T35" s="555"/>
      <c r="U35" s="555"/>
      <c r="V35" s="555"/>
      <c r="W35" s="556"/>
      <c r="X35" s="340"/>
    </row>
    <row r="36" spans="2:24" ht="6" customHeight="1" x14ac:dyDescent="0.25"/>
    <row r="37" spans="2:24" ht="23.45" customHeight="1" x14ac:dyDescent="0.25">
      <c r="B37" s="557" t="s">
        <v>195</v>
      </c>
      <c r="C37" s="558"/>
      <c r="D37" s="558"/>
      <c r="E37" s="559"/>
      <c r="F37" s="341"/>
      <c r="G37" s="341"/>
      <c r="H37" s="341"/>
      <c r="I37" s="341"/>
      <c r="J37" s="342"/>
      <c r="K37" s="341"/>
      <c r="L37" s="343"/>
      <c r="N37" s="344"/>
      <c r="O37" s="342"/>
      <c r="P37" s="342"/>
      <c r="Q37" s="341"/>
      <c r="R37" s="341"/>
      <c r="S37" s="341"/>
      <c r="T37" s="341"/>
      <c r="U37" s="557" t="s">
        <v>196</v>
      </c>
      <c r="V37" s="558"/>
      <c r="W37" s="558"/>
      <c r="X37" s="559"/>
    </row>
    <row r="38" spans="2:24" ht="6" customHeight="1" x14ac:dyDescent="0.25"/>
    <row r="39" spans="2:24" ht="24.75" customHeight="1" x14ac:dyDescent="0.25">
      <c r="B39" s="554" t="s">
        <v>197</v>
      </c>
      <c r="C39" s="555"/>
      <c r="D39" s="560"/>
      <c r="E39" s="345"/>
      <c r="F39" s="543"/>
      <c r="G39" s="544"/>
      <c r="H39" s="544"/>
      <c r="I39" s="544"/>
      <c r="J39" s="544"/>
      <c r="K39" s="545"/>
      <c r="L39" s="346"/>
      <c r="N39" s="546" t="s">
        <v>198</v>
      </c>
      <c r="O39" s="547"/>
      <c r="P39" s="547"/>
      <c r="Q39" s="548"/>
      <c r="R39" s="347"/>
      <c r="S39" s="347"/>
      <c r="T39" s="347"/>
      <c r="U39" s="347"/>
      <c r="V39" s="348"/>
      <c r="W39" s="347"/>
      <c r="X39" s="349"/>
    </row>
    <row r="40" spans="2:24" ht="24.75" customHeight="1" x14ac:dyDescent="0.25">
      <c r="B40" s="540" t="s">
        <v>199</v>
      </c>
      <c r="C40" s="541"/>
      <c r="D40" s="542"/>
      <c r="E40" s="345"/>
      <c r="F40" s="543"/>
      <c r="G40" s="544"/>
      <c r="H40" s="544"/>
      <c r="I40" s="544"/>
      <c r="J40" s="544"/>
      <c r="K40" s="545"/>
      <c r="L40" s="346"/>
      <c r="N40" s="546" t="s">
        <v>200</v>
      </c>
      <c r="O40" s="547"/>
      <c r="P40" s="547"/>
      <c r="Q40" s="548"/>
      <c r="R40" s="350"/>
      <c r="S40" s="350"/>
      <c r="T40" s="350"/>
      <c r="U40" s="350"/>
      <c r="V40" s="351"/>
      <c r="W40" s="350"/>
      <c r="X40" s="333"/>
    </row>
  </sheetData>
  <mergeCells count="58">
    <mergeCell ref="B3:R3"/>
    <mergeCell ref="S3:T3"/>
    <mergeCell ref="U3:X3"/>
    <mergeCell ref="B4:C4"/>
    <mergeCell ref="D4:J4"/>
    <mergeCell ref="K4:L4"/>
    <mergeCell ref="M4:R4"/>
    <mergeCell ref="S4:T4"/>
    <mergeCell ref="U4:V4"/>
    <mergeCell ref="W4:X4"/>
    <mergeCell ref="B7:B13"/>
    <mergeCell ref="X7:X13"/>
    <mergeCell ref="C9:G9"/>
    <mergeCell ref="S9:W9"/>
    <mergeCell ref="C11:G11"/>
    <mergeCell ref="S11:W11"/>
    <mergeCell ref="D12:F13"/>
    <mergeCell ref="T12:V13"/>
    <mergeCell ref="U23:X23"/>
    <mergeCell ref="B15:C15"/>
    <mergeCell ref="E15:L15"/>
    <mergeCell ref="O15:W15"/>
    <mergeCell ref="B17:E17"/>
    <mergeCell ref="U17:X17"/>
    <mergeCell ref="B19:D19"/>
    <mergeCell ref="F19:K19"/>
    <mergeCell ref="N19:Q19"/>
    <mergeCell ref="B20:D20"/>
    <mergeCell ref="F20:K20"/>
    <mergeCell ref="N20:Q20"/>
    <mergeCell ref="B23:R23"/>
    <mergeCell ref="S23:T23"/>
    <mergeCell ref="W24:X24"/>
    <mergeCell ref="B27:B33"/>
    <mergeCell ref="X27:X33"/>
    <mergeCell ref="C29:G29"/>
    <mergeCell ref="S29:W29"/>
    <mergeCell ref="C31:G31"/>
    <mergeCell ref="S31:W31"/>
    <mergeCell ref="D32:F33"/>
    <mergeCell ref="T32:V33"/>
    <mergeCell ref="B24:C24"/>
    <mergeCell ref="D24:J24"/>
    <mergeCell ref="K24:L24"/>
    <mergeCell ref="M24:R24"/>
    <mergeCell ref="S24:T24"/>
    <mergeCell ref="U24:V24"/>
    <mergeCell ref="B40:D40"/>
    <mergeCell ref="F40:K40"/>
    <mergeCell ref="N40:Q40"/>
    <mergeCell ref="B35:C35"/>
    <mergeCell ref="E35:L35"/>
    <mergeCell ref="O35:W35"/>
    <mergeCell ref="B37:E37"/>
    <mergeCell ref="U37:X37"/>
    <mergeCell ref="B39:D39"/>
    <mergeCell ref="F39:K39"/>
    <mergeCell ref="N39:Q39"/>
  </mergeCells>
  <printOptions horizontalCentered="1"/>
  <pageMargins left="7.874015748031496E-2" right="7.874015748031496E-2" top="0.19685039370078741" bottom="0.19685039370078741" header="0.19685039370078741" footer="0"/>
  <pageSetup scale="72" orientation="portrait" blackAndWhite="1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F65D-44C1-4E7C-81C7-0E514FE1E571}">
  <sheetPr codeName="Sheet19">
    <tabColor rgb="FFFF0000"/>
    <pageSetUpPr fitToPage="1"/>
  </sheetPr>
  <dimension ref="B5:G1001"/>
  <sheetViews>
    <sheetView showGridLines="0" topLeftCell="A4" workbookViewId="0">
      <selection activeCell="G32" sqref="G32"/>
    </sheetView>
  </sheetViews>
  <sheetFormatPr defaultColWidth="14.42578125" defaultRowHeight="15" customHeight="1" x14ac:dyDescent="0.25"/>
  <cols>
    <col min="1" max="2" width="10.7109375" style="352" customWidth="1"/>
    <col min="3" max="3" width="6.7109375" style="352" customWidth="1"/>
    <col min="4" max="4" width="10.85546875" style="352" customWidth="1"/>
    <col min="5" max="5" width="28.140625" style="352" customWidth="1"/>
    <col min="6" max="6" width="28" style="352" customWidth="1"/>
    <col min="7" max="26" width="10.7109375" style="352" customWidth="1"/>
    <col min="27" max="16384" width="14.42578125" style="352"/>
  </cols>
  <sheetData>
    <row r="5" spans="2:7" ht="15" customHeight="1" x14ac:dyDescent="0.25">
      <c r="B5" s="585" t="e" vm="1">
        <v>#VALUE!</v>
      </c>
      <c r="C5" s="585"/>
      <c r="D5" s="585"/>
      <c r="E5" s="585"/>
      <c r="F5" s="585"/>
      <c r="G5" s="585"/>
    </row>
    <row r="6" spans="2:7" ht="15" customHeight="1" x14ac:dyDescent="0.25">
      <c r="B6" s="585"/>
      <c r="C6" s="585"/>
      <c r="D6" s="585"/>
      <c r="E6" s="585"/>
      <c r="F6" s="585"/>
      <c r="G6" s="585"/>
    </row>
    <row r="7" spans="2:7" ht="15" customHeight="1" x14ac:dyDescent="0.25">
      <c r="B7" s="585"/>
      <c r="C7" s="585"/>
      <c r="D7" s="585"/>
      <c r="E7" s="585"/>
      <c r="F7" s="585"/>
      <c r="G7" s="585"/>
    </row>
    <row r="8" spans="2:7" ht="15" customHeight="1" x14ac:dyDescent="0.25">
      <c r="B8" s="585"/>
      <c r="C8" s="585"/>
      <c r="D8" s="585"/>
      <c r="E8" s="585"/>
      <c r="F8" s="585"/>
      <c r="G8" s="585"/>
    </row>
    <row r="10" spans="2:7" ht="15" customHeight="1" thickBot="1" x14ac:dyDescent="0.3"/>
    <row r="11" spans="2:7" ht="23.25" x14ac:dyDescent="0.35">
      <c r="C11" s="586" t="s">
        <v>202</v>
      </c>
      <c r="D11" s="587"/>
      <c r="E11" s="587"/>
      <c r="F11" s="588"/>
    </row>
    <row r="12" spans="2:7" ht="23.25" x14ac:dyDescent="0.35">
      <c r="C12" s="589" t="str">
        <f>Inscripciones!B2</f>
        <v>U13 FEMENINO</v>
      </c>
      <c r="D12" s="590"/>
      <c r="E12" s="590"/>
      <c r="F12" s="591"/>
    </row>
    <row r="13" spans="2:7" ht="19.5" thickBot="1" x14ac:dyDescent="0.35">
      <c r="C13" s="353" t="s">
        <v>203</v>
      </c>
      <c r="D13" s="354" t="s">
        <v>204</v>
      </c>
      <c r="E13" s="354" t="s">
        <v>5</v>
      </c>
      <c r="F13" s="355" t="s">
        <v>6</v>
      </c>
    </row>
    <row r="14" spans="2:7" ht="15.75" thickBot="1" x14ac:dyDescent="0.3">
      <c r="C14" s="356">
        <v>1</v>
      </c>
      <c r="D14" s="357">
        <f ca="1">'LLAVE 32'!H143</f>
        <v>4159</v>
      </c>
      <c r="E14" s="358" t="str">
        <f ca="1">IF(ISBLANK(D14),"",VLOOKUP(D14,Inscripciones!$B$5:$H$130,2,FALSE))</f>
        <v>MARÍA FERNANDA ZELEDÓN HERRERA</v>
      </c>
      <c r="F14" s="359" t="str">
        <f ca="1">IF(ISBLANK(D14),"",VLOOKUP(D14,Inscripciones!$B$5:$H$130,3,FALSE))</f>
        <v>ESPARZA</v>
      </c>
    </row>
    <row r="15" spans="2:7" ht="15.75" thickBot="1" x14ac:dyDescent="0.3">
      <c r="C15" s="360">
        <v>2</v>
      </c>
      <c r="D15" s="357">
        <f ca="1">'LLAVE 32'!H144</f>
        <v>3918</v>
      </c>
      <c r="E15" s="358" t="str">
        <f ca="1">IF(ISBLANK(D15),"",VLOOKUP(D15,Inscripciones!$B$5:$H$130,2,FALSE))</f>
        <v>MARIANA SOTO CALDERON</v>
      </c>
      <c r="F15" s="359" t="str">
        <f ca="1">IF(ISBLANK(D15),"",VLOOKUP(D15,Inscripciones!$B$5:$H$130,3,FALSE))</f>
        <v>ESPARZA</v>
      </c>
    </row>
    <row r="16" spans="2:7" ht="15.75" thickBot="1" x14ac:dyDescent="0.3">
      <c r="C16" s="360">
        <v>3</v>
      </c>
      <c r="D16" s="357">
        <f ca="1">'LLAVE 32'!H145</f>
        <v>4274</v>
      </c>
      <c r="E16" s="358" t="str">
        <f ca="1">IF(ISBLANK(D16),"",VLOOKUP(D16,Inscripciones!$B$5:$H$130,2,FALSE))</f>
        <v>MARÍA PAULA HERNÁNDEZ ZÚÑIGA</v>
      </c>
      <c r="F16" s="359" t="str">
        <f ca="1">IF(ISBLANK(D16),"",VLOOKUP(D16,Inscripciones!$B$5:$H$130,3,FALSE))</f>
        <v>ESCAZÚ</v>
      </c>
    </row>
    <row r="17" spans="3:6" ht="15.75" thickBot="1" x14ac:dyDescent="0.3">
      <c r="C17" s="361">
        <v>3</v>
      </c>
      <c r="D17" s="357">
        <f ca="1">'LLAVE 32'!H146</f>
        <v>4101</v>
      </c>
      <c r="E17" s="358" t="str">
        <f ca="1">IF(ISBLANK(D17),"",VLOOKUP(D17,Inscripciones!$B$5:$H$130,2,FALSE))</f>
        <v>ABIGAIL QUIROS BALTODANO</v>
      </c>
      <c r="F17" s="359" t="str">
        <f ca="1">IF(ISBLANK(D17),"",VLOOKUP(D17,Inscripciones!$B$5:$H$130,3,FALSE))</f>
        <v>ESPARZA</v>
      </c>
    </row>
    <row r="18" spans="3:6" ht="15.75" thickBot="1" x14ac:dyDescent="0.3">
      <c r="C18" s="361">
        <v>5</v>
      </c>
      <c r="D18" s="357">
        <f ca="1">'LLAVE 32'!H147</f>
        <v>4100</v>
      </c>
      <c r="E18" s="358" t="str">
        <f ca="1">IF(ISBLANK(D18),"",VLOOKUP(D18,Inscripciones!$B$5:$H$130,2,FALSE))</f>
        <v>BRENDA HERRERA RIVAS</v>
      </c>
      <c r="F18" s="359" t="str">
        <f ca="1">IF(ISBLANK(D18),"",VLOOKUP(D18,Inscripciones!$B$5:$H$130,3,FALSE))</f>
        <v>ESPARZA</v>
      </c>
    </row>
    <row r="19" spans="3:6" ht="15.75" thickBot="1" x14ac:dyDescent="0.3">
      <c r="C19" s="361">
        <v>5</v>
      </c>
      <c r="D19" s="357">
        <f ca="1">'LLAVE 32'!H148</f>
        <v>4183</v>
      </c>
      <c r="E19" s="358" t="str">
        <f ca="1">IF(ISBLANK(D19),"",VLOOKUP(D19,Inscripciones!$B$5:$H$130,2,FALSE))</f>
        <v>MONSERRAT RODRÍGUEZ SOLÍS</v>
      </c>
      <c r="F19" s="359" t="str">
        <f ca="1">IF(ISBLANK(D19),"",VLOOKUP(D19,Inscripciones!$B$5:$H$130,3,FALSE))</f>
        <v>SAN CARLOS</v>
      </c>
    </row>
    <row r="20" spans="3:6" ht="15.75" thickBot="1" x14ac:dyDescent="0.3">
      <c r="C20" s="361">
        <v>5</v>
      </c>
      <c r="D20" s="357">
        <f ca="1">'LLAVE 32'!H149</f>
        <v>4176</v>
      </c>
      <c r="E20" s="358" t="str">
        <f ca="1">IF(ISBLANK(D20),"",VLOOKUP(D20,Inscripciones!$B$5:$H$130,2,FALSE))</f>
        <v>LÍA SOFÍA SOLÍS VÁSQUEZ</v>
      </c>
      <c r="F20" s="359" t="str">
        <f ca="1">IF(ISBLANK(D20),"",VLOOKUP(D20,Inscripciones!$B$5:$H$130,3,FALSE))</f>
        <v>ESPARZA</v>
      </c>
    </row>
    <row r="21" spans="3:6" ht="15.75" thickBot="1" x14ac:dyDescent="0.3">
      <c r="C21" s="361">
        <v>5</v>
      </c>
      <c r="D21" s="357">
        <f ca="1">'LLAVE 32'!H150</f>
        <v>4273</v>
      </c>
      <c r="E21" s="358" t="str">
        <f ca="1">IF(ISBLANK(D21),"",VLOOKUP(D21,Inscripciones!$B$5:$H$130,2,FALSE))</f>
        <v>JAQUELINE HERNÁNDEZ ZUÑIGA</v>
      </c>
      <c r="F21" s="359" t="str">
        <f ca="1">IF(ISBLANK(D21),"",VLOOKUP(D21,Inscripciones!$B$5:$H$130,3,FALSE))</f>
        <v>ESCAZÚ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Sheet1</vt:lpstr>
      <vt:lpstr>Tabulación</vt:lpstr>
      <vt:lpstr>Ranking Final</vt:lpstr>
      <vt:lpstr>Inscripciones</vt:lpstr>
      <vt:lpstr>Hoja1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SORTEO 32</vt:lpstr>
      <vt:lpstr>LLAVE 32</vt:lpstr>
      <vt:lpstr>PLANILLA 32</vt:lpstr>
      <vt:lpstr>PREMIACION</vt:lpstr>
      <vt:lpstr>'Grupo 1'!Print_Area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  <vt:lpstr>Inscripciones!Print_Area</vt:lpstr>
      <vt:lpstr>'PLANILLA 32'!Print_Area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2026-09-20T22:38:53Z</cp:lastPrinted>
  <dcterms:created xsi:type="dcterms:W3CDTF">2026-09-18T23:52:43Z</dcterms:created>
  <dcterms:modified xsi:type="dcterms:W3CDTF">2026-09-23T16:41:07Z</dcterms:modified>
</cp:coreProperties>
</file>