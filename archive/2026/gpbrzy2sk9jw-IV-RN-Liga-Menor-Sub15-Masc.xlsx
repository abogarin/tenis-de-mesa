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cot\Downloads\"/>
    </mc:Choice>
  </mc:AlternateContent>
  <xr:revisionPtr revIDLastSave="0" documentId="13_ncr:1_{1AEAA5C2-1EA7-4327-AB7F-FE54FD7F27DF}" xr6:coauthVersionLast="47" xr6:coauthVersionMax="47" xr10:uidLastSave="{00000000-0000-0000-0000-000000000000}"/>
  <bookViews>
    <workbookView xWindow="-120" yWindow="-120" windowWidth="29040" windowHeight="15720" xr2:uid="{FC93149D-33F2-4C3D-A533-712A389DE3C4}"/>
  </bookViews>
  <sheets>
    <sheet name="Ranking Final" sheetId="20" r:id="rId1"/>
    <sheet name="Grupo 1" sheetId="3" r:id="rId2"/>
    <sheet name="Grupo 2" sheetId="4" r:id="rId3"/>
    <sheet name="Grupo 3" sheetId="5" r:id="rId4"/>
    <sheet name="Grupo 4" sheetId="6" r:id="rId5"/>
    <sheet name="Grupo 5" sheetId="7" r:id="rId6"/>
    <sheet name="Grupo 6" sheetId="8" r:id="rId7"/>
    <sheet name="Grupo 7" sheetId="9" r:id="rId8"/>
    <sheet name="Grupo 8" sheetId="10" r:id="rId9"/>
    <sheet name="Grupo 9" sheetId="11" r:id="rId10"/>
    <sheet name="Grupo 10" sheetId="12" r:id="rId11"/>
    <sheet name="Grupo 11" sheetId="13" r:id="rId12"/>
    <sheet name="Grupo 12" sheetId="14" r:id="rId13"/>
    <sheet name="Grupo 13" sheetId="15" r:id="rId14"/>
    <sheet name="Grupo 14" sheetId="16" r:id="rId15"/>
    <sheet name="Grupo 15" sheetId="17" r:id="rId16"/>
    <sheet name="Grupo 16" sheetId="18" r:id="rId17"/>
    <sheet name="LLAVE 32 " sheetId="19" r:id="rId18"/>
  </sheets>
  <definedNames>
    <definedName name="a">#REF!</definedName>
    <definedName name="acdb">#REF!</definedName>
    <definedName name="ACDB1">#REF!</definedName>
    <definedName name="acdf">#REF!</definedName>
    <definedName name="acdh">#REF!</definedName>
    <definedName name="acdo">#REF!</definedName>
    <definedName name="aceq">#REF!</definedName>
    <definedName name="acif">#REF!</definedName>
    <definedName name="acin">#REF!</definedName>
    <definedName name="ACIN1">#REF!</definedName>
    <definedName name="acti">#REF!</definedName>
    <definedName name="avc">#REF!</definedName>
    <definedName name="datos">#REF!</definedName>
    <definedName name="dorsal">#REF!</definedName>
    <definedName name="EQ">#REF!</definedName>
    <definedName name="IN">#REF!</definedName>
    <definedName name="IND">#REF!</definedName>
    <definedName name="IPC_Member">#REF!</definedName>
    <definedName name="JBS">#REF!</definedName>
    <definedName name="JGS">#REF!</definedName>
    <definedName name="JUG">#REF!</definedName>
    <definedName name="PC">#REF!</definedName>
    <definedName name="PCS">#REF!</definedName>
    <definedName name="PLAYERS">#REF!</definedName>
    <definedName name="_xlnm.Print_Area" localSheetId="1">'Grupo 1'!$A$1:$J$35</definedName>
    <definedName name="_xlnm.Print_Area" localSheetId="10">'Grupo 10'!$A$1:$J$35</definedName>
    <definedName name="_xlnm.Print_Area" localSheetId="11">'Grupo 11'!$A$1:$J$35</definedName>
    <definedName name="_xlnm.Print_Area" localSheetId="12">'Grupo 12'!$A$1:$J$35</definedName>
    <definedName name="_xlnm.Print_Area" localSheetId="13">'Grupo 13'!$A$1:$J$35</definedName>
    <definedName name="_xlnm.Print_Area" localSheetId="14">'Grupo 14'!$A$1:$J$35</definedName>
    <definedName name="_xlnm.Print_Area" localSheetId="15">'Grupo 15'!$A$1:$J$35</definedName>
    <definedName name="_xlnm.Print_Area" localSheetId="16">'Grupo 16'!$A$1:$J$35</definedName>
    <definedName name="_xlnm.Print_Area" localSheetId="2">'Grupo 2'!$A$1:$J$35</definedName>
    <definedName name="_xlnm.Print_Area" localSheetId="3">'Grupo 3'!$A$1:$J$35</definedName>
    <definedName name="_xlnm.Print_Area" localSheetId="4">'Grupo 4'!$A$1:$J$35</definedName>
    <definedName name="_xlnm.Print_Area" localSheetId="5">'Grupo 5'!$A$1:$J$35</definedName>
    <definedName name="_xlnm.Print_Area" localSheetId="6">'Grupo 6'!$A$1:$J$35</definedName>
    <definedName name="_xlnm.Print_Area" localSheetId="7">'Grupo 7'!$A$1:$J$35</definedName>
    <definedName name="_xlnm.Print_Area" localSheetId="8">'Grupo 8'!$A$1:$J$35</definedName>
    <definedName name="_xlnm.Print_Area" localSheetId="9">'Grupo 9'!$A$1:$J$35</definedName>
    <definedName name="RK">#REF!</definedName>
    <definedName name="RKJB">#REF!</definedName>
    <definedName name="RKJG">#REF!</definedName>
    <definedName name="SI">#REF!</definedName>
    <definedName name="ssss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50" i="19" l="1"/>
  <c r="BH76" i="19"/>
  <c r="G72" i="19"/>
  <c r="AS71" i="19"/>
  <c r="AR71" i="19"/>
  <c r="AQ71" i="19"/>
  <c r="AP71" i="19"/>
  <c r="AO71" i="19"/>
  <c r="AN71" i="19"/>
  <c r="AE71" i="19" s="1"/>
  <c r="AM71" i="19"/>
  <c r="AL71" i="19"/>
  <c r="AK71" i="19"/>
  <c r="AJ71" i="19"/>
  <c r="AI71" i="19"/>
  <c r="AH71" i="19"/>
  <c r="AG71" i="19"/>
  <c r="AF71" i="19"/>
  <c r="AB70" i="19" s="1"/>
  <c r="AS70" i="19"/>
  <c r="AR70" i="19"/>
  <c r="AQ70" i="19"/>
  <c r="AP70" i="19"/>
  <c r="AO70" i="19"/>
  <c r="AN70" i="19"/>
  <c r="AM70" i="19"/>
  <c r="AL70" i="19"/>
  <c r="AK70" i="19"/>
  <c r="AA70" i="19" s="1"/>
  <c r="AJ70" i="19"/>
  <c r="AI70" i="19"/>
  <c r="AH70" i="19"/>
  <c r="AG70" i="19"/>
  <c r="AF70" i="19"/>
  <c r="F70" i="19"/>
  <c r="AS69" i="19"/>
  <c r="AR69" i="19"/>
  <c r="AQ69" i="19"/>
  <c r="AP69" i="19"/>
  <c r="AO69" i="19"/>
  <c r="AN69" i="19"/>
  <c r="AM69" i="19"/>
  <c r="AL69" i="19"/>
  <c r="AK69" i="19"/>
  <c r="AJ69" i="19"/>
  <c r="AI69" i="19"/>
  <c r="AH69" i="19"/>
  <c r="AG69" i="19"/>
  <c r="AF69" i="19"/>
  <c r="AE69" i="19"/>
  <c r="AS68" i="19"/>
  <c r="AR68" i="19"/>
  <c r="AQ68" i="19"/>
  <c r="AP68" i="19"/>
  <c r="AO68" i="19"/>
  <c r="AN68" i="19"/>
  <c r="AE68" i="19" s="1"/>
  <c r="AM68" i="19"/>
  <c r="AL68" i="19"/>
  <c r="AK68" i="19"/>
  <c r="AJ68" i="19"/>
  <c r="AI68" i="19"/>
  <c r="AH68" i="19"/>
  <c r="AG68" i="19"/>
  <c r="AF68" i="19"/>
  <c r="AC68" i="19"/>
  <c r="BI77" i="19" s="1"/>
  <c r="AB68" i="19"/>
  <c r="AD68" i="19" s="1"/>
  <c r="AA68" i="19"/>
  <c r="AD69" i="19" s="1"/>
  <c r="F68" i="19"/>
  <c r="BF76" i="19" s="1"/>
  <c r="AZ67" i="19"/>
  <c r="AS67" i="19"/>
  <c r="AR67" i="19"/>
  <c r="AQ67" i="19"/>
  <c r="AP67" i="19"/>
  <c r="AO67" i="19"/>
  <c r="AN67" i="19"/>
  <c r="AM67" i="19"/>
  <c r="AE67" i="19" s="1"/>
  <c r="AL67" i="19"/>
  <c r="AK67" i="19"/>
  <c r="AJ67" i="19"/>
  <c r="AI67" i="19"/>
  <c r="AH67" i="19"/>
  <c r="AB66" i="19" s="1"/>
  <c r="AG67" i="19"/>
  <c r="AF67" i="19"/>
  <c r="AS66" i="19"/>
  <c r="AR66" i="19"/>
  <c r="AQ66" i="19"/>
  <c r="AP66" i="19"/>
  <c r="AO66" i="19"/>
  <c r="AN66" i="19"/>
  <c r="AM66" i="19"/>
  <c r="AL66" i="19"/>
  <c r="AK66" i="19"/>
  <c r="AJ66" i="19"/>
  <c r="AI66" i="19"/>
  <c r="AH66" i="19"/>
  <c r="AG66" i="19"/>
  <c r="AF66" i="19"/>
  <c r="AA66" i="19" s="1"/>
  <c r="AD66" i="19" s="1"/>
  <c r="AE66" i="19"/>
  <c r="F66" i="19"/>
  <c r="AS65" i="19"/>
  <c r="AR65" i="19"/>
  <c r="AQ65" i="19"/>
  <c r="AP65" i="19"/>
  <c r="AO65" i="19"/>
  <c r="AN65" i="19"/>
  <c r="AM65" i="19"/>
  <c r="AL65" i="19"/>
  <c r="AB64" i="19" s="1"/>
  <c r="AK65" i="19"/>
  <c r="AJ65" i="19"/>
  <c r="AI65" i="19"/>
  <c r="AH65" i="19"/>
  <c r="AG65" i="19"/>
  <c r="AF65" i="19"/>
  <c r="AS64" i="19"/>
  <c r="AR64" i="19"/>
  <c r="AQ64" i="19"/>
  <c r="AP64" i="19"/>
  <c r="AO64" i="19"/>
  <c r="AN64" i="19"/>
  <c r="AM64" i="19"/>
  <c r="AL64" i="19"/>
  <c r="AK64" i="19"/>
  <c r="AJ64" i="19"/>
  <c r="AI64" i="19"/>
  <c r="AH64" i="19"/>
  <c r="AG64" i="19"/>
  <c r="AF64" i="19"/>
  <c r="AA64" i="19"/>
  <c r="F64" i="19"/>
  <c r="BC63" i="19"/>
  <c r="AS63" i="19"/>
  <c r="AR63" i="19"/>
  <c r="AQ63" i="19"/>
  <c r="AP63" i="19"/>
  <c r="AO63" i="19"/>
  <c r="AN63" i="19"/>
  <c r="AE63" i="19" s="1"/>
  <c r="AM63" i="19"/>
  <c r="AL63" i="19"/>
  <c r="AK63" i="19"/>
  <c r="AJ63" i="19"/>
  <c r="AI63" i="19"/>
  <c r="AH63" i="19"/>
  <c r="AG63" i="19"/>
  <c r="AF63" i="19"/>
  <c r="AB62" i="19" s="1"/>
  <c r="AS62" i="19"/>
  <c r="AR62" i="19"/>
  <c r="AQ62" i="19"/>
  <c r="AP62" i="19"/>
  <c r="AO62" i="19"/>
  <c r="AN62" i="19"/>
  <c r="AM62" i="19"/>
  <c r="AE62" i="19" s="1"/>
  <c r="AL62" i="19"/>
  <c r="AK62" i="19"/>
  <c r="AA62" i="19" s="1"/>
  <c r="AJ62" i="19"/>
  <c r="AI62" i="19"/>
  <c r="AH62" i="19"/>
  <c r="AG62" i="19"/>
  <c r="AF62" i="19"/>
  <c r="F62" i="19"/>
  <c r="AS61" i="19"/>
  <c r="AR61" i="19"/>
  <c r="AE61" i="19" s="1"/>
  <c r="AQ61" i="19"/>
  <c r="AP61" i="19"/>
  <c r="AO61" i="19"/>
  <c r="AN61" i="19"/>
  <c r="AM61" i="19"/>
  <c r="AL61" i="19"/>
  <c r="AK61" i="19"/>
  <c r="AJ61" i="19"/>
  <c r="AI61" i="19"/>
  <c r="AH61" i="19"/>
  <c r="AG61" i="19"/>
  <c r="AF61" i="19"/>
  <c r="AB60" i="19" s="1"/>
  <c r="AS60" i="19"/>
  <c r="AR60" i="19"/>
  <c r="AQ60" i="19"/>
  <c r="AP60" i="19"/>
  <c r="AO60" i="19"/>
  <c r="AN60" i="19"/>
  <c r="AM60" i="19"/>
  <c r="AL60" i="19"/>
  <c r="AK60" i="19"/>
  <c r="AJ60" i="19"/>
  <c r="AI60" i="19"/>
  <c r="AH60" i="19"/>
  <c r="AG60" i="19"/>
  <c r="AF60" i="19"/>
  <c r="AE60" i="19"/>
  <c r="AA60" i="19"/>
  <c r="F60" i="19"/>
  <c r="BC47" i="19" s="1"/>
  <c r="AS59" i="19"/>
  <c r="AR59" i="19"/>
  <c r="AQ59" i="19"/>
  <c r="AP59" i="19"/>
  <c r="AO59" i="19"/>
  <c r="AN59" i="19"/>
  <c r="AM59" i="19"/>
  <c r="AE59" i="19" s="1"/>
  <c r="AL59" i="19"/>
  <c r="AK59" i="19"/>
  <c r="AJ59" i="19"/>
  <c r="AI59" i="19"/>
  <c r="AH59" i="19"/>
  <c r="AG59" i="19"/>
  <c r="AF59" i="19"/>
  <c r="AS58" i="19"/>
  <c r="AR58" i="19"/>
  <c r="AQ58" i="19"/>
  <c r="AP58" i="19"/>
  <c r="AO58" i="19"/>
  <c r="AN58" i="19"/>
  <c r="AM58" i="19"/>
  <c r="AL58" i="19"/>
  <c r="AK58" i="19"/>
  <c r="AJ58" i="19"/>
  <c r="AI58" i="19"/>
  <c r="AH58" i="19"/>
  <c r="AG58" i="19"/>
  <c r="AF58" i="19"/>
  <c r="AA58" i="19" s="1"/>
  <c r="AE58" i="19"/>
  <c r="F58" i="19"/>
  <c r="BC31" i="19" s="1"/>
  <c r="AS57" i="19"/>
  <c r="AR57" i="19"/>
  <c r="AQ57" i="19"/>
  <c r="AP57" i="19"/>
  <c r="AO57" i="19"/>
  <c r="AN57" i="19"/>
  <c r="AM57" i="19"/>
  <c r="AL57" i="19"/>
  <c r="AK57" i="19"/>
  <c r="AJ57" i="19"/>
  <c r="AI57" i="19"/>
  <c r="AH57" i="19"/>
  <c r="AG57" i="19"/>
  <c r="AF57" i="19"/>
  <c r="AS56" i="19"/>
  <c r="AR56" i="19"/>
  <c r="AQ56" i="19"/>
  <c r="AP56" i="19"/>
  <c r="AO56" i="19"/>
  <c r="AN56" i="19"/>
  <c r="AM56" i="19"/>
  <c r="AL56" i="19"/>
  <c r="AK56" i="19"/>
  <c r="AJ56" i="19"/>
  <c r="AI56" i="19"/>
  <c r="AH56" i="19"/>
  <c r="AG56" i="19"/>
  <c r="AF56" i="19"/>
  <c r="F56" i="19"/>
  <c r="BF55" i="19"/>
  <c r="AS55" i="19"/>
  <c r="AR55" i="19"/>
  <c r="AQ55" i="19"/>
  <c r="AP55" i="19"/>
  <c r="AO55" i="19"/>
  <c r="AN55" i="19"/>
  <c r="AM55" i="19"/>
  <c r="AL55" i="19"/>
  <c r="AK55" i="19"/>
  <c r="AJ55" i="19"/>
  <c r="AI55" i="19"/>
  <c r="AH55" i="19"/>
  <c r="AG55" i="19"/>
  <c r="AF55" i="19"/>
  <c r="AB54" i="19" s="1"/>
  <c r="AS54" i="19"/>
  <c r="AR54" i="19"/>
  <c r="AQ54" i="19"/>
  <c r="AP54" i="19"/>
  <c r="AO54" i="19"/>
  <c r="AE54" i="19" s="1"/>
  <c r="AN54" i="19"/>
  <c r="AM54" i="19"/>
  <c r="AL54" i="19"/>
  <c r="AK54" i="19"/>
  <c r="AJ54" i="19"/>
  <c r="AI54" i="19"/>
  <c r="AH54" i="19"/>
  <c r="AG54" i="19"/>
  <c r="AF54" i="19"/>
  <c r="AA54" i="19"/>
  <c r="F54" i="19"/>
  <c r="AS53" i="19"/>
  <c r="AR53" i="19"/>
  <c r="AQ53" i="19"/>
  <c r="AP53" i="19"/>
  <c r="AO53" i="19"/>
  <c r="AN53" i="19"/>
  <c r="AE53" i="19" s="1"/>
  <c r="AM53" i="19"/>
  <c r="AL53" i="19"/>
  <c r="AK53" i="19"/>
  <c r="AB52" i="19" s="1"/>
  <c r="AJ53" i="19"/>
  <c r="AI53" i="19"/>
  <c r="AH53" i="19"/>
  <c r="AG53" i="19"/>
  <c r="AF53" i="19"/>
  <c r="AS52" i="19"/>
  <c r="AR52" i="19"/>
  <c r="AQ52" i="19"/>
  <c r="AP52" i="19"/>
  <c r="AO52" i="19"/>
  <c r="AN52" i="19"/>
  <c r="AM52" i="19"/>
  <c r="AL52" i="19"/>
  <c r="AK52" i="19"/>
  <c r="AJ52" i="19"/>
  <c r="AI52" i="19"/>
  <c r="AH52" i="19"/>
  <c r="AG52" i="19"/>
  <c r="AF52" i="19"/>
  <c r="F52" i="19"/>
  <c r="AZ59" i="19" s="1"/>
  <c r="AZ51" i="19"/>
  <c r="AS51" i="19"/>
  <c r="AR51" i="19"/>
  <c r="AQ51" i="19"/>
  <c r="AP51" i="19"/>
  <c r="AO51" i="19"/>
  <c r="AN51" i="19"/>
  <c r="AM51" i="19"/>
  <c r="AL51" i="19"/>
  <c r="AK51" i="19"/>
  <c r="AJ51" i="19"/>
  <c r="AI51" i="19"/>
  <c r="AH51" i="19"/>
  <c r="AG51" i="19"/>
  <c r="AF51" i="19"/>
  <c r="AE51" i="19"/>
  <c r="AS50" i="19"/>
  <c r="AR50" i="19"/>
  <c r="AQ50" i="19"/>
  <c r="AE50" i="19" s="1"/>
  <c r="AP50" i="19"/>
  <c r="AO50" i="19"/>
  <c r="AN50" i="19"/>
  <c r="AM50" i="19"/>
  <c r="AL50" i="19"/>
  <c r="AK50" i="19"/>
  <c r="AJ50" i="19"/>
  <c r="AI50" i="19"/>
  <c r="AH50" i="19"/>
  <c r="AG50" i="19"/>
  <c r="AF50" i="19"/>
  <c r="AA50" i="19"/>
  <c r="F50" i="19"/>
  <c r="AS49" i="19"/>
  <c r="AR49" i="19"/>
  <c r="AQ49" i="19"/>
  <c r="AP49" i="19"/>
  <c r="AO49" i="19"/>
  <c r="AN49" i="19"/>
  <c r="AM49" i="19"/>
  <c r="AE49" i="19" s="1"/>
  <c r="AL49" i="19"/>
  <c r="AK49" i="19"/>
  <c r="AJ49" i="19"/>
  <c r="AI49" i="19"/>
  <c r="AH49" i="19"/>
  <c r="AG49" i="19"/>
  <c r="AF49" i="19"/>
  <c r="AS48" i="19"/>
  <c r="AR48" i="19"/>
  <c r="AQ48" i="19"/>
  <c r="AP48" i="19"/>
  <c r="AO48" i="19"/>
  <c r="AN48" i="19"/>
  <c r="AM48" i="19"/>
  <c r="AL48" i="19"/>
  <c r="AK48" i="19"/>
  <c r="AJ48" i="19"/>
  <c r="AI48" i="19"/>
  <c r="AH48" i="19"/>
  <c r="AA48" i="19" s="1"/>
  <c r="AG48" i="19"/>
  <c r="AF48" i="19"/>
  <c r="F48" i="19"/>
  <c r="AS47" i="19"/>
  <c r="AR47" i="19"/>
  <c r="AQ47" i="19"/>
  <c r="AP47" i="19"/>
  <c r="AO47" i="19"/>
  <c r="AN47" i="19"/>
  <c r="AE47" i="19" s="1"/>
  <c r="AM47" i="19"/>
  <c r="AL47" i="19"/>
  <c r="AK47" i="19"/>
  <c r="AJ47" i="19"/>
  <c r="AI47" i="19"/>
  <c r="AH47" i="19"/>
  <c r="AG47" i="19"/>
  <c r="AF47" i="19"/>
  <c r="AS46" i="19"/>
  <c r="AR46" i="19"/>
  <c r="AQ46" i="19"/>
  <c r="AP46" i="19"/>
  <c r="AO46" i="19"/>
  <c r="AE46" i="19" s="1"/>
  <c r="AN46" i="19"/>
  <c r="AM46" i="19"/>
  <c r="AL46" i="19"/>
  <c r="AK46" i="19"/>
  <c r="AJ46" i="19"/>
  <c r="AI46" i="19"/>
  <c r="AH46" i="19"/>
  <c r="AG46" i="19"/>
  <c r="AF46" i="19"/>
  <c r="AA46" i="19"/>
  <c r="F46" i="19"/>
  <c r="AS45" i="19"/>
  <c r="AR45" i="19"/>
  <c r="AQ45" i="19"/>
  <c r="AP45" i="19"/>
  <c r="AO45" i="19"/>
  <c r="AN45" i="19"/>
  <c r="AM45" i="19"/>
  <c r="AL45" i="19"/>
  <c r="AK45" i="19"/>
  <c r="AJ45" i="19"/>
  <c r="AI45" i="19"/>
  <c r="AH45" i="19"/>
  <c r="AG45" i="19"/>
  <c r="AF45" i="19"/>
  <c r="AB44" i="19" s="1"/>
  <c r="AS44" i="19"/>
  <c r="AR44" i="19"/>
  <c r="AQ44" i="19"/>
  <c r="AP44" i="19"/>
  <c r="AO44" i="19"/>
  <c r="AN44" i="19"/>
  <c r="AM44" i="19"/>
  <c r="AL44" i="19"/>
  <c r="AK44" i="19"/>
  <c r="AJ44" i="19"/>
  <c r="AI44" i="19"/>
  <c r="AH44" i="19"/>
  <c r="AG44" i="19"/>
  <c r="AA44" i="19" s="1"/>
  <c r="AF44" i="19"/>
  <c r="F44" i="19"/>
  <c r="AZ43" i="19"/>
  <c r="AS43" i="19"/>
  <c r="AR43" i="19"/>
  <c r="AQ43" i="19"/>
  <c r="AP43" i="19"/>
  <c r="AO43" i="19"/>
  <c r="AN43" i="19"/>
  <c r="AM43" i="19"/>
  <c r="AL43" i="19"/>
  <c r="AK43" i="19"/>
  <c r="AJ43" i="19"/>
  <c r="AI43" i="19"/>
  <c r="AH43" i="19"/>
  <c r="AG43" i="19"/>
  <c r="AB42" i="19" s="1"/>
  <c r="AF43" i="19"/>
  <c r="AS42" i="19"/>
  <c r="AR42" i="19"/>
  <c r="AQ42" i="19"/>
  <c r="AP42" i="19"/>
  <c r="AO42" i="19"/>
  <c r="AN42" i="19"/>
  <c r="AM42" i="19"/>
  <c r="AL42" i="19"/>
  <c r="AK42" i="19"/>
  <c r="AJ42" i="19"/>
  <c r="AI42" i="19"/>
  <c r="AH42" i="19"/>
  <c r="AG42" i="19"/>
  <c r="AF42" i="19"/>
  <c r="AE42" i="19"/>
  <c r="F42" i="19"/>
  <c r="AS41" i="19"/>
  <c r="AR41" i="19"/>
  <c r="AQ41" i="19"/>
  <c r="AP41" i="19"/>
  <c r="AO41" i="19"/>
  <c r="AN41" i="19"/>
  <c r="AM41" i="19"/>
  <c r="AL41" i="19"/>
  <c r="AK41" i="19"/>
  <c r="AJ41" i="19"/>
  <c r="AI41" i="19"/>
  <c r="AH41" i="19"/>
  <c r="AG41" i="19"/>
  <c r="AB40" i="19" s="1"/>
  <c r="AF41" i="19"/>
  <c r="BO40" i="19"/>
  <c r="BN40" i="19"/>
  <c r="BM40" i="19"/>
  <c r="AS40" i="19"/>
  <c r="AR40" i="19"/>
  <c r="AE40" i="19" s="1"/>
  <c r="AQ40" i="19"/>
  <c r="AP40" i="19"/>
  <c r="AO40" i="19"/>
  <c r="AN40" i="19"/>
  <c r="AM40" i="19"/>
  <c r="AL40" i="19"/>
  <c r="AK40" i="19"/>
  <c r="AJ40" i="19"/>
  <c r="AI40" i="19"/>
  <c r="AH40" i="19"/>
  <c r="AG40" i="19"/>
  <c r="AF40" i="19"/>
  <c r="AA40" i="19"/>
  <c r="F40" i="19"/>
  <c r="BO39" i="19"/>
  <c r="BN39" i="19"/>
  <c r="BM39" i="19"/>
  <c r="AS39" i="19"/>
  <c r="AR39" i="19"/>
  <c r="AQ39" i="19"/>
  <c r="AP39" i="19"/>
  <c r="AO39" i="19"/>
  <c r="AN39" i="19"/>
  <c r="AM39" i="19"/>
  <c r="AL39" i="19"/>
  <c r="AK39" i="19"/>
  <c r="AJ39" i="19"/>
  <c r="AI39" i="19"/>
  <c r="AH39" i="19"/>
  <c r="AG39" i="19"/>
  <c r="AF39" i="19"/>
  <c r="BO38" i="19"/>
  <c r="BN38" i="19"/>
  <c r="BM38" i="19"/>
  <c r="BI38" i="19"/>
  <c r="AS38" i="19"/>
  <c r="AR38" i="19"/>
  <c r="AQ38" i="19"/>
  <c r="AP38" i="19"/>
  <c r="AE38" i="19" s="1"/>
  <c r="AO38" i="19"/>
  <c r="AN38" i="19"/>
  <c r="AM38" i="19"/>
  <c r="AL38" i="19"/>
  <c r="AK38" i="19"/>
  <c r="AJ38" i="19"/>
  <c r="AI38" i="19"/>
  <c r="AH38" i="19"/>
  <c r="AG38" i="19"/>
  <c r="AF38" i="19"/>
  <c r="F38" i="19"/>
  <c r="AW69" i="19" s="1"/>
  <c r="BO37" i="19"/>
  <c r="BN37" i="19"/>
  <c r="BM37" i="19"/>
  <c r="AS37" i="19"/>
  <c r="AR37" i="19"/>
  <c r="AQ37" i="19"/>
  <c r="AP37" i="19"/>
  <c r="AO37" i="19"/>
  <c r="AN37" i="19"/>
  <c r="AM37" i="19"/>
  <c r="AE37" i="19" s="1"/>
  <c r="AL37" i="19"/>
  <c r="AK37" i="19"/>
  <c r="AJ37" i="19"/>
  <c r="AI37" i="19"/>
  <c r="AH37" i="19"/>
  <c r="AG37" i="19"/>
  <c r="AF37" i="19"/>
  <c r="BO36" i="19"/>
  <c r="BN36" i="19"/>
  <c r="BM36" i="19"/>
  <c r="AS36" i="19"/>
  <c r="AR36" i="19"/>
  <c r="AQ36" i="19"/>
  <c r="AP36" i="19"/>
  <c r="AO36" i="19"/>
  <c r="AN36" i="19"/>
  <c r="AM36" i="19"/>
  <c r="AL36" i="19"/>
  <c r="AK36" i="19"/>
  <c r="AJ36" i="19"/>
  <c r="AI36" i="19"/>
  <c r="AH36" i="19"/>
  <c r="AG36" i="19"/>
  <c r="AF36" i="19"/>
  <c r="AA36" i="19" s="1"/>
  <c r="F36" i="19"/>
  <c r="AW65" i="19" s="1"/>
  <c r="BO35" i="19"/>
  <c r="BN35" i="19"/>
  <c r="BM35" i="19"/>
  <c r="AZ35" i="19"/>
  <c r="AS35" i="19"/>
  <c r="AR35" i="19"/>
  <c r="AQ35" i="19"/>
  <c r="AP35" i="19"/>
  <c r="AO35" i="19"/>
  <c r="AN35" i="19"/>
  <c r="AE35" i="19" s="1"/>
  <c r="AM35" i="19"/>
  <c r="AL35" i="19"/>
  <c r="AK35" i="19"/>
  <c r="AJ35" i="19"/>
  <c r="AI35" i="19"/>
  <c r="AH35" i="19"/>
  <c r="AB34" i="19" s="1"/>
  <c r="AD34" i="19" s="1"/>
  <c r="AG35" i="19"/>
  <c r="AF35" i="19"/>
  <c r="BO34" i="19"/>
  <c r="BN34" i="19"/>
  <c r="BM34" i="19"/>
  <c r="AS34" i="19"/>
  <c r="AR34" i="19"/>
  <c r="AQ34" i="19"/>
  <c r="AP34" i="19"/>
  <c r="AO34" i="19"/>
  <c r="AN34" i="19"/>
  <c r="AM34" i="19"/>
  <c r="AE34" i="19" s="1"/>
  <c r="AL34" i="19"/>
  <c r="AK34" i="19"/>
  <c r="AJ34" i="19"/>
  <c r="AI34" i="19"/>
  <c r="AH34" i="19"/>
  <c r="AG34" i="19"/>
  <c r="AF34" i="19"/>
  <c r="AA34" i="19"/>
  <c r="F34" i="19"/>
  <c r="AW61" i="19" s="1"/>
  <c r="BO33" i="19"/>
  <c r="BN33" i="19"/>
  <c r="BM33" i="19"/>
  <c r="AS33" i="19"/>
  <c r="AR33" i="19"/>
  <c r="AQ33" i="19"/>
  <c r="AP33" i="19"/>
  <c r="AO33" i="19"/>
  <c r="AN33" i="19"/>
  <c r="AM33" i="19"/>
  <c r="AL33" i="19"/>
  <c r="AK33" i="19"/>
  <c r="AJ33" i="19"/>
  <c r="AI33" i="19"/>
  <c r="AH33" i="19"/>
  <c r="AG33" i="19"/>
  <c r="AB32" i="19" s="1"/>
  <c r="AF33" i="19"/>
  <c r="BO32" i="19"/>
  <c r="BN32" i="19"/>
  <c r="BM32" i="19"/>
  <c r="AS32" i="19"/>
  <c r="AR32" i="19"/>
  <c r="AQ32" i="19"/>
  <c r="AP32" i="19"/>
  <c r="AO32" i="19"/>
  <c r="AN32" i="19"/>
  <c r="AM32" i="19"/>
  <c r="AL32" i="19"/>
  <c r="AK32" i="19"/>
  <c r="AJ32" i="19"/>
  <c r="AI32" i="19"/>
  <c r="AH32" i="19"/>
  <c r="AG32" i="19"/>
  <c r="AF32" i="19"/>
  <c r="AE32" i="19"/>
  <c r="F32" i="19"/>
  <c r="AW57" i="19" s="1"/>
  <c r="BO31" i="19"/>
  <c r="BN31" i="19"/>
  <c r="BM31" i="19"/>
  <c r="AS31" i="19"/>
  <c r="AR31" i="19"/>
  <c r="AQ31" i="19"/>
  <c r="AP31" i="19"/>
  <c r="AO31" i="19"/>
  <c r="AN31" i="19"/>
  <c r="AM31" i="19"/>
  <c r="AL31" i="19"/>
  <c r="AK31" i="19"/>
  <c r="AJ31" i="19"/>
  <c r="AI31" i="19"/>
  <c r="AH31" i="19"/>
  <c r="AG31" i="19"/>
  <c r="AF31" i="19"/>
  <c r="BO30" i="19"/>
  <c r="BN30" i="19"/>
  <c r="BM30" i="19"/>
  <c r="AS30" i="19"/>
  <c r="AE30" i="19" s="1"/>
  <c r="AR30" i="19"/>
  <c r="AQ30" i="19"/>
  <c r="AP30" i="19"/>
  <c r="AO30" i="19"/>
  <c r="AN30" i="19"/>
  <c r="AM30" i="19"/>
  <c r="AL30" i="19"/>
  <c r="AK30" i="19"/>
  <c r="AJ30" i="19"/>
  <c r="AI30" i="19"/>
  <c r="AH30" i="19"/>
  <c r="AG30" i="19"/>
  <c r="AA30" i="19" s="1"/>
  <c r="AF30" i="19"/>
  <c r="F30" i="19"/>
  <c r="AW53" i="19" s="1"/>
  <c r="BO29" i="19"/>
  <c r="BN29" i="19"/>
  <c r="BM29" i="19"/>
  <c r="AS29" i="19"/>
  <c r="AR29" i="19"/>
  <c r="AQ29" i="19"/>
  <c r="AP29" i="19"/>
  <c r="AO29" i="19"/>
  <c r="AN29" i="19"/>
  <c r="AE29" i="19" s="1"/>
  <c r="AM29" i="19"/>
  <c r="AL29" i="19"/>
  <c r="AK29" i="19"/>
  <c r="AJ29" i="19"/>
  <c r="AI29" i="19"/>
  <c r="AH29" i="19"/>
  <c r="AG29" i="19"/>
  <c r="AF29" i="19"/>
  <c r="BO28" i="19"/>
  <c r="BN28" i="19"/>
  <c r="BM28" i="19"/>
  <c r="AS28" i="19"/>
  <c r="AR28" i="19"/>
  <c r="AQ28" i="19"/>
  <c r="AP28" i="19"/>
  <c r="AO28" i="19"/>
  <c r="AN28" i="19"/>
  <c r="AM28" i="19"/>
  <c r="AL28" i="19"/>
  <c r="AK28" i="19"/>
  <c r="AJ28" i="19"/>
  <c r="AI28" i="19"/>
  <c r="AH28" i="19"/>
  <c r="AG28" i="19"/>
  <c r="AF28" i="19"/>
  <c r="AA28" i="19" s="1"/>
  <c r="AB28" i="19"/>
  <c r="F28" i="19"/>
  <c r="AW49" i="19" s="1"/>
  <c r="BO27" i="19"/>
  <c r="BN27" i="19"/>
  <c r="BM27" i="19"/>
  <c r="AZ27" i="19"/>
  <c r="AS27" i="19"/>
  <c r="AR27" i="19"/>
  <c r="AQ27" i="19"/>
  <c r="AP27" i="19"/>
  <c r="AO27" i="19"/>
  <c r="AE27" i="19" s="1"/>
  <c r="AN27" i="19"/>
  <c r="AM27" i="19"/>
  <c r="AL27" i="19"/>
  <c r="AK27" i="19"/>
  <c r="AJ27" i="19"/>
  <c r="AI27" i="19"/>
  <c r="AH27" i="19"/>
  <c r="AB26" i="19" s="1"/>
  <c r="AG27" i="19"/>
  <c r="AF27" i="19"/>
  <c r="BO26" i="19"/>
  <c r="BN26" i="19"/>
  <c r="BM26" i="19"/>
  <c r="AS26" i="19"/>
  <c r="AR26" i="19"/>
  <c r="AE26" i="19" s="1"/>
  <c r="AQ26" i="19"/>
  <c r="AP26" i="19"/>
  <c r="AO26" i="19"/>
  <c r="AN26" i="19"/>
  <c r="AM26" i="19"/>
  <c r="AL26" i="19"/>
  <c r="AK26" i="19"/>
  <c r="AJ26" i="19"/>
  <c r="AI26" i="19"/>
  <c r="AH26" i="19"/>
  <c r="AG26" i="19"/>
  <c r="AF26" i="19"/>
  <c r="AA26" i="19" s="1"/>
  <c r="F26" i="19"/>
  <c r="AW45" i="19" s="1"/>
  <c r="BO25" i="19"/>
  <c r="BN25" i="19"/>
  <c r="BM25" i="19"/>
  <c r="AW25" i="19"/>
  <c r="AS25" i="19"/>
  <c r="AR25" i="19"/>
  <c r="AQ25" i="19"/>
  <c r="AP25" i="19"/>
  <c r="AO25" i="19"/>
  <c r="AN25" i="19"/>
  <c r="AM25" i="19"/>
  <c r="AL25" i="19"/>
  <c r="AK25" i="19"/>
  <c r="AJ25" i="19"/>
  <c r="AI25" i="19"/>
  <c r="AH25" i="19"/>
  <c r="AG25" i="19"/>
  <c r="AF25" i="19"/>
  <c r="BO24" i="19"/>
  <c r="BN24" i="19"/>
  <c r="BM24" i="19"/>
  <c r="AS24" i="19"/>
  <c r="AR24" i="19"/>
  <c r="AQ24" i="19"/>
  <c r="AP24" i="19"/>
  <c r="AO24" i="19"/>
  <c r="AN24" i="19"/>
  <c r="AM24" i="19"/>
  <c r="AL24" i="19"/>
  <c r="AK24" i="19"/>
  <c r="AJ24" i="19"/>
  <c r="AI24" i="19"/>
  <c r="AA24" i="19" s="1"/>
  <c r="AH24" i="19"/>
  <c r="AG24" i="19"/>
  <c r="AF24" i="19"/>
  <c r="F24" i="19"/>
  <c r="AW41" i="19" s="1"/>
  <c r="BO23" i="19"/>
  <c r="BN23" i="19"/>
  <c r="BM23" i="19"/>
  <c r="BF23" i="19"/>
  <c r="AS23" i="19"/>
  <c r="AR23" i="19"/>
  <c r="AQ23" i="19"/>
  <c r="AP23" i="19"/>
  <c r="AO23" i="19"/>
  <c r="AN23" i="19"/>
  <c r="AM23" i="19"/>
  <c r="AE23" i="19" s="1"/>
  <c r="AL23" i="19"/>
  <c r="AK23" i="19"/>
  <c r="AJ23" i="19"/>
  <c r="AI23" i="19"/>
  <c r="AH23" i="19"/>
  <c r="AG23" i="19"/>
  <c r="AF23" i="19"/>
  <c r="BO22" i="19"/>
  <c r="BN22" i="19"/>
  <c r="BM22" i="19"/>
  <c r="AS22" i="19"/>
  <c r="AR22" i="19"/>
  <c r="AQ22" i="19"/>
  <c r="AP22" i="19"/>
  <c r="AO22" i="19"/>
  <c r="AN22" i="19"/>
  <c r="AE22" i="19" s="1"/>
  <c r="AM22" i="19"/>
  <c r="AL22" i="19"/>
  <c r="AK22" i="19"/>
  <c r="AJ22" i="19"/>
  <c r="AI22" i="19"/>
  <c r="AH22" i="19"/>
  <c r="AG22" i="19"/>
  <c r="AF22" i="19"/>
  <c r="AB22" i="19"/>
  <c r="F22" i="19"/>
  <c r="AW37" i="19" s="1"/>
  <c r="BO21" i="19"/>
  <c r="BN21" i="19"/>
  <c r="BM21" i="19"/>
  <c r="AW21" i="19"/>
  <c r="AS21" i="19"/>
  <c r="AR21" i="19"/>
  <c r="AQ21" i="19"/>
  <c r="AP21" i="19"/>
  <c r="AO21" i="19"/>
  <c r="AE21" i="19" s="1"/>
  <c r="AN21" i="19"/>
  <c r="AM21" i="19"/>
  <c r="AL21" i="19"/>
  <c r="AK21" i="19"/>
  <c r="AJ21" i="19"/>
  <c r="AI21" i="19"/>
  <c r="AH21" i="19"/>
  <c r="AG21" i="19"/>
  <c r="AF21" i="19"/>
  <c r="BO20" i="19"/>
  <c r="BN20" i="19"/>
  <c r="BM20" i="19"/>
  <c r="AS20" i="19"/>
  <c r="AR20" i="19"/>
  <c r="AQ20" i="19"/>
  <c r="AP20" i="19"/>
  <c r="AO20" i="19"/>
  <c r="AN20" i="19"/>
  <c r="AM20" i="19"/>
  <c r="AL20" i="19"/>
  <c r="AK20" i="19"/>
  <c r="AJ20" i="19"/>
  <c r="AI20" i="19"/>
  <c r="AH20" i="19"/>
  <c r="AG20" i="19"/>
  <c r="AF20" i="19"/>
  <c r="F20" i="19"/>
  <c r="AW33" i="19" s="1"/>
  <c r="BO19" i="19"/>
  <c r="BN19" i="19"/>
  <c r="BM19" i="19"/>
  <c r="AZ19" i="19"/>
  <c r="AS19" i="19"/>
  <c r="AR19" i="19"/>
  <c r="AE19" i="19" s="1"/>
  <c r="AQ19" i="19"/>
  <c r="AP19" i="19"/>
  <c r="AO19" i="19"/>
  <c r="AN19" i="19"/>
  <c r="AM19" i="19"/>
  <c r="AL19" i="19"/>
  <c r="AK19" i="19"/>
  <c r="AJ19" i="19"/>
  <c r="AI19" i="19"/>
  <c r="AH19" i="19"/>
  <c r="AG19" i="19"/>
  <c r="AF19" i="19"/>
  <c r="AB18" i="19" s="1"/>
  <c r="BO18" i="19"/>
  <c r="BN18" i="19"/>
  <c r="BM18" i="19"/>
  <c r="AS18" i="19"/>
  <c r="AR18" i="19"/>
  <c r="AQ18" i="19"/>
  <c r="AP18" i="19"/>
  <c r="AO18" i="19"/>
  <c r="AN18" i="19"/>
  <c r="AM18" i="19"/>
  <c r="AL18" i="19"/>
  <c r="AK18" i="19"/>
  <c r="AJ18" i="19"/>
  <c r="AI18" i="19"/>
  <c r="AH18" i="19"/>
  <c r="AG18" i="19"/>
  <c r="AF18" i="19"/>
  <c r="AA18" i="19" s="1"/>
  <c r="F18" i="19"/>
  <c r="AW29" i="19" s="1"/>
  <c r="BO17" i="19"/>
  <c r="BN17" i="19"/>
  <c r="BM17" i="19"/>
  <c r="AS17" i="19"/>
  <c r="AR17" i="19"/>
  <c r="AQ17" i="19"/>
  <c r="AP17" i="19"/>
  <c r="AO17" i="19"/>
  <c r="AE17" i="19" s="1"/>
  <c r="AN17" i="19"/>
  <c r="AM17" i="19"/>
  <c r="AL17" i="19"/>
  <c r="AB16" i="19" s="1"/>
  <c r="AK17" i="19"/>
  <c r="AJ17" i="19"/>
  <c r="AI17" i="19"/>
  <c r="AH17" i="19"/>
  <c r="AG17" i="19"/>
  <c r="AF17" i="19"/>
  <c r="BO16" i="19"/>
  <c r="BN16" i="19"/>
  <c r="BM16" i="19"/>
  <c r="AU16" i="19"/>
  <c r="AU18" i="19" s="1"/>
  <c r="AU20" i="19" s="1"/>
  <c r="AU22" i="19" s="1"/>
  <c r="AU24" i="19" s="1"/>
  <c r="AU26" i="19" s="1"/>
  <c r="AU28" i="19" s="1"/>
  <c r="AU30" i="19" s="1"/>
  <c r="AU32" i="19" s="1"/>
  <c r="AU34" i="19" s="1"/>
  <c r="AU36" i="19" s="1"/>
  <c r="AU38" i="19" s="1"/>
  <c r="AU40" i="19" s="1"/>
  <c r="AU42" i="19" s="1"/>
  <c r="AU44" i="19" s="1"/>
  <c r="AU46" i="19" s="1"/>
  <c r="AU48" i="19" s="1"/>
  <c r="AU50" i="19" s="1"/>
  <c r="AU52" i="19" s="1"/>
  <c r="AU54" i="19" s="1"/>
  <c r="AU56" i="19" s="1"/>
  <c r="AU58" i="19" s="1"/>
  <c r="AU60" i="19" s="1"/>
  <c r="AU62" i="19" s="1"/>
  <c r="AU64" i="19" s="1"/>
  <c r="AU66" i="19" s="1"/>
  <c r="AU68" i="19" s="1"/>
  <c r="AU70" i="19" s="1"/>
  <c r="AS16" i="19"/>
  <c r="AR16" i="19"/>
  <c r="AQ16" i="19"/>
  <c r="AP16" i="19"/>
  <c r="AO16" i="19"/>
  <c r="AN16" i="19"/>
  <c r="AM16" i="19"/>
  <c r="AE16" i="19" s="1"/>
  <c r="AL16" i="19"/>
  <c r="AK16" i="19"/>
  <c r="AJ16" i="19"/>
  <c r="AI16" i="19"/>
  <c r="AH16" i="19"/>
  <c r="AG16" i="19"/>
  <c r="AF16" i="19"/>
  <c r="AA16" i="19"/>
  <c r="F16" i="19"/>
  <c r="BO15" i="19"/>
  <c r="BN15" i="19"/>
  <c r="BM15" i="19"/>
  <c r="BC15" i="19"/>
  <c r="AS15" i="19"/>
  <c r="AR15" i="19"/>
  <c r="AQ15" i="19"/>
  <c r="AP15" i="19"/>
  <c r="AO15" i="19"/>
  <c r="AN15" i="19"/>
  <c r="AM15" i="19"/>
  <c r="AE15" i="19" s="1"/>
  <c r="AL15" i="19"/>
  <c r="AK15" i="19"/>
  <c r="AJ15" i="19"/>
  <c r="AI15" i="19"/>
  <c r="AH15" i="19"/>
  <c r="AG15" i="19"/>
  <c r="AF15" i="19"/>
  <c r="BO14" i="19"/>
  <c r="BN14" i="19"/>
  <c r="BM14" i="19"/>
  <c r="AS14" i="19"/>
  <c r="AR14" i="19"/>
  <c r="AQ14" i="19"/>
  <c r="AP14" i="19"/>
  <c r="AO14" i="19"/>
  <c r="AN14" i="19"/>
  <c r="AM14" i="19"/>
  <c r="AL14" i="19"/>
  <c r="AK14" i="19"/>
  <c r="AJ14" i="19"/>
  <c r="AI14" i="19"/>
  <c r="AH14" i="19"/>
  <c r="AG14" i="19"/>
  <c r="AF14" i="19"/>
  <c r="AA14" i="19"/>
  <c r="F14" i="19"/>
  <c r="BO13" i="19"/>
  <c r="BN13" i="19"/>
  <c r="BM13" i="19"/>
  <c r="AS13" i="19"/>
  <c r="AR13" i="19"/>
  <c r="AQ13" i="19"/>
  <c r="AP13" i="19"/>
  <c r="AO13" i="19"/>
  <c r="AE13" i="19" s="1"/>
  <c r="AN13" i="19"/>
  <c r="AM13" i="19"/>
  <c r="AL13" i="19"/>
  <c r="AK13" i="19"/>
  <c r="AJ13" i="19"/>
  <c r="AI13" i="19"/>
  <c r="AH13" i="19"/>
  <c r="AG13" i="19"/>
  <c r="AF13" i="19"/>
  <c r="BO12" i="19"/>
  <c r="BN12" i="19"/>
  <c r="BM12" i="19"/>
  <c r="AS12" i="19"/>
  <c r="AR12" i="19"/>
  <c r="AQ12" i="19"/>
  <c r="AP12" i="19"/>
  <c r="AO12" i="19"/>
  <c r="AN12" i="19"/>
  <c r="AM12" i="19"/>
  <c r="AE12" i="19" s="1"/>
  <c r="AL12" i="19"/>
  <c r="AK12" i="19"/>
  <c r="AJ12" i="19"/>
  <c r="AI12" i="19"/>
  <c r="AH12" i="19"/>
  <c r="AG12" i="19"/>
  <c r="AF12" i="19"/>
  <c r="AA12" i="19" s="1"/>
  <c r="F12" i="19"/>
  <c r="AW17" i="19" s="1"/>
  <c r="BO11" i="19"/>
  <c r="BN11" i="19"/>
  <c r="BM11" i="19"/>
  <c r="AZ11" i="19"/>
  <c r="AS11" i="19"/>
  <c r="AR11" i="19"/>
  <c r="AQ11" i="19"/>
  <c r="AP11" i="19"/>
  <c r="AO11" i="19"/>
  <c r="AN11" i="19"/>
  <c r="AE11" i="19" s="1"/>
  <c r="AM11" i="19"/>
  <c r="AL11" i="19"/>
  <c r="AK11" i="19"/>
  <c r="AJ11" i="19"/>
  <c r="AI11" i="19"/>
  <c r="AH11" i="19"/>
  <c r="AG11" i="19"/>
  <c r="AF11" i="19"/>
  <c r="BO10" i="19"/>
  <c r="BN10" i="19"/>
  <c r="BM10" i="19"/>
  <c r="BL10" i="19"/>
  <c r="BL11" i="19" s="1"/>
  <c r="BL12" i="19" s="1"/>
  <c r="BL13" i="19" s="1"/>
  <c r="BL14" i="19" s="1"/>
  <c r="BL15" i="19" s="1"/>
  <c r="BL16" i="19" s="1"/>
  <c r="BL17" i="19" s="1"/>
  <c r="BL18" i="19" s="1"/>
  <c r="BL19" i="19" s="1"/>
  <c r="BL20" i="19" s="1"/>
  <c r="BL21" i="19" s="1"/>
  <c r="BL22" i="19" s="1"/>
  <c r="BL23" i="19" s="1"/>
  <c r="BL24" i="19" s="1"/>
  <c r="BL25" i="19" s="1"/>
  <c r="BL26" i="19" s="1"/>
  <c r="BL27" i="19" s="1"/>
  <c r="BL28" i="19" s="1"/>
  <c r="BL29" i="19" s="1"/>
  <c r="BL30" i="19" s="1"/>
  <c r="BL31" i="19" s="1"/>
  <c r="BL32" i="19" s="1"/>
  <c r="BL33" i="19" s="1"/>
  <c r="BL34" i="19" s="1"/>
  <c r="BL35" i="19" s="1"/>
  <c r="BL36" i="19" s="1"/>
  <c r="BL37" i="19" s="1"/>
  <c r="BL38" i="19" s="1"/>
  <c r="BL39" i="19" s="1"/>
  <c r="BL40" i="19" s="1"/>
  <c r="AU10" i="19"/>
  <c r="AU12" i="19" s="1"/>
  <c r="AU14" i="19" s="1"/>
  <c r="AS10" i="19"/>
  <c r="AR10" i="19"/>
  <c r="AQ10" i="19"/>
  <c r="AP10" i="19"/>
  <c r="AO10" i="19"/>
  <c r="AN10" i="19"/>
  <c r="AE10" i="19" s="1"/>
  <c r="AM10" i="19"/>
  <c r="AL10" i="19"/>
  <c r="AK10" i="19"/>
  <c r="AA10" i="19" s="1"/>
  <c r="AJ10" i="19"/>
  <c r="AI10" i="19"/>
  <c r="AH10" i="19"/>
  <c r="AG10" i="19"/>
  <c r="AF10" i="19"/>
  <c r="F10" i="19"/>
  <c r="AW13" i="19" s="1"/>
  <c r="BO9" i="19"/>
  <c r="BN9" i="19"/>
  <c r="BM9" i="19"/>
  <c r="AW9" i="19"/>
  <c r="AS9" i="19"/>
  <c r="AR9" i="19"/>
  <c r="AE9" i="19" s="1"/>
  <c r="AQ9" i="19"/>
  <c r="AP9" i="19"/>
  <c r="AO9" i="19"/>
  <c r="AN9" i="19"/>
  <c r="AM9" i="19"/>
  <c r="AL9" i="19"/>
  <c r="AK9" i="19"/>
  <c r="AJ9" i="19"/>
  <c r="AI9" i="19"/>
  <c r="AH9" i="19"/>
  <c r="AG9" i="19"/>
  <c r="AF9" i="19"/>
  <c r="AS8" i="19"/>
  <c r="AR8" i="19"/>
  <c r="AQ8" i="19"/>
  <c r="AP8" i="19"/>
  <c r="AO8" i="19"/>
  <c r="AN8" i="19"/>
  <c r="AM8" i="19"/>
  <c r="AL8" i="19"/>
  <c r="AK8" i="19"/>
  <c r="AJ8" i="19"/>
  <c r="AI8" i="19"/>
  <c r="AH8" i="19"/>
  <c r="AG8" i="19"/>
  <c r="AF8" i="19"/>
  <c r="AB8" i="19"/>
  <c r="AA8" i="19"/>
  <c r="F8" i="19"/>
  <c r="J28" i="18"/>
  <c r="J28" i="18" a="1"/>
  <c r="D27" i="18"/>
  <c r="J26" i="18"/>
  <c r="J26" i="18" a="1"/>
  <c r="J24" i="18" a="1"/>
  <c r="J24" i="18" s="1"/>
  <c r="D23" i="18"/>
  <c r="J22" i="18"/>
  <c r="J22" i="18" a="1"/>
  <c r="D21" i="18"/>
  <c r="J20" i="18"/>
  <c r="J20" i="18" a="1"/>
  <c r="D20" i="18"/>
  <c r="D25" i="18" s="1"/>
  <c r="J18" i="18" a="1"/>
  <c r="J18" i="18" s="1"/>
  <c r="A15" i="18"/>
  <c r="A14" i="18"/>
  <c r="D28" i="18"/>
  <c r="A13" i="18"/>
  <c r="A12" i="18"/>
  <c r="J7" i="18"/>
  <c r="J22" i="17"/>
  <c r="J22" i="17" a="1"/>
  <c r="J20" i="17" a="1"/>
  <c r="J20" i="17" s="1"/>
  <c r="J18" i="17" a="1"/>
  <c r="J18" i="17" s="1"/>
  <c r="J14" i="17"/>
  <c r="A14" i="17"/>
  <c r="J13" i="17"/>
  <c r="A13" i="17"/>
  <c r="J12" i="17"/>
  <c r="A12" i="17"/>
  <c r="J7" i="17"/>
  <c r="J22" i="16" a="1"/>
  <c r="J22" i="16" s="1"/>
  <c r="J20" i="16"/>
  <c r="J20" i="16" a="1"/>
  <c r="J18" i="16"/>
  <c r="J18" i="16" a="1"/>
  <c r="J14" i="16"/>
  <c r="A14" i="16"/>
  <c r="J13" i="16"/>
  <c r="A13" i="16"/>
  <c r="J12" i="16"/>
  <c r="A12" i="16"/>
  <c r="J7" i="16"/>
  <c r="J22" i="15"/>
  <c r="J22" i="15" a="1"/>
  <c r="J20" i="15"/>
  <c r="J20" i="15" a="1"/>
  <c r="J18" i="15" a="1"/>
  <c r="J18" i="15" s="1"/>
  <c r="J14" i="15"/>
  <c r="A14" i="15"/>
  <c r="J13" i="15"/>
  <c r="A13" i="15"/>
  <c r="J12" i="15"/>
  <c r="A12" i="15"/>
  <c r="J7" i="15"/>
  <c r="J22" i="14"/>
  <c r="J22" i="14" a="1"/>
  <c r="J20" i="14" a="1"/>
  <c r="J20" i="14" s="1"/>
  <c r="J18" i="14" a="1"/>
  <c r="J18" i="14" s="1"/>
  <c r="J14" i="14"/>
  <c r="A14" i="14"/>
  <c r="J13" i="14"/>
  <c r="A13" i="14"/>
  <c r="J12" i="14"/>
  <c r="A12" i="14"/>
  <c r="J7" i="14"/>
  <c r="J22" i="13" a="1"/>
  <c r="J22" i="13" s="1"/>
  <c r="J20" i="13" a="1"/>
  <c r="J20" i="13" s="1"/>
  <c r="J18" i="13"/>
  <c r="J18" i="13" a="1"/>
  <c r="J14" i="13"/>
  <c r="A14" i="13"/>
  <c r="J13" i="13"/>
  <c r="D22" i="13"/>
  <c r="A13" i="13"/>
  <c r="J12" i="13"/>
  <c r="A12" i="13"/>
  <c r="J7" i="13"/>
  <c r="J22" i="12"/>
  <c r="J22" i="12" a="1"/>
  <c r="J20" i="12"/>
  <c r="J20" i="12" a="1"/>
  <c r="D19" i="12"/>
  <c r="J18" i="12" a="1"/>
  <c r="J18" i="12" s="1"/>
  <c r="D18" i="12"/>
  <c r="J14" i="12"/>
  <c r="D23" i="12"/>
  <c r="A14" i="12"/>
  <c r="J13" i="12"/>
  <c r="A13" i="12"/>
  <c r="J12" i="12"/>
  <c r="D20" i="12"/>
  <c r="A12" i="12"/>
  <c r="J7" i="12"/>
  <c r="J22" i="11" a="1"/>
  <c r="J22" i="11" s="1"/>
  <c r="J20" i="11" a="1"/>
  <c r="J20" i="11" s="1"/>
  <c r="J18" i="11" a="1"/>
  <c r="J18" i="11" s="1"/>
  <c r="J14" i="11"/>
  <c r="A14" i="11"/>
  <c r="J13" i="11"/>
  <c r="A13" i="11"/>
  <c r="J12" i="11"/>
  <c r="A12" i="11"/>
  <c r="J7" i="11"/>
  <c r="J22" i="10" a="1"/>
  <c r="J22" i="10" s="1"/>
  <c r="J20" i="10" a="1"/>
  <c r="J20" i="10" s="1"/>
  <c r="J18" i="10"/>
  <c r="J18" i="10" a="1"/>
  <c r="J14" i="10"/>
  <c r="A14" i="10"/>
  <c r="J13" i="10"/>
  <c r="A13" i="10"/>
  <c r="J12" i="10"/>
  <c r="A12" i="10"/>
  <c r="J7" i="10"/>
  <c r="J22" i="9" a="1"/>
  <c r="J22" i="9" s="1"/>
  <c r="J20" i="9"/>
  <c r="J20" i="9" a="1"/>
  <c r="J18" i="9" a="1"/>
  <c r="J18" i="9" s="1"/>
  <c r="J14" i="9"/>
  <c r="A14" i="9"/>
  <c r="J13" i="9"/>
  <c r="A13" i="9"/>
  <c r="J12" i="9"/>
  <c r="A12" i="9"/>
  <c r="J7" i="9"/>
  <c r="J22" i="8"/>
  <c r="J22" i="8" a="1"/>
  <c r="J20" i="8" a="1"/>
  <c r="J20" i="8" s="1"/>
  <c r="J18" i="8"/>
  <c r="J18" i="8" a="1"/>
  <c r="J14" i="8"/>
  <c r="A14" i="8"/>
  <c r="J13" i="8"/>
  <c r="A13" i="8"/>
  <c r="J12" i="8"/>
  <c r="A12" i="8"/>
  <c r="J7" i="8"/>
  <c r="J22" i="7" a="1"/>
  <c r="J22" i="7" s="1"/>
  <c r="J20" i="7"/>
  <c r="J20" i="7" a="1"/>
  <c r="J18" i="7" a="1"/>
  <c r="J18" i="7" s="1"/>
  <c r="J14" i="7"/>
  <c r="A14" i="7"/>
  <c r="J13" i="7"/>
  <c r="A13" i="7"/>
  <c r="J12" i="7"/>
  <c r="A12" i="7"/>
  <c r="J7" i="7"/>
  <c r="J22" i="6"/>
  <c r="J22" i="6" a="1"/>
  <c r="J20" i="6"/>
  <c r="J20" i="6" a="1"/>
  <c r="J18" i="6" a="1"/>
  <c r="J18" i="6" s="1"/>
  <c r="J14" i="6"/>
  <c r="A14" i="6"/>
  <c r="J13" i="6"/>
  <c r="A13" i="6"/>
  <c r="J12" i="6"/>
  <c r="A12" i="6"/>
  <c r="J7" i="6"/>
  <c r="J22" i="5" a="1"/>
  <c r="J22" i="5" s="1"/>
  <c r="J20" i="5" a="1"/>
  <c r="J20" i="5" s="1"/>
  <c r="J18" i="5"/>
  <c r="J18" i="5" a="1"/>
  <c r="J14" i="5"/>
  <c r="A14" i="5"/>
  <c r="J13" i="5"/>
  <c r="A13" i="5"/>
  <c r="J12" i="5"/>
  <c r="D18" i="5"/>
  <c r="A12" i="5"/>
  <c r="J7" i="5"/>
  <c r="J22" i="4"/>
  <c r="J22" i="4" a="1"/>
  <c r="J20" i="4" a="1"/>
  <c r="J20" i="4" s="1"/>
  <c r="J18" i="4" a="1"/>
  <c r="J18" i="4" s="1"/>
  <c r="J14" i="4"/>
  <c r="A14" i="4"/>
  <c r="J13" i="4"/>
  <c r="A13" i="4"/>
  <c r="J12" i="4"/>
  <c r="A12" i="4"/>
  <c r="J7" i="4"/>
  <c r="J22" i="3" a="1"/>
  <c r="J22" i="3" s="1"/>
  <c r="J20" i="3"/>
  <c r="J20" i="3" a="1"/>
  <c r="J18" i="3" a="1"/>
  <c r="J18" i="3" s="1"/>
  <c r="J14" i="3"/>
  <c r="A14" i="3"/>
  <c r="J13" i="3"/>
  <c r="A13" i="3"/>
  <c r="J12" i="3"/>
  <c r="A12" i="3"/>
  <c r="J7" i="3"/>
  <c r="AD18" i="19" l="1"/>
  <c r="AD19" i="19" s="1"/>
  <c r="AC18" i="19"/>
  <c r="AZ30" i="19" s="1"/>
  <c r="D19" i="18"/>
  <c r="D24" i="18" s="1"/>
  <c r="D29" i="18" s="1"/>
  <c r="AC16" i="19"/>
  <c r="AZ24" i="19" s="1"/>
  <c r="AD17" i="19"/>
  <c r="AD40" i="19"/>
  <c r="AD41" i="19" s="1"/>
  <c r="AD44" i="19"/>
  <c r="AD45" i="19" s="1"/>
  <c r="AD64" i="19"/>
  <c r="AD65" i="19"/>
  <c r="AA20" i="19"/>
  <c r="AD54" i="19"/>
  <c r="AC54" i="19" s="1"/>
  <c r="BC68" i="19" s="1"/>
  <c r="AD55" i="19"/>
  <c r="D18" i="11"/>
  <c r="D20" i="11"/>
  <c r="AB10" i="19"/>
  <c r="AE14" i="19"/>
  <c r="D21" i="13"/>
  <c r="AD26" i="19"/>
  <c r="AC26" i="19" s="1"/>
  <c r="AZ46" i="19" s="1"/>
  <c r="AD27" i="19"/>
  <c r="AD36" i="19"/>
  <c r="AD37" i="19" s="1"/>
  <c r="AD62" i="19"/>
  <c r="AC62" i="19" s="1"/>
  <c r="BF64" i="19" s="1"/>
  <c r="AD63" i="19"/>
  <c r="AD8" i="19"/>
  <c r="AD9" i="19" s="1"/>
  <c r="D20" i="3"/>
  <c r="D18" i="3"/>
  <c r="AD16" i="19"/>
  <c r="AD28" i="19"/>
  <c r="AD29" i="19" s="1"/>
  <c r="AC28" i="19"/>
  <c r="AZ48" i="19" s="1"/>
  <c r="D18" i="17"/>
  <c r="D20" i="17"/>
  <c r="AD30" i="19"/>
  <c r="AD31" i="19"/>
  <c r="D20" i="8"/>
  <c r="D18" i="8"/>
  <c r="D20" i="5"/>
  <c r="AE8" i="19"/>
  <c r="AE20" i="19"/>
  <c r="AE31" i="19"/>
  <c r="AA38" i="19"/>
  <c r="AA56" i="19"/>
  <c r="AB14" i="19"/>
  <c r="AA22" i="19"/>
  <c r="AE24" i="19"/>
  <c r="AB12" i="19"/>
  <c r="AD12" i="19" s="1"/>
  <c r="AE44" i="19"/>
  <c r="AD46" i="19"/>
  <c r="AB30" i="19"/>
  <c r="AC30" i="19" s="1"/>
  <c r="AZ54" i="19" s="1"/>
  <c r="AE39" i="19"/>
  <c r="AE41" i="19"/>
  <c r="AC40" i="19" s="1"/>
  <c r="BC10" i="19" s="1"/>
  <c r="AE18" i="19"/>
  <c r="AB20" i="19"/>
  <c r="AD35" i="19"/>
  <c r="AC34" i="19"/>
  <c r="AZ62" i="19" s="1"/>
  <c r="AB50" i="19"/>
  <c r="AD61" i="19"/>
  <c r="AD60" i="19"/>
  <c r="AD70" i="19"/>
  <c r="AD71" i="19" s="1"/>
  <c r="AC70" i="19"/>
  <c r="BI40" i="19" s="1"/>
  <c r="AA32" i="19"/>
  <c r="AA42" i="19"/>
  <c r="AE45" i="19"/>
  <c r="AB56" i="19"/>
  <c r="AC60" i="19"/>
  <c r="BF46" i="19" s="1"/>
  <c r="AE28" i="19"/>
  <c r="AE36" i="19"/>
  <c r="AC36" i="19" s="1"/>
  <c r="AZ64" i="19" s="1"/>
  <c r="AA52" i="19"/>
  <c r="AE57" i="19"/>
  <c r="AE25" i="19"/>
  <c r="AB38" i="19"/>
  <c r="AB46" i="19"/>
  <c r="AC46" i="19" s="1"/>
  <c r="BC36" i="19" s="1"/>
  <c r="AB24" i="19"/>
  <c r="AD24" i="19" s="1"/>
  <c r="AE33" i="19"/>
  <c r="AE56" i="19"/>
  <c r="AE65" i="19"/>
  <c r="AE70" i="19"/>
  <c r="AC66" i="19"/>
  <c r="BI56" i="19" s="1"/>
  <c r="AD67" i="19"/>
  <c r="AB36" i="19"/>
  <c r="AE48" i="19"/>
  <c r="AE55" i="19"/>
  <c r="AE43" i="19"/>
  <c r="AB48" i="19"/>
  <c r="AE52" i="19"/>
  <c r="AE64" i="19"/>
  <c r="AC64" i="19" s="1"/>
  <c r="BI22" i="19" s="1"/>
  <c r="AB58" i="19"/>
  <c r="AD13" i="19" l="1"/>
  <c r="AC12" i="19"/>
  <c r="AZ16" i="19" s="1"/>
  <c r="AD11" i="19"/>
  <c r="D21" i="14"/>
  <c r="D22" i="14"/>
  <c r="D20" i="9"/>
  <c r="D18" i="9"/>
  <c r="D22" i="17"/>
  <c r="D21" i="17"/>
  <c r="D22" i="7"/>
  <c r="D21" i="7"/>
  <c r="D21" i="6"/>
  <c r="D22" i="6"/>
  <c r="AD22" i="19"/>
  <c r="AD23" i="19" s="1"/>
  <c r="AC22" i="19"/>
  <c r="AZ38" i="19" s="1"/>
  <c r="D20" i="4"/>
  <c r="D18" i="4"/>
  <c r="D19" i="9"/>
  <c r="D23" i="9"/>
  <c r="AD48" i="19"/>
  <c r="AC48" i="19" s="1"/>
  <c r="BC42" i="19" s="1"/>
  <c r="D20" i="10"/>
  <c r="D18" i="10"/>
  <c r="AD14" i="19"/>
  <c r="AD15" i="19" s="1"/>
  <c r="AC14" i="19"/>
  <c r="AZ22" i="19" s="1"/>
  <c r="D20" i="7"/>
  <c r="D18" i="7"/>
  <c r="AC24" i="19"/>
  <c r="AZ40" i="19" s="1"/>
  <c r="D21" i="10"/>
  <c r="D22" i="10"/>
  <c r="AD10" i="19"/>
  <c r="AC10" i="19" s="1"/>
  <c r="AZ14" i="19" s="1"/>
  <c r="AD56" i="19"/>
  <c r="AD57" i="19" s="1"/>
  <c r="AC56" i="19"/>
  <c r="BF14" i="19" s="1"/>
  <c r="D19" i="11"/>
  <c r="D23" i="11"/>
  <c r="AD52" i="19"/>
  <c r="AD53" i="19" s="1"/>
  <c r="AC52" i="19"/>
  <c r="BC58" i="19" s="1"/>
  <c r="D22" i="9"/>
  <c r="D21" i="9"/>
  <c r="D18" i="6"/>
  <c r="D20" i="6"/>
  <c r="D18" i="16"/>
  <c r="D20" i="16"/>
  <c r="D22" i="8"/>
  <c r="D21" i="8"/>
  <c r="AD25" i="19"/>
  <c r="D18" i="14"/>
  <c r="D20" i="14"/>
  <c r="AD38" i="19"/>
  <c r="AD39" i="19" s="1"/>
  <c r="D19" i="14"/>
  <c r="D23" i="14"/>
  <c r="D23" i="10"/>
  <c r="D19" i="10"/>
  <c r="AC44" i="19"/>
  <c r="BC26" i="19" s="1"/>
  <c r="D19" i="3"/>
  <c r="D23" i="3"/>
  <c r="D23" i="6"/>
  <c r="D19" i="6"/>
  <c r="D19" i="8"/>
  <c r="D23" i="8"/>
  <c r="AD20" i="19"/>
  <c r="AD21" i="19" s="1"/>
  <c r="AC20" i="19"/>
  <c r="AZ32" i="19" s="1"/>
  <c r="AD32" i="19"/>
  <c r="AC32" i="19"/>
  <c r="AZ56" i="19" s="1"/>
  <c r="AD33" i="19"/>
  <c r="D20" i="13"/>
  <c r="D18" i="13"/>
  <c r="D22" i="11"/>
  <c r="D21" i="11"/>
  <c r="AD47" i="19"/>
  <c r="AD50" i="19"/>
  <c r="AC50" i="19" s="1"/>
  <c r="BC52" i="19" s="1"/>
  <c r="D19" i="16"/>
  <c r="D23" i="16"/>
  <c r="AD58" i="19"/>
  <c r="AC58" i="19" s="1"/>
  <c r="BF32" i="19" s="1"/>
  <c r="D19" i="5"/>
  <c r="D23" i="5"/>
  <c r="D21" i="4"/>
  <c r="D22" i="4"/>
  <c r="D23" i="13"/>
  <c r="D19" i="13"/>
  <c r="AC8" i="19"/>
  <c r="AZ8" i="19" s="1"/>
  <c r="D23" i="7"/>
  <c r="D19" i="7"/>
  <c r="D18" i="15"/>
  <c r="D20" i="15"/>
  <c r="AD42" i="19"/>
  <c r="AC42" i="19" s="1"/>
  <c r="BC20" i="19" s="1"/>
  <c r="D22" i="5"/>
  <c r="D21" i="5"/>
  <c r="D22" i="15"/>
  <c r="D21" i="15"/>
  <c r="D19" i="17"/>
  <c r="D23" i="17"/>
  <c r="D23" i="15"/>
  <c r="D19" i="15"/>
  <c r="D22" i="18"/>
  <c r="D18" i="18"/>
  <c r="D26" i="18"/>
  <c r="D21" i="16"/>
  <c r="D22" i="16"/>
  <c r="D22" i="3"/>
  <c r="D21" i="3"/>
  <c r="D22" i="12"/>
  <c r="D21" i="12"/>
  <c r="D19" i="4"/>
  <c r="D23" i="4"/>
  <c r="AD43" i="19" l="1"/>
  <c r="AD51" i="19"/>
  <c r="AD49" i="19"/>
  <c r="AD59" i="19"/>
  <c r="AC38" i="19"/>
  <c r="AZ70" i="19" s="1"/>
  <c r="L109" i="19" l="1"/>
  <c r="K108" i="19"/>
  <c r="BY9" i="19"/>
  <c r="AV8" i="19"/>
  <c r="G40" i="19"/>
  <c r="AV70" i="19"/>
  <c r="K139" i="19"/>
  <c r="L138" i="19"/>
  <c r="BZ24" i="19"/>
  <c r="H54" i="19"/>
  <c r="AV38" i="19" l="1"/>
  <c r="K123" i="19"/>
  <c r="L122" i="19"/>
  <c r="BZ16" i="19"/>
  <c r="H46" i="19"/>
  <c r="K117" i="19"/>
  <c r="L116" i="19"/>
  <c r="AV26" i="19"/>
  <c r="BZ13" i="19"/>
  <c r="K134" i="19"/>
  <c r="AV60" i="19"/>
  <c r="L135" i="19"/>
  <c r="BY22" i="19"/>
  <c r="K92" i="19"/>
  <c r="L93" i="19"/>
  <c r="BY25" i="19"/>
  <c r="AY9" i="19"/>
  <c r="K107" i="19"/>
  <c r="L106" i="19"/>
  <c r="AY69" i="19"/>
  <c r="BZ32" i="19"/>
  <c r="H62" i="19"/>
  <c r="AV54" i="19"/>
  <c r="K131" i="19"/>
  <c r="L130" i="19"/>
  <c r="BZ20" i="19"/>
  <c r="H50" i="19"/>
  <c r="K122" i="19" l="1"/>
  <c r="AV36" i="19"/>
  <c r="L123" i="19"/>
  <c r="BY16" i="19"/>
  <c r="AV52" i="19"/>
  <c r="L131" i="19"/>
  <c r="K130" i="19"/>
  <c r="BY20" i="19"/>
  <c r="K125" i="19"/>
  <c r="L124" i="19"/>
  <c r="BZ17" i="19"/>
  <c r="AV42" i="19"/>
  <c r="K137" i="19"/>
  <c r="L136" i="19"/>
  <c r="AV66" i="19"/>
  <c r="BZ23" i="19"/>
  <c r="K124" i="19"/>
  <c r="BY17" i="19"/>
  <c r="L125" i="19"/>
  <c r="AV40" i="19"/>
  <c r="G48" i="19"/>
  <c r="K110" i="19"/>
  <c r="L111" i="19"/>
  <c r="AV12" i="19"/>
  <c r="BY10" i="19"/>
  <c r="L115" i="19"/>
  <c r="K114" i="19"/>
  <c r="BY12" i="19"/>
  <c r="AV20" i="19"/>
  <c r="K109" i="19"/>
  <c r="L108" i="19"/>
  <c r="AV10" i="19"/>
  <c r="BZ9" i="19"/>
  <c r="L121" i="19"/>
  <c r="K120" i="19"/>
  <c r="AV32" i="19"/>
  <c r="BY15" i="19"/>
  <c r="BZ28" i="19"/>
  <c r="AY37" i="19"/>
  <c r="K99" i="19"/>
  <c r="L98" i="19"/>
  <c r="H58" i="19"/>
  <c r="L139" i="19"/>
  <c r="BY24" i="19"/>
  <c r="AV68" i="19"/>
  <c r="K138" i="19"/>
  <c r="K121" i="19"/>
  <c r="L120" i="19"/>
  <c r="BZ15" i="19"/>
  <c r="AV34" i="19"/>
  <c r="G46" i="19"/>
  <c r="K91" i="19"/>
  <c r="L90" i="19"/>
  <c r="BB67" i="19"/>
  <c r="BZ36" i="19"/>
  <c r="K116" i="19"/>
  <c r="L117" i="19"/>
  <c r="BY13" i="19"/>
  <c r="AV24" i="19"/>
  <c r="G44" i="19"/>
  <c r="K111" i="19"/>
  <c r="L110" i="19"/>
  <c r="BZ10" i="19"/>
  <c r="AV14" i="19"/>
  <c r="H40" i="19"/>
  <c r="K103" i="19"/>
  <c r="L102" i="19"/>
  <c r="AY53" i="19"/>
  <c r="BZ30" i="19"/>
  <c r="L132" i="19"/>
  <c r="K133" i="19"/>
  <c r="BZ21" i="19"/>
  <c r="AV58" i="19"/>
  <c r="K129" i="19"/>
  <c r="L128" i="19"/>
  <c r="BZ19" i="19"/>
  <c r="AV50" i="19"/>
  <c r="K132" i="19"/>
  <c r="L133" i="19"/>
  <c r="AV56" i="19"/>
  <c r="BY21" i="19"/>
  <c r="G52" i="19"/>
  <c r="K119" i="19"/>
  <c r="L118" i="19"/>
  <c r="AV30" i="19"/>
  <c r="BZ14" i="19"/>
  <c r="H44" i="19"/>
  <c r="L127" i="19"/>
  <c r="AV44" i="19"/>
  <c r="K126" i="19"/>
  <c r="BY18" i="19"/>
  <c r="K136" i="19"/>
  <c r="AV64" i="19"/>
  <c r="L137" i="19"/>
  <c r="BY23" i="19"/>
  <c r="G54" i="19"/>
  <c r="AV62" i="19"/>
  <c r="L134" i="19"/>
  <c r="K135" i="19"/>
  <c r="BZ22" i="19"/>
  <c r="H52" i="19"/>
  <c r="BZ11" i="19"/>
  <c r="K113" i="19"/>
  <c r="AV18" i="19"/>
  <c r="L112" i="19"/>
  <c r="G42" i="19"/>
  <c r="L113" i="19"/>
  <c r="K112" i="19"/>
  <c r="BY11" i="19"/>
  <c r="AV16" i="19"/>
  <c r="K115" i="19"/>
  <c r="L114" i="19"/>
  <c r="AV22" i="19"/>
  <c r="BZ12" i="19"/>
  <c r="H42" i="19"/>
  <c r="L119" i="19"/>
  <c r="K118" i="19"/>
  <c r="AV28" i="19"/>
  <c r="BY14" i="19"/>
  <c r="L129" i="19"/>
  <c r="K128" i="19"/>
  <c r="AV48" i="19"/>
  <c r="BY19" i="19"/>
  <c r="G50" i="19"/>
  <c r="AV46" i="19"/>
  <c r="K127" i="19"/>
  <c r="L126" i="19"/>
  <c r="BZ18" i="19"/>
  <c r="H48" i="19"/>
  <c r="K98" i="19" l="1"/>
  <c r="AY33" i="19"/>
  <c r="L99" i="19"/>
  <c r="BY28" i="19"/>
  <c r="BZ34" i="19"/>
  <c r="L86" i="19"/>
  <c r="K87" i="19"/>
  <c r="BB35" i="19"/>
  <c r="H64" i="19"/>
  <c r="K105" i="19"/>
  <c r="L104" i="19"/>
  <c r="BZ31" i="19"/>
  <c r="AY61" i="19"/>
  <c r="G62" i="19"/>
  <c r="K97" i="19"/>
  <c r="L96" i="19"/>
  <c r="BZ27" i="19"/>
  <c r="AY29" i="19"/>
  <c r="G58" i="19"/>
  <c r="K93" i="19"/>
  <c r="L92" i="19"/>
  <c r="AY13" i="19"/>
  <c r="BZ25" i="19"/>
  <c r="G56" i="19"/>
  <c r="K101" i="19"/>
  <c r="L100" i="19"/>
  <c r="AY45" i="19"/>
  <c r="BZ29" i="19"/>
  <c r="G60" i="19"/>
  <c r="L95" i="19"/>
  <c r="K94" i="19"/>
  <c r="BY26" i="19"/>
  <c r="AY17" i="19"/>
  <c r="AY49" i="19"/>
  <c r="L103" i="19"/>
  <c r="K102" i="19"/>
  <c r="BY30" i="19"/>
  <c r="H60" i="19"/>
  <c r="AY41" i="19"/>
  <c r="K100" i="19"/>
  <c r="L101" i="19"/>
  <c r="BY29" i="19"/>
  <c r="L94" i="19"/>
  <c r="BZ26" i="19"/>
  <c r="K95" i="19"/>
  <c r="AY21" i="19"/>
  <c r="H56" i="19"/>
  <c r="AY65" i="19"/>
  <c r="L107" i="19"/>
  <c r="K106" i="19"/>
  <c r="BY32" i="19"/>
  <c r="AY57" i="19"/>
  <c r="L105" i="19"/>
  <c r="BY31" i="19"/>
  <c r="K104" i="19"/>
  <c r="L97" i="19"/>
  <c r="K96" i="19"/>
  <c r="BY27" i="19"/>
  <c r="AY25" i="19"/>
  <c r="K86" i="19" l="1"/>
  <c r="BB27" i="19"/>
  <c r="BY34" i="19"/>
  <c r="L87" i="19"/>
  <c r="K85" i="19"/>
  <c r="L84" i="19"/>
  <c r="BZ33" i="19"/>
  <c r="BB19" i="19"/>
  <c r="G64" i="19"/>
  <c r="BE31" i="19"/>
  <c r="K81" i="19"/>
  <c r="L80" i="19"/>
  <c r="BZ37" i="19"/>
  <c r="G68" i="19"/>
  <c r="L85" i="19"/>
  <c r="K84" i="19"/>
  <c r="BY33" i="19"/>
  <c r="BB11" i="19"/>
  <c r="L91" i="19"/>
  <c r="K90" i="19"/>
  <c r="BY36" i="19"/>
  <c r="BB59" i="19"/>
  <c r="H66" i="19"/>
  <c r="K89" i="19"/>
  <c r="BZ35" i="19"/>
  <c r="L88" i="19"/>
  <c r="BB51" i="19"/>
  <c r="G66" i="19"/>
  <c r="BY35" i="19"/>
  <c r="K88" i="19"/>
  <c r="BB43" i="19"/>
  <c r="L89" i="19"/>
  <c r="BE75" i="19" l="1"/>
  <c r="BY39" i="19"/>
  <c r="BE47" i="19"/>
  <c r="L83" i="19"/>
  <c r="K82" i="19"/>
  <c r="BY38" i="19"/>
  <c r="H70" i="19"/>
  <c r="BZ38" i="19"/>
  <c r="BE63" i="19"/>
  <c r="K83" i="19"/>
  <c r="L82" i="19"/>
  <c r="H68" i="19"/>
  <c r="L81" i="19"/>
  <c r="K80" i="19"/>
  <c r="BE15" i="19"/>
  <c r="BY37" i="19"/>
  <c r="G70" i="19"/>
  <c r="BH55" i="19" l="1"/>
  <c r="BZ40" i="19"/>
  <c r="G74" i="19"/>
  <c r="BE77" i="19"/>
  <c r="BZ39" i="19"/>
  <c r="BH23" i="19"/>
  <c r="BY40" i="19"/>
  <c r="G80" i="19" l="1"/>
  <c r="BH39" i="19"/>
  <c r="H147" i="19" l="1"/>
  <c r="G82" i="19"/>
  <c r="G124" i="19"/>
  <c r="G100" i="19"/>
  <c r="G88" i="19"/>
  <c r="G81" i="19"/>
  <c r="G125" i="19" l="1"/>
  <c r="G101" i="19"/>
  <c r="G89" i="19"/>
  <c r="H148" i="19"/>
  <c r="G128" i="19"/>
  <c r="G104" i="19"/>
  <c r="H151" i="19"/>
  <c r="G132" i="19"/>
  <c r="H155" i="19"/>
  <c r="H163" i="19"/>
  <c r="H149" i="19"/>
  <c r="G102" i="19"/>
  <c r="G83" i="19"/>
  <c r="G90" i="19"/>
  <c r="G126" i="19"/>
  <c r="G136" i="19" l="1"/>
  <c r="H159" i="19"/>
  <c r="H167" i="19"/>
  <c r="H171" i="19"/>
  <c r="H157" i="19"/>
  <c r="G134" i="19"/>
  <c r="H152" i="19"/>
  <c r="G129" i="19"/>
  <c r="G105" i="19"/>
  <c r="G130" i="19"/>
  <c r="G106" i="19"/>
  <c r="H153" i="19"/>
  <c r="H150" i="19"/>
  <c r="G127" i="19"/>
  <c r="G103" i="19"/>
  <c r="G91" i="19"/>
  <c r="H156" i="19"/>
  <c r="G133" i="19"/>
  <c r="H165" i="19"/>
  <c r="H164" i="19"/>
  <c r="G135" i="19" l="1"/>
  <c r="H158" i="19"/>
  <c r="H168" i="19"/>
  <c r="H154" i="19"/>
  <c r="G107" i="19"/>
  <c r="G131" i="19"/>
  <c r="H166" i="19"/>
  <c r="H173" i="19"/>
  <c r="H172" i="19"/>
  <c r="H169" i="19"/>
  <c r="H161" i="19"/>
  <c r="G138" i="19"/>
  <c r="G137" i="19"/>
  <c r="H160" i="19"/>
  <c r="H175" i="19"/>
  <c r="H162" i="19" l="1"/>
  <c r="G139" i="19"/>
  <c r="H170" i="19"/>
  <c r="H177" i="19"/>
  <c r="H176" i="19"/>
  <c r="H174" i="19"/>
  <c r="H178" i="19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<sst xmlns="http://schemas.openxmlformats.org/spreadsheetml/2006/main" count="1873" uniqueCount="491">
  <si>
    <t>Ranking</t>
  </si>
  <si>
    <t>CARNE</t>
  </si>
  <si>
    <t>NOMBRE</t>
  </si>
  <si>
    <t>CLUB</t>
  </si>
  <si>
    <t>PUNTOS</t>
  </si>
  <si>
    <t>LUCIANO QUIROS AVILA</t>
  </si>
  <si>
    <t>ESCAZÚ</t>
  </si>
  <si>
    <t>JOSE PABLO ARAYA VILLALOBOS</t>
  </si>
  <si>
    <t>SAN CARLOS</t>
  </si>
  <si>
    <t>NICOLAS OVARES CASTRO</t>
  </si>
  <si>
    <t>SANTA ANA</t>
  </si>
  <si>
    <t>ISMAEL CÁRDENAS ACOSTA</t>
  </si>
  <si>
    <t>CCDR SAN JOSÉ</t>
  </si>
  <si>
    <t>JESÉ DAVID CHAVES MUÑOZ</t>
  </si>
  <si>
    <t>ESPARZA</t>
  </si>
  <si>
    <t>RODOLFO ALBERTO CHAVES LEON</t>
  </si>
  <si>
    <t>YOHAV GADIEL ALVARADO RETANA</t>
  </si>
  <si>
    <t>PÉREZ ZELEDÓN</t>
  </si>
  <si>
    <t>GABRIEL CORRALES BARRANTES</t>
  </si>
  <si>
    <t>OSWALDO IGNACIO SILVA NOVOA</t>
  </si>
  <si>
    <t>CALEB CASCANTE MARIN</t>
  </si>
  <si>
    <t>MATHIAS QUESADA CASTILLO</t>
  </si>
  <si>
    <t>RONALDO CONDE TRELLES</t>
  </si>
  <si>
    <t>ESTEBAN CHACÓN ALTAMIRANO</t>
  </si>
  <si>
    <t>CURRIDABAT</t>
  </si>
  <si>
    <t>ISAAC RIVERA TORRES</t>
  </si>
  <si>
    <t>NICOLAS CECILIANO ESQUIVEL</t>
  </si>
  <si>
    <t>MATÍAS RAMÍREZ MARÍN</t>
  </si>
  <si>
    <t>SANTIAGO ALVAREZ LONGHI</t>
  </si>
  <si>
    <t>SANTO DOMINGO</t>
  </si>
  <si>
    <t>LUCCA NAEL LOBO DIAZ</t>
  </si>
  <si>
    <t>ISAAC ANDRÉS LEAL CHACÓN</t>
  </si>
  <si>
    <t>MATIAS FENG NIE</t>
  </si>
  <si>
    <t>CARLOS LUIS CHAVES GOMEZ</t>
  </si>
  <si>
    <t>AARON EDUARDO RAMIREZ CRUZ</t>
  </si>
  <si>
    <t>FRANKLING CHEN FENG</t>
  </si>
  <si>
    <t>JUAN PABLO ARCE VÁSQUEZ</t>
  </si>
  <si>
    <t>JOSUE DAVID TENORIO PANIAGUA</t>
  </si>
  <si>
    <t>SANTIAGO FAIT BARRIOS</t>
  </si>
  <si>
    <t>ISAAC GUTIERREZ CHACON</t>
  </si>
  <si>
    <t>CCDR SANTA CRUZ</t>
  </si>
  <si>
    <t>LUIS JAVIER MARTÍNEZ HONG</t>
  </si>
  <si>
    <t>JOSÉ IGNACIO RETANA AGUILAR</t>
  </si>
  <si>
    <t>DANIEL GARRO OBALDÍA</t>
  </si>
  <si>
    <t>JACKY CHENG FENG</t>
  </si>
  <si>
    <t>EVANS FALLAS BARQUERO</t>
  </si>
  <si>
    <t>GAEL DINARTE GRAEFF</t>
  </si>
  <si>
    <t>JULIÁN HERNÁNDEZ ZÚÑIGA</t>
  </si>
  <si>
    <t>MIKEL MORA JIMÉNEZ</t>
  </si>
  <si>
    <t>MATÍAS UMAÑA CANO</t>
  </si>
  <si>
    <t>BRYAN ALVAREZ SOLIS</t>
  </si>
  <si>
    <t>ADRIAN ARTAVIA MORALES</t>
  </si>
  <si>
    <t>MONTES DE OCA</t>
  </si>
  <si>
    <t>LUIS ANTONIO ABARCA MARIN</t>
  </si>
  <si>
    <t>SEBASTIÁN MUÑOZ RUIZ</t>
  </si>
  <si>
    <t>LIBERIA</t>
  </si>
  <si>
    <t>FRANCISCO CHAVES MORA</t>
  </si>
  <si>
    <t>ASERRÍ</t>
  </si>
  <si>
    <t>JULIAN DANIEL FALLAS RODRÍGUEZ</t>
  </si>
  <si>
    <t>TOMAS IGNACIO UGALDE HERNANDEZ</t>
  </si>
  <si>
    <t>MATTEUS SERRANO VARGAS</t>
  </si>
  <si>
    <t>POCOCÍ</t>
  </si>
  <si>
    <t>SAÚL JESÉ OROZCO REYES</t>
  </si>
  <si>
    <t>FABIAN JOSUÉ CISNEROS VARGAS</t>
  </si>
  <si>
    <t>MARLON ANDREY RIGGIONI RODRIGUEZ</t>
  </si>
  <si>
    <t>MATÍAS VILLEGAS FALLAS</t>
  </si>
  <si>
    <t>SANTIAGO UREÑA CALDERÓN</t>
  </si>
  <si>
    <t>EMANUEL LEANDRO PERAZA ALFARO</t>
  </si>
  <si>
    <t>LUIS CARLOS CONTRERAS MEJIA</t>
  </si>
  <si>
    <t>NIKOLAS BUTVILL CAMACHO</t>
  </si>
  <si>
    <t>SAÚL EMIR PÉREZ MEDINA</t>
  </si>
  <si>
    <t>ALESSANDRO RIMOLO VILLAGRA</t>
  </si>
  <si>
    <t>JULIÁN ZUÑIGA AGÜERO</t>
  </si>
  <si>
    <t>GABRIEL CENTENO MORA</t>
  </si>
  <si>
    <t>NICOLAS ESPINOZA ALFARO</t>
  </si>
  <si>
    <t>LUIS GUILLERMO RODRIGUEZ SOLIS</t>
  </si>
  <si>
    <t>ALEJANDRO CHAVES GALLO</t>
  </si>
  <si>
    <t>CORREDORES</t>
  </si>
  <si>
    <t>SEBASTIAN MORA FUENTES</t>
  </si>
  <si>
    <t>IAN DAVID GARRO ALONSO</t>
  </si>
  <si>
    <t>REINEL ANTONIO VANEGAS LACAYO</t>
  </si>
  <si>
    <t>ALAJUELA</t>
  </si>
  <si>
    <t>JAIR MARTINEZ MONTENEGRO</t>
  </si>
  <si>
    <t>IAN JOSUE SOLIS MILLON</t>
  </si>
  <si>
    <t>MOISES DANI CAMPOS CRUZ</t>
  </si>
  <si>
    <t>ANTHONY SANTIN FERNANDEZ</t>
  </si>
  <si>
    <t>BRAD GÓMEZ CASTILLO</t>
  </si>
  <si>
    <t>YAIR QUISPE CASTILLO</t>
  </si>
  <si>
    <t>JULIAN DANIEL FALLAS RODRIGUEZ</t>
  </si>
  <si>
    <t>ALLAN VALVERDE OLIVARES</t>
  </si>
  <si>
    <t>SANTIAGO UZCATEGUI</t>
  </si>
  <si>
    <t>Randall Díaz León</t>
  </si>
  <si>
    <t>EMANUEL ESPINOZA PIEDRA</t>
  </si>
  <si>
    <t>CHRISTOPHER SAÚL OCONITRILLO CRUZ</t>
  </si>
  <si>
    <t>JUAN PABLO HERRERA NAVARRO</t>
  </si>
  <si>
    <t>BALLARDO MIGUEL ARGUELLO ROJAS</t>
  </si>
  <si>
    <t>JOSEPH TERCERO ZÚÑIGA PICADO</t>
  </si>
  <si>
    <t>SAMUEL CASTRO SEGURA</t>
  </si>
  <si>
    <t>LUIS DANIEL QUIROS ALVARADO</t>
  </si>
  <si>
    <t>OREAMUNOT3 AMETROTEME</t>
  </si>
  <si>
    <t>FABIÁN GONZÁLEZ RODRÍGUEZ</t>
  </si>
  <si>
    <t>MATHIAS REYES BONILLA</t>
  </si>
  <si>
    <t>CCDR MORA</t>
  </si>
  <si>
    <t>OREAMUNO</t>
  </si>
  <si>
    <t>FRANCISCO JESSE MUÑOZ COGNUCK</t>
  </si>
  <si>
    <t>Jose María Piedra Monge</t>
  </si>
  <si>
    <t>CARTAGO</t>
  </si>
  <si>
    <t>Mathias Chaves Arce</t>
  </si>
  <si>
    <t>SAÚL VILLALOBOS VÍQUEZ</t>
  </si>
  <si>
    <t>Joel Montero Astua</t>
  </si>
  <si>
    <t>JOSUÉ ARTURO BLANCO HERRERA</t>
  </si>
  <si>
    <t>Thiago Alessandro Espinoza Navarro</t>
  </si>
  <si>
    <t>PUNTARENAS</t>
  </si>
  <si>
    <t>Emilio Arce González</t>
  </si>
  <si>
    <t>Matías Rojas Pérez</t>
  </si>
  <si>
    <t>Benjamin Azu Hiago Ramsay</t>
  </si>
  <si>
    <t>Allen Andrés Soto Villatoro</t>
  </si>
  <si>
    <t>Santiago Segura Bonilla</t>
  </si>
  <si>
    <t>Kaleff Miranda Solano</t>
  </si>
  <si>
    <t>Sebastián Fernández Portuguez</t>
  </si>
  <si>
    <t>DESAMPARADOS</t>
  </si>
  <si>
    <t>Daniel Araya González</t>
  </si>
  <si>
    <t>Darío Alvarado González</t>
  </si>
  <si>
    <t>Adriel Gerardo Ugarte Fuentes</t>
  </si>
  <si>
    <t>Josue Martinez Brenes</t>
  </si>
  <si>
    <t>Matias Vega Mendoza</t>
  </si>
  <si>
    <t>Kenneth Cordero Chaves</t>
  </si>
  <si>
    <t>Isaac Gomez Garita</t>
  </si>
  <si>
    <t>Gabriel Naranjo Ramirez</t>
  </si>
  <si>
    <t>ANGELO ARLEY CHACÓN</t>
  </si>
  <si>
    <t>GRECIA</t>
  </si>
  <si>
    <t>Mathias Garbanzo Ulate</t>
  </si>
  <si>
    <t>Kyrshan Weeks Campos</t>
  </si>
  <si>
    <t>SIQUIRRES</t>
  </si>
  <si>
    <t>Sebastian Castillo Rodriguez</t>
  </si>
  <si>
    <t>Dorian Ernesto Castro Urbina</t>
  </si>
  <si>
    <t>Jose Mario Ramirez Naranjo</t>
  </si>
  <si>
    <t>HEREDIA</t>
  </si>
  <si>
    <t>Jose Julian Flores Mora</t>
  </si>
  <si>
    <t>Martin Guzman Gonzalez</t>
  </si>
  <si>
    <t>Roy Andres Carranza Chaves</t>
  </si>
  <si>
    <t>Jose Ignacio Gomez Alvardo</t>
  </si>
  <si>
    <t>Alejandro Cordero Molina</t>
  </si>
  <si>
    <t>Leonardo Liu Chen</t>
  </si>
  <si>
    <t>Sebastian Cruz Guerra</t>
  </si>
  <si>
    <t>Esteban Josué Flores Delgado</t>
  </si>
  <si>
    <t>Gabriel Mata Alvarez</t>
  </si>
  <si>
    <t>Ernesto Hidalgo Araya</t>
  </si>
  <si>
    <t>Anderson Yahir Carpio Ortega</t>
  </si>
  <si>
    <t>Anderson Jesus Solis Martinez</t>
  </si>
  <si>
    <t>ALAJUELITA</t>
  </si>
  <si>
    <t>Matias Gomez Sibaja</t>
  </si>
  <si>
    <t>Davis Santiago Bolaños Sanchez</t>
  </si>
  <si>
    <t>CLUB GRIEGO TENIS DE MESA</t>
  </si>
  <si>
    <t>Sebastian Sanchez Delgado</t>
  </si>
  <si>
    <t>Axel Rios Linares</t>
  </si>
  <si>
    <t>Danikson Arroyo Fernández</t>
  </si>
  <si>
    <t>Kendall Andrés Espinoza Hernández</t>
  </si>
  <si>
    <t>GOLFITO</t>
  </si>
  <si>
    <t>Adrian Arroyo Jimenez</t>
  </si>
  <si>
    <t>Patrick Matías Castillo Collao</t>
  </si>
  <si>
    <t>Justin Torres Moreno</t>
  </si>
  <si>
    <t>ANDRÉS PARRA CHACÓN</t>
  </si>
  <si>
    <t>Daniel Machado Garcia</t>
  </si>
  <si>
    <t>Cristian Yariel Román Rodríguez</t>
  </si>
  <si>
    <t>Sebastian Soto Roses</t>
  </si>
  <si>
    <t>Angel Mathias Arguello Rojas</t>
  </si>
  <si>
    <t>Rubén Muñoz</t>
  </si>
  <si>
    <t>Carlos Leiva Mora</t>
  </si>
  <si>
    <t>CCDR DESAMPARADOS</t>
  </si>
  <si>
    <t>Gabriel David Cordero Abarca</t>
  </si>
  <si>
    <t>Alberto Jose Guerrero Cubillo</t>
  </si>
  <si>
    <t>Francisco Guerrero Umaña</t>
  </si>
  <si>
    <t>Diego Molina Matamoros</t>
  </si>
  <si>
    <t>Juan Matias Araya Corrales</t>
  </si>
  <si>
    <t>Samuel Barrios Castro</t>
  </si>
  <si>
    <t>Zaid Reyes Avendaño</t>
  </si>
  <si>
    <t>José Pablo Valverde Valerín</t>
  </si>
  <si>
    <t>Cesar Andrés Valdelomar Saborío</t>
  </si>
  <si>
    <t>Carlos Ismael Bonilla Mora</t>
  </si>
  <si>
    <t>Sebastian Castro Madrigal</t>
  </si>
  <si>
    <t>Gabriel Alberto Ramirez Jaimes</t>
  </si>
  <si>
    <t>Luis Daniel Vargas Guzman</t>
  </si>
  <si>
    <t>David Alejandro Mendez Castro</t>
  </si>
  <si>
    <t>Amaury Ignacio Bolaños Angulo</t>
  </si>
  <si>
    <t>Bastian Montero Leon</t>
  </si>
  <si>
    <t>Samuel Alejandro Mora Espino</t>
  </si>
  <si>
    <t>Adrian Segura Lopez</t>
  </si>
  <si>
    <t>Jean Luca Vega Botmer</t>
  </si>
  <si>
    <t>Jose Leonardo Solano Morales</t>
  </si>
  <si>
    <t>Felipe Gomez Sanchez</t>
  </si>
  <si>
    <t>Carlos Andres Brenes Piedra</t>
  </si>
  <si>
    <t>Samir Joel Sanabria Fernandez</t>
  </si>
  <si>
    <t>MORAVIA</t>
  </si>
  <si>
    <t>Julian Garita Chacon</t>
  </si>
  <si>
    <t>Gustavo Julian Castro Lobo</t>
  </si>
  <si>
    <t>Fabricio Arce Rojas</t>
  </si>
  <si>
    <t>Marvin Alonso Valerio Morales</t>
  </si>
  <si>
    <t>Gadiel Vargas Morales</t>
  </si>
  <si>
    <t>Nicolas Duran Medina</t>
  </si>
  <si>
    <t>Roger Liu Chen</t>
  </si>
  <si>
    <t>Sebastian Granados Vasquez</t>
  </si>
  <si>
    <t>Jorge Carlos Arias Vega</t>
  </si>
  <si>
    <t>Maximiliano Araya Gomez</t>
  </si>
  <si>
    <t>Keylor Yoel Araya Erazo</t>
  </si>
  <si>
    <t>Andrés Charpentier Morera</t>
  </si>
  <si>
    <t>Andrés Chaves Espinoza</t>
  </si>
  <si>
    <t>Santiago Cordoba Alvarado</t>
  </si>
  <si>
    <t>VASQUEZ DE CORONADO</t>
  </si>
  <si>
    <t>Emanuel Gomez Alpizar</t>
  </si>
  <si>
    <t>Benjamin Rojas Arce</t>
  </si>
  <si>
    <t>Gabriel Aguilar Gutierrez</t>
  </si>
  <si>
    <t>LIBERIA TABLE TENNIS ACADEMY</t>
  </si>
  <si>
    <t>Santiago Carranza Alvarado</t>
  </si>
  <si>
    <t>Jaim Rosenstock Gutreiman</t>
  </si>
  <si>
    <t>Santiago Leonardo Barrantes Ramirez</t>
  </si>
  <si>
    <t>Santiago Cabrera Arroyo</t>
  </si>
  <si>
    <t>Aaron Vargas Alfaro</t>
  </si>
  <si>
    <t>Baldwin Lopez Hernandez</t>
  </si>
  <si>
    <t>Alessandro Leiton Naranjo</t>
  </si>
  <si>
    <t>Dereck Jhesua Araya Hernandez</t>
  </si>
  <si>
    <t>Dominic Sabier Delgado Montiel</t>
  </si>
  <si>
    <t>Axel Jimenez Trejos</t>
  </si>
  <si>
    <t>Caleb Josue Godoy Cascante</t>
  </si>
  <si>
    <t>Elian Quesada Sanchez</t>
  </si>
  <si>
    <t>Fabián Sosa Cambronero</t>
  </si>
  <si>
    <t>Roy Luna Castillo</t>
  </si>
  <si>
    <t>AARON MUÑOZ ARGÜELLO</t>
  </si>
  <si>
    <t>Ethan Thitao Benavides Wen</t>
  </si>
  <si>
    <t>Maiko Rodney Jimenez Vargas</t>
  </si>
  <si>
    <t>Sergio Espinoza Escobar</t>
  </si>
  <si>
    <t>Mateo Rojas Perez</t>
  </si>
  <si>
    <t>Oliver Kamm Cerdas</t>
  </si>
  <si>
    <t>FABIÁN OBANDO VARGAS</t>
  </si>
  <si>
    <t>ISAAC DAVID CASTRO DÍAZ</t>
  </si>
  <si>
    <t>JUAN MARTÍN ARCE VÁSQUEZ</t>
  </si>
  <si>
    <t>MATIAS VALVERDE CHINCHILLA</t>
  </si>
  <si>
    <t>TOBÍAS BOGARIN CUADRA</t>
  </si>
  <si>
    <t>ALEJANDRO PADILLA SOLERA</t>
  </si>
  <si>
    <t>IVAN ANDRÉS RODRÍGUEZ DURÁN</t>
  </si>
  <si>
    <t>BENJAMIN CALDERON CECILIANO</t>
  </si>
  <si>
    <t>ISAAC CHACÓN RETANA</t>
  </si>
  <si>
    <t>ANDRÉS ODIO MARIN</t>
  </si>
  <si>
    <t>Lorenzo Mateo Navarro Espinoza</t>
  </si>
  <si>
    <t>SAÚL VENEGAS VEGA</t>
  </si>
  <si>
    <t>Jorge Roberto Paz Pineda</t>
  </si>
  <si>
    <t>Rafael Murillo Ulloa</t>
  </si>
  <si>
    <t>ADRIAN MELTZER AIZENMAN</t>
  </si>
  <si>
    <t>Mathias Bonilla García</t>
  </si>
  <si>
    <t>HAKIN CALDERÓN QUIRÓS</t>
  </si>
  <si>
    <t>Dylan Johel Ortiz Villafuerte</t>
  </si>
  <si>
    <t>Santiago Cascante Pérez</t>
  </si>
  <si>
    <t>Luigi Albertus Tasara Flores</t>
  </si>
  <si>
    <t>Jose Gabriel Roman Sandoval</t>
  </si>
  <si>
    <t>Alejandro Ovares Azofeifa</t>
  </si>
  <si>
    <t>Abraham Segura Bonilla</t>
  </si>
  <si>
    <t>Jeremy Valladares Maradiaga</t>
  </si>
  <si>
    <t>Anthony Mata</t>
  </si>
  <si>
    <t>Vincent Alexander Montero Monge</t>
  </si>
  <si>
    <t>Bryan Mauricio Araya Mora</t>
  </si>
  <si>
    <t>Santiago De Merzeville Arce</t>
  </si>
  <si>
    <t>Derian Matias Pereira Chaporro</t>
  </si>
  <si>
    <t>Valentina Ly Padilla</t>
  </si>
  <si>
    <t>Evans Alvarado Gonzales</t>
  </si>
  <si>
    <t>Caleb Andres Cabalceta Rojas</t>
  </si>
  <si>
    <t>Yariel Astua Segura</t>
  </si>
  <si>
    <t>Thiago Herrera Canales</t>
  </si>
  <si>
    <t>Josué Delgado Barboza</t>
  </si>
  <si>
    <t>Mateo Portuguez Lizama</t>
  </si>
  <si>
    <t>Isaac Fernández Sánchez</t>
  </si>
  <si>
    <t>Aaron Rodriguez Martínez</t>
  </si>
  <si>
    <t>Mateo Zamora Arrieta</t>
  </si>
  <si>
    <t>Mauricio Leitón Salazar</t>
  </si>
  <si>
    <t>Snaider Caleth Jimenez Hernandez</t>
  </si>
  <si>
    <t>Emilio Gomez Chacon</t>
  </si>
  <si>
    <t>Nicolas Naranjo Lopez</t>
  </si>
  <si>
    <t>Yeikel Garcia Trigueros</t>
  </si>
  <si>
    <t>Josef Salas Lizano</t>
  </si>
  <si>
    <t>SERGIO ARGUEDAS ALVAREZ</t>
  </si>
  <si>
    <t>Leonardo Farit Villareal Jarquin</t>
  </si>
  <si>
    <t>IAN GABRIEL VILLEGAS SALAS</t>
  </si>
  <si>
    <t>EMILIANO RUIZ PLAZA</t>
  </si>
  <si>
    <t>LUCAS CARMONA BONILLA</t>
  </si>
  <si>
    <t>Mateo Torres Sanchez</t>
  </si>
  <si>
    <t>A</t>
  </si>
  <si>
    <t>DIEGO ALONSO GOMEZ BARAHONA</t>
  </si>
  <si>
    <t>CCDR CARTAGO</t>
  </si>
  <si>
    <t>Jesus Segura Corella</t>
  </si>
  <si>
    <t>Gustavo Gonzalez Fernandez</t>
  </si>
  <si>
    <t>Luis Daniel Quiros Alvarado</t>
  </si>
  <si>
    <t>Cristian Guo Wu</t>
  </si>
  <si>
    <t>NATHAN MATISON CARVAJAL</t>
  </si>
  <si>
    <t>Fabian Lopez Gianoli</t>
  </si>
  <si>
    <t>Luca Solís Zúñiga</t>
  </si>
  <si>
    <t>LEONARDO COTO RAMIREZ</t>
  </si>
  <si>
    <t>GUSTAVO PORRAS ROJAS</t>
  </si>
  <si>
    <t>MARTÍN PAZ NAVA</t>
  </si>
  <si>
    <t>FABIAN ROJAS VARELA</t>
  </si>
  <si>
    <t>Santiago Monsón Salazar</t>
  </si>
  <si>
    <t>Luca Mancino Rivera</t>
  </si>
  <si>
    <t>SAMUEL MADRIZ MONTERO</t>
  </si>
  <si>
    <t>Fabricio Beitia Morera</t>
  </si>
  <si>
    <t>Donovan Santiago Araya Camacho</t>
  </si>
  <si>
    <t>JEIKEL ANDRES FALLAS HAZERA</t>
  </si>
  <si>
    <t>ANDRÉS CHACÓN ALTAMIRANO</t>
  </si>
  <si>
    <t>DEREK CAMPOS MORA</t>
  </si>
  <si>
    <t>Andrew Marín Otero</t>
  </si>
  <si>
    <t>Luis Mejía Torres</t>
  </si>
  <si>
    <t>SANTIAGO RAMÍREZ GUTIÉRREZ</t>
  </si>
  <si>
    <t>Santiago Carvajal Salaverria</t>
  </si>
  <si>
    <t>Matias Martinez Mendez</t>
  </si>
  <si>
    <t>Rodrigo Eliel Bulgach Butler</t>
  </si>
  <si>
    <t>Josue Guevara Quesada</t>
  </si>
  <si>
    <t>Alexandro Andrés Pereira Víquez</t>
  </si>
  <si>
    <t>Mariano Sandi Altamirano</t>
  </si>
  <si>
    <t>Ian Snaikel Jimenez Hernandez</t>
  </si>
  <si>
    <t>Sebastian Gonzalez Solis</t>
  </si>
  <si>
    <t>Geovanny Jimenez Carbonero</t>
  </si>
  <si>
    <t>LUCA JIMÉNEZ CHAVES</t>
  </si>
  <si>
    <t>IGNACIO CABEZAS ROJAS</t>
  </si>
  <si>
    <t>MATÍAS RODRÍGUEZ AGUIRRE</t>
  </si>
  <si>
    <t>ISAAC RÍOS FERNÁNDEZ</t>
  </si>
  <si>
    <t>TOMÁS AGUILAR JIMÉNEZ</t>
  </si>
  <si>
    <t>MORA</t>
  </si>
  <si>
    <t>FABIAN LOPEZ GIANOLI</t>
  </si>
  <si>
    <t>MATEO GUZMAN BLANCO</t>
  </si>
  <si>
    <t>SANTIAGO LOPEZ</t>
  </si>
  <si>
    <t>GUARCO</t>
  </si>
  <si>
    <t>SAMUEL CORDERO PORRAS</t>
  </si>
  <si>
    <t>ISAAC DANIEL CASTILLO CABALCETA</t>
  </si>
  <si>
    <t>SANTIAGO ROLDAN GARITA</t>
  </si>
  <si>
    <t>MOISES PORRAS JUAREZ</t>
  </si>
  <si>
    <t>DIEGO WU WU</t>
  </si>
  <si>
    <t>SANTHIAGO SOTO BNADO</t>
  </si>
  <si>
    <t>ERICK GUO WU</t>
  </si>
  <si>
    <t>CRISTIAN GUO WU</t>
  </si>
  <si>
    <t>AARÓN OROZCO UGALDE</t>
  </si>
  <si>
    <t>AGUSTÍN CERDAS SANCHO</t>
  </si>
  <si>
    <t>ESTEBAN CHACÓN</t>
  </si>
  <si>
    <t>DARÍO LÓPEZ VARGAS</t>
  </si>
  <si>
    <t>JOAQUIN UMAÑA VARGAS</t>
  </si>
  <si>
    <t>IAN CHINCHILLA PEREIRA</t>
  </si>
  <si>
    <t>ANDRE JOSE BASTASCH JIMENEZ</t>
  </si>
  <si>
    <t>ESTÉFANO TACSAN HIDALGO</t>
  </si>
  <si>
    <t>CALEB SOLIS CALVO</t>
  </si>
  <si>
    <t>MAXIMILIANO BADILLA PICADO</t>
  </si>
  <si>
    <t>En Caso de ocupar 3 de 5, mostrar columnas H - I         En caso de 2 de 2, ocultarlas.</t>
  </si>
  <si>
    <t>Fecha:</t>
  </si>
  <si>
    <t>Categoría</t>
  </si>
  <si>
    <t>Grupo nº</t>
  </si>
  <si>
    <t>Mesa nº</t>
  </si>
  <si>
    <t>Orden</t>
  </si>
  <si>
    <t>Carné</t>
  </si>
  <si>
    <t>Jugadores</t>
  </si>
  <si>
    <t>Lugar</t>
  </si>
  <si>
    <t>Puntos</t>
  </si>
  <si>
    <t xml:space="preserve">Partida </t>
  </si>
  <si>
    <t>JUGADOR</t>
  </si>
  <si>
    <t>1º set</t>
  </si>
  <si>
    <t>2º set</t>
  </si>
  <si>
    <t>3º set</t>
  </si>
  <si>
    <t>4º set</t>
  </si>
  <si>
    <t>5º set</t>
  </si>
  <si>
    <t xml:space="preserve">Ganador </t>
  </si>
  <si>
    <t>Clasificados (# de carne)</t>
  </si>
  <si>
    <t>Revisión de Camisas y Raquetas</t>
  </si>
  <si>
    <t>Carnet</t>
  </si>
  <si>
    <t>Nombre</t>
  </si>
  <si>
    <t>Revisión de nombres y resultados</t>
  </si>
  <si>
    <t>Árbitro</t>
  </si>
  <si>
    <t>Marque si hay informe</t>
  </si>
  <si>
    <t>En Caso de ocupar 3 de 5, mostrar columnas H - I             En caso de 2 de 2, ocultarlas.</t>
  </si>
  <si>
    <t xml:space="preserve">Fecha: </t>
  </si>
  <si>
    <t>Categoría:</t>
  </si>
  <si>
    <t>Nº</t>
  </si>
  <si>
    <t>Match</t>
  </si>
  <si>
    <t>Round</t>
  </si>
  <si>
    <t>Day</t>
  </si>
  <si>
    <t>Time</t>
  </si>
  <si>
    <t>T</t>
  </si>
  <si>
    <t>A</t>
    <phoneticPr fontId="0" type="noConversion"/>
  </si>
  <si>
    <t>B</t>
    <phoneticPr fontId="0" type="noConversion"/>
  </si>
  <si>
    <t>pla 1</t>
    <phoneticPr fontId="0" type="noConversion"/>
  </si>
  <si>
    <t>Ass</t>
  </si>
  <si>
    <t>pla 2</t>
    <phoneticPr fontId="0" type="noConversion"/>
  </si>
  <si>
    <t>Ass</t>
    <phoneticPr fontId="0" type="noConversion"/>
  </si>
  <si>
    <t>G A</t>
  </si>
  <si>
    <t>G X</t>
  </si>
  <si>
    <t>Score</t>
  </si>
  <si>
    <t>Games</t>
  </si>
  <si>
    <t>1/16</t>
    <phoneticPr fontId="0" type="noConversion"/>
  </si>
  <si>
    <t>4 Julio</t>
  </si>
  <si>
    <t>LLAVE  FINAL SUB 15 MASCULINO</t>
  </si>
  <si>
    <t>MATCH_ID</t>
  </si>
  <si>
    <t>DAT</t>
  </si>
  <si>
    <t>TIME</t>
  </si>
  <si>
    <t>TABLE</t>
  </si>
  <si>
    <t>EVT</t>
  </si>
  <si>
    <t>GRP</t>
  </si>
  <si>
    <t>SEQ</t>
  </si>
  <si>
    <t>P1ID_1</t>
  </si>
  <si>
    <t>P1ID_2</t>
  </si>
  <si>
    <t>P2ID_1</t>
  </si>
  <si>
    <t>P2ID_2</t>
  </si>
  <si>
    <t>WINNER ID</t>
  </si>
  <si>
    <t>P1</t>
  </si>
  <si>
    <t>P2</t>
  </si>
  <si>
    <t>EVENT</t>
  </si>
  <si>
    <t>ROUND</t>
  </si>
  <si>
    <t>JBS</t>
  </si>
  <si>
    <t>SUB 15 MASCULINO</t>
  </si>
  <si>
    <t>Ronda de 32 - 1</t>
    <phoneticPr fontId="0" type="noConversion"/>
  </si>
  <si>
    <t>Ronda de 32 - 2</t>
  </si>
  <si>
    <t>Ronda de 32 - 3</t>
  </si>
  <si>
    <t>1/16</t>
  </si>
  <si>
    <t>Ronda de 32 - 4</t>
  </si>
  <si>
    <t>Ronda de 32 - 5</t>
  </si>
  <si>
    <t>Ronda de 32 - 6</t>
  </si>
  <si>
    <t>Ronda de 32 - 7</t>
  </si>
  <si>
    <t>Ronda de 32 - 8</t>
  </si>
  <si>
    <t>Ronda de 32 - 9</t>
  </si>
  <si>
    <t>Ronda de 32 - 10</t>
  </si>
  <si>
    <t>Ronda de 32 - 11</t>
  </si>
  <si>
    <t>Ronda de 32 - 12</t>
  </si>
  <si>
    <t>Ronda de 32 - 13</t>
  </si>
  <si>
    <t>Ronda de 32 - 14</t>
  </si>
  <si>
    <t>Ronda de 32 - 15</t>
  </si>
  <si>
    <t>Ronda de 32 - 16</t>
  </si>
  <si>
    <t>Ronda de 16 - 1</t>
    <phoneticPr fontId="0" type="noConversion"/>
  </si>
  <si>
    <t>Ronda de 16 - 2</t>
  </si>
  <si>
    <t>Ronda de 16 - 3</t>
  </si>
  <si>
    <t>Ronda de 16 - 4</t>
  </si>
  <si>
    <t>Ronda de 16 - 5</t>
  </si>
  <si>
    <t>Ronda de 16 - 6</t>
  </si>
  <si>
    <t>Ronda de 16 - 7</t>
  </si>
  <si>
    <t>Ronda de 16 - 8</t>
  </si>
  <si>
    <t>Cuartos</t>
    <phoneticPr fontId="0" type="noConversion"/>
  </si>
  <si>
    <t>Semifinal</t>
    <phoneticPr fontId="0" type="noConversion"/>
  </si>
  <si>
    <t>CAMPEÓN:</t>
    <phoneticPr fontId="0" type="noConversion"/>
  </si>
  <si>
    <t>3 y 4 puesto</t>
    <phoneticPr fontId="0" type="noConversion"/>
  </si>
  <si>
    <t>1/8</t>
    <phoneticPr fontId="0" type="noConversion"/>
  </si>
  <si>
    <t>FINAL</t>
    <phoneticPr fontId="0" type="noConversion"/>
  </si>
  <si>
    <t>-</t>
  </si>
  <si>
    <t>1/8</t>
  </si>
  <si>
    <t>QF</t>
    <phoneticPr fontId="0" type="noConversion"/>
  </si>
  <si>
    <t>SF</t>
    <phoneticPr fontId="0" type="noConversion"/>
  </si>
  <si>
    <t>3 Y 4</t>
    <phoneticPr fontId="0" type="noConversion"/>
  </si>
  <si>
    <t>F</t>
  </si>
  <si>
    <t>SI SE JUEGA TERCER PUESTO MARQUE 1, SI NO DEJE EN BLANCO</t>
    <phoneticPr fontId="0" type="noConversion"/>
  </si>
  <si>
    <t>TERCERO:</t>
    <phoneticPr fontId="0" type="noConversion"/>
  </si>
  <si>
    <t>1</t>
    <phoneticPr fontId="0" type="noConversion"/>
  </si>
  <si>
    <t>SEMI</t>
    <phoneticPr fontId="0" type="noConversion"/>
  </si>
  <si>
    <t>2</t>
    <phoneticPr fontId="0" type="noConversion"/>
  </si>
  <si>
    <t>3</t>
    <phoneticPr fontId="0" type="noConversion"/>
  </si>
  <si>
    <t>4</t>
    <phoneticPr fontId="0" type="noConversion"/>
  </si>
  <si>
    <t>CUARTOS</t>
    <phoneticPr fontId="0" type="noConversion"/>
  </si>
  <si>
    <t>5</t>
    <phoneticPr fontId="0" type="noConversion"/>
  </si>
  <si>
    <t>6</t>
    <phoneticPr fontId="0" type="noConversion"/>
  </si>
  <si>
    <t>7</t>
    <phoneticPr fontId="0" type="noConversion"/>
  </si>
  <si>
    <t>8</t>
    <phoneticPr fontId="0" type="noConversion"/>
  </si>
  <si>
    <t>OCTAVOS</t>
    <phoneticPr fontId="0" type="noConversion"/>
  </si>
  <si>
    <t>9</t>
    <phoneticPr fontId="0" type="noConversion"/>
  </si>
  <si>
    <t>10</t>
    <phoneticPr fontId="0" type="noConversion"/>
  </si>
  <si>
    <t>11</t>
  </si>
  <si>
    <t>12</t>
  </si>
  <si>
    <t>13</t>
  </si>
  <si>
    <t>14</t>
  </si>
  <si>
    <t>15</t>
  </si>
  <si>
    <t>16</t>
  </si>
  <si>
    <t>LOS 32</t>
    <phoneticPr fontId="0" type="noConversion"/>
  </si>
  <si>
    <t>17</t>
    <phoneticPr fontId="0" type="noConversion"/>
  </si>
  <si>
    <t>18</t>
    <phoneticPr fontId="0" type="noConversion"/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</si>
  <si>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</si>
  <si>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</si>
  <si>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</si>
  <si>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</si>
  <si>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</si>
  <si>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</si>
  <si>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</si>
  <si>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</si>
  <si>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</si>
  <si>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</si>
  <si>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</si>
  <si>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</si>
  <si>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</si>
  <si>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</si>
  <si>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POSICIONES FINALES QUINTA</t>
  </si>
  <si>
    <t>5 A 8</t>
    <phoneticPr fontId="0" type="noConversion"/>
  </si>
  <si>
    <t>9 A 16</t>
    <phoneticPr fontId="0" type="noConversion"/>
  </si>
  <si>
    <t>17 A 32</t>
    <phoneticPr fontId="0" type="noConversion"/>
  </si>
  <si>
    <t>BENJAMÍN QUIRÓS BALTODANO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</si>
</sst>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\ h:mm"/>
    <numFmt numFmtId="165" formatCode="[$-409]d\-mmm\-yy;@"/>
  </numFmts>
  <fonts count="5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13.5"/>
      <name val="MS Sans Serif"/>
      <family val="2"/>
    </font>
    <font>
      <b/>
      <sz val="10"/>
      <name val="MS Sans Serif"/>
      <family val="2"/>
    </font>
    <font>
      <sz val="11"/>
      <color indexed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b/>
      <sz val="13.5"/>
      <name val="Arial"/>
      <family val="2"/>
    </font>
    <font>
      <b/>
      <sz val="11"/>
      <color indexed="8"/>
      <name val="Aptos Narrow"/>
      <family val="2"/>
      <scheme val="minor"/>
    </font>
    <font>
      <b/>
      <sz val="12"/>
      <name val="MS Sans Serif"/>
      <family val="2"/>
    </font>
    <font>
      <b/>
      <sz val="18"/>
      <color indexed="8"/>
      <name val="Aptos Narrow"/>
      <family val="2"/>
      <scheme val="minor"/>
    </font>
    <font>
      <sz val="14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1"/>
      <color indexed="8"/>
      <name val="Arial"/>
      <family val="2"/>
    </font>
    <font>
      <sz val="12"/>
      <name val="MS Sans Serif"/>
      <family val="2"/>
    </font>
    <font>
      <sz val="10"/>
      <name val="MS Sans Serif"/>
      <family val="2"/>
    </font>
    <font>
      <b/>
      <u/>
      <sz val="11"/>
      <color indexed="8"/>
      <name val="Aptos Narrow"/>
      <family val="2"/>
      <scheme val="minor"/>
    </font>
    <font>
      <b/>
      <sz val="10"/>
      <color rgb="FFFF0000"/>
      <name val="Arial"/>
      <family val="2"/>
    </font>
    <font>
      <b/>
      <sz val="14"/>
      <name val="MS Sans Serif"/>
      <family val="2"/>
    </font>
    <font>
      <sz val="16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sz val="8"/>
      <name val="Franklin Gothic Medium Cond"/>
      <family val="2"/>
    </font>
    <font>
      <sz val="8"/>
      <color indexed="9"/>
      <name val="Franklin Gothic Medium Cond"/>
      <family val="2"/>
    </font>
    <font>
      <sz val="9"/>
      <name val="Franklin Gothic Medium Cond"/>
      <family val="2"/>
    </font>
    <font>
      <sz val="8"/>
      <color indexed="12"/>
      <name val="Franklin Gothic Medium Cond"/>
      <family val="2"/>
    </font>
    <font>
      <sz val="8"/>
      <name val="Arial"/>
      <family val="2"/>
    </font>
    <font>
      <sz val="10"/>
      <name val="Franklin Gothic Medium Cond"/>
      <family val="2"/>
    </font>
    <font>
      <sz val="6"/>
      <name val="Franklin Gothic Medium Cond"/>
      <family val="2"/>
    </font>
    <font>
      <sz val="8"/>
      <color indexed="10"/>
      <name val="Arial"/>
      <family val="2"/>
    </font>
    <font>
      <sz val="9"/>
      <color indexed="10"/>
      <name val="Arial"/>
      <family val="2"/>
    </font>
    <font>
      <sz val="7"/>
      <name val="Arial"/>
      <family val="2"/>
    </font>
    <font>
      <sz val="8"/>
      <color indexed="10"/>
      <name val="Franklin Gothic Medium Cond"/>
      <family val="2"/>
    </font>
    <font>
      <sz val="9"/>
      <color indexed="10"/>
      <name val="Franklin Gothic Medium Cond"/>
      <family val="2"/>
    </font>
    <font>
      <b/>
      <sz val="8"/>
      <name val="Arial"/>
      <family val="2"/>
    </font>
    <font>
      <b/>
      <sz val="10"/>
      <name val="Franklin Gothic Medium Cond"/>
      <family val="2"/>
    </font>
    <font>
      <sz val="8"/>
      <color indexed="207"/>
      <name val="Franklin Gothic Medium Cond"/>
      <family val="2"/>
    </font>
    <font>
      <b/>
      <sz val="12"/>
      <name val="Franklin Gothic Medium Cond"/>
      <family val="2"/>
    </font>
    <font>
      <sz val="12"/>
      <name val="Franklin Gothic Medium Cond"/>
      <family val="2"/>
    </font>
    <font>
      <b/>
      <sz val="12"/>
      <color indexed="10"/>
      <name val="Franklin Gothic Medium Cond"/>
      <family val="2"/>
    </font>
    <font>
      <b/>
      <sz val="12"/>
      <color indexed="48"/>
      <name val="Franklin Gothic Medium Cond"/>
      <family val="2"/>
    </font>
    <font>
      <b/>
      <sz val="8"/>
      <color indexed="10"/>
      <name val="Franklin Gothic Medium Cond"/>
      <family val="2"/>
    </font>
    <font>
      <b/>
      <sz val="8"/>
      <color indexed="48"/>
      <name val="Franklin Gothic Medium Cond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9"/>
      <color theme="1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0"/>
        <bgColor indexed="64"/>
      </patternFill>
    </fill>
  </fills>
  <borders count="49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2" fillId="0" borderId="0"/>
    <xf numFmtId="0" fontId="2" fillId="0" borderId="0"/>
    <xf numFmtId="0" fontId="25" fillId="0" borderId="0"/>
    <xf numFmtId="0" fontId="1" fillId="0" borderId="0"/>
  </cellStyleXfs>
  <cellXfs count="410">
    <xf numFmtId="0" fontId="0" fillId="0" borderId="0" xfId="0"/>
    <xf numFmtId="0" fontId="2" fillId="0" borderId="0" xfId="1"/>
    <xf numFmtId="0" fontId="2" fillId="0" borderId="0" xfId="1" applyAlignment="1">
      <alignment horizontal="center" vertical="center"/>
    </xf>
    <xf numFmtId="0" fontId="3" fillId="0" borderId="0" xfId="1" applyFont="1"/>
    <xf numFmtId="0" fontId="3" fillId="0" borderId="0" xfId="1" applyFont="1" applyAlignment="1">
      <alignment horizontal="center" vertical="center"/>
    </xf>
    <xf numFmtId="14" fontId="4" fillId="0" borderId="0" xfId="1" applyNumberFormat="1" applyFont="1"/>
    <xf numFmtId="0" fontId="5" fillId="0" borderId="0" xfId="1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11" fillId="0" borderId="0" xfId="1" applyFont="1" applyAlignment="1">
      <alignment horizontal="center"/>
    </xf>
    <xf numFmtId="0" fontId="11" fillId="0" borderId="0" xfId="1" applyFont="1" applyAlignment="1">
      <alignment horizontal="center" vertical="center"/>
    </xf>
    <xf numFmtId="0" fontId="12" fillId="2" borderId="0" xfId="1" applyFont="1" applyFill="1" applyAlignment="1">
      <alignment horizontal="center" vertical="center"/>
    </xf>
    <xf numFmtId="0" fontId="13" fillId="0" borderId="0" xfId="1" applyFont="1" applyAlignment="1">
      <alignment horizontal="center"/>
    </xf>
    <xf numFmtId="0" fontId="14" fillId="0" borderId="2" xfId="1" applyFont="1" applyBorder="1" applyAlignment="1">
      <alignment horizontal="center" vertical="center"/>
    </xf>
    <xf numFmtId="0" fontId="15" fillId="0" borderId="3" xfId="1" applyFont="1" applyBorder="1" applyAlignment="1">
      <alignment vertical="center"/>
    </xf>
    <xf numFmtId="0" fontId="15" fillId="0" borderId="1" xfId="1" applyFont="1" applyBorder="1" applyAlignment="1">
      <alignment vertical="center"/>
    </xf>
    <xf numFmtId="0" fontId="15" fillId="0" borderId="3" xfId="1" applyFont="1" applyBorder="1" applyAlignment="1">
      <alignment horizontal="center" vertical="center"/>
    </xf>
    <xf numFmtId="0" fontId="15" fillId="0" borderId="4" xfId="1" applyFont="1" applyBorder="1" applyAlignment="1">
      <alignment horizontal="center" vertical="center"/>
    </xf>
    <xf numFmtId="0" fontId="16" fillId="0" borderId="0" xfId="1" applyFont="1" applyAlignment="1">
      <alignment vertical="center"/>
    </xf>
    <xf numFmtId="0" fontId="14" fillId="0" borderId="5" xfId="1" applyFont="1" applyBorder="1" applyAlignment="1">
      <alignment horizontal="center" vertical="center"/>
    </xf>
    <xf numFmtId="0" fontId="15" fillId="0" borderId="6" xfId="1" applyFont="1" applyBorder="1" applyAlignment="1">
      <alignment vertical="center"/>
    </xf>
    <xf numFmtId="0" fontId="15" fillId="0" borderId="7" xfId="1" applyFont="1" applyBorder="1" applyAlignment="1">
      <alignment vertical="center"/>
    </xf>
    <xf numFmtId="0" fontId="15" fillId="0" borderId="6" xfId="1" applyFont="1" applyBorder="1" applyAlignment="1">
      <alignment horizontal="center" vertical="center"/>
    </xf>
    <xf numFmtId="0" fontId="15" fillId="0" borderId="8" xfId="1" applyFont="1" applyBorder="1" applyAlignment="1">
      <alignment horizontal="center" vertical="center"/>
    </xf>
    <xf numFmtId="0" fontId="14" fillId="0" borderId="9" xfId="1" applyFont="1" applyBorder="1" applyAlignment="1">
      <alignment horizontal="center" vertical="center"/>
    </xf>
    <xf numFmtId="0" fontId="15" fillId="0" borderId="10" xfId="1" applyFont="1" applyBorder="1" applyAlignment="1">
      <alignment vertical="center"/>
    </xf>
    <xf numFmtId="0" fontId="15" fillId="0" borderId="11" xfId="1" applyFont="1" applyBorder="1" applyAlignment="1">
      <alignment vertical="center"/>
    </xf>
    <xf numFmtId="0" fontId="15" fillId="0" borderId="10" xfId="1" applyFont="1" applyBorder="1" applyAlignment="1">
      <alignment horizontal="center" vertical="center"/>
    </xf>
    <xf numFmtId="0" fontId="15" fillId="0" borderId="12" xfId="1" applyFont="1" applyBorder="1" applyAlignment="1">
      <alignment horizontal="center" vertical="center"/>
    </xf>
    <xf numFmtId="0" fontId="17" fillId="0" borderId="0" xfId="1" applyFont="1" applyAlignment="1">
      <alignment horizontal="center" vertical="center"/>
    </xf>
    <xf numFmtId="0" fontId="14" fillId="0" borderId="6" xfId="1" applyFont="1" applyBorder="1" applyAlignment="1">
      <alignment horizontal="center" vertical="center"/>
    </xf>
    <xf numFmtId="0" fontId="14" fillId="0" borderId="7" xfId="1" applyFont="1" applyBorder="1" applyAlignment="1">
      <alignment horizontal="center" vertical="center"/>
    </xf>
    <xf numFmtId="0" fontId="14" fillId="0" borderId="13" xfId="1" applyFont="1" applyBorder="1" applyAlignment="1">
      <alignment horizontal="center" vertical="center"/>
    </xf>
    <xf numFmtId="0" fontId="14" fillId="0" borderId="14" xfId="1" applyFont="1" applyBorder="1" applyAlignment="1">
      <alignment horizontal="center" vertical="center"/>
    </xf>
    <xf numFmtId="0" fontId="14" fillId="0" borderId="15" xfId="1" applyFont="1" applyBorder="1" applyAlignment="1">
      <alignment horizontal="center" vertical="center"/>
    </xf>
    <xf numFmtId="0" fontId="10" fillId="0" borderId="0" xfId="1" applyFont="1"/>
    <xf numFmtId="0" fontId="11" fillId="0" borderId="16" xfId="1" applyFont="1" applyBorder="1" applyAlignment="1">
      <alignment horizontal="center" vertical="center"/>
    </xf>
    <xf numFmtId="0" fontId="15" fillId="0" borderId="16" xfId="1" applyFont="1" applyBorder="1"/>
    <xf numFmtId="0" fontId="11" fillId="0" borderId="3" xfId="1" applyFont="1" applyBorder="1" applyAlignment="1">
      <alignment horizontal="center" vertical="center"/>
    </xf>
    <xf numFmtId="0" fontId="11" fillId="0" borderId="17" xfId="1" applyFont="1" applyBorder="1" applyAlignment="1">
      <alignment horizontal="center" vertical="center"/>
    </xf>
    <xf numFmtId="0" fontId="11" fillId="0" borderId="18" xfId="1" applyFont="1" applyBorder="1" applyAlignment="1">
      <alignment horizontal="center" vertical="center"/>
    </xf>
    <xf numFmtId="0" fontId="11" fillId="0" borderId="10" xfId="1" applyFont="1" applyBorder="1" applyAlignment="1">
      <alignment horizontal="center" vertical="center"/>
    </xf>
    <xf numFmtId="0" fontId="11" fillId="0" borderId="5" xfId="1" applyFont="1" applyBorder="1" applyAlignment="1">
      <alignment horizontal="center" vertical="center"/>
    </xf>
    <xf numFmtId="0" fontId="15" fillId="0" borderId="6" xfId="1" applyFont="1" applyBorder="1"/>
    <xf numFmtId="0" fontId="11" fillId="0" borderId="7" xfId="1" applyFont="1" applyBorder="1" applyAlignment="1">
      <alignment horizontal="center" vertical="center"/>
    </xf>
    <xf numFmtId="0" fontId="11" fillId="0" borderId="6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5" fillId="0" borderId="10" xfId="1" applyFont="1" applyBorder="1"/>
    <xf numFmtId="0" fontId="11" fillId="0" borderId="19" xfId="1" applyFont="1" applyBorder="1" applyAlignment="1">
      <alignment horizontal="center" vertical="center"/>
    </xf>
    <xf numFmtId="0" fontId="11" fillId="0" borderId="20" xfId="1" applyFont="1" applyBorder="1" applyAlignment="1">
      <alignment horizontal="center" vertical="center"/>
    </xf>
    <xf numFmtId="0" fontId="18" fillId="0" borderId="0" xfId="1" applyFont="1" applyAlignment="1">
      <alignment horizontal="center" vertical="center"/>
    </xf>
    <xf numFmtId="0" fontId="18" fillId="0" borderId="0" xfId="1" applyFont="1"/>
    <xf numFmtId="0" fontId="10" fillId="0" borderId="6" xfId="1" applyFont="1" applyBorder="1" applyAlignment="1">
      <alignment horizontal="center" vertical="center"/>
    </xf>
    <xf numFmtId="0" fontId="2" fillId="2" borderId="6" xfId="1" applyFill="1" applyBorder="1" applyAlignment="1">
      <alignment horizontal="center" vertical="center"/>
    </xf>
    <xf numFmtId="0" fontId="19" fillId="0" borderId="6" xfId="1" applyFont="1" applyBorder="1" applyAlignment="1">
      <alignment horizontal="center" vertical="center"/>
    </xf>
    <xf numFmtId="0" fontId="10" fillId="0" borderId="10" xfId="2" applyFont="1" applyBorder="1" applyAlignment="1">
      <alignment horizontal="center" vertical="center"/>
    </xf>
    <xf numFmtId="0" fontId="2" fillId="0" borderId="10" xfId="2" applyBorder="1" applyAlignment="1">
      <alignment vertical="center"/>
    </xf>
    <xf numFmtId="0" fontId="21" fillId="0" borderId="5" xfId="1" applyFont="1" applyBorder="1" applyAlignment="1">
      <alignment horizontal="center" vertical="center"/>
    </xf>
    <xf numFmtId="0" fontId="2" fillId="0" borderId="0" xfId="2"/>
    <xf numFmtId="0" fontId="2" fillId="0" borderId="0" xfId="2" applyAlignment="1">
      <alignment horizontal="center" vertical="center"/>
    </xf>
    <xf numFmtId="0" fontId="3" fillId="0" borderId="0" xfId="2" applyFont="1"/>
    <xf numFmtId="0" fontId="3" fillId="0" borderId="0" xfId="2" applyFont="1" applyAlignment="1">
      <alignment horizontal="center"/>
    </xf>
    <xf numFmtId="0" fontId="22" fillId="0" borderId="0" xfId="2" applyFont="1"/>
    <xf numFmtId="14" fontId="11" fillId="0" borderId="0" xfId="2" applyNumberFormat="1" applyFont="1"/>
    <xf numFmtId="0" fontId="11" fillId="0" borderId="0" xfId="2" applyFont="1"/>
    <xf numFmtId="0" fontId="6" fillId="0" borderId="0" xfId="2" applyFont="1"/>
    <xf numFmtId="0" fontId="11" fillId="0" borderId="0" xfId="2" applyFont="1" applyAlignment="1">
      <alignment horizontal="center" vertical="center"/>
    </xf>
    <xf numFmtId="0" fontId="22" fillId="0" borderId="0" xfId="2" applyFont="1" applyAlignment="1">
      <alignment horizontal="center"/>
    </xf>
    <xf numFmtId="0" fontId="8" fillId="0" borderId="0" xfId="2" applyFont="1" applyAlignment="1">
      <alignment horizontal="center"/>
    </xf>
    <xf numFmtId="0" fontId="11" fillId="0" borderId="0" xfId="2" applyFont="1" applyAlignment="1">
      <alignment horizontal="center"/>
    </xf>
    <xf numFmtId="0" fontId="23" fillId="0" borderId="0" xfId="2" applyFont="1" applyAlignment="1">
      <alignment horizontal="center"/>
    </xf>
    <xf numFmtId="0" fontId="14" fillId="0" borderId="2" xfId="2" applyFont="1" applyBorder="1" applyAlignment="1">
      <alignment horizontal="center" vertical="center"/>
    </xf>
    <xf numFmtId="0" fontId="15" fillId="0" borderId="3" xfId="2" applyFont="1" applyBorder="1" applyAlignment="1">
      <alignment vertical="center"/>
    </xf>
    <xf numFmtId="0" fontId="15" fillId="0" borderId="1" xfId="2" applyFont="1" applyBorder="1" applyAlignment="1">
      <alignment vertical="center"/>
    </xf>
    <xf numFmtId="0" fontId="15" fillId="0" borderId="3" xfId="2" applyFont="1" applyBorder="1" applyAlignment="1">
      <alignment horizontal="center" vertical="center"/>
    </xf>
    <xf numFmtId="0" fontId="15" fillId="0" borderId="4" xfId="2" applyFont="1" applyBorder="1" applyAlignment="1">
      <alignment horizontal="center" vertical="center"/>
    </xf>
    <xf numFmtId="0" fontId="16" fillId="0" borderId="0" xfId="2" applyFont="1" applyAlignment="1">
      <alignment vertical="center"/>
    </xf>
    <xf numFmtId="0" fontId="14" fillId="0" borderId="5" xfId="2" applyFont="1" applyBorder="1" applyAlignment="1">
      <alignment horizontal="center" vertical="center"/>
    </xf>
    <xf numFmtId="0" fontId="15" fillId="0" borderId="6" xfId="2" applyFont="1" applyBorder="1" applyAlignment="1">
      <alignment vertical="center"/>
    </xf>
    <xf numFmtId="0" fontId="15" fillId="0" borderId="7" xfId="2" applyFont="1" applyBorder="1" applyAlignment="1">
      <alignment vertical="center"/>
    </xf>
    <xf numFmtId="0" fontId="15" fillId="0" borderId="6" xfId="2" applyFont="1" applyBorder="1" applyAlignment="1">
      <alignment horizontal="center" vertical="center"/>
    </xf>
    <xf numFmtId="0" fontId="15" fillId="0" borderId="8" xfId="2" applyFont="1" applyBorder="1" applyAlignment="1">
      <alignment horizontal="center" vertical="center"/>
    </xf>
    <xf numFmtId="0" fontId="14" fillId="0" borderId="9" xfId="2" applyFont="1" applyBorder="1" applyAlignment="1">
      <alignment horizontal="center" vertical="center"/>
    </xf>
    <xf numFmtId="0" fontId="15" fillId="0" borderId="10" xfId="2" applyFont="1" applyBorder="1" applyAlignment="1">
      <alignment vertical="center"/>
    </xf>
    <xf numFmtId="0" fontId="15" fillId="0" borderId="11" xfId="2" applyFont="1" applyBorder="1" applyAlignment="1">
      <alignment vertical="center"/>
    </xf>
    <xf numFmtId="0" fontId="15" fillId="0" borderId="10" xfId="2" applyFont="1" applyBorder="1" applyAlignment="1">
      <alignment horizontal="center" vertical="center"/>
    </xf>
    <xf numFmtId="0" fontId="15" fillId="0" borderId="12" xfId="2" applyFont="1" applyBorder="1" applyAlignment="1">
      <alignment horizontal="center" vertical="center"/>
    </xf>
    <xf numFmtId="0" fontId="10" fillId="0" borderId="0" xfId="2" applyFont="1" applyAlignment="1">
      <alignment horizontal="center"/>
    </xf>
    <xf numFmtId="0" fontId="24" fillId="0" borderId="0" xfId="2" applyFont="1" applyAlignment="1">
      <alignment horizontal="center"/>
    </xf>
    <xf numFmtId="0" fontId="15" fillId="0" borderId="6" xfId="2" applyFont="1" applyBorder="1" applyAlignment="1">
      <alignment horizontal="left" vertical="center"/>
    </xf>
    <xf numFmtId="0" fontId="15" fillId="0" borderId="7" xfId="2" applyFont="1" applyBorder="1" applyAlignment="1">
      <alignment horizontal="left" vertical="center"/>
    </xf>
    <xf numFmtId="0" fontId="15" fillId="0" borderId="0" xfId="2" applyFont="1" applyAlignment="1">
      <alignment horizontal="center" vertical="center"/>
    </xf>
    <xf numFmtId="0" fontId="14" fillId="0" borderId="6" xfId="2" applyFont="1" applyBorder="1" applyAlignment="1">
      <alignment horizontal="center" vertical="center"/>
    </xf>
    <xf numFmtId="0" fontId="14" fillId="0" borderId="7" xfId="2" applyFont="1" applyBorder="1" applyAlignment="1">
      <alignment horizontal="center" vertical="center"/>
    </xf>
    <xf numFmtId="0" fontId="14" fillId="0" borderId="29" xfId="2" applyFont="1" applyBorder="1" applyAlignment="1">
      <alignment horizontal="center" vertical="center"/>
    </xf>
    <xf numFmtId="0" fontId="14" fillId="0" borderId="23" xfId="2" applyFont="1" applyBorder="1" applyAlignment="1">
      <alignment horizontal="center" vertical="center"/>
    </xf>
    <xf numFmtId="0" fontId="14" fillId="0" borderId="30" xfId="2" applyFont="1" applyBorder="1" applyAlignment="1">
      <alignment horizontal="center" vertical="center"/>
    </xf>
    <xf numFmtId="0" fontId="17" fillId="0" borderId="0" xfId="2" applyFont="1" applyAlignment="1">
      <alignment horizontal="center" vertical="center"/>
    </xf>
    <xf numFmtId="0" fontId="11" fillId="0" borderId="16" xfId="2" applyFont="1" applyBorder="1" applyAlignment="1">
      <alignment horizontal="center" vertical="center"/>
    </xf>
    <xf numFmtId="0" fontId="15" fillId="0" borderId="16" xfId="2" applyFont="1" applyBorder="1"/>
    <xf numFmtId="0" fontId="11" fillId="0" borderId="31" xfId="2" applyFont="1" applyBorder="1" applyAlignment="1">
      <alignment horizontal="center" vertical="center"/>
    </xf>
    <xf numFmtId="0" fontId="11" fillId="0" borderId="32" xfId="2" applyFont="1" applyBorder="1" applyAlignment="1">
      <alignment horizontal="center" vertical="center"/>
    </xf>
    <xf numFmtId="0" fontId="11" fillId="0" borderId="33" xfId="2" applyFont="1" applyBorder="1" applyAlignment="1">
      <alignment horizontal="center" vertical="center"/>
    </xf>
    <xf numFmtId="0" fontId="10" fillId="0" borderId="0" xfId="2" applyFont="1"/>
    <xf numFmtId="0" fontId="11" fillId="0" borderId="5" xfId="2" applyFont="1" applyBorder="1" applyAlignment="1">
      <alignment horizontal="center" vertical="center"/>
    </xf>
    <xf numFmtId="0" fontId="15" fillId="0" borderId="6" xfId="2" applyFont="1" applyBorder="1"/>
    <xf numFmtId="0" fontId="11" fillId="0" borderId="7" xfId="2" applyFont="1" applyBorder="1" applyAlignment="1">
      <alignment horizontal="center" vertical="center"/>
    </xf>
    <xf numFmtId="0" fontId="11" fillId="0" borderId="6" xfId="2" applyFont="1" applyBorder="1" applyAlignment="1">
      <alignment horizontal="center" vertical="center"/>
    </xf>
    <xf numFmtId="0" fontId="11" fillId="0" borderId="8" xfId="2" applyFont="1" applyBorder="1" applyAlignment="1">
      <alignment horizontal="center" vertical="center"/>
    </xf>
    <xf numFmtId="0" fontId="11" fillId="0" borderId="17" xfId="2" applyFont="1" applyBorder="1" applyAlignment="1">
      <alignment horizontal="center" vertical="center"/>
    </xf>
    <xf numFmtId="0" fontId="11" fillId="0" borderId="18" xfId="2" applyFont="1" applyBorder="1" applyAlignment="1">
      <alignment horizontal="center" vertical="center"/>
    </xf>
    <xf numFmtId="0" fontId="11" fillId="0" borderId="10" xfId="2" applyFont="1" applyBorder="1" applyAlignment="1">
      <alignment horizontal="center" vertical="center"/>
    </xf>
    <xf numFmtId="0" fontId="11" fillId="0" borderId="3" xfId="2" applyFont="1" applyBorder="1" applyAlignment="1">
      <alignment horizontal="center" vertical="center"/>
    </xf>
    <xf numFmtId="0" fontId="11" fillId="0" borderId="34" xfId="2" applyFont="1" applyBorder="1" applyAlignment="1">
      <alignment horizontal="center" vertical="center"/>
    </xf>
    <xf numFmtId="0" fontId="15" fillId="0" borderId="10" xfId="2" applyFont="1" applyBorder="1"/>
    <xf numFmtId="0" fontId="11" fillId="0" borderId="19" xfId="2" applyFont="1" applyBorder="1" applyAlignment="1">
      <alignment horizontal="center" vertical="center"/>
    </xf>
    <xf numFmtId="0" fontId="11" fillId="0" borderId="20" xfId="2" applyFont="1" applyBorder="1" applyAlignment="1">
      <alignment horizontal="center" vertical="center"/>
    </xf>
    <xf numFmtId="0" fontId="15" fillId="0" borderId="1" xfId="2" applyFont="1" applyBorder="1"/>
    <xf numFmtId="0" fontId="18" fillId="0" borderId="3" xfId="2" applyFont="1" applyBorder="1"/>
    <xf numFmtId="0" fontId="18" fillId="0" borderId="1" xfId="2" applyFont="1" applyBorder="1"/>
    <xf numFmtId="0" fontId="18" fillId="0" borderId="35" xfId="2" applyFont="1" applyBorder="1"/>
    <xf numFmtId="0" fontId="18" fillId="0" borderId="14" xfId="2" applyFont="1" applyBorder="1"/>
    <xf numFmtId="0" fontId="15" fillId="0" borderId="7" xfId="2" applyFont="1" applyBorder="1"/>
    <xf numFmtId="0" fontId="18" fillId="0" borderId="6" xfId="2" applyFont="1" applyBorder="1"/>
    <xf numFmtId="0" fontId="18" fillId="0" borderId="7" xfId="2" applyFont="1" applyBorder="1"/>
    <xf numFmtId="0" fontId="18" fillId="0" borderId="17" xfId="2" applyFont="1" applyBorder="1"/>
    <xf numFmtId="0" fontId="18" fillId="0" borderId="34" xfId="2" applyFont="1" applyBorder="1"/>
    <xf numFmtId="0" fontId="15" fillId="0" borderId="0" xfId="2" applyFont="1"/>
    <xf numFmtId="0" fontId="18" fillId="0" borderId="16" xfId="2" applyFont="1" applyBorder="1"/>
    <xf numFmtId="0" fontId="18" fillId="0" borderId="0" xfId="2" applyFont="1"/>
    <xf numFmtId="0" fontId="18" fillId="0" borderId="18" xfId="2" applyFont="1" applyBorder="1"/>
    <xf numFmtId="0" fontId="18" fillId="0" borderId="19" xfId="2" applyFont="1" applyBorder="1"/>
    <xf numFmtId="0" fontId="18" fillId="0" borderId="38" xfId="2" applyFont="1" applyBorder="1"/>
    <xf numFmtId="0" fontId="10" fillId="0" borderId="6" xfId="2" applyFont="1" applyBorder="1" applyAlignment="1">
      <alignment horizontal="center" vertical="center"/>
    </xf>
    <xf numFmtId="0" fontId="10" fillId="0" borderId="0" xfId="2" applyFont="1" applyAlignment="1">
      <alignment horizontal="center" vertical="center"/>
    </xf>
    <xf numFmtId="0" fontId="10" fillId="2" borderId="6" xfId="2" applyFont="1" applyFill="1" applyBorder="1" applyAlignment="1">
      <alignment horizontal="center" vertical="center"/>
    </xf>
    <xf numFmtId="0" fontId="4" fillId="0" borderId="6" xfId="2" applyFont="1" applyBorder="1" applyAlignment="1">
      <alignment horizontal="center" vertical="center"/>
    </xf>
    <xf numFmtId="0" fontId="10" fillId="0" borderId="10" xfId="2" applyFont="1" applyBorder="1" applyAlignment="1">
      <alignment vertical="center"/>
    </xf>
    <xf numFmtId="0" fontId="26" fillId="0" borderId="0" xfId="3" applyFont="1" applyAlignment="1">
      <alignment horizontal="center" vertical="center"/>
    </xf>
    <xf numFmtId="49" fontId="26" fillId="0" borderId="0" xfId="3" applyNumberFormat="1" applyFont="1" applyAlignment="1">
      <alignment horizontal="center" vertical="center"/>
    </xf>
    <xf numFmtId="0" fontId="27" fillId="0" borderId="0" xfId="3" applyFont="1" applyAlignment="1">
      <alignment horizontal="center" vertical="center"/>
    </xf>
    <xf numFmtId="0" fontId="28" fillId="0" borderId="0" xfId="3" applyFont="1" applyAlignment="1">
      <alignment vertical="center"/>
    </xf>
    <xf numFmtId="0" fontId="29" fillId="0" borderId="0" xfId="3" applyFont="1" applyAlignment="1">
      <alignment vertical="center"/>
    </xf>
    <xf numFmtId="0" fontId="25" fillId="0" borderId="0" xfId="3" applyAlignment="1">
      <alignment horizontal="center" vertical="center"/>
    </xf>
    <xf numFmtId="0" fontId="8" fillId="0" borderId="0" xfId="3" applyFont="1" applyAlignment="1">
      <alignment vertical="center"/>
    </xf>
    <xf numFmtId="0" fontId="15" fillId="0" borderId="0" xfId="3" applyFont="1" applyAlignment="1">
      <alignment horizontal="center" vertical="center"/>
    </xf>
    <xf numFmtId="0" fontId="14" fillId="0" borderId="0" xfId="3" applyFont="1" applyAlignment="1">
      <alignment vertical="center"/>
    </xf>
    <xf numFmtId="0" fontId="8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30" fillId="0" borderId="0" xfId="3" applyFont="1" applyAlignment="1">
      <alignment vertical="center"/>
    </xf>
    <xf numFmtId="0" fontId="25" fillId="0" borderId="0" xfId="3" applyAlignment="1">
      <alignment vertical="center"/>
    </xf>
    <xf numFmtId="0" fontId="30" fillId="0" borderId="0" xfId="3" applyFont="1" applyAlignment="1">
      <alignment horizontal="center" vertical="center"/>
    </xf>
    <xf numFmtId="0" fontId="16" fillId="0" borderId="0" xfId="3" applyFont="1" applyAlignment="1">
      <alignment vertical="center"/>
    </xf>
    <xf numFmtId="0" fontId="29" fillId="0" borderId="0" xfId="3" applyFont="1" applyAlignment="1">
      <alignment horizontal="center" vertical="center"/>
    </xf>
    <xf numFmtId="0" fontId="25" fillId="4" borderId="41" xfId="3" applyFill="1" applyBorder="1" applyAlignment="1">
      <alignment horizontal="center" vertical="center"/>
    </xf>
    <xf numFmtId="0" fontId="30" fillId="4" borderId="41" xfId="3" applyFont="1" applyFill="1" applyBorder="1" applyAlignment="1">
      <alignment vertical="center" shrinkToFit="1"/>
    </xf>
    <xf numFmtId="0" fontId="16" fillId="4" borderId="42" xfId="3" applyFont="1" applyFill="1" applyBorder="1" applyAlignment="1">
      <alignment horizontal="center" vertical="center"/>
    </xf>
    <xf numFmtId="0" fontId="25" fillId="5" borderId="0" xfId="3" applyFill="1" applyAlignment="1">
      <alignment vertical="center"/>
    </xf>
    <xf numFmtId="0" fontId="30" fillId="5" borderId="0" xfId="3" applyFont="1" applyFill="1" applyAlignment="1">
      <alignment horizontal="center" vertical="center"/>
    </xf>
    <xf numFmtId="0" fontId="16" fillId="5" borderId="0" xfId="3" applyFont="1" applyFill="1" applyAlignment="1">
      <alignment horizontal="center" vertical="center"/>
    </xf>
    <xf numFmtId="0" fontId="30" fillId="6" borderId="0" xfId="4" applyFont="1" applyFill="1" applyAlignment="1">
      <alignment horizontal="center" vertical="center"/>
    </xf>
    <xf numFmtId="0" fontId="30" fillId="0" borderId="0" xfId="4" applyFont="1" applyAlignment="1">
      <alignment vertical="center"/>
    </xf>
    <xf numFmtId="0" fontId="30" fillId="5" borderId="34" xfId="4" applyFont="1" applyFill="1" applyBorder="1" applyAlignment="1">
      <alignment horizontal="center" vertical="center"/>
    </xf>
    <xf numFmtId="0" fontId="30" fillId="7" borderId="34" xfId="4" applyFont="1" applyFill="1" applyBorder="1" applyAlignment="1">
      <alignment horizontal="center" vertical="center"/>
    </xf>
    <xf numFmtId="0" fontId="30" fillId="8" borderId="0" xfId="4" applyFont="1" applyFill="1" applyAlignment="1">
      <alignment vertical="center"/>
    </xf>
    <xf numFmtId="0" fontId="30" fillId="7" borderId="0" xfId="4" applyFont="1" applyFill="1" applyAlignment="1">
      <alignment vertical="center"/>
    </xf>
    <xf numFmtId="0" fontId="25" fillId="7" borderId="0" xfId="3" applyFill="1" applyAlignment="1">
      <alignment horizontal="center" vertical="center"/>
    </xf>
    <xf numFmtId="0" fontId="33" fillId="0" borderId="0" xfId="3" applyFont="1" applyAlignment="1">
      <alignment horizontal="center" vertical="center"/>
    </xf>
    <xf numFmtId="0" fontId="16" fillId="0" borderId="31" xfId="3" applyFont="1" applyBorder="1" applyAlignment="1">
      <alignment horizontal="center" vertical="center"/>
    </xf>
    <xf numFmtId="0" fontId="25" fillId="4" borderId="41" xfId="3" applyFill="1" applyBorder="1" applyAlignment="1">
      <alignment vertical="center"/>
    </xf>
    <xf numFmtId="0" fontId="30" fillId="9" borderId="0" xfId="4" applyFont="1" applyFill="1" applyAlignment="1">
      <alignment horizontal="center" vertical="center"/>
    </xf>
    <xf numFmtId="165" fontId="30" fillId="9" borderId="0" xfId="4" applyNumberFormat="1" applyFont="1" applyFill="1" applyAlignment="1">
      <alignment horizontal="center" vertical="center"/>
    </xf>
    <xf numFmtId="1" fontId="30" fillId="9" borderId="0" xfId="4" applyNumberFormat="1" applyFont="1" applyFill="1" applyAlignment="1">
      <alignment horizontal="center" vertical="center"/>
    </xf>
    <xf numFmtId="20" fontId="30" fillId="9" borderId="0" xfId="4" applyNumberFormat="1" applyFont="1" applyFill="1" applyAlignment="1">
      <alignment horizontal="center" vertical="center"/>
    </xf>
    <xf numFmtId="0" fontId="28" fillId="9" borderId="0" xfId="3" applyFont="1" applyFill="1" applyAlignment="1">
      <alignment horizontal="center" vertical="center"/>
    </xf>
    <xf numFmtId="0" fontId="30" fillId="0" borderId="0" xfId="4" applyFont="1" applyAlignment="1">
      <alignment horizontal="center" vertical="center"/>
    </xf>
    <xf numFmtId="1" fontId="30" fillId="5" borderId="34" xfId="4" applyNumberFormat="1" applyFont="1" applyFill="1" applyBorder="1" applyAlignment="1">
      <alignment horizontal="center" vertical="center"/>
    </xf>
    <xf numFmtId="1" fontId="30" fillId="7" borderId="34" xfId="4" applyNumberFormat="1" applyFont="1" applyFill="1" applyBorder="1" applyAlignment="1">
      <alignment horizontal="center" vertical="center"/>
    </xf>
    <xf numFmtId="0" fontId="25" fillId="4" borderId="43" xfId="3" applyFill="1" applyBorder="1" applyAlignment="1">
      <alignment horizontal="center" vertical="center"/>
    </xf>
    <xf numFmtId="0" fontId="30" fillId="4" borderId="43" xfId="3" applyFont="1" applyFill="1" applyBorder="1" applyAlignment="1">
      <alignment vertical="center"/>
    </xf>
    <xf numFmtId="0" fontId="16" fillId="4" borderId="44" xfId="3" applyFont="1" applyFill="1" applyBorder="1" applyAlignment="1">
      <alignment horizontal="center" vertical="center"/>
    </xf>
    <xf numFmtId="0" fontId="34" fillId="0" borderId="31" xfId="3" applyFont="1" applyBorder="1" applyAlignment="1">
      <alignment horizontal="center" vertical="center"/>
    </xf>
    <xf numFmtId="0" fontId="35" fillId="4" borderId="42" xfId="3" applyFont="1" applyFill="1" applyBorder="1" applyAlignment="1">
      <alignment horizontal="center" vertical="center"/>
    </xf>
    <xf numFmtId="0" fontId="25" fillId="0" borderId="45" xfId="3" applyBorder="1" applyAlignment="1">
      <alignment vertical="center"/>
    </xf>
    <xf numFmtId="0" fontId="30" fillId="0" borderId="31" xfId="3" applyFont="1" applyBorder="1" applyAlignment="1">
      <alignment horizontal="center" vertical="center"/>
    </xf>
    <xf numFmtId="0" fontId="25" fillId="4" borderId="43" xfId="3" applyFill="1" applyBorder="1" applyAlignment="1">
      <alignment vertical="center"/>
    </xf>
    <xf numFmtId="0" fontId="35" fillId="4" borderId="44" xfId="3" applyFont="1" applyFill="1" applyBorder="1" applyAlignment="1">
      <alignment horizontal="center" vertical="center"/>
    </xf>
    <xf numFmtId="0" fontId="30" fillId="10" borderId="0" xfId="4" applyFont="1" applyFill="1" applyAlignment="1">
      <alignment horizontal="center" vertical="center"/>
    </xf>
    <xf numFmtId="165" fontId="30" fillId="10" borderId="0" xfId="4" applyNumberFormat="1" applyFont="1" applyFill="1" applyAlignment="1">
      <alignment horizontal="center" vertical="center"/>
    </xf>
    <xf numFmtId="1" fontId="30" fillId="10" borderId="0" xfId="4" applyNumberFormat="1" applyFont="1" applyFill="1" applyAlignment="1">
      <alignment horizontal="center" vertical="center"/>
    </xf>
    <xf numFmtId="20" fontId="30" fillId="10" borderId="0" xfId="4" applyNumberFormat="1" applyFont="1" applyFill="1" applyAlignment="1">
      <alignment horizontal="center" vertical="center"/>
    </xf>
    <xf numFmtId="0" fontId="28" fillId="10" borderId="0" xfId="3" applyFont="1" applyFill="1" applyAlignment="1">
      <alignment horizontal="center" vertical="center"/>
    </xf>
    <xf numFmtId="0" fontId="30" fillId="11" borderId="0" xfId="4" applyFont="1" applyFill="1" applyAlignment="1">
      <alignment horizontal="center" vertical="center"/>
    </xf>
    <xf numFmtId="165" fontId="30" fillId="11" borderId="0" xfId="4" applyNumberFormat="1" applyFont="1" applyFill="1" applyAlignment="1">
      <alignment horizontal="center" vertical="center"/>
    </xf>
    <xf numFmtId="1" fontId="30" fillId="11" borderId="0" xfId="4" applyNumberFormat="1" applyFont="1" applyFill="1" applyAlignment="1">
      <alignment horizontal="center" vertical="center"/>
    </xf>
    <xf numFmtId="20" fontId="30" fillId="11" borderId="0" xfId="4" applyNumberFormat="1" applyFont="1" applyFill="1" applyAlignment="1">
      <alignment horizontal="center" vertical="center"/>
    </xf>
    <xf numFmtId="0" fontId="28" fillId="11" borderId="0" xfId="3" applyFont="1" applyFill="1" applyAlignment="1">
      <alignment horizontal="center" vertical="center"/>
    </xf>
    <xf numFmtId="0" fontId="30" fillId="12" borderId="0" xfId="4" applyFont="1" applyFill="1" applyAlignment="1">
      <alignment horizontal="center" vertical="center"/>
    </xf>
    <xf numFmtId="165" fontId="30" fillId="12" borderId="0" xfId="4" applyNumberFormat="1" applyFont="1" applyFill="1" applyAlignment="1">
      <alignment horizontal="center" vertical="center"/>
    </xf>
    <xf numFmtId="1" fontId="30" fillId="12" borderId="0" xfId="4" applyNumberFormat="1" applyFont="1" applyFill="1" applyAlignment="1">
      <alignment horizontal="center" vertical="center"/>
    </xf>
    <xf numFmtId="20" fontId="30" fillId="12" borderId="0" xfId="4" applyNumberFormat="1" applyFont="1" applyFill="1" applyAlignment="1">
      <alignment horizontal="center" vertical="center"/>
    </xf>
    <xf numFmtId="0" fontId="28" fillId="12" borderId="0" xfId="3" applyFont="1" applyFill="1" applyAlignment="1">
      <alignment horizontal="center" vertical="center"/>
    </xf>
    <xf numFmtId="0" fontId="25" fillId="4" borderId="18" xfId="3" applyFill="1" applyBorder="1" applyAlignment="1">
      <alignment vertical="center"/>
    </xf>
    <xf numFmtId="0" fontId="16" fillId="4" borderId="46" xfId="3" applyFont="1" applyFill="1" applyBorder="1" applyAlignment="1">
      <alignment vertical="center"/>
    </xf>
    <xf numFmtId="0" fontId="35" fillId="4" borderId="17" xfId="3" applyFont="1" applyFill="1" applyBorder="1" applyAlignment="1">
      <alignment horizontal="center" vertical="center"/>
    </xf>
    <xf numFmtId="0" fontId="30" fillId="8" borderId="0" xfId="4" applyFont="1" applyFill="1" applyAlignment="1">
      <alignment horizontal="center" vertical="center"/>
    </xf>
    <xf numFmtId="165" fontId="30" fillId="8" borderId="0" xfId="4" applyNumberFormat="1" applyFont="1" applyFill="1" applyAlignment="1">
      <alignment horizontal="center" vertical="center"/>
    </xf>
    <xf numFmtId="1" fontId="30" fillId="8" borderId="0" xfId="4" applyNumberFormat="1" applyFont="1" applyFill="1" applyAlignment="1">
      <alignment horizontal="center" vertical="center"/>
    </xf>
    <xf numFmtId="20" fontId="30" fillId="8" borderId="0" xfId="4" applyNumberFormat="1" applyFont="1" applyFill="1" applyAlignment="1">
      <alignment horizontal="center" vertical="center"/>
    </xf>
    <xf numFmtId="0" fontId="28" fillId="8" borderId="0" xfId="3" applyFont="1" applyFill="1" applyAlignment="1">
      <alignment horizontal="center" vertical="center"/>
    </xf>
    <xf numFmtId="0" fontId="30" fillId="5" borderId="42" xfId="3" applyFont="1" applyFill="1" applyBorder="1" applyAlignment="1">
      <alignment horizontal="center" vertical="center"/>
    </xf>
    <xf numFmtId="0" fontId="36" fillId="0" borderId="0" xfId="3" applyFont="1" applyAlignment="1">
      <alignment horizontal="center" vertical="center"/>
    </xf>
    <xf numFmtId="0" fontId="37" fillId="0" borderId="0" xfId="3" applyFont="1" applyAlignment="1">
      <alignment vertical="center"/>
    </xf>
    <xf numFmtId="0" fontId="35" fillId="0" borderId="31" xfId="3" applyFont="1" applyBorder="1" applyAlignment="1">
      <alignment horizontal="center" vertical="center"/>
    </xf>
    <xf numFmtId="0" fontId="30" fillId="4" borderId="46" xfId="3" applyFont="1" applyFill="1" applyBorder="1" applyAlignment="1">
      <alignment vertical="center"/>
    </xf>
    <xf numFmtId="0" fontId="30" fillId="4" borderId="43" xfId="3" applyFont="1" applyFill="1" applyBorder="1" applyAlignment="1">
      <alignment vertical="center" shrinkToFit="1"/>
    </xf>
    <xf numFmtId="0" fontId="26" fillId="0" borderId="40" xfId="3" applyFont="1" applyBorder="1" applyAlignment="1">
      <alignment horizontal="center" vertical="center"/>
    </xf>
    <xf numFmtId="0" fontId="26" fillId="0" borderId="42" xfId="3" applyFont="1" applyBorder="1" applyAlignment="1">
      <alignment horizontal="center" vertical="center"/>
    </xf>
    <xf numFmtId="0" fontId="26" fillId="0" borderId="45" xfId="3" applyFont="1" applyBorder="1" applyAlignment="1">
      <alignment horizontal="center" vertical="center"/>
    </xf>
    <xf numFmtId="0" fontId="26" fillId="0" borderId="31" xfId="3" applyFont="1" applyBorder="1" applyAlignment="1">
      <alignment horizontal="center" vertical="center"/>
    </xf>
    <xf numFmtId="0" fontId="26" fillId="0" borderId="33" xfId="3" applyFont="1" applyBorder="1" applyAlignment="1">
      <alignment horizontal="center" vertical="center"/>
    </xf>
    <xf numFmtId="0" fontId="26" fillId="0" borderId="44" xfId="3" applyFont="1" applyBorder="1" applyAlignment="1">
      <alignment horizontal="center" vertical="center"/>
    </xf>
    <xf numFmtId="0" fontId="42" fillId="0" borderId="0" xfId="3" applyFont="1" applyAlignment="1">
      <alignment horizontal="center" vertical="center"/>
    </xf>
    <xf numFmtId="49" fontId="43" fillId="0" borderId="0" xfId="3" applyNumberFormat="1" applyFont="1" applyAlignment="1">
      <alignment horizontal="center" vertical="center"/>
    </xf>
    <xf numFmtId="0" fontId="44" fillId="0" borderId="0" xfId="3" applyFont="1" applyAlignment="1">
      <alignment horizontal="center" vertical="center"/>
    </xf>
    <xf numFmtId="0" fontId="43" fillId="0" borderId="0" xfId="3" applyFont="1" applyAlignment="1">
      <alignment horizontal="center" vertical="center"/>
    </xf>
    <xf numFmtId="49" fontId="45" fillId="0" borderId="0" xfId="3" applyNumberFormat="1" applyFont="1" applyAlignment="1">
      <alignment horizontal="center" vertical="center"/>
    </xf>
    <xf numFmtId="0" fontId="46" fillId="0" borderId="0" xfId="3" applyFont="1" applyAlignment="1">
      <alignment horizontal="center" vertical="center"/>
    </xf>
    <xf numFmtId="0" fontId="1" fillId="0" borderId="0" xfId="4"/>
    <xf numFmtId="0" fontId="47" fillId="0" borderId="0" xfId="4" applyFont="1" applyAlignment="1">
      <alignment horizontal="center" vertical="center"/>
    </xf>
    <xf numFmtId="0" fontId="48" fillId="0" borderId="0" xfId="4" applyFont="1"/>
    <xf numFmtId="0" fontId="49" fillId="0" borderId="0" xfId="4" applyFont="1" applyAlignment="1">
      <alignment horizontal="center" vertical="center"/>
    </xf>
    <xf numFmtId="0" fontId="47" fillId="0" borderId="0" xfId="4" applyFont="1"/>
    <xf numFmtId="0" fontId="48" fillId="0" borderId="0" xfId="4" applyFont="1" applyAlignment="1">
      <alignment horizontal="center" vertical="center"/>
    </xf>
    <xf numFmtId="0" fontId="10" fillId="0" borderId="21" xfId="2" applyFont="1" applyBorder="1" applyAlignment="1">
      <alignment horizontal="center" vertical="center"/>
    </xf>
    <xf numFmtId="0" fontId="10" fillId="0" borderId="23" xfId="2" applyFont="1" applyBorder="1" applyAlignment="1">
      <alignment horizontal="center" vertical="center"/>
    </xf>
    <xf numFmtId="0" fontId="10" fillId="0" borderId="22" xfId="2" applyFont="1" applyBorder="1" applyAlignment="1">
      <alignment horizontal="center" vertical="center"/>
    </xf>
    <xf numFmtId="0" fontId="2" fillId="0" borderId="9" xfId="2" applyBorder="1" applyAlignment="1">
      <alignment horizontal="center" vertical="center"/>
    </xf>
    <xf numFmtId="0" fontId="2" fillId="0" borderId="11" xfId="2" applyBorder="1" applyAlignment="1">
      <alignment horizontal="center" vertical="center"/>
    </xf>
    <xf numFmtId="0" fontId="2" fillId="0" borderId="12" xfId="2" applyBorder="1" applyAlignment="1">
      <alignment horizontal="center" vertical="center"/>
    </xf>
    <xf numFmtId="0" fontId="20" fillId="0" borderId="24" xfId="2" applyFont="1" applyBorder="1" applyAlignment="1">
      <alignment horizontal="center" vertical="center"/>
    </xf>
    <xf numFmtId="0" fontId="20" fillId="0" borderId="25" xfId="2" applyFont="1" applyBorder="1" applyAlignment="1">
      <alignment horizontal="center" vertical="center"/>
    </xf>
    <xf numFmtId="0" fontId="20" fillId="0" borderId="26" xfId="2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0" fontId="11" fillId="0" borderId="10" xfId="1" applyFont="1" applyBorder="1" applyAlignment="1">
      <alignment horizontal="center" vertical="center"/>
    </xf>
    <xf numFmtId="0" fontId="18" fillId="0" borderId="1" xfId="1" applyFont="1" applyBorder="1" applyAlignment="1">
      <alignment horizontal="center" vertical="center"/>
    </xf>
    <xf numFmtId="0" fontId="18" fillId="0" borderId="0" xfId="1" applyFont="1" applyAlignment="1">
      <alignment horizontal="center" vertical="center"/>
    </xf>
    <xf numFmtId="0" fontId="2" fillId="0" borderId="0" xfId="1" applyAlignment="1">
      <alignment horizontal="center" vertical="center"/>
    </xf>
    <xf numFmtId="0" fontId="11" fillId="0" borderId="21" xfId="1" applyFont="1" applyBorder="1" applyAlignment="1">
      <alignment horizontal="center"/>
    </xf>
    <xf numFmtId="0" fontId="11" fillId="0" borderId="22" xfId="1" applyFont="1" applyBorder="1" applyAlignment="1">
      <alignment horizontal="center"/>
    </xf>
    <xf numFmtId="0" fontId="2" fillId="0" borderId="1" xfId="1" applyBorder="1" applyAlignment="1">
      <alignment horizontal="center" vertical="center" wrapText="1"/>
    </xf>
    <xf numFmtId="0" fontId="2" fillId="0" borderId="0" xfId="1" applyAlignment="1">
      <alignment horizontal="center" vertical="center" wrapText="1"/>
    </xf>
    <xf numFmtId="0" fontId="10" fillId="0" borderId="0" xfId="1" applyFont="1" applyAlignment="1">
      <alignment horizontal="center" vertical="center"/>
    </xf>
    <xf numFmtId="0" fontId="11" fillId="0" borderId="16" xfId="1" applyFont="1" applyBorder="1" applyAlignment="1">
      <alignment horizontal="center" vertical="center"/>
    </xf>
    <xf numFmtId="0" fontId="18" fillId="0" borderId="3" xfId="2" applyFont="1" applyBorder="1" applyAlignment="1">
      <alignment horizontal="center" vertical="center"/>
    </xf>
    <xf numFmtId="0" fontId="18" fillId="0" borderId="10" xfId="2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/>
    </xf>
    <xf numFmtId="0" fontId="18" fillId="0" borderId="39" xfId="2" applyFont="1" applyBorder="1" applyAlignment="1">
      <alignment horizontal="center" vertical="center"/>
    </xf>
    <xf numFmtId="0" fontId="11" fillId="0" borderId="21" xfId="2" applyFont="1" applyBorder="1" applyAlignment="1">
      <alignment horizontal="center"/>
    </xf>
    <xf numFmtId="0" fontId="11" fillId="0" borderId="22" xfId="2" applyFont="1" applyBorder="1" applyAlignment="1">
      <alignment horizontal="center"/>
    </xf>
    <xf numFmtId="0" fontId="10" fillId="0" borderId="9" xfId="2" applyFont="1" applyBorder="1" applyAlignment="1">
      <alignment horizontal="center" vertical="center"/>
    </xf>
    <xf numFmtId="0" fontId="10" fillId="0" borderId="11" xfId="2" applyFont="1" applyBorder="1" applyAlignment="1">
      <alignment horizontal="center" vertical="center"/>
    </xf>
    <xf numFmtId="0" fontId="10" fillId="0" borderId="12" xfId="2" applyFont="1" applyBorder="1" applyAlignment="1">
      <alignment horizontal="center" vertical="center"/>
    </xf>
    <xf numFmtId="0" fontId="11" fillId="0" borderId="16" xfId="2" applyFont="1" applyBorder="1" applyAlignment="1">
      <alignment horizontal="center" vertical="center"/>
    </xf>
    <xf numFmtId="0" fontId="11" fillId="0" borderId="3" xfId="2" applyFont="1" applyBorder="1" applyAlignment="1">
      <alignment horizontal="center" vertical="center"/>
    </xf>
    <xf numFmtId="0" fontId="11" fillId="0" borderId="10" xfId="2" applyFont="1" applyBorder="1" applyAlignment="1">
      <alignment horizontal="center" vertical="center"/>
    </xf>
    <xf numFmtId="0" fontId="18" fillId="0" borderId="36" xfId="2" applyFont="1" applyBorder="1" applyAlignment="1">
      <alignment horizontal="center" vertical="center"/>
    </xf>
    <xf numFmtId="0" fontId="18" fillId="0" borderId="16" xfId="2" applyFont="1" applyBorder="1" applyAlignment="1">
      <alignment horizontal="center" vertical="center"/>
    </xf>
    <xf numFmtId="0" fontId="2" fillId="0" borderId="2" xfId="1" applyBorder="1" applyAlignment="1">
      <alignment horizontal="center" vertical="center" wrapText="1"/>
    </xf>
    <xf numFmtId="0" fontId="2" fillId="0" borderId="4" xfId="1" applyBorder="1" applyAlignment="1">
      <alignment horizontal="center" vertical="center" wrapText="1"/>
    </xf>
    <xf numFmtId="0" fontId="2" fillId="0" borderId="27" xfId="1" applyBorder="1" applyAlignment="1">
      <alignment horizontal="center" vertical="center" wrapText="1"/>
    </xf>
    <xf numFmtId="0" fontId="2" fillId="0" borderId="28" xfId="1" applyBorder="1" applyAlignment="1">
      <alignment horizontal="center" vertical="center" wrapText="1"/>
    </xf>
    <xf numFmtId="0" fontId="2" fillId="0" borderId="9" xfId="1" applyBorder="1" applyAlignment="1">
      <alignment horizontal="center" vertical="center" wrapText="1"/>
    </xf>
    <xf numFmtId="0" fontId="2" fillId="0" borderId="12" xfId="1" applyBorder="1" applyAlignment="1">
      <alignment horizontal="center" vertical="center" wrapText="1"/>
    </xf>
    <xf numFmtId="0" fontId="3" fillId="0" borderId="0" xfId="2" applyFont="1" applyAlignment="1">
      <alignment horizontal="center"/>
    </xf>
    <xf numFmtId="0" fontId="40" fillId="0" borderId="47" xfId="3" applyFont="1" applyBorder="1" applyAlignment="1">
      <alignment horizontal="center" vertical="center" textRotation="90"/>
    </xf>
    <xf numFmtId="0" fontId="40" fillId="0" borderId="48" xfId="3" applyFont="1" applyBorder="1" applyAlignment="1">
      <alignment horizontal="center" vertical="center" textRotation="90"/>
    </xf>
    <xf numFmtId="0" fontId="40" fillId="0" borderId="32" xfId="3" applyFont="1" applyBorder="1" applyAlignment="1">
      <alignment horizontal="center" vertical="center" textRotation="90"/>
    </xf>
    <xf numFmtId="0" fontId="26" fillId="0" borderId="47" xfId="3" applyFont="1" applyBorder="1" applyAlignment="1">
      <alignment horizontal="center" vertical="center" textRotation="90"/>
    </xf>
    <xf numFmtId="0" fontId="26" fillId="0" borderId="48" xfId="3" applyFont="1" applyBorder="1" applyAlignment="1">
      <alignment horizontal="center" vertical="center" textRotation="90"/>
    </xf>
    <xf numFmtId="0" fontId="26" fillId="0" borderId="32" xfId="3" applyFont="1" applyBorder="1" applyAlignment="1">
      <alignment horizontal="center" vertical="center" textRotation="90"/>
    </xf>
    <xf numFmtId="17" fontId="26" fillId="0" borderId="47" xfId="3" applyNumberFormat="1" applyFont="1" applyBorder="1" applyAlignment="1">
      <alignment horizontal="center" vertical="center" textRotation="90"/>
    </xf>
    <xf numFmtId="0" fontId="41" fillId="0" borderId="0" xfId="3" applyFont="1" applyAlignment="1">
      <alignment horizontal="center" vertical="center"/>
    </xf>
    <xf numFmtId="0" fontId="26" fillId="16" borderId="41" xfId="3" applyFont="1" applyFill="1" applyBorder="1" applyAlignment="1">
      <alignment horizontal="center" vertical="center"/>
    </xf>
    <xf numFmtId="0" fontId="26" fillId="16" borderId="43" xfId="3" applyFont="1" applyFill="1" applyBorder="1" applyAlignment="1">
      <alignment horizontal="center" vertical="center"/>
    </xf>
    <xf numFmtId="0" fontId="26" fillId="16" borderId="42" xfId="3" applyFont="1" applyFill="1" applyBorder="1" applyAlignment="1">
      <alignment horizontal="center" vertical="center"/>
    </xf>
    <xf numFmtId="0" fontId="26" fillId="16" borderId="44" xfId="3" applyFont="1" applyFill="1" applyBorder="1" applyAlignment="1">
      <alignment horizontal="center" vertical="center"/>
    </xf>
    <xf numFmtId="0" fontId="38" fillId="8" borderId="40" xfId="3" applyFont="1" applyFill="1" applyBorder="1" applyAlignment="1">
      <alignment horizontal="center" vertical="center" wrapText="1" shrinkToFit="1"/>
    </xf>
    <xf numFmtId="0" fontId="38" fillId="8" borderId="41" xfId="3" applyFont="1" applyFill="1" applyBorder="1" applyAlignment="1">
      <alignment horizontal="center" vertical="center" wrapText="1" shrinkToFit="1"/>
    </xf>
    <xf numFmtId="0" fontId="38" fillId="8" borderId="45" xfId="3" applyFont="1" applyFill="1" applyBorder="1" applyAlignment="1">
      <alignment horizontal="center" vertical="center" wrapText="1" shrinkToFit="1"/>
    </xf>
    <xf numFmtId="0" fontId="38" fillId="8" borderId="0" xfId="3" applyFont="1" applyFill="1" applyAlignment="1">
      <alignment horizontal="center" vertical="center" wrapText="1" shrinkToFit="1"/>
    </xf>
    <xf numFmtId="0" fontId="38" fillId="8" borderId="33" xfId="3" applyFont="1" applyFill="1" applyBorder="1" applyAlignment="1">
      <alignment horizontal="center" vertical="center" wrapText="1" shrinkToFit="1"/>
    </xf>
    <xf numFmtId="0" fontId="38" fillId="8" borderId="43" xfId="3" applyFont="1" applyFill="1" applyBorder="1" applyAlignment="1">
      <alignment horizontal="center" vertical="center" wrapText="1" shrinkToFit="1"/>
    </xf>
    <xf numFmtId="0" fontId="39" fillId="3" borderId="3" xfId="3" applyFont="1" applyFill="1" applyBorder="1" applyAlignment="1">
      <alignment horizontal="center" vertical="center"/>
    </xf>
    <xf numFmtId="0" fontId="39" fillId="3" borderId="16" xfId="3" applyFont="1" applyFill="1" applyBorder="1" applyAlignment="1">
      <alignment horizontal="center" vertical="center"/>
    </xf>
    <xf numFmtId="0" fontId="39" fillId="3" borderId="10" xfId="3" applyFont="1" applyFill="1" applyBorder="1" applyAlignment="1">
      <alignment horizontal="center" vertical="center"/>
    </xf>
    <xf numFmtId="0" fontId="26" fillId="16" borderId="40" xfId="3" applyFont="1" applyFill="1" applyBorder="1" applyAlignment="1">
      <alignment horizontal="center" vertical="center"/>
    </xf>
    <xf numFmtId="0" fontId="26" fillId="16" borderId="33" xfId="3" applyFont="1" applyFill="1" applyBorder="1" applyAlignment="1">
      <alignment horizontal="center" vertical="center"/>
    </xf>
    <xf numFmtId="0" fontId="26" fillId="15" borderId="41" xfId="3" applyFont="1" applyFill="1" applyBorder="1" applyAlignment="1">
      <alignment horizontal="center" vertical="center"/>
    </xf>
    <xf numFmtId="0" fontId="26" fillId="15" borderId="43" xfId="3" applyFont="1" applyFill="1" applyBorder="1" applyAlignment="1">
      <alignment horizontal="center" vertical="center"/>
    </xf>
    <xf numFmtId="0" fontId="26" fillId="15" borderId="42" xfId="3" applyFont="1" applyFill="1" applyBorder="1" applyAlignment="1">
      <alignment horizontal="center" vertical="center"/>
    </xf>
    <xf numFmtId="0" fontId="26" fillId="15" borderId="44" xfId="3" applyFont="1" applyFill="1" applyBorder="1" applyAlignment="1">
      <alignment horizontal="center" vertical="center"/>
    </xf>
    <xf numFmtId="0" fontId="36" fillId="0" borderId="0" xfId="3" applyFont="1" applyAlignment="1">
      <alignment horizontal="center" vertical="center"/>
    </xf>
    <xf numFmtId="0" fontId="31" fillId="0" borderId="0" xfId="3" applyFont="1" applyAlignment="1">
      <alignment horizontal="center" vertical="center"/>
    </xf>
    <xf numFmtId="17" fontId="26" fillId="16" borderId="40" xfId="3" quotePrefix="1" applyNumberFormat="1" applyFont="1" applyFill="1" applyBorder="1" applyAlignment="1">
      <alignment horizontal="center" vertical="center"/>
    </xf>
    <xf numFmtId="17" fontId="26" fillId="16" borderId="33" xfId="3" quotePrefix="1" applyNumberFormat="1" applyFont="1" applyFill="1" applyBorder="1" applyAlignment="1">
      <alignment horizontal="center" vertical="center"/>
    </xf>
    <xf numFmtId="49" fontId="26" fillId="16" borderId="41" xfId="3" applyNumberFormat="1" applyFont="1" applyFill="1" applyBorder="1" applyAlignment="1">
      <alignment horizontal="center" vertical="center"/>
    </xf>
    <xf numFmtId="49" fontId="26" fillId="16" borderId="43" xfId="3" applyNumberFormat="1" applyFont="1" applyFill="1" applyBorder="1" applyAlignment="1">
      <alignment horizontal="center" vertical="center"/>
    </xf>
    <xf numFmtId="164" fontId="32" fillId="16" borderId="41" xfId="3" applyNumberFormat="1" applyFont="1" applyFill="1" applyBorder="1" applyAlignment="1">
      <alignment horizontal="center" vertical="center"/>
    </xf>
    <xf numFmtId="164" fontId="32" fillId="16" borderId="43" xfId="3" applyNumberFormat="1" applyFont="1" applyFill="1" applyBorder="1" applyAlignment="1">
      <alignment horizontal="center" vertical="center"/>
    </xf>
    <xf numFmtId="0" fontId="26" fillId="15" borderId="40" xfId="3" applyFont="1" applyFill="1" applyBorder="1" applyAlignment="1">
      <alignment horizontal="center" vertical="center"/>
    </xf>
    <xf numFmtId="0" fontId="26" fillId="15" borderId="33" xfId="3" applyFont="1" applyFill="1" applyBorder="1" applyAlignment="1">
      <alignment horizontal="center" vertical="center"/>
    </xf>
    <xf numFmtId="0" fontId="26" fillId="4" borderId="41" xfId="3" applyFont="1" applyFill="1" applyBorder="1" applyAlignment="1">
      <alignment horizontal="center" vertical="center"/>
    </xf>
    <xf numFmtId="0" fontId="26" fillId="4" borderId="43" xfId="3" applyFont="1" applyFill="1" applyBorder="1" applyAlignment="1">
      <alignment horizontal="center" vertical="center"/>
    </xf>
    <xf numFmtId="0" fontId="26" fillId="4" borderId="42" xfId="3" applyFont="1" applyFill="1" applyBorder="1" applyAlignment="1">
      <alignment horizontal="center" vertical="center"/>
    </xf>
    <xf numFmtId="0" fontId="26" fillId="4" borderId="44" xfId="3" applyFont="1" applyFill="1" applyBorder="1" applyAlignment="1">
      <alignment horizontal="center" vertical="center"/>
    </xf>
    <xf numFmtId="0" fontId="26" fillId="0" borderId="0" xfId="3" applyFont="1" applyAlignment="1">
      <alignment horizontal="center" vertical="center"/>
    </xf>
    <xf numFmtId="17" fontId="26" fillId="15" borderId="40" xfId="3" applyNumberFormat="1" applyFont="1" applyFill="1" applyBorder="1" applyAlignment="1">
      <alignment horizontal="center" vertical="center"/>
    </xf>
    <xf numFmtId="17" fontId="26" fillId="15" borderId="33" xfId="3" quotePrefix="1" applyNumberFormat="1" applyFont="1" applyFill="1" applyBorder="1" applyAlignment="1">
      <alignment horizontal="center" vertical="center"/>
    </xf>
    <xf numFmtId="49" fontId="26" fillId="15" borderId="41" xfId="3" applyNumberFormat="1" applyFont="1" applyFill="1" applyBorder="1" applyAlignment="1">
      <alignment horizontal="center" vertical="center"/>
    </xf>
    <xf numFmtId="49" fontId="26" fillId="15" borderId="43" xfId="3" applyNumberFormat="1" applyFont="1" applyFill="1" applyBorder="1" applyAlignment="1">
      <alignment horizontal="center" vertical="center"/>
    </xf>
    <xf numFmtId="164" fontId="32" fillId="15" borderId="41" xfId="3" applyNumberFormat="1" applyFont="1" applyFill="1" applyBorder="1" applyAlignment="1">
      <alignment horizontal="center" vertical="center"/>
    </xf>
    <xf numFmtId="164" fontId="32" fillId="15" borderId="43" xfId="3" applyNumberFormat="1" applyFont="1" applyFill="1" applyBorder="1" applyAlignment="1">
      <alignment horizontal="center" vertical="center"/>
    </xf>
    <xf numFmtId="0" fontId="26" fillId="4" borderId="40" xfId="3" applyFont="1" applyFill="1" applyBorder="1" applyAlignment="1">
      <alignment horizontal="center" vertical="center"/>
    </xf>
    <xf numFmtId="0" fontId="26" fillId="4" borderId="33" xfId="3" applyFont="1" applyFill="1" applyBorder="1" applyAlignment="1">
      <alignment horizontal="center" vertical="center"/>
    </xf>
    <xf numFmtId="0" fontId="26" fillId="14" borderId="41" xfId="3" applyFont="1" applyFill="1" applyBorder="1" applyAlignment="1">
      <alignment horizontal="center" vertical="center"/>
    </xf>
    <xf numFmtId="0" fontId="26" fillId="14" borderId="43" xfId="3" applyFont="1" applyFill="1" applyBorder="1" applyAlignment="1">
      <alignment horizontal="center" vertical="center"/>
    </xf>
    <xf numFmtId="0" fontId="26" fillId="14" borderId="42" xfId="3" applyFont="1" applyFill="1" applyBorder="1" applyAlignment="1">
      <alignment horizontal="center" vertical="center"/>
    </xf>
    <xf numFmtId="0" fontId="26" fillId="14" borderId="44" xfId="3" applyFont="1" applyFill="1" applyBorder="1" applyAlignment="1">
      <alignment horizontal="center" vertical="center"/>
    </xf>
    <xf numFmtId="17" fontId="26" fillId="4" borderId="40" xfId="3" applyNumberFormat="1" applyFont="1" applyFill="1" applyBorder="1" applyAlignment="1">
      <alignment horizontal="center" vertical="center"/>
    </xf>
    <xf numFmtId="17" fontId="26" fillId="4" borderId="33" xfId="3" quotePrefix="1" applyNumberFormat="1" applyFont="1" applyFill="1" applyBorder="1" applyAlignment="1">
      <alignment horizontal="center" vertical="center"/>
    </xf>
    <xf numFmtId="49" fontId="26" fillId="4" borderId="41" xfId="3" applyNumberFormat="1" applyFont="1" applyFill="1" applyBorder="1" applyAlignment="1">
      <alignment horizontal="center" vertical="center"/>
    </xf>
    <xf numFmtId="49" fontId="26" fillId="4" borderId="43" xfId="3" applyNumberFormat="1" applyFont="1" applyFill="1" applyBorder="1" applyAlignment="1">
      <alignment horizontal="center" vertical="center"/>
    </xf>
    <xf numFmtId="164" fontId="32" fillId="4" borderId="41" xfId="3" applyNumberFormat="1" applyFont="1" applyFill="1" applyBorder="1" applyAlignment="1">
      <alignment horizontal="center" vertical="center"/>
    </xf>
    <xf numFmtId="164" fontId="32" fillId="4" borderId="43" xfId="3" applyNumberFormat="1" applyFont="1" applyFill="1" applyBorder="1" applyAlignment="1">
      <alignment horizontal="center" vertical="center"/>
    </xf>
    <xf numFmtId="0" fontId="26" fillId="14" borderId="40" xfId="3" applyFont="1" applyFill="1" applyBorder="1" applyAlignment="1">
      <alignment horizontal="center" vertical="center"/>
    </xf>
    <xf numFmtId="0" fontId="26" fillId="14" borderId="33" xfId="3" applyFont="1" applyFill="1" applyBorder="1" applyAlignment="1">
      <alignment horizontal="center" vertical="center"/>
    </xf>
    <xf numFmtId="0" fontId="26" fillId="9" borderId="41" xfId="3" applyFont="1" applyFill="1" applyBorder="1" applyAlignment="1">
      <alignment horizontal="center" vertical="center"/>
    </xf>
    <xf numFmtId="0" fontId="26" fillId="9" borderId="43" xfId="3" applyFont="1" applyFill="1" applyBorder="1" applyAlignment="1">
      <alignment horizontal="center" vertical="center"/>
    </xf>
    <xf numFmtId="0" fontId="26" fillId="9" borderId="42" xfId="3" applyFont="1" applyFill="1" applyBorder="1" applyAlignment="1">
      <alignment horizontal="center" vertical="center"/>
    </xf>
    <xf numFmtId="0" fontId="26" fillId="9" borderId="44" xfId="3" applyFont="1" applyFill="1" applyBorder="1" applyAlignment="1">
      <alignment horizontal="center" vertical="center"/>
    </xf>
    <xf numFmtId="17" fontId="26" fillId="14" borderId="40" xfId="3" applyNumberFormat="1" applyFont="1" applyFill="1" applyBorder="1" applyAlignment="1">
      <alignment horizontal="center" vertical="center"/>
    </xf>
    <xf numFmtId="17" fontId="26" fillId="14" borderId="33" xfId="3" quotePrefix="1" applyNumberFormat="1" applyFont="1" applyFill="1" applyBorder="1" applyAlignment="1">
      <alignment horizontal="center" vertical="center"/>
    </xf>
    <xf numFmtId="49" fontId="26" fillId="14" borderId="41" xfId="3" applyNumberFormat="1" applyFont="1" applyFill="1" applyBorder="1" applyAlignment="1">
      <alignment horizontal="center" vertical="center"/>
    </xf>
    <xf numFmtId="49" fontId="26" fillId="14" borderId="43" xfId="3" applyNumberFormat="1" applyFont="1" applyFill="1" applyBorder="1" applyAlignment="1">
      <alignment horizontal="center" vertical="center"/>
    </xf>
    <xf numFmtId="164" fontId="32" fillId="14" borderId="41" xfId="3" applyNumberFormat="1" applyFont="1" applyFill="1" applyBorder="1" applyAlignment="1">
      <alignment horizontal="center" vertical="center"/>
    </xf>
    <xf numFmtId="164" fontId="32" fillId="14" borderId="43" xfId="3" applyNumberFormat="1" applyFont="1" applyFill="1" applyBorder="1" applyAlignment="1">
      <alignment horizontal="center" vertical="center"/>
    </xf>
    <xf numFmtId="0" fontId="26" fillId="9" borderId="40" xfId="3" applyFont="1" applyFill="1" applyBorder="1" applyAlignment="1">
      <alignment horizontal="center" vertical="center"/>
    </xf>
    <xf numFmtId="0" fontId="26" fillId="9" borderId="33" xfId="3" applyFont="1" applyFill="1" applyBorder="1" applyAlignment="1">
      <alignment horizontal="center" vertical="center"/>
    </xf>
    <xf numFmtId="0" fontId="26" fillId="13" borderId="41" xfId="3" applyFont="1" applyFill="1" applyBorder="1" applyAlignment="1">
      <alignment horizontal="center" vertical="center"/>
    </xf>
    <xf numFmtId="0" fontId="26" fillId="13" borderId="43" xfId="3" applyFont="1" applyFill="1" applyBorder="1" applyAlignment="1">
      <alignment horizontal="center" vertical="center"/>
    </xf>
    <xf numFmtId="0" fontId="26" fillId="13" borderId="42" xfId="3" applyFont="1" applyFill="1" applyBorder="1" applyAlignment="1">
      <alignment horizontal="center" vertical="center"/>
    </xf>
    <xf numFmtId="0" fontId="26" fillId="13" borderId="44" xfId="3" applyFont="1" applyFill="1" applyBorder="1" applyAlignment="1">
      <alignment horizontal="center" vertical="center"/>
    </xf>
    <xf numFmtId="17" fontId="26" fillId="9" borderId="40" xfId="3" applyNumberFormat="1" applyFont="1" applyFill="1" applyBorder="1" applyAlignment="1">
      <alignment horizontal="center" vertical="center"/>
    </xf>
    <xf numFmtId="17" fontId="26" fillId="9" borderId="33" xfId="3" quotePrefix="1" applyNumberFormat="1" applyFont="1" applyFill="1" applyBorder="1" applyAlignment="1">
      <alignment horizontal="center" vertical="center"/>
    </xf>
    <xf numFmtId="49" fontId="26" fillId="9" borderId="41" xfId="3" applyNumberFormat="1" applyFont="1" applyFill="1" applyBorder="1" applyAlignment="1">
      <alignment horizontal="center" vertical="center"/>
    </xf>
    <xf numFmtId="49" fontId="26" fillId="9" borderId="43" xfId="3" applyNumberFormat="1" applyFont="1" applyFill="1" applyBorder="1" applyAlignment="1">
      <alignment horizontal="center" vertical="center"/>
    </xf>
    <xf numFmtId="164" fontId="32" fillId="9" borderId="41" xfId="3" applyNumberFormat="1" applyFont="1" applyFill="1" applyBorder="1" applyAlignment="1">
      <alignment horizontal="center" vertical="center"/>
    </xf>
    <xf numFmtId="164" fontId="32" fillId="9" borderId="43" xfId="3" applyNumberFormat="1" applyFont="1" applyFill="1" applyBorder="1" applyAlignment="1">
      <alignment horizontal="center" vertical="center"/>
    </xf>
    <xf numFmtId="0" fontId="26" fillId="13" borderId="40" xfId="3" applyFont="1" applyFill="1" applyBorder="1" applyAlignment="1">
      <alignment horizontal="center" vertical="center"/>
    </xf>
    <xf numFmtId="0" fontId="26" fillId="13" borderId="33" xfId="3" applyFont="1" applyFill="1" applyBorder="1" applyAlignment="1">
      <alignment horizontal="center" vertical="center"/>
    </xf>
    <xf numFmtId="17" fontId="26" fillId="13" borderId="40" xfId="3" applyNumberFormat="1" applyFont="1" applyFill="1" applyBorder="1" applyAlignment="1">
      <alignment horizontal="center" vertical="center"/>
    </xf>
    <xf numFmtId="17" fontId="26" fillId="13" borderId="33" xfId="3" quotePrefix="1" applyNumberFormat="1" applyFont="1" applyFill="1" applyBorder="1" applyAlignment="1">
      <alignment horizontal="center" vertical="center"/>
    </xf>
    <xf numFmtId="49" fontId="26" fillId="13" borderId="41" xfId="3" applyNumberFormat="1" applyFont="1" applyFill="1" applyBorder="1" applyAlignment="1">
      <alignment horizontal="center" vertical="center"/>
    </xf>
    <xf numFmtId="49" fontId="26" fillId="13" borderId="43" xfId="3" applyNumberFormat="1" applyFont="1" applyFill="1" applyBorder="1" applyAlignment="1">
      <alignment horizontal="center" vertical="center"/>
    </xf>
    <xf numFmtId="164" fontId="32" fillId="13" borderId="41" xfId="3" applyNumberFormat="1" applyFont="1" applyFill="1" applyBorder="1" applyAlignment="1">
      <alignment horizontal="center" vertical="center"/>
    </xf>
    <xf numFmtId="164" fontId="32" fillId="13" borderId="43" xfId="3" applyNumberFormat="1" applyFont="1" applyFill="1" applyBorder="1" applyAlignment="1">
      <alignment horizontal="center" vertical="center"/>
    </xf>
    <xf numFmtId="0" fontId="26" fillId="12" borderId="41" xfId="3" applyFont="1" applyFill="1" applyBorder="1" applyAlignment="1">
      <alignment horizontal="center" vertical="center"/>
    </xf>
    <xf numFmtId="0" fontId="26" fillId="12" borderId="43" xfId="3" applyFont="1" applyFill="1" applyBorder="1" applyAlignment="1">
      <alignment horizontal="center" vertical="center"/>
    </xf>
    <xf numFmtId="0" fontId="26" fillId="12" borderId="42" xfId="3" applyFont="1" applyFill="1" applyBorder="1" applyAlignment="1">
      <alignment horizontal="center" vertical="center"/>
    </xf>
    <xf numFmtId="0" fontId="26" fillId="12" borderId="44" xfId="3" applyFont="1" applyFill="1" applyBorder="1" applyAlignment="1">
      <alignment horizontal="center" vertical="center"/>
    </xf>
    <xf numFmtId="17" fontId="26" fillId="4" borderId="40" xfId="3" quotePrefix="1" applyNumberFormat="1" applyFont="1" applyFill="1" applyBorder="1" applyAlignment="1">
      <alignment horizontal="center" vertical="center"/>
    </xf>
    <xf numFmtId="0" fontId="26" fillId="12" borderId="40" xfId="3" applyFont="1" applyFill="1" applyBorder="1" applyAlignment="1">
      <alignment horizontal="center" vertical="center"/>
    </xf>
    <xf numFmtId="0" fontId="26" fillId="12" borderId="33" xfId="3" applyFont="1" applyFill="1" applyBorder="1" applyAlignment="1">
      <alignment horizontal="center" vertical="center"/>
    </xf>
    <xf numFmtId="17" fontId="26" fillId="12" borderId="40" xfId="3" quotePrefix="1" applyNumberFormat="1" applyFont="1" applyFill="1" applyBorder="1" applyAlignment="1">
      <alignment horizontal="center" vertical="center"/>
    </xf>
    <xf numFmtId="17" fontId="26" fillId="12" borderId="33" xfId="3" quotePrefix="1" applyNumberFormat="1" applyFont="1" applyFill="1" applyBorder="1" applyAlignment="1">
      <alignment horizontal="center" vertical="center"/>
    </xf>
    <xf numFmtId="49" fontId="26" fillId="12" borderId="41" xfId="3" applyNumberFormat="1" applyFont="1" applyFill="1" applyBorder="1" applyAlignment="1">
      <alignment horizontal="center" vertical="center"/>
    </xf>
    <xf numFmtId="49" fontId="26" fillId="12" borderId="43" xfId="3" applyNumberFormat="1" applyFont="1" applyFill="1" applyBorder="1" applyAlignment="1">
      <alignment horizontal="center" vertical="center"/>
    </xf>
    <xf numFmtId="164" fontId="32" fillId="12" borderId="41" xfId="3" applyNumberFormat="1" applyFont="1" applyFill="1" applyBorder="1" applyAlignment="1">
      <alignment horizontal="center" vertical="center"/>
    </xf>
    <xf numFmtId="164" fontId="32" fillId="12" borderId="43" xfId="3" applyNumberFormat="1" applyFont="1" applyFill="1" applyBorder="1" applyAlignment="1">
      <alignment horizontal="center" vertical="center"/>
    </xf>
    <xf numFmtId="0" fontId="26" fillId="5" borderId="41" xfId="3" applyFont="1" applyFill="1" applyBorder="1" applyAlignment="1">
      <alignment horizontal="center" vertical="center"/>
    </xf>
    <xf numFmtId="0" fontId="26" fillId="5" borderId="43" xfId="3" applyFont="1" applyFill="1" applyBorder="1" applyAlignment="1">
      <alignment horizontal="center" vertical="center"/>
    </xf>
    <xf numFmtId="0" fontId="26" fillId="5" borderId="42" xfId="3" applyFont="1" applyFill="1" applyBorder="1" applyAlignment="1">
      <alignment horizontal="center" vertical="center"/>
    </xf>
    <xf numFmtId="0" fontId="26" fillId="5" borderId="44" xfId="3" applyFont="1" applyFill="1" applyBorder="1" applyAlignment="1">
      <alignment horizontal="center" vertical="center"/>
    </xf>
    <xf numFmtId="0" fontId="26" fillId="5" borderId="40" xfId="3" applyFont="1" applyFill="1" applyBorder="1" applyAlignment="1">
      <alignment horizontal="center" vertical="center"/>
    </xf>
    <xf numFmtId="0" fontId="26" fillId="5" borderId="33" xfId="3" applyFont="1" applyFill="1" applyBorder="1" applyAlignment="1">
      <alignment horizontal="center" vertical="center"/>
    </xf>
    <xf numFmtId="164" fontId="32" fillId="5" borderId="41" xfId="3" applyNumberFormat="1" applyFont="1" applyFill="1" applyBorder="1" applyAlignment="1">
      <alignment horizontal="center" vertical="center"/>
    </xf>
    <xf numFmtId="164" fontId="32" fillId="5" borderId="43" xfId="3" applyNumberFormat="1" applyFont="1" applyFill="1" applyBorder="1" applyAlignment="1">
      <alignment horizontal="center" vertical="center"/>
    </xf>
    <xf numFmtId="0" fontId="26" fillId="3" borderId="41" xfId="3" applyFont="1" applyFill="1" applyBorder="1" applyAlignment="1">
      <alignment horizontal="center" vertical="center"/>
    </xf>
    <xf numFmtId="0" fontId="26" fillId="3" borderId="43" xfId="3" applyFont="1" applyFill="1" applyBorder="1" applyAlignment="1">
      <alignment horizontal="center" vertical="center"/>
    </xf>
    <xf numFmtId="0" fontId="26" fillId="3" borderId="42" xfId="3" applyFont="1" applyFill="1" applyBorder="1" applyAlignment="1">
      <alignment horizontal="center" vertical="center"/>
    </xf>
    <xf numFmtId="0" fontId="26" fillId="3" borderId="44" xfId="3" applyFont="1" applyFill="1" applyBorder="1" applyAlignment="1">
      <alignment horizontal="center" vertical="center"/>
    </xf>
    <xf numFmtId="17" fontId="26" fillId="5" borderId="40" xfId="3" quotePrefix="1" applyNumberFormat="1" applyFont="1" applyFill="1" applyBorder="1" applyAlignment="1">
      <alignment horizontal="center" vertical="center"/>
    </xf>
    <xf numFmtId="17" fontId="26" fillId="5" borderId="33" xfId="3" quotePrefix="1" applyNumberFormat="1" applyFont="1" applyFill="1" applyBorder="1" applyAlignment="1">
      <alignment horizontal="center" vertical="center"/>
    </xf>
    <xf numFmtId="49" fontId="26" fillId="5" borderId="41" xfId="3" applyNumberFormat="1" applyFont="1" applyFill="1" applyBorder="1" applyAlignment="1">
      <alignment horizontal="center" vertical="center"/>
    </xf>
    <xf numFmtId="49" fontId="26" fillId="5" borderId="43" xfId="3" applyNumberFormat="1" applyFont="1" applyFill="1" applyBorder="1" applyAlignment="1">
      <alignment horizontal="center" vertical="center"/>
    </xf>
    <xf numFmtId="0" fontId="26" fillId="3" borderId="40" xfId="3" applyFont="1" applyFill="1" applyBorder="1" applyAlignment="1">
      <alignment horizontal="center" vertical="center"/>
    </xf>
    <xf numFmtId="0" fontId="26" fillId="3" borderId="33" xfId="3" applyFont="1" applyFill="1" applyBorder="1" applyAlignment="1">
      <alignment horizontal="center" vertical="center"/>
    </xf>
    <xf numFmtId="17" fontId="26" fillId="3" borderId="40" xfId="3" quotePrefix="1" applyNumberFormat="1" applyFont="1" applyFill="1" applyBorder="1" applyAlignment="1">
      <alignment horizontal="center" vertical="center"/>
    </xf>
    <xf numFmtId="17" fontId="26" fillId="3" borderId="33" xfId="3" quotePrefix="1" applyNumberFormat="1" applyFont="1" applyFill="1" applyBorder="1" applyAlignment="1">
      <alignment horizontal="center" vertical="center"/>
    </xf>
    <xf numFmtId="49" fontId="26" fillId="3" borderId="41" xfId="3" applyNumberFormat="1" applyFont="1" applyFill="1" applyBorder="1" applyAlignment="1">
      <alignment horizontal="center" vertical="center"/>
    </xf>
    <xf numFmtId="49" fontId="26" fillId="3" borderId="43" xfId="3" applyNumberFormat="1" applyFont="1" applyFill="1" applyBorder="1" applyAlignment="1">
      <alignment horizontal="center" vertical="center"/>
    </xf>
    <xf numFmtId="164" fontId="32" fillId="3" borderId="41" xfId="3" applyNumberFormat="1" applyFont="1" applyFill="1" applyBorder="1" applyAlignment="1">
      <alignment horizontal="center" vertical="center"/>
    </xf>
    <xf numFmtId="164" fontId="32" fillId="3" borderId="43" xfId="3" applyNumberFormat="1" applyFont="1" applyFill="1" applyBorder="1" applyAlignment="1">
      <alignment horizontal="center" vertical="center"/>
    </xf>
    <xf numFmtId="0" fontId="8" fillId="0" borderId="5" xfId="3" applyFont="1" applyBorder="1" applyAlignment="1">
      <alignment horizontal="center" vertical="center"/>
    </xf>
    <xf numFmtId="0" fontId="8" fillId="0" borderId="7" xfId="3" applyFont="1" applyBorder="1" applyAlignment="1">
      <alignment horizontal="center" vertical="center"/>
    </xf>
    <xf numFmtId="0" fontId="8" fillId="0" borderId="8" xfId="3" applyFont="1" applyBorder="1" applyAlignment="1">
      <alignment horizontal="center" vertical="center"/>
    </xf>
    <xf numFmtId="0" fontId="27" fillId="0" borderId="0" xfId="3" applyFont="1" applyAlignment="1">
      <alignment horizontal="center" vertical="center"/>
    </xf>
  </cellXfs>
  <cellStyles count="5">
    <cellStyle name="Normal" xfId="0" builtinId="0"/>
    <cellStyle name="Normal 2" xfId="1" xr:uid="{25E055AE-1B5B-453D-8D46-8BBEC541031C}"/>
    <cellStyle name="Normal 4" xfId="2" xr:uid="{B4D4AF0E-49F3-44E2-9213-CEBA8A18A90F}"/>
    <cellStyle name="Normal 5" xfId="4" xr:uid="{C7C68A15-F038-41D1-8F38-CD4ECA5EE1AB}"/>
    <cellStyle name="Normal_SYOC 2006" xfId="3" xr:uid="{080D1805-DFF6-4AF0-AF15-10F87B4FA40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24848</xdr:colOff>
      <xdr:row>1</xdr:row>
      <xdr:rowOff>157369</xdr:rowOff>
    </xdr:from>
    <xdr:to>
      <xdr:col>9</xdr:col>
      <xdr:colOff>604536</xdr:colOff>
      <xdr:row>6</xdr:row>
      <xdr:rowOff>5076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9C8EA521-8572-4E34-ABC4-F39B2058C2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48" y="347869"/>
          <a:ext cx="6656638" cy="95260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24848</xdr:colOff>
      <xdr:row>1</xdr:row>
      <xdr:rowOff>157369</xdr:rowOff>
    </xdr:from>
    <xdr:to>
      <xdr:col>9</xdr:col>
      <xdr:colOff>743685</xdr:colOff>
      <xdr:row>6</xdr:row>
      <xdr:rowOff>5076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FCEB680E-8EB8-417E-B76F-5B159D7C73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48" y="347869"/>
          <a:ext cx="6643387" cy="95260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24848</xdr:colOff>
      <xdr:row>1</xdr:row>
      <xdr:rowOff>157369</xdr:rowOff>
    </xdr:from>
    <xdr:to>
      <xdr:col>10</xdr:col>
      <xdr:colOff>87701</xdr:colOff>
      <xdr:row>6</xdr:row>
      <xdr:rowOff>5076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7D5D8D88-93D6-41D1-A500-2B5F457BD7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48" y="347869"/>
          <a:ext cx="6644628" cy="95260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24848</xdr:colOff>
      <xdr:row>1</xdr:row>
      <xdr:rowOff>157369</xdr:rowOff>
    </xdr:from>
    <xdr:to>
      <xdr:col>10</xdr:col>
      <xdr:colOff>127458</xdr:colOff>
      <xdr:row>6</xdr:row>
      <xdr:rowOff>5076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4FE911B6-63EC-419A-BAA3-AE02C90BBD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48" y="347869"/>
          <a:ext cx="6646285" cy="95260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24848</xdr:colOff>
      <xdr:row>1</xdr:row>
      <xdr:rowOff>157369</xdr:rowOff>
    </xdr:from>
    <xdr:to>
      <xdr:col>10</xdr:col>
      <xdr:colOff>220223</xdr:colOff>
      <xdr:row>6</xdr:row>
      <xdr:rowOff>5076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F694D99F-3017-48ED-BBA6-42989FB3E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48" y="347869"/>
          <a:ext cx="6653325" cy="95260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24848</xdr:colOff>
      <xdr:row>1</xdr:row>
      <xdr:rowOff>157369</xdr:rowOff>
    </xdr:from>
    <xdr:to>
      <xdr:col>9</xdr:col>
      <xdr:colOff>564780</xdr:colOff>
      <xdr:row>6</xdr:row>
      <xdr:rowOff>5076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17AB2AAA-D079-4A16-A4D9-F427290B64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48" y="347869"/>
          <a:ext cx="6654982" cy="95260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24848</xdr:colOff>
      <xdr:row>1</xdr:row>
      <xdr:rowOff>157369</xdr:rowOff>
    </xdr:from>
    <xdr:to>
      <xdr:col>9</xdr:col>
      <xdr:colOff>551527</xdr:colOff>
      <xdr:row>6</xdr:row>
      <xdr:rowOff>5076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A4A47DBC-FB89-4488-81EA-58BE4B81FA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48" y="347869"/>
          <a:ext cx="6651254" cy="95260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24848</xdr:colOff>
      <xdr:row>1</xdr:row>
      <xdr:rowOff>157369</xdr:rowOff>
    </xdr:from>
    <xdr:to>
      <xdr:col>10</xdr:col>
      <xdr:colOff>67823</xdr:colOff>
      <xdr:row>6</xdr:row>
      <xdr:rowOff>5076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BD475D67-6E78-4355-92EB-31F4F89072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48" y="347869"/>
          <a:ext cx="6643800" cy="952607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24848</xdr:colOff>
      <xdr:row>1</xdr:row>
      <xdr:rowOff>157369</xdr:rowOff>
    </xdr:from>
    <xdr:to>
      <xdr:col>9</xdr:col>
      <xdr:colOff>544901</xdr:colOff>
      <xdr:row>6</xdr:row>
      <xdr:rowOff>5076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ED8A518E-364B-4032-AD0D-8053044170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48" y="347869"/>
          <a:ext cx="6654153" cy="95260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24848</xdr:colOff>
      <xdr:row>1</xdr:row>
      <xdr:rowOff>157369</xdr:rowOff>
    </xdr:from>
    <xdr:to>
      <xdr:col>10</xdr:col>
      <xdr:colOff>160588</xdr:colOff>
      <xdr:row>6</xdr:row>
      <xdr:rowOff>5076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AAC6E275-111C-4B4A-9DCE-AF82A1EB45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48" y="347869"/>
          <a:ext cx="6650840" cy="95260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24848</xdr:colOff>
      <xdr:row>1</xdr:row>
      <xdr:rowOff>157369</xdr:rowOff>
    </xdr:from>
    <xdr:to>
      <xdr:col>10</xdr:col>
      <xdr:colOff>94327</xdr:colOff>
      <xdr:row>6</xdr:row>
      <xdr:rowOff>5076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8D59B14D-3C7C-4548-AC1F-BB4C41FBC3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48" y="347869"/>
          <a:ext cx="6641729" cy="952607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24848</xdr:colOff>
      <xdr:row>1</xdr:row>
      <xdr:rowOff>157369</xdr:rowOff>
    </xdr:from>
    <xdr:to>
      <xdr:col>10</xdr:col>
      <xdr:colOff>279858</xdr:colOff>
      <xdr:row>6</xdr:row>
      <xdr:rowOff>5076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1E8CF8E8-196E-4D79-9F7A-DB809D62CA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48" y="347869"/>
          <a:ext cx="6646285" cy="952607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24848</xdr:colOff>
      <xdr:row>1</xdr:row>
      <xdr:rowOff>157369</xdr:rowOff>
    </xdr:from>
    <xdr:to>
      <xdr:col>9</xdr:col>
      <xdr:colOff>703927</xdr:colOff>
      <xdr:row>6</xdr:row>
      <xdr:rowOff>5076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D2A5B75B-8EA5-436E-8E68-F2B94C0317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48" y="347869"/>
          <a:ext cx="6651254" cy="952607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24848</xdr:colOff>
      <xdr:row>1</xdr:row>
      <xdr:rowOff>157369</xdr:rowOff>
    </xdr:from>
    <xdr:to>
      <xdr:col>10</xdr:col>
      <xdr:colOff>127458</xdr:colOff>
      <xdr:row>6</xdr:row>
      <xdr:rowOff>5076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C213C99E-F160-414E-89A2-26B48E3537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48" y="347869"/>
          <a:ext cx="6636760" cy="952607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24848</xdr:colOff>
      <xdr:row>1</xdr:row>
      <xdr:rowOff>157369</xdr:rowOff>
    </xdr:from>
    <xdr:to>
      <xdr:col>9</xdr:col>
      <xdr:colOff>677423</xdr:colOff>
      <xdr:row>6</xdr:row>
      <xdr:rowOff>5076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FBD7CA66-6BDB-4017-A7AF-C53278ED84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48" y="347869"/>
          <a:ext cx="6653325" cy="952607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128221</xdr:colOff>
      <xdr:row>2</xdr:row>
      <xdr:rowOff>36634</xdr:rowOff>
    </xdr:from>
    <xdr:to>
      <xdr:col>9</xdr:col>
      <xdr:colOff>833437</xdr:colOff>
      <xdr:row>5</xdr:row>
      <xdr:rowOff>274086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2E4C78A6-8E69-415B-9B5C-85F81C5FED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221" y="417634"/>
          <a:ext cx="6658341" cy="942302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47</xdr:col>
      <xdr:colOff>21770</xdr:colOff>
      <xdr:row>0</xdr:row>
      <xdr:rowOff>163285</xdr:rowOff>
    </xdr:from>
    <xdr:to>
      <xdr:col>61</xdr:col>
      <xdr:colOff>174172</xdr:colOff>
      <xdr:row>5</xdr:row>
      <xdr:rowOff>171509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55BD1700-8F79-486E-BBFA-17D6493B75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99270" y="163285"/>
          <a:ext cx="14478002" cy="9607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A2628-6BCD-4F90-910A-6961FAD69690}">
  <dimension ref="A1:E311"/>
  <sheetViews>
    <sheetView tabSelected="1" workbookViewId="0">
      <selection activeCell="E3" sqref="E3"/>
    </sheetView>
  </sheetViews>
  <sheetFormatPr defaultRowHeight="15" x14ac:dyDescent="0.25"/>
  <cols>
    <col min="1" max="1" width="8" bestFit="1" customWidth="1"/>
    <col min="2" max="2" width="7" bestFit="1" customWidth="1"/>
    <col min="3" max="3" width="34.5703125" bestFit="1" customWidth="1"/>
    <col min="4" max="4" width="27" bestFit="1" customWidth="1"/>
    <col min="5" max="5" width="8.28515625" bestFit="1" customWidth="1"/>
    <col min="7" max="7" width="16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>
        <v>4002</v>
      </c>
      <c r="C2" t="s">
        <v>11</v>
      </c>
      <c r="D2" t="s">
        <v>12</v>
      </c>
      <c r="E2">
        <v>664</v>
      </c>
    </row>
    <row r="3" spans="1:5" x14ac:dyDescent="0.25">
      <c r="A3">
        <v>2</v>
      </c>
      <c r="B3">
        <v>4058</v>
      </c>
      <c r="C3" t="s">
        <v>7</v>
      </c>
      <c r="D3" t="s">
        <v>8</v>
      </c>
      <c r="E3">
        <v>652</v>
      </c>
    </row>
    <row r="4" spans="1:5" x14ac:dyDescent="0.25">
      <c r="A4">
        <v>3</v>
      </c>
      <c r="B4">
        <v>3836</v>
      </c>
      <c r="C4" t="s">
        <v>5</v>
      </c>
      <c r="D4" t="s">
        <v>6</v>
      </c>
      <c r="E4">
        <v>642</v>
      </c>
    </row>
    <row r="5" spans="1:5" x14ac:dyDescent="0.25">
      <c r="A5">
        <v>4</v>
      </c>
      <c r="B5">
        <v>3671</v>
      </c>
      <c r="C5" t="s">
        <v>9</v>
      </c>
      <c r="D5" t="s">
        <v>10</v>
      </c>
      <c r="E5">
        <v>632</v>
      </c>
    </row>
    <row r="6" spans="1:5" x14ac:dyDescent="0.25">
      <c r="A6">
        <v>5</v>
      </c>
      <c r="B6">
        <v>4297</v>
      </c>
      <c r="C6" t="s">
        <v>13</v>
      </c>
      <c r="D6" t="s">
        <v>14</v>
      </c>
      <c r="E6">
        <v>621</v>
      </c>
    </row>
    <row r="7" spans="1:5" x14ac:dyDescent="0.25">
      <c r="A7">
        <v>6</v>
      </c>
      <c r="B7">
        <v>4177</v>
      </c>
      <c r="C7" t="s">
        <v>15</v>
      </c>
      <c r="D7" t="s">
        <v>14</v>
      </c>
      <c r="E7">
        <v>605</v>
      </c>
    </row>
    <row r="8" spans="1:5" x14ac:dyDescent="0.25">
      <c r="A8">
        <v>7</v>
      </c>
      <c r="B8">
        <v>3458</v>
      </c>
      <c r="C8" t="s">
        <v>28</v>
      </c>
      <c r="D8" t="s">
        <v>29</v>
      </c>
      <c r="E8">
        <v>591</v>
      </c>
    </row>
    <row r="9" spans="1:5" x14ac:dyDescent="0.25">
      <c r="A9">
        <v>8</v>
      </c>
      <c r="B9">
        <v>4025</v>
      </c>
      <c r="C9" t="s">
        <v>18</v>
      </c>
      <c r="D9" t="s">
        <v>14</v>
      </c>
      <c r="E9">
        <v>588</v>
      </c>
    </row>
    <row r="10" spans="1:5" x14ac:dyDescent="0.25">
      <c r="A10">
        <v>9</v>
      </c>
      <c r="B10">
        <v>3787</v>
      </c>
      <c r="C10" t="s">
        <v>25</v>
      </c>
      <c r="D10" t="s">
        <v>24</v>
      </c>
      <c r="E10">
        <v>586</v>
      </c>
    </row>
    <row r="11" spans="1:5" x14ac:dyDescent="0.25">
      <c r="A11">
        <v>10</v>
      </c>
      <c r="B11">
        <v>4458</v>
      </c>
      <c r="C11" t="s">
        <v>21</v>
      </c>
      <c r="D11" t="s">
        <v>14</v>
      </c>
      <c r="E11">
        <v>585</v>
      </c>
    </row>
    <row r="12" spans="1:5" x14ac:dyDescent="0.25">
      <c r="A12">
        <v>11</v>
      </c>
      <c r="B12">
        <v>3875</v>
      </c>
      <c r="C12" t="s">
        <v>20</v>
      </c>
      <c r="D12" t="s">
        <v>6</v>
      </c>
      <c r="E12">
        <v>576</v>
      </c>
    </row>
    <row r="13" spans="1:5" x14ac:dyDescent="0.25">
      <c r="A13">
        <v>11</v>
      </c>
      <c r="B13">
        <v>3933</v>
      </c>
      <c r="C13" t="s">
        <v>16</v>
      </c>
      <c r="D13" t="s">
        <v>17</v>
      </c>
      <c r="E13">
        <v>576</v>
      </c>
    </row>
    <row r="14" spans="1:5" x14ac:dyDescent="0.25">
      <c r="A14">
        <v>13</v>
      </c>
      <c r="B14">
        <v>3450</v>
      </c>
      <c r="C14" t="s">
        <v>19</v>
      </c>
      <c r="D14" t="s">
        <v>10</v>
      </c>
      <c r="E14">
        <v>575</v>
      </c>
    </row>
    <row r="15" spans="1:5" x14ac:dyDescent="0.25">
      <c r="A15">
        <v>13</v>
      </c>
      <c r="B15">
        <v>4128</v>
      </c>
      <c r="C15" t="s">
        <v>23</v>
      </c>
      <c r="D15" t="s">
        <v>24</v>
      </c>
      <c r="E15">
        <v>575</v>
      </c>
    </row>
    <row r="16" spans="1:5" x14ac:dyDescent="0.25">
      <c r="A16">
        <v>15</v>
      </c>
      <c r="B16">
        <v>4287</v>
      </c>
      <c r="C16" t="s">
        <v>27</v>
      </c>
      <c r="D16" t="s">
        <v>6</v>
      </c>
      <c r="E16">
        <v>548</v>
      </c>
    </row>
    <row r="17" spans="1:5" x14ac:dyDescent="0.25">
      <c r="A17">
        <v>16</v>
      </c>
      <c r="B17">
        <v>4511</v>
      </c>
      <c r="C17" t="s">
        <v>22</v>
      </c>
      <c r="D17" t="s">
        <v>12</v>
      </c>
      <c r="E17">
        <v>546</v>
      </c>
    </row>
    <row r="18" spans="1:5" x14ac:dyDescent="0.25">
      <c r="A18">
        <v>17</v>
      </c>
      <c r="B18">
        <v>3504</v>
      </c>
      <c r="C18" t="s">
        <v>30</v>
      </c>
      <c r="D18" t="s">
        <v>14</v>
      </c>
      <c r="E18">
        <v>545</v>
      </c>
    </row>
    <row r="19" spans="1:5" x14ac:dyDescent="0.25">
      <c r="A19">
        <v>18</v>
      </c>
      <c r="B19">
        <v>3696</v>
      </c>
      <c r="C19" t="s">
        <v>26</v>
      </c>
      <c r="D19" t="s">
        <v>17</v>
      </c>
      <c r="E19">
        <v>538</v>
      </c>
    </row>
    <row r="20" spans="1:5" x14ac:dyDescent="0.25">
      <c r="A20">
        <v>19</v>
      </c>
      <c r="B20">
        <v>3988</v>
      </c>
      <c r="C20" t="s">
        <v>44</v>
      </c>
      <c r="D20" t="s">
        <v>6</v>
      </c>
      <c r="E20">
        <v>511</v>
      </c>
    </row>
    <row r="21" spans="1:5" x14ac:dyDescent="0.25">
      <c r="A21">
        <v>20</v>
      </c>
      <c r="B21">
        <v>4182</v>
      </c>
      <c r="C21" t="s">
        <v>36</v>
      </c>
      <c r="D21" t="s">
        <v>8</v>
      </c>
      <c r="E21">
        <v>504</v>
      </c>
    </row>
    <row r="22" spans="1:5" x14ac:dyDescent="0.25">
      <c r="A22">
        <v>21</v>
      </c>
      <c r="B22">
        <v>4682</v>
      </c>
      <c r="C22" t="s">
        <v>32</v>
      </c>
      <c r="D22" t="s">
        <v>24</v>
      </c>
      <c r="E22">
        <v>503</v>
      </c>
    </row>
    <row r="23" spans="1:5" x14ac:dyDescent="0.25">
      <c r="A23">
        <v>22</v>
      </c>
      <c r="B23">
        <v>4463</v>
      </c>
      <c r="C23" t="s">
        <v>31</v>
      </c>
      <c r="D23" t="s">
        <v>14</v>
      </c>
      <c r="E23">
        <v>501</v>
      </c>
    </row>
    <row r="24" spans="1:5" x14ac:dyDescent="0.25">
      <c r="A24">
        <v>22</v>
      </c>
      <c r="B24">
        <v>4674</v>
      </c>
      <c r="C24" t="s">
        <v>34</v>
      </c>
      <c r="D24" t="s">
        <v>8</v>
      </c>
      <c r="E24">
        <v>501</v>
      </c>
    </row>
    <row r="25" spans="1:5" x14ac:dyDescent="0.25">
      <c r="A25">
        <v>24</v>
      </c>
      <c r="B25">
        <v>4541</v>
      </c>
      <c r="C25" t="s">
        <v>38</v>
      </c>
      <c r="D25" t="s">
        <v>14</v>
      </c>
      <c r="E25">
        <v>496</v>
      </c>
    </row>
    <row r="26" spans="1:5" x14ac:dyDescent="0.25">
      <c r="A26">
        <v>25</v>
      </c>
      <c r="B26">
        <v>4066</v>
      </c>
      <c r="C26" t="s">
        <v>42</v>
      </c>
      <c r="D26" t="s">
        <v>24</v>
      </c>
      <c r="E26">
        <v>492</v>
      </c>
    </row>
    <row r="27" spans="1:5" x14ac:dyDescent="0.25">
      <c r="A27">
        <v>26</v>
      </c>
      <c r="B27">
        <v>4351</v>
      </c>
      <c r="C27" t="s">
        <v>43</v>
      </c>
      <c r="D27" t="s">
        <v>10</v>
      </c>
      <c r="E27">
        <v>488</v>
      </c>
    </row>
    <row r="28" spans="1:5" x14ac:dyDescent="0.25">
      <c r="A28">
        <v>27</v>
      </c>
      <c r="B28">
        <v>4681</v>
      </c>
      <c r="C28" t="s">
        <v>46</v>
      </c>
      <c r="D28" t="s">
        <v>24</v>
      </c>
      <c r="E28">
        <v>486</v>
      </c>
    </row>
    <row r="29" spans="1:5" x14ac:dyDescent="0.25">
      <c r="A29">
        <v>28</v>
      </c>
      <c r="B29">
        <v>4293</v>
      </c>
      <c r="C29" t="s">
        <v>48</v>
      </c>
      <c r="D29" t="s">
        <v>14</v>
      </c>
      <c r="E29">
        <v>484</v>
      </c>
    </row>
    <row r="30" spans="1:5" x14ac:dyDescent="0.25">
      <c r="A30">
        <v>28</v>
      </c>
      <c r="B30">
        <v>4727</v>
      </c>
      <c r="C30" t="s">
        <v>41</v>
      </c>
      <c r="D30" t="s">
        <v>6</v>
      </c>
      <c r="E30">
        <v>484</v>
      </c>
    </row>
    <row r="31" spans="1:5" x14ac:dyDescent="0.25">
      <c r="A31">
        <v>30</v>
      </c>
      <c r="B31">
        <v>4227</v>
      </c>
      <c r="C31" t="s">
        <v>39</v>
      </c>
      <c r="D31" t="s">
        <v>40</v>
      </c>
      <c r="E31">
        <v>483</v>
      </c>
    </row>
    <row r="32" spans="1:5" x14ac:dyDescent="0.25">
      <c r="A32">
        <v>31</v>
      </c>
      <c r="B32">
        <v>4175</v>
      </c>
      <c r="C32" t="s">
        <v>490</v>
      </c>
      <c r="D32" t="s">
        <v>14</v>
      </c>
      <c r="E32">
        <v>481</v>
      </c>
    </row>
    <row r="33" spans="1:5" x14ac:dyDescent="0.25">
      <c r="A33">
        <v>32</v>
      </c>
      <c r="B33">
        <v>3834</v>
      </c>
      <c r="C33" t="s">
        <v>33</v>
      </c>
      <c r="D33" t="s">
        <v>14</v>
      </c>
      <c r="E33">
        <v>480</v>
      </c>
    </row>
    <row r="34" spans="1:5" x14ac:dyDescent="0.25">
      <c r="A34">
        <v>32</v>
      </c>
      <c r="B34">
        <v>4288</v>
      </c>
      <c r="C34" t="s">
        <v>35</v>
      </c>
      <c r="D34" t="s">
        <v>6</v>
      </c>
      <c r="E34">
        <v>480</v>
      </c>
    </row>
    <row r="35" spans="1:5" x14ac:dyDescent="0.25">
      <c r="A35">
        <v>32</v>
      </c>
      <c r="B35">
        <v>4514</v>
      </c>
      <c r="C35" t="s">
        <v>37</v>
      </c>
      <c r="D35" t="s">
        <v>24</v>
      </c>
      <c r="E35">
        <v>480</v>
      </c>
    </row>
    <row r="36" spans="1:5" x14ac:dyDescent="0.25">
      <c r="A36">
        <v>35</v>
      </c>
      <c r="B36">
        <v>4527</v>
      </c>
      <c r="C36" t="s">
        <v>47</v>
      </c>
      <c r="D36" t="s">
        <v>6</v>
      </c>
      <c r="E36">
        <v>476</v>
      </c>
    </row>
    <row r="37" spans="1:5" x14ac:dyDescent="0.25">
      <c r="A37">
        <v>36</v>
      </c>
      <c r="B37">
        <v>4876</v>
      </c>
      <c r="C37" t="s">
        <v>341</v>
      </c>
      <c r="D37" t="s">
        <v>24</v>
      </c>
      <c r="E37">
        <v>471</v>
      </c>
    </row>
    <row r="38" spans="1:5" x14ac:dyDescent="0.25">
      <c r="A38">
        <v>36</v>
      </c>
      <c r="B38">
        <v>4874</v>
      </c>
      <c r="C38" t="s">
        <v>343</v>
      </c>
      <c r="D38" t="s">
        <v>24</v>
      </c>
      <c r="E38">
        <v>471</v>
      </c>
    </row>
    <row r="39" spans="1:5" x14ac:dyDescent="0.25">
      <c r="A39">
        <v>36</v>
      </c>
      <c r="B39">
        <v>4862</v>
      </c>
      <c r="C39" t="s">
        <v>340</v>
      </c>
      <c r="D39" t="s">
        <v>6</v>
      </c>
      <c r="E39">
        <v>471</v>
      </c>
    </row>
    <row r="40" spans="1:5" x14ac:dyDescent="0.25">
      <c r="A40">
        <v>39</v>
      </c>
      <c r="B40">
        <v>5005</v>
      </c>
      <c r="C40" t="s">
        <v>51</v>
      </c>
      <c r="D40" t="s">
        <v>52</v>
      </c>
      <c r="E40">
        <v>470</v>
      </c>
    </row>
    <row r="41" spans="1:5" x14ac:dyDescent="0.25">
      <c r="A41">
        <v>40</v>
      </c>
      <c r="B41">
        <v>4872</v>
      </c>
      <c r="C41" t="s">
        <v>345</v>
      </c>
      <c r="D41" t="s">
        <v>6</v>
      </c>
      <c r="E41">
        <v>466</v>
      </c>
    </row>
    <row r="42" spans="1:5" x14ac:dyDescent="0.25">
      <c r="A42">
        <v>41</v>
      </c>
      <c r="B42">
        <v>4794</v>
      </c>
      <c r="C42" t="s">
        <v>56</v>
      </c>
      <c r="D42" t="s">
        <v>57</v>
      </c>
      <c r="E42">
        <v>465</v>
      </c>
    </row>
    <row r="43" spans="1:5" x14ac:dyDescent="0.25">
      <c r="A43">
        <v>42</v>
      </c>
      <c r="B43">
        <v>4122</v>
      </c>
      <c r="C43" t="s">
        <v>50</v>
      </c>
      <c r="D43" t="s">
        <v>6</v>
      </c>
      <c r="E43">
        <v>462</v>
      </c>
    </row>
    <row r="44" spans="1:5" x14ac:dyDescent="0.25">
      <c r="A44">
        <v>42</v>
      </c>
      <c r="B44">
        <v>4780</v>
      </c>
      <c r="C44" t="s">
        <v>53</v>
      </c>
      <c r="D44" t="s">
        <v>8</v>
      </c>
      <c r="E44">
        <v>462</v>
      </c>
    </row>
    <row r="45" spans="1:5" x14ac:dyDescent="0.25">
      <c r="A45">
        <v>42</v>
      </c>
      <c r="B45">
        <v>4855</v>
      </c>
      <c r="C45" t="s">
        <v>344</v>
      </c>
      <c r="D45" t="s">
        <v>40</v>
      </c>
      <c r="E45">
        <v>462</v>
      </c>
    </row>
    <row r="46" spans="1:5" x14ac:dyDescent="0.25">
      <c r="A46">
        <v>45</v>
      </c>
      <c r="B46">
        <v>4129</v>
      </c>
      <c r="C46" t="s">
        <v>45</v>
      </c>
      <c r="D46" t="s">
        <v>6</v>
      </c>
      <c r="E46">
        <v>458</v>
      </c>
    </row>
    <row r="47" spans="1:5" x14ac:dyDescent="0.25">
      <c r="A47">
        <v>46</v>
      </c>
      <c r="B47">
        <v>4296</v>
      </c>
      <c r="C47" t="s">
        <v>70</v>
      </c>
      <c r="D47" t="s">
        <v>14</v>
      </c>
      <c r="E47">
        <v>457</v>
      </c>
    </row>
    <row r="48" spans="1:5" x14ac:dyDescent="0.25">
      <c r="A48">
        <v>47</v>
      </c>
      <c r="B48">
        <v>4795</v>
      </c>
      <c r="C48" t="s">
        <v>67</v>
      </c>
      <c r="D48" t="s">
        <v>57</v>
      </c>
      <c r="E48">
        <v>453</v>
      </c>
    </row>
    <row r="49" spans="1:5" x14ac:dyDescent="0.25">
      <c r="A49">
        <v>48</v>
      </c>
      <c r="B49">
        <v>4252</v>
      </c>
      <c r="C49" t="s">
        <v>60</v>
      </c>
      <c r="D49" t="s">
        <v>61</v>
      </c>
      <c r="E49">
        <v>452</v>
      </c>
    </row>
    <row r="50" spans="1:5" x14ac:dyDescent="0.25">
      <c r="A50">
        <v>49</v>
      </c>
      <c r="B50">
        <v>4459</v>
      </c>
      <c r="C50" t="s">
        <v>62</v>
      </c>
      <c r="D50" t="s">
        <v>14</v>
      </c>
      <c r="E50">
        <v>451</v>
      </c>
    </row>
    <row r="51" spans="1:5" x14ac:dyDescent="0.25">
      <c r="A51">
        <v>49</v>
      </c>
      <c r="B51">
        <v>4263</v>
      </c>
      <c r="C51" t="s">
        <v>49</v>
      </c>
      <c r="D51" t="s">
        <v>10</v>
      </c>
      <c r="E51">
        <v>451</v>
      </c>
    </row>
    <row r="52" spans="1:5" x14ac:dyDescent="0.25">
      <c r="A52">
        <v>49</v>
      </c>
      <c r="B52">
        <v>4854</v>
      </c>
      <c r="C52" t="s">
        <v>342</v>
      </c>
      <c r="D52" t="s">
        <v>40</v>
      </c>
      <c r="E52">
        <v>451</v>
      </c>
    </row>
    <row r="53" spans="1:5" x14ac:dyDescent="0.25">
      <c r="A53">
        <v>52</v>
      </c>
      <c r="B53">
        <v>4702</v>
      </c>
      <c r="C53" t="s">
        <v>63</v>
      </c>
      <c r="D53" t="s">
        <v>14</v>
      </c>
      <c r="E53">
        <v>444</v>
      </c>
    </row>
    <row r="54" spans="1:5" x14ac:dyDescent="0.25">
      <c r="A54">
        <v>53</v>
      </c>
      <c r="B54">
        <v>4828</v>
      </c>
      <c r="C54" t="s">
        <v>65</v>
      </c>
      <c r="D54" t="s">
        <v>12</v>
      </c>
      <c r="E54">
        <v>443</v>
      </c>
    </row>
    <row r="55" spans="1:5" x14ac:dyDescent="0.25">
      <c r="A55">
        <v>54</v>
      </c>
      <c r="B55">
        <v>4512</v>
      </c>
      <c r="C55" t="s">
        <v>68</v>
      </c>
      <c r="D55" t="s">
        <v>40</v>
      </c>
      <c r="E55">
        <v>442</v>
      </c>
    </row>
    <row r="56" spans="1:5" x14ac:dyDescent="0.25">
      <c r="A56">
        <v>54</v>
      </c>
      <c r="B56">
        <v>4835</v>
      </c>
      <c r="C56" t="s">
        <v>71</v>
      </c>
      <c r="D56" t="s">
        <v>24</v>
      </c>
      <c r="E56">
        <v>442</v>
      </c>
    </row>
    <row r="57" spans="1:5" x14ac:dyDescent="0.25">
      <c r="A57">
        <v>56</v>
      </c>
      <c r="B57">
        <v>4305</v>
      </c>
      <c r="C57" t="s">
        <v>54</v>
      </c>
      <c r="D57" t="s">
        <v>55</v>
      </c>
      <c r="E57">
        <v>441</v>
      </c>
    </row>
    <row r="58" spans="1:5" x14ac:dyDescent="0.25">
      <c r="A58">
        <v>57</v>
      </c>
      <c r="B58">
        <v>4530</v>
      </c>
      <c r="C58" t="s">
        <v>58</v>
      </c>
      <c r="D58" t="s">
        <v>17</v>
      </c>
      <c r="E58">
        <v>440</v>
      </c>
    </row>
    <row r="59" spans="1:5" x14ac:dyDescent="0.25">
      <c r="A59">
        <v>57</v>
      </c>
      <c r="B59">
        <v>4679</v>
      </c>
      <c r="C59" t="s">
        <v>59</v>
      </c>
      <c r="D59" t="s">
        <v>12</v>
      </c>
      <c r="E59">
        <v>440</v>
      </c>
    </row>
    <row r="60" spans="1:5" x14ac:dyDescent="0.25">
      <c r="A60">
        <v>59</v>
      </c>
      <c r="B60">
        <v>4827</v>
      </c>
      <c r="C60" t="s">
        <v>73</v>
      </c>
      <c r="D60" t="s">
        <v>12</v>
      </c>
      <c r="E60">
        <v>437</v>
      </c>
    </row>
    <row r="61" spans="1:5" x14ac:dyDescent="0.25">
      <c r="A61">
        <v>59</v>
      </c>
      <c r="B61">
        <v>4465</v>
      </c>
      <c r="C61" t="s">
        <v>72</v>
      </c>
      <c r="D61" t="s">
        <v>14</v>
      </c>
      <c r="E61">
        <v>437</v>
      </c>
    </row>
    <row r="62" spans="1:5" x14ac:dyDescent="0.25">
      <c r="A62">
        <v>61</v>
      </c>
      <c r="B62">
        <v>4057</v>
      </c>
      <c r="C62" t="s">
        <v>64</v>
      </c>
      <c r="D62" t="s">
        <v>8</v>
      </c>
      <c r="E62">
        <v>436</v>
      </c>
    </row>
    <row r="63" spans="1:5" x14ac:dyDescent="0.25">
      <c r="A63">
        <v>62</v>
      </c>
      <c r="B63">
        <v>4431</v>
      </c>
      <c r="C63" t="s">
        <v>66</v>
      </c>
      <c r="D63" t="s">
        <v>57</v>
      </c>
      <c r="E63">
        <v>430</v>
      </c>
    </row>
    <row r="64" spans="1:5" x14ac:dyDescent="0.25">
      <c r="A64">
        <v>62</v>
      </c>
      <c r="B64">
        <v>4194</v>
      </c>
      <c r="C64" t="s">
        <v>69</v>
      </c>
      <c r="D64" t="s">
        <v>10</v>
      </c>
      <c r="E64">
        <v>430</v>
      </c>
    </row>
    <row r="65" spans="1:5" x14ac:dyDescent="0.25">
      <c r="A65">
        <v>64</v>
      </c>
      <c r="B65">
        <v>3997</v>
      </c>
      <c r="C65" t="s">
        <v>107</v>
      </c>
      <c r="D65" t="s">
        <v>81</v>
      </c>
      <c r="E65">
        <v>420</v>
      </c>
    </row>
    <row r="66" spans="1:5" x14ac:dyDescent="0.25">
      <c r="A66">
        <v>64</v>
      </c>
      <c r="B66">
        <v>4555</v>
      </c>
      <c r="C66" t="s">
        <v>129</v>
      </c>
      <c r="D66" t="s">
        <v>130</v>
      </c>
      <c r="E66">
        <v>420</v>
      </c>
    </row>
    <row r="67" spans="1:5" x14ac:dyDescent="0.25">
      <c r="A67">
        <v>64</v>
      </c>
      <c r="B67">
        <v>3389</v>
      </c>
      <c r="C67" t="s">
        <v>123</v>
      </c>
      <c r="D67" t="s">
        <v>14</v>
      </c>
      <c r="E67">
        <v>420</v>
      </c>
    </row>
    <row r="68" spans="1:5" x14ac:dyDescent="0.25">
      <c r="A68">
        <v>64</v>
      </c>
      <c r="B68">
        <v>4556</v>
      </c>
      <c r="C68" t="s">
        <v>227</v>
      </c>
      <c r="D68" t="s">
        <v>130</v>
      </c>
      <c r="E68">
        <v>420</v>
      </c>
    </row>
    <row r="69" spans="1:5" x14ac:dyDescent="0.25">
      <c r="A69">
        <v>64</v>
      </c>
      <c r="B69">
        <v>3730</v>
      </c>
      <c r="C69" t="s">
        <v>111</v>
      </c>
      <c r="D69" t="s">
        <v>112</v>
      </c>
      <c r="E69">
        <v>420</v>
      </c>
    </row>
    <row r="70" spans="1:5" x14ac:dyDescent="0.25">
      <c r="A70">
        <v>64</v>
      </c>
      <c r="B70">
        <v>4599</v>
      </c>
      <c r="C70" t="s">
        <v>93</v>
      </c>
      <c r="D70" t="s">
        <v>6</v>
      </c>
      <c r="E70">
        <v>420</v>
      </c>
    </row>
    <row r="71" spans="1:5" x14ac:dyDescent="0.25">
      <c r="A71">
        <v>64</v>
      </c>
      <c r="B71">
        <v>4761</v>
      </c>
      <c r="C71" t="s">
        <v>338</v>
      </c>
      <c r="D71" t="s">
        <v>24</v>
      </c>
      <c r="E71">
        <v>420</v>
      </c>
    </row>
    <row r="72" spans="1:5" x14ac:dyDescent="0.25">
      <c r="A72">
        <v>64</v>
      </c>
      <c r="B72">
        <v>4771</v>
      </c>
      <c r="C72" t="s">
        <v>339</v>
      </c>
      <c r="D72" t="s">
        <v>327</v>
      </c>
      <c r="E72">
        <v>420</v>
      </c>
    </row>
    <row r="73" spans="1:5" x14ac:dyDescent="0.25">
      <c r="A73">
        <v>64</v>
      </c>
      <c r="B73">
        <v>4538</v>
      </c>
      <c r="C73" t="s">
        <v>88</v>
      </c>
      <c r="D73" t="s">
        <v>17</v>
      </c>
      <c r="E73">
        <v>420</v>
      </c>
    </row>
    <row r="74" spans="1:5" x14ac:dyDescent="0.25">
      <c r="A74">
        <v>64</v>
      </c>
      <c r="B74">
        <v>4432</v>
      </c>
      <c r="C74" t="s">
        <v>89</v>
      </c>
      <c r="D74" t="s">
        <v>57</v>
      </c>
      <c r="E74">
        <v>420</v>
      </c>
    </row>
    <row r="75" spans="1:5" x14ac:dyDescent="0.25">
      <c r="A75">
        <v>64</v>
      </c>
      <c r="B75">
        <v>4298</v>
      </c>
      <c r="C75" t="s">
        <v>100</v>
      </c>
      <c r="D75" t="s">
        <v>81</v>
      </c>
      <c r="E75">
        <v>420</v>
      </c>
    </row>
    <row r="76" spans="1:5" x14ac:dyDescent="0.25">
      <c r="A76">
        <v>64</v>
      </c>
      <c r="B76">
        <v>3941</v>
      </c>
      <c r="C76" t="s">
        <v>228</v>
      </c>
      <c r="D76" t="s">
        <v>40</v>
      </c>
      <c r="E76">
        <v>420</v>
      </c>
    </row>
    <row r="77" spans="1:5" x14ac:dyDescent="0.25">
      <c r="A77">
        <v>64</v>
      </c>
      <c r="B77">
        <v>4593</v>
      </c>
      <c r="C77" t="s">
        <v>98</v>
      </c>
      <c r="D77" t="s">
        <v>99</v>
      </c>
      <c r="E77">
        <v>420</v>
      </c>
    </row>
    <row r="78" spans="1:5" x14ac:dyDescent="0.25">
      <c r="A78">
        <v>64</v>
      </c>
      <c r="B78">
        <v>4595</v>
      </c>
      <c r="C78" t="s">
        <v>98</v>
      </c>
      <c r="D78" t="s">
        <v>103</v>
      </c>
      <c r="E78">
        <v>420</v>
      </c>
    </row>
    <row r="79" spans="1:5" x14ac:dyDescent="0.25">
      <c r="A79">
        <v>64</v>
      </c>
      <c r="B79">
        <v>3792</v>
      </c>
      <c r="C79" t="s">
        <v>74</v>
      </c>
      <c r="D79" t="s">
        <v>8</v>
      </c>
      <c r="E79">
        <v>420</v>
      </c>
    </row>
    <row r="80" spans="1:5" x14ac:dyDescent="0.25">
      <c r="A80">
        <v>64</v>
      </c>
      <c r="B80">
        <v>3157</v>
      </c>
      <c r="C80" t="s">
        <v>76</v>
      </c>
      <c r="D80" t="s">
        <v>77</v>
      </c>
      <c r="E80">
        <v>420</v>
      </c>
    </row>
    <row r="81" spans="1:5" x14ac:dyDescent="0.25">
      <c r="A81">
        <v>64</v>
      </c>
      <c r="B81">
        <v>3449</v>
      </c>
      <c r="C81" t="s">
        <v>80</v>
      </c>
      <c r="D81" t="s">
        <v>81</v>
      </c>
      <c r="E81">
        <v>420</v>
      </c>
    </row>
    <row r="82" spans="1:5" x14ac:dyDescent="0.25">
      <c r="A82">
        <v>64</v>
      </c>
      <c r="B82">
        <v>4033</v>
      </c>
      <c r="C82" t="s">
        <v>75</v>
      </c>
      <c r="D82" t="s">
        <v>8</v>
      </c>
      <c r="E82">
        <v>420</v>
      </c>
    </row>
    <row r="83" spans="1:5" x14ac:dyDescent="0.25">
      <c r="A83">
        <v>64</v>
      </c>
      <c r="B83">
        <v>3160</v>
      </c>
      <c r="C83" t="s">
        <v>78</v>
      </c>
      <c r="D83" t="s">
        <v>10</v>
      </c>
      <c r="E83">
        <v>420</v>
      </c>
    </row>
    <row r="84" spans="1:5" x14ac:dyDescent="0.25">
      <c r="A84">
        <v>64</v>
      </c>
      <c r="B84">
        <v>3932</v>
      </c>
      <c r="C84" t="s">
        <v>82</v>
      </c>
      <c r="D84" t="s">
        <v>17</v>
      </c>
      <c r="E84">
        <v>420</v>
      </c>
    </row>
    <row r="85" spans="1:5" x14ac:dyDescent="0.25">
      <c r="A85">
        <v>64</v>
      </c>
      <c r="B85">
        <v>3896</v>
      </c>
      <c r="C85" t="s">
        <v>84</v>
      </c>
      <c r="D85" t="s">
        <v>6</v>
      </c>
      <c r="E85">
        <v>420</v>
      </c>
    </row>
    <row r="86" spans="1:5" x14ac:dyDescent="0.25">
      <c r="A86">
        <v>64</v>
      </c>
      <c r="B86">
        <v>4034</v>
      </c>
      <c r="C86" t="s">
        <v>79</v>
      </c>
      <c r="D86" t="s">
        <v>12</v>
      </c>
      <c r="E86">
        <v>420</v>
      </c>
    </row>
    <row r="87" spans="1:5" x14ac:dyDescent="0.25">
      <c r="A87">
        <v>64</v>
      </c>
      <c r="B87">
        <v>3676</v>
      </c>
      <c r="C87" t="s">
        <v>83</v>
      </c>
      <c r="D87" t="s">
        <v>10</v>
      </c>
      <c r="E87">
        <v>420</v>
      </c>
    </row>
    <row r="88" spans="1:5" x14ac:dyDescent="0.25">
      <c r="A88">
        <v>64</v>
      </c>
      <c r="B88">
        <v>4220</v>
      </c>
      <c r="C88" t="s">
        <v>85</v>
      </c>
      <c r="D88" t="s">
        <v>14</v>
      </c>
      <c r="E88">
        <v>420</v>
      </c>
    </row>
    <row r="89" spans="1:5" x14ac:dyDescent="0.25">
      <c r="A89">
        <v>64</v>
      </c>
      <c r="B89">
        <v>4307</v>
      </c>
      <c r="C89" t="s">
        <v>91</v>
      </c>
      <c r="D89" t="s">
        <v>55</v>
      </c>
      <c r="E89">
        <v>420</v>
      </c>
    </row>
    <row r="90" spans="1:5" x14ac:dyDescent="0.25">
      <c r="A90">
        <v>64</v>
      </c>
      <c r="B90">
        <v>4528</v>
      </c>
      <c r="C90" t="s">
        <v>86</v>
      </c>
      <c r="D90" t="s">
        <v>6</v>
      </c>
      <c r="E90">
        <v>420</v>
      </c>
    </row>
    <row r="91" spans="1:5" x14ac:dyDescent="0.25">
      <c r="A91">
        <v>64</v>
      </c>
      <c r="B91">
        <v>4529</v>
      </c>
      <c r="C91" t="s">
        <v>87</v>
      </c>
      <c r="D91" t="s">
        <v>6</v>
      </c>
      <c r="E91">
        <v>420</v>
      </c>
    </row>
    <row r="92" spans="1:5" x14ac:dyDescent="0.25">
      <c r="A92">
        <v>64</v>
      </c>
      <c r="B92">
        <v>4430</v>
      </c>
      <c r="C92" t="s">
        <v>97</v>
      </c>
      <c r="D92" t="s">
        <v>57</v>
      </c>
      <c r="E92">
        <v>420</v>
      </c>
    </row>
    <row r="93" spans="1:5" x14ac:dyDescent="0.25">
      <c r="A93">
        <v>64</v>
      </c>
      <c r="B93">
        <v>2935</v>
      </c>
      <c r="C93" t="s">
        <v>159</v>
      </c>
      <c r="D93" t="s">
        <v>81</v>
      </c>
      <c r="E93">
        <v>420</v>
      </c>
    </row>
    <row r="94" spans="1:5" x14ac:dyDescent="0.25">
      <c r="A94">
        <v>64</v>
      </c>
      <c r="B94">
        <v>4139</v>
      </c>
      <c r="C94" t="s">
        <v>160</v>
      </c>
      <c r="D94" t="s">
        <v>40</v>
      </c>
      <c r="E94">
        <v>420</v>
      </c>
    </row>
    <row r="95" spans="1:5" x14ac:dyDescent="0.25">
      <c r="A95">
        <v>64</v>
      </c>
      <c r="B95">
        <v>4450</v>
      </c>
      <c r="C95" t="s">
        <v>124</v>
      </c>
      <c r="D95" t="s">
        <v>103</v>
      </c>
      <c r="E95">
        <v>420</v>
      </c>
    </row>
    <row r="96" spans="1:5" x14ac:dyDescent="0.25">
      <c r="A96">
        <v>64</v>
      </c>
      <c r="B96">
        <v>4424</v>
      </c>
      <c r="C96" t="s">
        <v>101</v>
      </c>
      <c r="D96" t="s">
        <v>102</v>
      </c>
      <c r="E96">
        <v>420</v>
      </c>
    </row>
    <row r="97" spans="1:5" x14ac:dyDescent="0.25">
      <c r="A97">
        <v>64</v>
      </c>
      <c r="B97">
        <v>4399</v>
      </c>
      <c r="C97" t="s">
        <v>125</v>
      </c>
      <c r="D97" t="s">
        <v>52</v>
      </c>
      <c r="E97">
        <v>420</v>
      </c>
    </row>
    <row r="98" spans="1:5" x14ac:dyDescent="0.25">
      <c r="A98">
        <v>64</v>
      </c>
      <c r="B98">
        <v>4451</v>
      </c>
      <c r="C98" t="s">
        <v>126</v>
      </c>
      <c r="D98" t="s">
        <v>103</v>
      </c>
      <c r="E98">
        <v>420</v>
      </c>
    </row>
    <row r="99" spans="1:5" x14ac:dyDescent="0.25">
      <c r="A99">
        <v>64</v>
      </c>
      <c r="B99">
        <v>4449</v>
      </c>
      <c r="C99" t="s">
        <v>127</v>
      </c>
      <c r="D99" t="s">
        <v>103</v>
      </c>
      <c r="E99">
        <v>420</v>
      </c>
    </row>
    <row r="100" spans="1:5" x14ac:dyDescent="0.25">
      <c r="A100">
        <v>64</v>
      </c>
      <c r="B100">
        <v>3467</v>
      </c>
      <c r="C100" t="s">
        <v>131</v>
      </c>
      <c r="D100" t="s">
        <v>6</v>
      </c>
      <c r="E100">
        <v>420</v>
      </c>
    </row>
    <row r="101" spans="1:5" x14ac:dyDescent="0.25">
      <c r="A101">
        <v>64</v>
      </c>
      <c r="B101">
        <v>4265</v>
      </c>
      <c r="C101" t="s">
        <v>161</v>
      </c>
      <c r="D101" t="s">
        <v>10</v>
      </c>
      <c r="E101">
        <v>420</v>
      </c>
    </row>
    <row r="102" spans="1:5" x14ac:dyDescent="0.25">
      <c r="A102">
        <v>64</v>
      </c>
      <c r="B102">
        <v>4144</v>
      </c>
      <c r="C102" t="s">
        <v>162</v>
      </c>
      <c r="D102" t="s">
        <v>29</v>
      </c>
      <c r="E102">
        <v>420</v>
      </c>
    </row>
    <row r="103" spans="1:5" x14ac:dyDescent="0.25">
      <c r="A103">
        <v>64</v>
      </c>
      <c r="B103">
        <v>4328</v>
      </c>
      <c r="C103" t="s">
        <v>164</v>
      </c>
      <c r="D103" t="s">
        <v>130</v>
      </c>
      <c r="E103">
        <v>420</v>
      </c>
    </row>
    <row r="104" spans="1:5" x14ac:dyDescent="0.25">
      <c r="A104">
        <v>64</v>
      </c>
      <c r="B104">
        <v>4157</v>
      </c>
      <c r="C104" t="s">
        <v>132</v>
      </c>
      <c r="D104" t="s">
        <v>133</v>
      </c>
      <c r="E104">
        <v>420</v>
      </c>
    </row>
    <row r="105" spans="1:5" x14ac:dyDescent="0.25">
      <c r="A105">
        <v>64</v>
      </c>
      <c r="B105">
        <v>4360</v>
      </c>
      <c r="C105" t="s">
        <v>165</v>
      </c>
      <c r="D105" t="s">
        <v>133</v>
      </c>
      <c r="E105">
        <v>420</v>
      </c>
    </row>
    <row r="106" spans="1:5" x14ac:dyDescent="0.25">
      <c r="A106">
        <v>64</v>
      </c>
      <c r="B106">
        <v>4359</v>
      </c>
      <c r="C106" t="s">
        <v>166</v>
      </c>
      <c r="D106" t="s">
        <v>40</v>
      </c>
      <c r="E106">
        <v>420</v>
      </c>
    </row>
    <row r="107" spans="1:5" x14ac:dyDescent="0.25">
      <c r="A107">
        <v>64</v>
      </c>
      <c r="B107">
        <v>175</v>
      </c>
      <c r="C107" t="s">
        <v>167</v>
      </c>
      <c r="D107" t="s">
        <v>17</v>
      </c>
      <c r="E107">
        <v>420</v>
      </c>
    </row>
    <row r="108" spans="1:5" x14ac:dyDescent="0.25">
      <c r="A108">
        <v>64</v>
      </c>
      <c r="B108">
        <v>2546</v>
      </c>
      <c r="C108" t="s">
        <v>168</v>
      </c>
      <c r="D108" t="s">
        <v>169</v>
      </c>
      <c r="E108">
        <v>420</v>
      </c>
    </row>
    <row r="109" spans="1:5" x14ac:dyDescent="0.25">
      <c r="A109">
        <v>64</v>
      </c>
      <c r="B109">
        <v>2857</v>
      </c>
      <c r="C109" t="s">
        <v>170</v>
      </c>
      <c r="D109" t="s">
        <v>17</v>
      </c>
      <c r="E109">
        <v>420</v>
      </c>
    </row>
    <row r="110" spans="1:5" x14ac:dyDescent="0.25">
      <c r="A110">
        <v>64</v>
      </c>
      <c r="B110">
        <v>2885</v>
      </c>
      <c r="C110" t="s">
        <v>171</v>
      </c>
      <c r="D110" t="s">
        <v>169</v>
      </c>
      <c r="E110">
        <v>420</v>
      </c>
    </row>
    <row r="111" spans="1:5" x14ac:dyDescent="0.25">
      <c r="A111">
        <v>64</v>
      </c>
      <c r="B111">
        <v>2890</v>
      </c>
      <c r="C111" t="s">
        <v>134</v>
      </c>
      <c r="D111" t="s">
        <v>120</v>
      </c>
      <c r="E111">
        <v>420</v>
      </c>
    </row>
    <row r="112" spans="1:5" x14ac:dyDescent="0.25">
      <c r="A112">
        <v>64</v>
      </c>
      <c r="B112">
        <v>3114</v>
      </c>
      <c r="C112" t="s">
        <v>172</v>
      </c>
      <c r="D112" t="s">
        <v>12</v>
      </c>
      <c r="E112">
        <v>420</v>
      </c>
    </row>
    <row r="113" spans="1:5" x14ac:dyDescent="0.25">
      <c r="A113">
        <v>64</v>
      </c>
      <c r="B113">
        <v>3143</v>
      </c>
      <c r="C113" t="s">
        <v>173</v>
      </c>
      <c r="D113" t="s">
        <v>106</v>
      </c>
      <c r="E113">
        <v>420</v>
      </c>
    </row>
    <row r="114" spans="1:5" x14ac:dyDescent="0.25">
      <c r="A114">
        <v>64</v>
      </c>
      <c r="B114">
        <v>3146</v>
      </c>
      <c r="C114" t="s">
        <v>174</v>
      </c>
      <c r="D114" t="s">
        <v>17</v>
      </c>
      <c r="E114">
        <v>420</v>
      </c>
    </row>
    <row r="115" spans="1:5" x14ac:dyDescent="0.25">
      <c r="A115">
        <v>64</v>
      </c>
      <c r="B115">
        <v>3149</v>
      </c>
      <c r="C115" t="s">
        <v>175</v>
      </c>
      <c r="D115" t="s">
        <v>81</v>
      </c>
      <c r="E115">
        <v>420</v>
      </c>
    </row>
    <row r="116" spans="1:5" x14ac:dyDescent="0.25">
      <c r="A116">
        <v>64</v>
      </c>
      <c r="B116">
        <v>3151</v>
      </c>
      <c r="C116" t="s">
        <v>135</v>
      </c>
      <c r="D116" t="s">
        <v>81</v>
      </c>
      <c r="E116">
        <v>420</v>
      </c>
    </row>
    <row r="117" spans="1:5" x14ac:dyDescent="0.25">
      <c r="A117">
        <v>64</v>
      </c>
      <c r="B117">
        <v>3167</v>
      </c>
      <c r="C117" t="s">
        <v>176</v>
      </c>
      <c r="D117" t="s">
        <v>158</v>
      </c>
      <c r="E117">
        <v>420</v>
      </c>
    </row>
    <row r="118" spans="1:5" x14ac:dyDescent="0.25">
      <c r="A118">
        <v>64</v>
      </c>
      <c r="B118">
        <v>3226</v>
      </c>
      <c r="C118" t="s">
        <v>177</v>
      </c>
      <c r="D118" t="s">
        <v>106</v>
      </c>
      <c r="E118">
        <v>420</v>
      </c>
    </row>
    <row r="119" spans="1:5" x14ac:dyDescent="0.25">
      <c r="A119">
        <v>64</v>
      </c>
      <c r="B119">
        <v>3246</v>
      </c>
      <c r="C119" t="s">
        <v>178</v>
      </c>
      <c r="D119" t="s">
        <v>55</v>
      </c>
      <c r="E119">
        <v>420</v>
      </c>
    </row>
    <row r="120" spans="1:5" x14ac:dyDescent="0.25">
      <c r="A120">
        <v>64</v>
      </c>
      <c r="B120">
        <v>3334</v>
      </c>
      <c r="C120" t="s">
        <v>136</v>
      </c>
      <c r="D120" t="s">
        <v>137</v>
      </c>
      <c r="E120">
        <v>420</v>
      </c>
    </row>
    <row r="121" spans="1:5" x14ac:dyDescent="0.25">
      <c r="A121">
        <v>64</v>
      </c>
      <c r="B121">
        <v>3337</v>
      </c>
      <c r="C121" t="s">
        <v>179</v>
      </c>
      <c r="D121" t="s">
        <v>77</v>
      </c>
      <c r="E121">
        <v>420</v>
      </c>
    </row>
    <row r="122" spans="1:5" x14ac:dyDescent="0.25">
      <c r="A122">
        <v>64</v>
      </c>
      <c r="B122">
        <v>3381</v>
      </c>
      <c r="C122" t="s">
        <v>180</v>
      </c>
      <c r="D122" t="s">
        <v>81</v>
      </c>
      <c r="E122">
        <v>420</v>
      </c>
    </row>
    <row r="123" spans="1:5" x14ac:dyDescent="0.25">
      <c r="A123">
        <v>64</v>
      </c>
      <c r="B123">
        <v>3387</v>
      </c>
      <c r="C123" t="s">
        <v>181</v>
      </c>
      <c r="D123" t="s">
        <v>6</v>
      </c>
      <c r="E123">
        <v>420</v>
      </c>
    </row>
    <row r="124" spans="1:5" x14ac:dyDescent="0.25">
      <c r="A124">
        <v>64</v>
      </c>
      <c r="B124">
        <v>3451</v>
      </c>
      <c r="C124" t="s">
        <v>182</v>
      </c>
      <c r="D124" t="s">
        <v>55</v>
      </c>
      <c r="E124">
        <v>420</v>
      </c>
    </row>
    <row r="125" spans="1:5" x14ac:dyDescent="0.25">
      <c r="A125">
        <v>64</v>
      </c>
      <c r="B125">
        <v>3453</v>
      </c>
      <c r="C125" t="s">
        <v>138</v>
      </c>
      <c r="D125" t="s">
        <v>55</v>
      </c>
      <c r="E125">
        <v>420</v>
      </c>
    </row>
    <row r="126" spans="1:5" x14ac:dyDescent="0.25">
      <c r="A126">
        <v>64</v>
      </c>
      <c r="B126">
        <v>3454</v>
      </c>
      <c r="C126" t="s">
        <v>183</v>
      </c>
      <c r="D126" t="s">
        <v>10</v>
      </c>
      <c r="E126">
        <v>420</v>
      </c>
    </row>
    <row r="127" spans="1:5" x14ac:dyDescent="0.25">
      <c r="A127">
        <v>64</v>
      </c>
      <c r="B127">
        <v>3460</v>
      </c>
      <c r="C127" t="s">
        <v>184</v>
      </c>
      <c r="D127" t="s">
        <v>77</v>
      </c>
      <c r="E127">
        <v>420</v>
      </c>
    </row>
    <row r="128" spans="1:5" x14ac:dyDescent="0.25">
      <c r="A128">
        <v>64</v>
      </c>
      <c r="B128">
        <v>3464</v>
      </c>
      <c r="C128" t="s">
        <v>185</v>
      </c>
      <c r="D128" t="s">
        <v>6</v>
      </c>
      <c r="E128">
        <v>420</v>
      </c>
    </row>
    <row r="129" spans="1:5" x14ac:dyDescent="0.25">
      <c r="A129">
        <v>64</v>
      </c>
      <c r="B129">
        <v>3465</v>
      </c>
      <c r="C129" t="s">
        <v>139</v>
      </c>
      <c r="D129" t="s">
        <v>8</v>
      </c>
      <c r="E129">
        <v>420</v>
      </c>
    </row>
    <row r="130" spans="1:5" x14ac:dyDescent="0.25">
      <c r="A130">
        <v>64</v>
      </c>
      <c r="B130">
        <v>3469</v>
      </c>
      <c r="C130" t="s">
        <v>186</v>
      </c>
      <c r="D130" t="s">
        <v>169</v>
      </c>
      <c r="E130">
        <v>420</v>
      </c>
    </row>
    <row r="131" spans="1:5" x14ac:dyDescent="0.25">
      <c r="A131">
        <v>64</v>
      </c>
      <c r="B131">
        <v>3470</v>
      </c>
      <c r="C131" t="s">
        <v>187</v>
      </c>
      <c r="D131" t="s">
        <v>169</v>
      </c>
      <c r="E131">
        <v>420</v>
      </c>
    </row>
    <row r="132" spans="1:5" x14ac:dyDescent="0.25">
      <c r="A132">
        <v>64</v>
      </c>
      <c r="B132">
        <v>3471</v>
      </c>
      <c r="C132" t="s">
        <v>188</v>
      </c>
      <c r="D132" t="s">
        <v>137</v>
      </c>
      <c r="E132">
        <v>420</v>
      </c>
    </row>
    <row r="133" spans="1:5" x14ac:dyDescent="0.25">
      <c r="A133">
        <v>64</v>
      </c>
      <c r="B133">
        <v>3500</v>
      </c>
      <c r="C133" t="s">
        <v>140</v>
      </c>
      <c r="D133" t="s">
        <v>112</v>
      </c>
      <c r="E133">
        <v>420</v>
      </c>
    </row>
    <row r="134" spans="1:5" x14ac:dyDescent="0.25">
      <c r="A134">
        <v>64</v>
      </c>
      <c r="B134">
        <v>3527</v>
      </c>
      <c r="C134" t="s">
        <v>189</v>
      </c>
      <c r="D134" t="s">
        <v>106</v>
      </c>
      <c r="E134">
        <v>420</v>
      </c>
    </row>
    <row r="135" spans="1:5" x14ac:dyDescent="0.25">
      <c r="A135">
        <v>64</v>
      </c>
      <c r="B135">
        <v>3528</v>
      </c>
      <c r="C135" t="s">
        <v>190</v>
      </c>
      <c r="D135" t="s">
        <v>106</v>
      </c>
      <c r="E135">
        <v>420</v>
      </c>
    </row>
    <row r="136" spans="1:5" x14ac:dyDescent="0.25">
      <c r="A136">
        <v>64</v>
      </c>
      <c r="B136">
        <v>3529</v>
      </c>
      <c r="C136" t="s">
        <v>191</v>
      </c>
      <c r="D136" t="s">
        <v>106</v>
      </c>
      <c r="E136">
        <v>420</v>
      </c>
    </row>
    <row r="137" spans="1:5" x14ac:dyDescent="0.25">
      <c r="A137">
        <v>64</v>
      </c>
      <c r="B137">
        <v>3530</v>
      </c>
      <c r="C137" t="s">
        <v>141</v>
      </c>
      <c r="D137" t="s">
        <v>106</v>
      </c>
      <c r="E137">
        <v>420</v>
      </c>
    </row>
    <row r="138" spans="1:5" x14ac:dyDescent="0.25">
      <c r="A138">
        <v>64</v>
      </c>
      <c r="B138">
        <v>3545</v>
      </c>
      <c r="C138" t="s">
        <v>192</v>
      </c>
      <c r="D138" t="s">
        <v>193</v>
      </c>
      <c r="E138">
        <v>420</v>
      </c>
    </row>
    <row r="139" spans="1:5" x14ac:dyDescent="0.25">
      <c r="A139">
        <v>64</v>
      </c>
      <c r="B139">
        <v>3558</v>
      </c>
      <c r="C139" t="s">
        <v>194</v>
      </c>
      <c r="D139" t="s">
        <v>12</v>
      </c>
      <c r="E139">
        <v>420</v>
      </c>
    </row>
    <row r="140" spans="1:5" x14ac:dyDescent="0.25">
      <c r="A140">
        <v>64</v>
      </c>
      <c r="B140">
        <v>3559</v>
      </c>
      <c r="C140" t="s">
        <v>195</v>
      </c>
      <c r="D140" t="s">
        <v>12</v>
      </c>
      <c r="E140">
        <v>420</v>
      </c>
    </row>
    <row r="141" spans="1:5" x14ac:dyDescent="0.25">
      <c r="A141">
        <v>64</v>
      </c>
      <c r="B141">
        <v>3610</v>
      </c>
      <c r="C141" t="s">
        <v>196</v>
      </c>
      <c r="D141" t="s">
        <v>8</v>
      </c>
      <c r="E141">
        <v>420</v>
      </c>
    </row>
    <row r="142" spans="1:5" x14ac:dyDescent="0.25">
      <c r="A142">
        <v>64</v>
      </c>
      <c r="B142">
        <v>3611</v>
      </c>
      <c r="C142" t="s">
        <v>142</v>
      </c>
      <c r="D142" t="s">
        <v>8</v>
      </c>
      <c r="E142">
        <v>420</v>
      </c>
    </row>
    <row r="143" spans="1:5" x14ac:dyDescent="0.25">
      <c r="A143">
        <v>64</v>
      </c>
      <c r="B143">
        <v>3615</v>
      </c>
      <c r="C143" t="s">
        <v>197</v>
      </c>
      <c r="D143" t="s">
        <v>8</v>
      </c>
      <c r="E143">
        <v>420</v>
      </c>
    </row>
    <row r="144" spans="1:5" x14ac:dyDescent="0.25">
      <c r="A144">
        <v>64</v>
      </c>
      <c r="B144">
        <v>3633</v>
      </c>
      <c r="C144" t="s">
        <v>198</v>
      </c>
      <c r="D144" t="s">
        <v>81</v>
      </c>
      <c r="E144">
        <v>420</v>
      </c>
    </row>
    <row r="145" spans="1:5" x14ac:dyDescent="0.25">
      <c r="A145">
        <v>64</v>
      </c>
      <c r="B145">
        <v>3648</v>
      </c>
      <c r="C145" t="s">
        <v>199</v>
      </c>
      <c r="D145" t="s">
        <v>52</v>
      </c>
      <c r="E145">
        <v>420</v>
      </c>
    </row>
    <row r="146" spans="1:5" x14ac:dyDescent="0.25">
      <c r="A146">
        <v>64</v>
      </c>
      <c r="B146">
        <v>3652</v>
      </c>
      <c r="C146" t="s">
        <v>143</v>
      </c>
      <c r="D146" t="s">
        <v>12</v>
      </c>
      <c r="E146">
        <v>420</v>
      </c>
    </row>
    <row r="147" spans="1:5" x14ac:dyDescent="0.25">
      <c r="A147">
        <v>64</v>
      </c>
      <c r="B147">
        <v>3653</v>
      </c>
      <c r="C147" t="s">
        <v>200</v>
      </c>
      <c r="D147" t="s">
        <v>12</v>
      </c>
      <c r="E147">
        <v>420</v>
      </c>
    </row>
    <row r="148" spans="1:5" x14ac:dyDescent="0.25">
      <c r="A148">
        <v>64</v>
      </c>
      <c r="B148">
        <v>3658</v>
      </c>
      <c r="C148" t="s">
        <v>201</v>
      </c>
      <c r="D148" t="s">
        <v>77</v>
      </c>
      <c r="E148">
        <v>420</v>
      </c>
    </row>
    <row r="149" spans="1:5" x14ac:dyDescent="0.25">
      <c r="A149">
        <v>64</v>
      </c>
      <c r="B149">
        <v>3667</v>
      </c>
      <c r="C149" t="s">
        <v>202</v>
      </c>
      <c r="D149" t="s">
        <v>55</v>
      </c>
      <c r="E149">
        <v>420</v>
      </c>
    </row>
    <row r="150" spans="1:5" x14ac:dyDescent="0.25">
      <c r="A150">
        <v>64</v>
      </c>
      <c r="B150">
        <v>3677</v>
      </c>
      <c r="C150" t="s">
        <v>144</v>
      </c>
      <c r="D150" t="s">
        <v>137</v>
      </c>
      <c r="E150">
        <v>420</v>
      </c>
    </row>
    <row r="151" spans="1:5" x14ac:dyDescent="0.25">
      <c r="A151">
        <v>64</v>
      </c>
      <c r="B151">
        <v>3680</v>
      </c>
      <c r="C151" t="s">
        <v>203</v>
      </c>
      <c r="D151" t="s">
        <v>137</v>
      </c>
      <c r="E151">
        <v>420</v>
      </c>
    </row>
    <row r="152" spans="1:5" x14ac:dyDescent="0.25">
      <c r="A152">
        <v>64</v>
      </c>
      <c r="B152">
        <v>3683</v>
      </c>
      <c r="C152" t="s">
        <v>204</v>
      </c>
      <c r="D152" t="s">
        <v>150</v>
      </c>
      <c r="E152">
        <v>420</v>
      </c>
    </row>
    <row r="153" spans="1:5" x14ac:dyDescent="0.25">
      <c r="A153">
        <v>64</v>
      </c>
      <c r="B153">
        <v>3712</v>
      </c>
      <c r="C153" t="s">
        <v>205</v>
      </c>
      <c r="D153" t="s">
        <v>81</v>
      </c>
      <c r="E153">
        <v>420</v>
      </c>
    </row>
    <row r="154" spans="1:5" x14ac:dyDescent="0.25">
      <c r="A154">
        <v>64</v>
      </c>
      <c r="B154">
        <v>3724</v>
      </c>
      <c r="C154" t="s">
        <v>206</v>
      </c>
      <c r="D154" t="s">
        <v>77</v>
      </c>
      <c r="E154">
        <v>420</v>
      </c>
    </row>
    <row r="155" spans="1:5" x14ac:dyDescent="0.25">
      <c r="A155">
        <v>64</v>
      </c>
      <c r="B155">
        <v>3731</v>
      </c>
      <c r="C155" t="s">
        <v>145</v>
      </c>
      <c r="D155" t="s">
        <v>137</v>
      </c>
      <c r="E155">
        <v>420</v>
      </c>
    </row>
    <row r="156" spans="1:5" x14ac:dyDescent="0.25">
      <c r="A156">
        <v>64</v>
      </c>
      <c r="B156">
        <v>3745</v>
      </c>
      <c r="C156" t="s">
        <v>207</v>
      </c>
      <c r="D156" t="s">
        <v>208</v>
      </c>
      <c r="E156">
        <v>420</v>
      </c>
    </row>
    <row r="157" spans="1:5" x14ac:dyDescent="0.25">
      <c r="A157">
        <v>64</v>
      </c>
      <c r="B157">
        <v>3748</v>
      </c>
      <c r="C157" t="s">
        <v>209</v>
      </c>
      <c r="D157" t="s">
        <v>81</v>
      </c>
      <c r="E157">
        <v>420</v>
      </c>
    </row>
    <row r="158" spans="1:5" x14ac:dyDescent="0.25">
      <c r="A158">
        <v>64</v>
      </c>
      <c r="B158">
        <v>3793</v>
      </c>
      <c r="C158" t="s">
        <v>210</v>
      </c>
      <c r="D158" t="s">
        <v>8</v>
      </c>
      <c r="E158">
        <v>420</v>
      </c>
    </row>
    <row r="159" spans="1:5" x14ac:dyDescent="0.25">
      <c r="A159">
        <v>64</v>
      </c>
      <c r="B159">
        <v>3833</v>
      </c>
      <c r="C159" t="s">
        <v>146</v>
      </c>
      <c r="D159" t="s">
        <v>29</v>
      </c>
      <c r="E159">
        <v>420</v>
      </c>
    </row>
    <row r="160" spans="1:5" x14ac:dyDescent="0.25">
      <c r="A160">
        <v>64</v>
      </c>
      <c r="B160">
        <v>3838</v>
      </c>
      <c r="C160" t="s">
        <v>128</v>
      </c>
      <c r="D160" t="s">
        <v>17</v>
      </c>
      <c r="E160">
        <v>420</v>
      </c>
    </row>
    <row r="161" spans="1:5" x14ac:dyDescent="0.25">
      <c r="A161">
        <v>64</v>
      </c>
      <c r="B161">
        <v>3841</v>
      </c>
      <c r="C161" t="s">
        <v>155</v>
      </c>
      <c r="D161" t="s">
        <v>17</v>
      </c>
      <c r="E161">
        <v>420</v>
      </c>
    </row>
    <row r="162" spans="1:5" x14ac:dyDescent="0.25">
      <c r="A162">
        <v>64</v>
      </c>
      <c r="B162">
        <v>3842</v>
      </c>
      <c r="C162" t="s">
        <v>211</v>
      </c>
      <c r="D162" t="s">
        <v>212</v>
      </c>
      <c r="E162">
        <v>420</v>
      </c>
    </row>
    <row r="163" spans="1:5" x14ac:dyDescent="0.25">
      <c r="A163">
        <v>64</v>
      </c>
      <c r="B163">
        <v>3844</v>
      </c>
      <c r="C163" t="s">
        <v>213</v>
      </c>
      <c r="D163" t="s">
        <v>55</v>
      </c>
      <c r="E163">
        <v>420</v>
      </c>
    </row>
    <row r="164" spans="1:5" x14ac:dyDescent="0.25">
      <c r="A164">
        <v>64</v>
      </c>
      <c r="B164">
        <v>3847</v>
      </c>
      <c r="C164" t="s">
        <v>214</v>
      </c>
      <c r="D164" t="s">
        <v>6</v>
      </c>
      <c r="E164">
        <v>420</v>
      </c>
    </row>
    <row r="165" spans="1:5" x14ac:dyDescent="0.25">
      <c r="A165">
        <v>64</v>
      </c>
      <c r="B165">
        <v>3876</v>
      </c>
      <c r="C165" t="s">
        <v>147</v>
      </c>
      <c r="D165" t="s">
        <v>6</v>
      </c>
      <c r="E165">
        <v>420</v>
      </c>
    </row>
    <row r="166" spans="1:5" x14ac:dyDescent="0.25">
      <c r="A166">
        <v>64</v>
      </c>
      <c r="B166">
        <v>3881</v>
      </c>
      <c r="C166" t="s">
        <v>215</v>
      </c>
      <c r="D166" t="s">
        <v>106</v>
      </c>
      <c r="E166">
        <v>420</v>
      </c>
    </row>
    <row r="167" spans="1:5" x14ac:dyDescent="0.25">
      <c r="A167">
        <v>64</v>
      </c>
      <c r="B167">
        <v>3893</v>
      </c>
      <c r="C167" t="s">
        <v>216</v>
      </c>
      <c r="D167" t="s">
        <v>120</v>
      </c>
      <c r="E167">
        <v>420</v>
      </c>
    </row>
    <row r="168" spans="1:5" x14ac:dyDescent="0.25">
      <c r="A168">
        <v>64</v>
      </c>
      <c r="B168">
        <v>3928</v>
      </c>
      <c r="C168" t="s">
        <v>148</v>
      </c>
      <c r="D168" t="s">
        <v>106</v>
      </c>
      <c r="E168">
        <v>420</v>
      </c>
    </row>
    <row r="169" spans="1:5" x14ac:dyDescent="0.25">
      <c r="A169">
        <v>64</v>
      </c>
      <c r="B169">
        <v>3930</v>
      </c>
      <c r="C169" t="s">
        <v>217</v>
      </c>
      <c r="D169" t="s">
        <v>55</v>
      </c>
      <c r="E169">
        <v>420</v>
      </c>
    </row>
    <row r="170" spans="1:5" x14ac:dyDescent="0.25">
      <c r="A170">
        <v>64</v>
      </c>
      <c r="B170">
        <v>3931</v>
      </c>
      <c r="C170" t="s">
        <v>218</v>
      </c>
      <c r="D170" t="s">
        <v>55</v>
      </c>
      <c r="E170">
        <v>420</v>
      </c>
    </row>
    <row r="171" spans="1:5" x14ac:dyDescent="0.25">
      <c r="A171">
        <v>64</v>
      </c>
      <c r="B171">
        <v>3934</v>
      </c>
      <c r="C171" t="s">
        <v>219</v>
      </c>
      <c r="D171" t="s">
        <v>14</v>
      </c>
      <c r="E171">
        <v>420</v>
      </c>
    </row>
    <row r="172" spans="1:5" x14ac:dyDescent="0.25">
      <c r="A172">
        <v>64</v>
      </c>
      <c r="B172">
        <v>3935</v>
      </c>
      <c r="C172" t="s">
        <v>220</v>
      </c>
      <c r="D172" t="s">
        <v>112</v>
      </c>
      <c r="E172">
        <v>420</v>
      </c>
    </row>
    <row r="173" spans="1:5" x14ac:dyDescent="0.25">
      <c r="A173">
        <v>64</v>
      </c>
      <c r="B173">
        <v>3936</v>
      </c>
      <c r="C173" t="s">
        <v>149</v>
      </c>
      <c r="D173" t="s">
        <v>150</v>
      </c>
      <c r="E173">
        <v>420</v>
      </c>
    </row>
    <row r="174" spans="1:5" x14ac:dyDescent="0.25">
      <c r="A174">
        <v>64</v>
      </c>
      <c r="B174">
        <v>3937</v>
      </c>
      <c r="C174" t="s">
        <v>221</v>
      </c>
      <c r="D174" t="s">
        <v>158</v>
      </c>
      <c r="E174">
        <v>420</v>
      </c>
    </row>
    <row r="175" spans="1:5" x14ac:dyDescent="0.25">
      <c r="A175">
        <v>64</v>
      </c>
      <c r="B175">
        <v>3938</v>
      </c>
      <c r="C175" t="s">
        <v>222</v>
      </c>
      <c r="D175" t="s">
        <v>112</v>
      </c>
      <c r="E175">
        <v>420</v>
      </c>
    </row>
    <row r="176" spans="1:5" x14ac:dyDescent="0.25">
      <c r="A176">
        <v>64</v>
      </c>
      <c r="B176">
        <v>3939</v>
      </c>
      <c r="C176" t="s">
        <v>223</v>
      </c>
      <c r="D176" t="s">
        <v>112</v>
      </c>
      <c r="E176">
        <v>420</v>
      </c>
    </row>
    <row r="177" spans="1:5" x14ac:dyDescent="0.25">
      <c r="A177">
        <v>64</v>
      </c>
      <c r="B177">
        <v>3942</v>
      </c>
      <c r="C177" t="s">
        <v>151</v>
      </c>
      <c r="D177" t="s">
        <v>29</v>
      </c>
      <c r="E177">
        <v>420</v>
      </c>
    </row>
    <row r="178" spans="1:5" x14ac:dyDescent="0.25">
      <c r="A178">
        <v>64</v>
      </c>
      <c r="B178">
        <v>3945</v>
      </c>
      <c r="C178" t="s">
        <v>224</v>
      </c>
      <c r="D178" t="s">
        <v>150</v>
      </c>
      <c r="E178">
        <v>420</v>
      </c>
    </row>
    <row r="179" spans="1:5" x14ac:dyDescent="0.25">
      <c r="A179">
        <v>64</v>
      </c>
      <c r="B179">
        <v>3979</v>
      </c>
      <c r="C179" t="s">
        <v>113</v>
      </c>
      <c r="D179" t="s">
        <v>52</v>
      </c>
      <c r="E179">
        <v>420</v>
      </c>
    </row>
    <row r="180" spans="1:5" x14ac:dyDescent="0.25">
      <c r="A180">
        <v>64</v>
      </c>
      <c r="B180">
        <v>3984</v>
      </c>
      <c r="C180" t="s">
        <v>225</v>
      </c>
      <c r="D180" t="s">
        <v>14</v>
      </c>
      <c r="E180">
        <v>420</v>
      </c>
    </row>
    <row r="181" spans="1:5" x14ac:dyDescent="0.25">
      <c r="A181">
        <v>64</v>
      </c>
      <c r="B181">
        <v>4032</v>
      </c>
      <c r="C181" t="s">
        <v>226</v>
      </c>
      <c r="D181" t="s">
        <v>14</v>
      </c>
      <c r="E181">
        <v>420</v>
      </c>
    </row>
    <row r="182" spans="1:5" x14ac:dyDescent="0.25">
      <c r="A182">
        <v>64</v>
      </c>
      <c r="B182">
        <v>4071</v>
      </c>
      <c r="C182" t="s">
        <v>105</v>
      </c>
      <c r="D182" t="s">
        <v>106</v>
      </c>
      <c r="E182">
        <v>420</v>
      </c>
    </row>
    <row r="183" spans="1:5" x14ac:dyDescent="0.25">
      <c r="A183">
        <v>64</v>
      </c>
      <c r="B183">
        <v>4072</v>
      </c>
      <c r="C183" t="s">
        <v>152</v>
      </c>
      <c r="D183" t="s">
        <v>153</v>
      </c>
      <c r="E183">
        <v>420</v>
      </c>
    </row>
    <row r="184" spans="1:5" x14ac:dyDescent="0.25">
      <c r="A184">
        <v>64</v>
      </c>
      <c r="B184">
        <v>4079</v>
      </c>
      <c r="C184" t="s">
        <v>114</v>
      </c>
      <c r="D184" t="s">
        <v>77</v>
      </c>
      <c r="E184">
        <v>420</v>
      </c>
    </row>
    <row r="185" spans="1:5" x14ac:dyDescent="0.25">
      <c r="A185">
        <v>64</v>
      </c>
      <c r="B185">
        <v>4081</v>
      </c>
      <c r="C185" t="s">
        <v>115</v>
      </c>
      <c r="D185" t="s">
        <v>102</v>
      </c>
      <c r="E185">
        <v>420</v>
      </c>
    </row>
    <row r="186" spans="1:5" x14ac:dyDescent="0.25">
      <c r="A186">
        <v>64</v>
      </c>
      <c r="B186">
        <v>4082</v>
      </c>
      <c r="C186" t="s">
        <v>116</v>
      </c>
      <c r="D186" t="s">
        <v>102</v>
      </c>
      <c r="E186">
        <v>420</v>
      </c>
    </row>
    <row r="187" spans="1:5" x14ac:dyDescent="0.25">
      <c r="A187">
        <v>64</v>
      </c>
      <c r="B187">
        <v>4142</v>
      </c>
      <c r="C187" t="s">
        <v>117</v>
      </c>
      <c r="D187" t="s">
        <v>40</v>
      </c>
      <c r="E187">
        <v>420</v>
      </c>
    </row>
    <row r="188" spans="1:5" x14ac:dyDescent="0.25">
      <c r="A188">
        <v>64</v>
      </c>
      <c r="B188">
        <v>4145</v>
      </c>
      <c r="C188" t="s">
        <v>118</v>
      </c>
      <c r="D188" t="s">
        <v>52</v>
      </c>
      <c r="E188">
        <v>420</v>
      </c>
    </row>
    <row r="189" spans="1:5" x14ac:dyDescent="0.25">
      <c r="A189">
        <v>64</v>
      </c>
      <c r="B189">
        <v>4158</v>
      </c>
      <c r="C189" t="s">
        <v>156</v>
      </c>
      <c r="D189" t="s">
        <v>133</v>
      </c>
      <c r="E189">
        <v>420</v>
      </c>
    </row>
    <row r="190" spans="1:5" x14ac:dyDescent="0.25">
      <c r="A190">
        <v>64</v>
      </c>
      <c r="B190">
        <v>4172</v>
      </c>
      <c r="C190" t="s">
        <v>119</v>
      </c>
      <c r="D190" t="s">
        <v>120</v>
      </c>
      <c r="E190">
        <v>420</v>
      </c>
    </row>
    <row r="191" spans="1:5" x14ac:dyDescent="0.25">
      <c r="A191">
        <v>64</v>
      </c>
      <c r="B191">
        <v>4192</v>
      </c>
      <c r="C191" t="s">
        <v>121</v>
      </c>
      <c r="D191" t="s">
        <v>29</v>
      </c>
      <c r="E191">
        <v>420</v>
      </c>
    </row>
    <row r="192" spans="1:5" x14ac:dyDescent="0.25">
      <c r="A192">
        <v>64</v>
      </c>
      <c r="B192">
        <v>4217</v>
      </c>
      <c r="C192" t="s">
        <v>122</v>
      </c>
      <c r="D192" t="s">
        <v>14</v>
      </c>
      <c r="E192">
        <v>420</v>
      </c>
    </row>
    <row r="193" spans="1:5" x14ac:dyDescent="0.25">
      <c r="A193">
        <v>64</v>
      </c>
      <c r="B193">
        <v>4268</v>
      </c>
      <c r="C193" t="s">
        <v>157</v>
      </c>
      <c r="D193" t="s">
        <v>158</v>
      </c>
      <c r="E193">
        <v>420</v>
      </c>
    </row>
    <row r="194" spans="1:5" x14ac:dyDescent="0.25">
      <c r="A194">
        <v>64</v>
      </c>
      <c r="B194">
        <v>3794</v>
      </c>
      <c r="C194" t="s">
        <v>163</v>
      </c>
      <c r="D194" t="s">
        <v>29</v>
      </c>
      <c r="E194">
        <v>420</v>
      </c>
    </row>
    <row r="195" spans="1:5" x14ac:dyDescent="0.25">
      <c r="A195">
        <v>64</v>
      </c>
      <c r="B195">
        <v>4671</v>
      </c>
      <c r="C195" t="s">
        <v>90</v>
      </c>
      <c r="D195" t="s">
        <v>52</v>
      </c>
      <c r="E195">
        <v>420</v>
      </c>
    </row>
    <row r="196" spans="1:5" x14ac:dyDescent="0.25">
      <c r="A196">
        <v>64</v>
      </c>
      <c r="B196">
        <v>4743</v>
      </c>
      <c r="C196" t="s">
        <v>335</v>
      </c>
      <c r="D196" t="s">
        <v>327</v>
      </c>
      <c r="E196">
        <v>420</v>
      </c>
    </row>
    <row r="197" spans="1:5" x14ac:dyDescent="0.25">
      <c r="A197">
        <v>64</v>
      </c>
      <c r="B197">
        <v>4762</v>
      </c>
      <c r="C197" t="s">
        <v>337</v>
      </c>
      <c r="D197" t="s">
        <v>102</v>
      </c>
      <c r="E197">
        <v>420</v>
      </c>
    </row>
    <row r="198" spans="1:5" x14ac:dyDescent="0.25">
      <c r="A198">
        <v>64</v>
      </c>
      <c r="B198">
        <v>4704</v>
      </c>
      <c r="C198" t="s">
        <v>96</v>
      </c>
      <c r="D198" t="s">
        <v>12</v>
      </c>
      <c r="E198">
        <v>420</v>
      </c>
    </row>
    <row r="199" spans="1:5" x14ac:dyDescent="0.25">
      <c r="A199">
        <v>64</v>
      </c>
      <c r="B199">
        <v>4749</v>
      </c>
      <c r="C199" t="s">
        <v>336</v>
      </c>
      <c r="D199" t="s">
        <v>12</v>
      </c>
      <c r="E199">
        <v>420</v>
      </c>
    </row>
    <row r="200" spans="1:5" x14ac:dyDescent="0.25">
      <c r="A200">
        <v>64</v>
      </c>
      <c r="B200">
        <v>3463</v>
      </c>
      <c r="C200" t="s">
        <v>264</v>
      </c>
      <c r="D200" t="s">
        <v>14</v>
      </c>
      <c r="E200">
        <v>420</v>
      </c>
    </row>
    <row r="201" spans="1:5" x14ac:dyDescent="0.25">
      <c r="A201">
        <v>64</v>
      </c>
      <c r="B201">
        <v>3507</v>
      </c>
      <c r="C201" t="s">
        <v>315</v>
      </c>
      <c r="D201" t="s">
        <v>77</v>
      </c>
      <c r="E201">
        <v>420</v>
      </c>
    </row>
    <row r="202" spans="1:5" x14ac:dyDescent="0.25">
      <c r="A202">
        <v>64</v>
      </c>
      <c r="B202">
        <v>3509</v>
      </c>
      <c r="C202" t="s">
        <v>273</v>
      </c>
      <c r="D202" t="s">
        <v>77</v>
      </c>
      <c r="E202">
        <v>420</v>
      </c>
    </row>
    <row r="203" spans="1:5" x14ac:dyDescent="0.25">
      <c r="A203">
        <v>64</v>
      </c>
      <c r="B203">
        <v>3540</v>
      </c>
      <c r="C203" t="s">
        <v>302</v>
      </c>
      <c r="D203" t="s">
        <v>52</v>
      </c>
      <c r="E203">
        <v>420</v>
      </c>
    </row>
    <row r="204" spans="1:5" x14ac:dyDescent="0.25">
      <c r="A204">
        <v>64</v>
      </c>
      <c r="B204">
        <v>3697</v>
      </c>
      <c r="C204" t="s">
        <v>260</v>
      </c>
      <c r="D204" t="s">
        <v>106</v>
      </c>
      <c r="E204">
        <v>420</v>
      </c>
    </row>
    <row r="205" spans="1:5" x14ac:dyDescent="0.25">
      <c r="A205">
        <v>64</v>
      </c>
      <c r="B205">
        <v>3698</v>
      </c>
      <c r="C205" t="s">
        <v>261</v>
      </c>
      <c r="D205" t="s">
        <v>52</v>
      </c>
      <c r="E205">
        <v>420</v>
      </c>
    </row>
    <row r="206" spans="1:5" x14ac:dyDescent="0.25">
      <c r="A206">
        <v>64</v>
      </c>
      <c r="B206">
        <v>3709</v>
      </c>
      <c r="C206" t="s">
        <v>312</v>
      </c>
      <c r="D206" t="s">
        <v>24</v>
      </c>
      <c r="E206">
        <v>420</v>
      </c>
    </row>
    <row r="207" spans="1:5" x14ac:dyDescent="0.25">
      <c r="A207">
        <v>64</v>
      </c>
      <c r="B207">
        <v>3711</v>
      </c>
      <c r="C207" t="s">
        <v>263</v>
      </c>
      <c r="D207" t="s">
        <v>24</v>
      </c>
      <c r="E207">
        <v>420</v>
      </c>
    </row>
    <row r="208" spans="1:5" x14ac:dyDescent="0.25">
      <c r="A208">
        <v>64</v>
      </c>
      <c r="B208">
        <v>3713</v>
      </c>
      <c r="C208" t="s">
        <v>279</v>
      </c>
      <c r="D208" t="s">
        <v>24</v>
      </c>
      <c r="E208">
        <v>420</v>
      </c>
    </row>
    <row r="209" spans="1:5" x14ac:dyDescent="0.25">
      <c r="A209">
        <v>64</v>
      </c>
      <c r="B209">
        <v>3725</v>
      </c>
      <c r="C209" t="s">
        <v>265</v>
      </c>
      <c r="D209" t="s">
        <v>57</v>
      </c>
      <c r="E209">
        <v>420</v>
      </c>
    </row>
    <row r="210" spans="1:5" x14ac:dyDescent="0.25">
      <c r="A210">
        <v>64</v>
      </c>
      <c r="B210">
        <v>3729</v>
      </c>
      <c r="C210" t="s">
        <v>313</v>
      </c>
      <c r="D210" t="s">
        <v>112</v>
      </c>
      <c r="E210">
        <v>420</v>
      </c>
    </row>
    <row r="211" spans="1:5" x14ac:dyDescent="0.25">
      <c r="A211">
        <v>64</v>
      </c>
      <c r="B211">
        <v>3940</v>
      </c>
      <c r="C211" t="s">
        <v>311</v>
      </c>
      <c r="D211" t="s">
        <v>10</v>
      </c>
      <c r="E211">
        <v>420</v>
      </c>
    </row>
    <row r="212" spans="1:5" x14ac:dyDescent="0.25">
      <c r="A212">
        <v>64</v>
      </c>
      <c r="B212">
        <v>4076</v>
      </c>
      <c r="C212" t="s">
        <v>230</v>
      </c>
      <c r="D212" t="s">
        <v>77</v>
      </c>
      <c r="E212">
        <v>420</v>
      </c>
    </row>
    <row r="213" spans="1:5" x14ac:dyDescent="0.25">
      <c r="A213">
        <v>64</v>
      </c>
      <c r="B213">
        <v>4077</v>
      </c>
      <c r="C213" t="s">
        <v>231</v>
      </c>
      <c r="D213" t="s">
        <v>77</v>
      </c>
      <c r="E213">
        <v>420</v>
      </c>
    </row>
    <row r="214" spans="1:5" x14ac:dyDescent="0.25">
      <c r="A214">
        <v>64</v>
      </c>
      <c r="B214">
        <v>4078</v>
      </c>
      <c r="C214" t="s">
        <v>301</v>
      </c>
      <c r="D214" t="s">
        <v>77</v>
      </c>
      <c r="E214">
        <v>420</v>
      </c>
    </row>
    <row r="215" spans="1:5" x14ac:dyDescent="0.25">
      <c r="A215">
        <v>64</v>
      </c>
      <c r="B215">
        <v>4121</v>
      </c>
      <c r="C215" t="s">
        <v>304</v>
      </c>
      <c r="D215" t="s">
        <v>24</v>
      </c>
      <c r="E215">
        <v>420</v>
      </c>
    </row>
    <row r="216" spans="1:5" x14ac:dyDescent="0.25">
      <c r="A216">
        <v>64</v>
      </c>
      <c r="B216">
        <v>4125</v>
      </c>
      <c r="C216" t="s">
        <v>251</v>
      </c>
      <c r="D216" t="s">
        <v>10</v>
      </c>
      <c r="E216">
        <v>420</v>
      </c>
    </row>
    <row r="217" spans="1:5" x14ac:dyDescent="0.25">
      <c r="A217">
        <v>64</v>
      </c>
      <c r="B217">
        <v>4126</v>
      </c>
      <c r="C217" t="s">
        <v>252</v>
      </c>
      <c r="D217" t="s">
        <v>40</v>
      </c>
      <c r="E217">
        <v>420</v>
      </c>
    </row>
    <row r="218" spans="1:5" x14ac:dyDescent="0.25">
      <c r="A218">
        <v>64</v>
      </c>
      <c r="B218">
        <v>4127</v>
      </c>
      <c r="C218" t="s">
        <v>254</v>
      </c>
      <c r="D218" t="s">
        <v>24</v>
      </c>
      <c r="E218">
        <v>420</v>
      </c>
    </row>
    <row r="219" spans="1:5" x14ac:dyDescent="0.25">
      <c r="A219">
        <v>64</v>
      </c>
      <c r="B219">
        <v>4130</v>
      </c>
      <c r="C219" t="s">
        <v>309</v>
      </c>
      <c r="D219" t="s">
        <v>14</v>
      </c>
      <c r="E219">
        <v>420</v>
      </c>
    </row>
    <row r="220" spans="1:5" x14ac:dyDescent="0.25">
      <c r="A220">
        <v>64</v>
      </c>
      <c r="B220">
        <v>4131</v>
      </c>
      <c r="C220" t="s">
        <v>308</v>
      </c>
      <c r="D220" t="s">
        <v>8</v>
      </c>
      <c r="E220">
        <v>420</v>
      </c>
    </row>
    <row r="221" spans="1:5" x14ac:dyDescent="0.25">
      <c r="A221">
        <v>64</v>
      </c>
      <c r="B221">
        <v>4136</v>
      </c>
      <c r="C221" t="s">
        <v>255</v>
      </c>
      <c r="D221" t="s">
        <v>40</v>
      </c>
      <c r="E221">
        <v>420</v>
      </c>
    </row>
    <row r="222" spans="1:5" x14ac:dyDescent="0.25">
      <c r="A222">
        <v>64</v>
      </c>
      <c r="B222">
        <v>4137</v>
      </c>
      <c r="C222" t="s">
        <v>256</v>
      </c>
      <c r="D222" t="s">
        <v>29</v>
      </c>
      <c r="E222">
        <v>420</v>
      </c>
    </row>
    <row r="223" spans="1:5" x14ac:dyDescent="0.25">
      <c r="A223">
        <v>64</v>
      </c>
      <c r="B223">
        <v>4151</v>
      </c>
      <c r="C223" t="s">
        <v>234</v>
      </c>
      <c r="D223" t="s">
        <v>8</v>
      </c>
      <c r="E223">
        <v>420</v>
      </c>
    </row>
    <row r="224" spans="1:5" x14ac:dyDescent="0.25">
      <c r="A224">
        <v>64</v>
      </c>
      <c r="B224">
        <v>4264</v>
      </c>
      <c r="C224" t="s">
        <v>307</v>
      </c>
      <c r="D224" t="s">
        <v>10</v>
      </c>
      <c r="E224">
        <v>420</v>
      </c>
    </row>
    <row r="225" spans="1:5" x14ac:dyDescent="0.25">
      <c r="A225">
        <v>64</v>
      </c>
      <c r="B225">
        <v>4271</v>
      </c>
      <c r="C225" t="s">
        <v>296</v>
      </c>
      <c r="D225" t="s">
        <v>102</v>
      </c>
      <c r="E225">
        <v>420</v>
      </c>
    </row>
    <row r="226" spans="1:5" x14ac:dyDescent="0.25">
      <c r="A226">
        <v>64</v>
      </c>
      <c r="B226">
        <v>4283</v>
      </c>
      <c r="C226" t="s">
        <v>241</v>
      </c>
      <c r="D226" t="s">
        <v>8</v>
      </c>
      <c r="E226">
        <v>420</v>
      </c>
    </row>
    <row r="227" spans="1:5" x14ac:dyDescent="0.25">
      <c r="A227">
        <v>64</v>
      </c>
      <c r="B227">
        <v>4299</v>
      </c>
      <c r="C227" t="s">
        <v>243</v>
      </c>
      <c r="D227" t="s">
        <v>40</v>
      </c>
      <c r="E227">
        <v>420</v>
      </c>
    </row>
    <row r="228" spans="1:5" x14ac:dyDescent="0.25">
      <c r="A228">
        <v>64</v>
      </c>
      <c r="B228">
        <v>4324</v>
      </c>
      <c r="C228" t="s">
        <v>246</v>
      </c>
      <c r="D228" t="s">
        <v>55</v>
      </c>
      <c r="E228">
        <v>420</v>
      </c>
    </row>
    <row r="229" spans="1:5" x14ac:dyDescent="0.25">
      <c r="A229">
        <v>64</v>
      </c>
      <c r="B229">
        <v>4325</v>
      </c>
      <c r="C229" t="s">
        <v>240</v>
      </c>
      <c r="D229" t="s">
        <v>24</v>
      </c>
      <c r="E229">
        <v>420</v>
      </c>
    </row>
    <row r="230" spans="1:5" x14ac:dyDescent="0.25">
      <c r="A230">
        <v>64</v>
      </c>
      <c r="B230">
        <v>4467</v>
      </c>
      <c r="C230" t="s">
        <v>285</v>
      </c>
      <c r="D230" t="s">
        <v>286</v>
      </c>
      <c r="E230">
        <v>420</v>
      </c>
    </row>
    <row r="231" spans="1:5" x14ac:dyDescent="0.25">
      <c r="A231">
        <v>64</v>
      </c>
      <c r="B231">
        <v>4469</v>
      </c>
      <c r="C231" t="s">
        <v>289</v>
      </c>
      <c r="D231" t="s">
        <v>284</v>
      </c>
      <c r="E231">
        <v>420</v>
      </c>
    </row>
    <row r="232" spans="1:5" x14ac:dyDescent="0.25">
      <c r="A232">
        <v>64</v>
      </c>
      <c r="B232">
        <v>3788</v>
      </c>
      <c r="C232" t="s">
        <v>316</v>
      </c>
      <c r="D232" t="s">
        <v>14</v>
      </c>
      <c r="E232">
        <v>420</v>
      </c>
    </row>
    <row r="233" spans="1:5" x14ac:dyDescent="0.25">
      <c r="A233">
        <v>64</v>
      </c>
      <c r="B233">
        <v>3790</v>
      </c>
      <c r="C233" t="s">
        <v>297</v>
      </c>
      <c r="D233" t="s">
        <v>8</v>
      </c>
      <c r="E233">
        <v>420</v>
      </c>
    </row>
    <row r="234" spans="1:5" x14ac:dyDescent="0.25">
      <c r="A234">
        <v>64</v>
      </c>
      <c r="B234">
        <v>3795</v>
      </c>
      <c r="C234" t="s">
        <v>277</v>
      </c>
      <c r="D234" t="s">
        <v>120</v>
      </c>
      <c r="E234">
        <v>420</v>
      </c>
    </row>
    <row r="235" spans="1:5" x14ac:dyDescent="0.25">
      <c r="A235">
        <v>64</v>
      </c>
      <c r="B235">
        <v>3837</v>
      </c>
      <c r="C235" t="s">
        <v>232</v>
      </c>
      <c r="D235" t="s">
        <v>6</v>
      </c>
      <c r="E235">
        <v>420</v>
      </c>
    </row>
    <row r="236" spans="1:5" x14ac:dyDescent="0.25">
      <c r="A236">
        <v>64</v>
      </c>
      <c r="B236">
        <v>3843</v>
      </c>
      <c r="C236" t="s">
        <v>317</v>
      </c>
      <c r="D236" t="s">
        <v>57</v>
      </c>
      <c r="E236">
        <v>420</v>
      </c>
    </row>
    <row r="237" spans="1:5" x14ac:dyDescent="0.25">
      <c r="A237">
        <v>64</v>
      </c>
      <c r="B237">
        <v>3982</v>
      </c>
      <c r="C237" t="s">
        <v>266</v>
      </c>
      <c r="D237" t="s">
        <v>14</v>
      </c>
      <c r="E237">
        <v>420</v>
      </c>
    </row>
    <row r="238" spans="1:5" x14ac:dyDescent="0.25">
      <c r="A238">
        <v>64</v>
      </c>
      <c r="B238">
        <v>3989</v>
      </c>
      <c r="C238" t="s">
        <v>267</v>
      </c>
      <c r="D238" t="s">
        <v>6</v>
      </c>
      <c r="E238">
        <v>420</v>
      </c>
    </row>
    <row r="239" spans="1:5" x14ac:dyDescent="0.25">
      <c r="A239">
        <v>64</v>
      </c>
      <c r="B239">
        <v>4067</v>
      </c>
      <c r="C239" t="s">
        <v>154</v>
      </c>
      <c r="D239" t="s">
        <v>6</v>
      </c>
      <c r="E239">
        <v>420</v>
      </c>
    </row>
    <row r="240" spans="1:5" x14ac:dyDescent="0.25">
      <c r="A240">
        <v>64</v>
      </c>
      <c r="B240">
        <v>4124</v>
      </c>
      <c r="C240" t="s">
        <v>104</v>
      </c>
      <c r="D240" t="s">
        <v>14</v>
      </c>
      <c r="E240">
        <v>420</v>
      </c>
    </row>
    <row r="241" spans="1:5" x14ac:dyDescent="0.25">
      <c r="A241">
        <v>64</v>
      </c>
      <c r="B241">
        <v>4132</v>
      </c>
      <c r="C241" t="s">
        <v>110</v>
      </c>
      <c r="D241" t="s">
        <v>8</v>
      </c>
      <c r="E241">
        <v>420</v>
      </c>
    </row>
    <row r="242" spans="1:5" x14ac:dyDescent="0.25">
      <c r="A242">
        <v>64</v>
      </c>
      <c r="B242">
        <v>4134</v>
      </c>
      <c r="C242" t="s">
        <v>108</v>
      </c>
      <c r="D242" t="s">
        <v>8</v>
      </c>
      <c r="E242">
        <v>420</v>
      </c>
    </row>
    <row r="243" spans="1:5" x14ac:dyDescent="0.25">
      <c r="A243">
        <v>64</v>
      </c>
      <c r="B243">
        <v>4188</v>
      </c>
      <c r="C243" t="s">
        <v>92</v>
      </c>
      <c r="D243" t="s">
        <v>57</v>
      </c>
      <c r="E243">
        <v>420</v>
      </c>
    </row>
    <row r="244" spans="1:5" x14ac:dyDescent="0.25">
      <c r="A244">
        <v>64</v>
      </c>
      <c r="B244">
        <v>4228</v>
      </c>
      <c r="C244" t="s">
        <v>95</v>
      </c>
      <c r="D244" t="s">
        <v>40</v>
      </c>
      <c r="E244">
        <v>420</v>
      </c>
    </row>
    <row r="245" spans="1:5" x14ac:dyDescent="0.25">
      <c r="A245">
        <v>64</v>
      </c>
      <c r="B245">
        <v>4260</v>
      </c>
      <c r="C245" t="s">
        <v>109</v>
      </c>
      <c r="D245" t="s">
        <v>12</v>
      </c>
      <c r="E245">
        <v>420</v>
      </c>
    </row>
    <row r="246" spans="1:5" x14ac:dyDescent="0.25">
      <c r="A246">
        <v>64</v>
      </c>
      <c r="B246">
        <v>3660</v>
      </c>
      <c r="C246" t="s">
        <v>300</v>
      </c>
      <c r="D246" t="s">
        <v>12</v>
      </c>
      <c r="E246">
        <v>420</v>
      </c>
    </row>
    <row r="247" spans="1:5" x14ac:dyDescent="0.25">
      <c r="A247">
        <v>64</v>
      </c>
      <c r="B247">
        <v>3846</v>
      </c>
      <c r="C247" t="s">
        <v>247</v>
      </c>
      <c r="D247" t="s">
        <v>6</v>
      </c>
      <c r="E247">
        <v>420</v>
      </c>
    </row>
    <row r="248" spans="1:5" x14ac:dyDescent="0.25">
      <c r="A248">
        <v>64</v>
      </c>
      <c r="B248">
        <v>3990</v>
      </c>
      <c r="C248" t="s">
        <v>268</v>
      </c>
      <c r="D248" t="s">
        <v>6</v>
      </c>
      <c r="E248">
        <v>420</v>
      </c>
    </row>
    <row r="249" spans="1:5" x14ac:dyDescent="0.25">
      <c r="A249">
        <v>64</v>
      </c>
      <c r="B249">
        <v>3991</v>
      </c>
      <c r="C249" t="s">
        <v>306</v>
      </c>
      <c r="D249" t="s">
        <v>6</v>
      </c>
      <c r="E249">
        <v>420</v>
      </c>
    </row>
    <row r="250" spans="1:5" x14ac:dyDescent="0.25">
      <c r="A250">
        <v>64</v>
      </c>
      <c r="B250">
        <v>3992</v>
      </c>
      <c r="C250" t="s">
        <v>314</v>
      </c>
      <c r="D250" t="s">
        <v>6</v>
      </c>
      <c r="E250">
        <v>420</v>
      </c>
    </row>
    <row r="251" spans="1:5" x14ac:dyDescent="0.25">
      <c r="A251">
        <v>64</v>
      </c>
      <c r="B251">
        <v>3995</v>
      </c>
      <c r="C251" t="s">
        <v>278</v>
      </c>
      <c r="D251" t="s">
        <v>81</v>
      </c>
      <c r="E251">
        <v>420</v>
      </c>
    </row>
    <row r="252" spans="1:5" x14ac:dyDescent="0.25">
      <c r="A252">
        <v>64</v>
      </c>
      <c r="B252">
        <v>3996</v>
      </c>
      <c r="C252" t="s">
        <v>269</v>
      </c>
      <c r="D252" t="s">
        <v>81</v>
      </c>
      <c r="E252">
        <v>420</v>
      </c>
    </row>
    <row r="253" spans="1:5" x14ac:dyDescent="0.25">
      <c r="A253">
        <v>64</v>
      </c>
      <c r="B253">
        <v>3998</v>
      </c>
      <c r="C253" t="s">
        <v>270</v>
      </c>
      <c r="D253" t="s">
        <v>8</v>
      </c>
      <c r="E253">
        <v>420</v>
      </c>
    </row>
    <row r="254" spans="1:5" x14ac:dyDescent="0.25">
      <c r="A254">
        <v>64</v>
      </c>
      <c r="B254">
        <v>3999</v>
      </c>
      <c r="C254" t="s">
        <v>271</v>
      </c>
      <c r="D254" t="s">
        <v>8</v>
      </c>
      <c r="E254">
        <v>420</v>
      </c>
    </row>
    <row r="255" spans="1:5" x14ac:dyDescent="0.25">
      <c r="A255">
        <v>64</v>
      </c>
      <c r="B255">
        <v>4001</v>
      </c>
      <c r="C255" t="s">
        <v>272</v>
      </c>
      <c r="D255" t="s">
        <v>29</v>
      </c>
      <c r="E255">
        <v>420</v>
      </c>
    </row>
    <row r="256" spans="1:5" x14ac:dyDescent="0.25">
      <c r="A256">
        <v>64</v>
      </c>
      <c r="B256">
        <v>4026</v>
      </c>
      <c r="C256" t="s">
        <v>280</v>
      </c>
      <c r="D256" t="s">
        <v>8</v>
      </c>
      <c r="E256">
        <v>420</v>
      </c>
    </row>
    <row r="257" spans="1:5" x14ac:dyDescent="0.25">
      <c r="A257">
        <v>64</v>
      </c>
      <c r="B257">
        <v>4027</v>
      </c>
      <c r="C257" t="s">
        <v>236</v>
      </c>
      <c r="D257" t="s">
        <v>29</v>
      </c>
      <c r="E257">
        <v>420</v>
      </c>
    </row>
    <row r="258" spans="1:5" x14ac:dyDescent="0.25">
      <c r="A258">
        <v>64</v>
      </c>
      <c r="B258">
        <v>4029</v>
      </c>
      <c r="C258" t="s">
        <v>274</v>
      </c>
      <c r="D258" t="s">
        <v>17</v>
      </c>
      <c r="E258">
        <v>420</v>
      </c>
    </row>
    <row r="259" spans="1:5" x14ac:dyDescent="0.25">
      <c r="A259">
        <v>64</v>
      </c>
      <c r="B259">
        <v>4030</v>
      </c>
      <c r="C259" t="s">
        <v>275</v>
      </c>
      <c r="D259" t="s">
        <v>102</v>
      </c>
      <c r="E259">
        <v>420</v>
      </c>
    </row>
    <row r="260" spans="1:5" x14ac:dyDescent="0.25">
      <c r="A260">
        <v>64</v>
      </c>
      <c r="B260">
        <v>4031</v>
      </c>
      <c r="C260" t="s">
        <v>276</v>
      </c>
      <c r="D260" t="s">
        <v>29</v>
      </c>
      <c r="E260">
        <v>420</v>
      </c>
    </row>
    <row r="261" spans="1:5" x14ac:dyDescent="0.25">
      <c r="A261">
        <v>64</v>
      </c>
      <c r="B261">
        <v>4050</v>
      </c>
      <c r="C261" t="s">
        <v>233</v>
      </c>
      <c r="D261" t="s">
        <v>81</v>
      </c>
      <c r="E261">
        <v>420</v>
      </c>
    </row>
    <row r="262" spans="1:5" x14ac:dyDescent="0.25">
      <c r="A262">
        <v>64</v>
      </c>
      <c r="B262">
        <v>4053</v>
      </c>
      <c r="C262" t="s">
        <v>299</v>
      </c>
      <c r="D262" t="s">
        <v>40</v>
      </c>
      <c r="E262">
        <v>420</v>
      </c>
    </row>
    <row r="263" spans="1:5" x14ac:dyDescent="0.25">
      <c r="A263">
        <v>64</v>
      </c>
      <c r="B263">
        <v>4064</v>
      </c>
      <c r="C263" t="s">
        <v>244</v>
      </c>
      <c r="D263" t="s">
        <v>81</v>
      </c>
      <c r="E263">
        <v>420</v>
      </c>
    </row>
    <row r="264" spans="1:5" x14ac:dyDescent="0.25">
      <c r="A264">
        <v>64</v>
      </c>
      <c r="B264">
        <v>4181</v>
      </c>
      <c r="C264" t="s">
        <v>235</v>
      </c>
      <c r="D264" t="s">
        <v>8</v>
      </c>
      <c r="E264">
        <v>420</v>
      </c>
    </row>
    <row r="265" spans="1:5" x14ac:dyDescent="0.25">
      <c r="A265">
        <v>64</v>
      </c>
      <c r="B265">
        <v>4184</v>
      </c>
      <c r="C265" t="s">
        <v>305</v>
      </c>
      <c r="D265" t="s">
        <v>17</v>
      </c>
      <c r="E265">
        <v>420</v>
      </c>
    </row>
    <row r="266" spans="1:5" x14ac:dyDescent="0.25">
      <c r="A266">
        <v>64</v>
      </c>
      <c r="B266">
        <v>4215</v>
      </c>
      <c r="C266" t="s">
        <v>237</v>
      </c>
      <c r="D266" t="s">
        <v>24</v>
      </c>
      <c r="E266">
        <v>420</v>
      </c>
    </row>
    <row r="267" spans="1:5" x14ac:dyDescent="0.25">
      <c r="A267">
        <v>64</v>
      </c>
      <c r="B267">
        <v>4226</v>
      </c>
      <c r="C267" t="s">
        <v>303</v>
      </c>
      <c r="D267" t="s">
        <v>40</v>
      </c>
      <c r="E267">
        <v>420</v>
      </c>
    </row>
    <row r="268" spans="1:5" x14ac:dyDescent="0.25">
      <c r="A268">
        <v>64</v>
      </c>
      <c r="B268">
        <v>4233</v>
      </c>
      <c r="C268" t="s">
        <v>250</v>
      </c>
      <c r="D268" t="s">
        <v>40</v>
      </c>
      <c r="E268">
        <v>420</v>
      </c>
    </row>
    <row r="269" spans="1:5" x14ac:dyDescent="0.25">
      <c r="A269">
        <v>64</v>
      </c>
      <c r="B269">
        <v>3359</v>
      </c>
      <c r="C269" t="s">
        <v>253</v>
      </c>
      <c r="D269" t="s">
        <v>12</v>
      </c>
      <c r="E269">
        <v>420</v>
      </c>
    </row>
    <row r="270" spans="1:5" x14ac:dyDescent="0.25">
      <c r="A270">
        <v>64</v>
      </c>
      <c r="B270">
        <v>3446</v>
      </c>
      <c r="C270" t="s">
        <v>262</v>
      </c>
      <c r="D270" t="s">
        <v>12</v>
      </c>
      <c r="E270">
        <v>420</v>
      </c>
    </row>
    <row r="271" spans="1:5" x14ac:dyDescent="0.25">
      <c r="A271">
        <v>64</v>
      </c>
      <c r="B271">
        <v>3554</v>
      </c>
      <c r="C271" t="s">
        <v>229</v>
      </c>
      <c r="D271" t="s">
        <v>112</v>
      </c>
      <c r="E271">
        <v>420</v>
      </c>
    </row>
    <row r="272" spans="1:5" x14ac:dyDescent="0.25">
      <c r="A272">
        <v>64</v>
      </c>
      <c r="B272">
        <v>3647</v>
      </c>
      <c r="C272" t="s">
        <v>310</v>
      </c>
      <c r="D272" t="s">
        <v>6</v>
      </c>
      <c r="E272">
        <v>420</v>
      </c>
    </row>
    <row r="273" spans="1:5" x14ac:dyDescent="0.25">
      <c r="A273">
        <v>64</v>
      </c>
      <c r="B273">
        <v>3659</v>
      </c>
      <c r="C273" t="s">
        <v>258</v>
      </c>
      <c r="D273" t="s">
        <v>29</v>
      </c>
      <c r="E273">
        <v>420</v>
      </c>
    </row>
    <row r="274" spans="1:5" x14ac:dyDescent="0.25">
      <c r="A274">
        <v>64</v>
      </c>
      <c r="B274">
        <v>3673</v>
      </c>
      <c r="C274" t="s">
        <v>259</v>
      </c>
      <c r="D274" t="s">
        <v>10</v>
      </c>
      <c r="E274">
        <v>420</v>
      </c>
    </row>
    <row r="275" spans="1:5" x14ac:dyDescent="0.25">
      <c r="A275">
        <v>64</v>
      </c>
      <c r="B275">
        <v>4352</v>
      </c>
      <c r="C275" t="s">
        <v>245</v>
      </c>
      <c r="D275" t="s">
        <v>169</v>
      </c>
      <c r="E275">
        <v>420</v>
      </c>
    </row>
    <row r="276" spans="1:5" x14ac:dyDescent="0.25">
      <c r="A276">
        <v>64</v>
      </c>
      <c r="B276">
        <v>4353</v>
      </c>
      <c r="C276" t="s">
        <v>239</v>
      </c>
      <c r="D276" t="s">
        <v>8</v>
      </c>
      <c r="E276">
        <v>420</v>
      </c>
    </row>
    <row r="277" spans="1:5" x14ac:dyDescent="0.25">
      <c r="A277">
        <v>64</v>
      </c>
      <c r="B277">
        <v>4354</v>
      </c>
      <c r="C277" t="s">
        <v>242</v>
      </c>
      <c r="D277" t="s">
        <v>10</v>
      </c>
      <c r="E277">
        <v>420</v>
      </c>
    </row>
    <row r="278" spans="1:5" x14ac:dyDescent="0.25">
      <c r="A278">
        <v>64</v>
      </c>
      <c r="B278">
        <v>4355</v>
      </c>
      <c r="C278" t="s">
        <v>281</v>
      </c>
      <c r="D278" t="s">
        <v>10</v>
      </c>
      <c r="E278">
        <v>420</v>
      </c>
    </row>
    <row r="279" spans="1:5" x14ac:dyDescent="0.25">
      <c r="A279">
        <v>64</v>
      </c>
      <c r="B279">
        <v>4381</v>
      </c>
      <c r="C279" t="s">
        <v>238</v>
      </c>
      <c r="D279" t="s">
        <v>6</v>
      </c>
      <c r="E279">
        <v>420</v>
      </c>
    </row>
    <row r="280" spans="1:5" x14ac:dyDescent="0.25">
      <c r="A280">
        <v>64</v>
      </c>
      <c r="B280">
        <v>4386</v>
      </c>
      <c r="C280" t="s">
        <v>249</v>
      </c>
      <c r="D280" t="s">
        <v>61</v>
      </c>
      <c r="E280">
        <v>420</v>
      </c>
    </row>
    <row r="281" spans="1:5" x14ac:dyDescent="0.25">
      <c r="A281">
        <v>64</v>
      </c>
      <c r="B281">
        <v>4392</v>
      </c>
      <c r="C281" t="s">
        <v>248</v>
      </c>
      <c r="D281" t="s">
        <v>55</v>
      </c>
      <c r="E281">
        <v>420</v>
      </c>
    </row>
    <row r="282" spans="1:5" x14ac:dyDescent="0.25">
      <c r="A282">
        <v>64</v>
      </c>
      <c r="B282">
        <v>4425</v>
      </c>
      <c r="C282" t="s">
        <v>282</v>
      </c>
      <c r="D282" t="s">
        <v>102</v>
      </c>
      <c r="E282">
        <v>420</v>
      </c>
    </row>
    <row r="283" spans="1:5" x14ac:dyDescent="0.25">
      <c r="A283">
        <v>64</v>
      </c>
      <c r="B283">
        <v>4426</v>
      </c>
      <c r="C283" t="s">
        <v>287</v>
      </c>
      <c r="D283" t="s">
        <v>284</v>
      </c>
      <c r="E283">
        <v>420</v>
      </c>
    </row>
    <row r="284" spans="1:5" x14ac:dyDescent="0.25">
      <c r="A284">
        <v>64</v>
      </c>
      <c r="B284">
        <v>4427</v>
      </c>
      <c r="C284" t="s">
        <v>283</v>
      </c>
      <c r="D284" t="s">
        <v>284</v>
      </c>
      <c r="E284">
        <v>420</v>
      </c>
    </row>
    <row r="285" spans="1:5" x14ac:dyDescent="0.25">
      <c r="A285">
        <v>64</v>
      </c>
      <c r="B285">
        <v>4447</v>
      </c>
      <c r="C285" t="s">
        <v>290</v>
      </c>
      <c r="D285" t="s">
        <v>284</v>
      </c>
      <c r="E285">
        <v>420</v>
      </c>
    </row>
    <row r="286" spans="1:5" x14ac:dyDescent="0.25">
      <c r="A286">
        <v>64</v>
      </c>
      <c r="B286">
        <v>4448</v>
      </c>
      <c r="C286" t="s">
        <v>288</v>
      </c>
      <c r="D286" t="s">
        <v>284</v>
      </c>
      <c r="E286">
        <v>420</v>
      </c>
    </row>
    <row r="287" spans="1:5" x14ac:dyDescent="0.25">
      <c r="A287">
        <v>64</v>
      </c>
      <c r="B287">
        <v>4532</v>
      </c>
      <c r="C287" t="s">
        <v>291</v>
      </c>
      <c r="D287" t="s">
        <v>12</v>
      </c>
      <c r="E287">
        <v>420</v>
      </c>
    </row>
    <row r="288" spans="1:5" x14ac:dyDescent="0.25">
      <c r="A288">
        <v>64</v>
      </c>
      <c r="B288">
        <v>4534</v>
      </c>
      <c r="C288" t="s">
        <v>298</v>
      </c>
      <c r="D288" t="s">
        <v>24</v>
      </c>
      <c r="E288">
        <v>420</v>
      </c>
    </row>
    <row r="289" spans="1:5" x14ac:dyDescent="0.25">
      <c r="A289">
        <v>64</v>
      </c>
      <c r="B289">
        <v>4536</v>
      </c>
      <c r="C289" t="s">
        <v>292</v>
      </c>
      <c r="D289" t="s">
        <v>81</v>
      </c>
      <c r="E289">
        <v>420</v>
      </c>
    </row>
    <row r="290" spans="1:5" x14ac:dyDescent="0.25">
      <c r="A290">
        <v>64</v>
      </c>
      <c r="B290">
        <v>4540</v>
      </c>
      <c r="C290" t="s">
        <v>293</v>
      </c>
      <c r="D290" t="s">
        <v>14</v>
      </c>
      <c r="E290">
        <v>420</v>
      </c>
    </row>
    <row r="291" spans="1:5" x14ac:dyDescent="0.25">
      <c r="A291">
        <v>64</v>
      </c>
      <c r="B291">
        <v>4547</v>
      </c>
      <c r="C291" t="s">
        <v>294</v>
      </c>
      <c r="D291" t="s">
        <v>327</v>
      </c>
      <c r="E291">
        <v>420</v>
      </c>
    </row>
    <row r="292" spans="1:5" x14ac:dyDescent="0.25">
      <c r="A292">
        <v>64</v>
      </c>
      <c r="B292">
        <v>4577</v>
      </c>
      <c r="C292" t="s">
        <v>295</v>
      </c>
      <c r="D292" t="s">
        <v>286</v>
      </c>
      <c r="E292">
        <v>420</v>
      </c>
    </row>
    <row r="293" spans="1:5" x14ac:dyDescent="0.25">
      <c r="A293">
        <v>64</v>
      </c>
      <c r="B293">
        <v>4578</v>
      </c>
      <c r="C293" t="s">
        <v>295</v>
      </c>
      <c r="D293" t="s">
        <v>286</v>
      </c>
      <c r="E293">
        <v>420</v>
      </c>
    </row>
    <row r="294" spans="1:5" x14ac:dyDescent="0.25">
      <c r="A294">
        <v>64</v>
      </c>
      <c r="B294">
        <v>4587</v>
      </c>
      <c r="C294" t="s">
        <v>282</v>
      </c>
      <c r="D294" t="s">
        <v>323</v>
      </c>
      <c r="E294">
        <v>420</v>
      </c>
    </row>
    <row r="295" spans="1:5" x14ac:dyDescent="0.25">
      <c r="A295">
        <v>64</v>
      </c>
      <c r="B295">
        <v>4598</v>
      </c>
      <c r="C295" t="s">
        <v>330</v>
      </c>
      <c r="D295" t="s">
        <v>99</v>
      </c>
      <c r="E295">
        <v>420</v>
      </c>
    </row>
    <row r="296" spans="1:5" x14ac:dyDescent="0.25">
      <c r="A296">
        <v>64</v>
      </c>
      <c r="B296">
        <v>4606</v>
      </c>
      <c r="C296" t="s">
        <v>318</v>
      </c>
      <c r="D296" t="s">
        <v>6</v>
      </c>
      <c r="E296">
        <v>420</v>
      </c>
    </row>
    <row r="297" spans="1:5" x14ac:dyDescent="0.25">
      <c r="A297">
        <v>64</v>
      </c>
      <c r="B297">
        <v>4607</v>
      </c>
      <c r="C297" t="s">
        <v>319</v>
      </c>
      <c r="D297" t="s">
        <v>81</v>
      </c>
      <c r="E297">
        <v>420</v>
      </c>
    </row>
    <row r="298" spans="1:5" x14ac:dyDescent="0.25">
      <c r="A298">
        <v>64</v>
      </c>
      <c r="B298">
        <v>4611</v>
      </c>
      <c r="C298" t="s">
        <v>320</v>
      </c>
      <c r="D298" t="s">
        <v>52</v>
      </c>
      <c r="E298">
        <v>420</v>
      </c>
    </row>
    <row r="299" spans="1:5" x14ac:dyDescent="0.25">
      <c r="A299">
        <v>64</v>
      </c>
      <c r="B299">
        <v>577</v>
      </c>
      <c r="C299" t="s">
        <v>257</v>
      </c>
      <c r="D299" t="s">
        <v>12</v>
      </c>
      <c r="E299">
        <v>420</v>
      </c>
    </row>
    <row r="300" spans="1:5" x14ac:dyDescent="0.25">
      <c r="A300">
        <v>64</v>
      </c>
      <c r="B300">
        <v>4686</v>
      </c>
      <c r="C300" t="s">
        <v>333</v>
      </c>
      <c r="D300" t="s">
        <v>6</v>
      </c>
      <c r="E300">
        <v>420</v>
      </c>
    </row>
    <row r="301" spans="1:5" x14ac:dyDescent="0.25">
      <c r="A301">
        <v>64</v>
      </c>
      <c r="B301">
        <v>4705</v>
      </c>
      <c r="C301" t="s">
        <v>328</v>
      </c>
      <c r="D301" t="s">
        <v>12</v>
      </c>
      <c r="E301">
        <v>420</v>
      </c>
    </row>
    <row r="302" spans="1:5" x14ac:dyDescent="0.25">
      <c r="A302">
        <v>64</v>
      </c>
      <c r="B302">
        <v>4706</v>
      </c>
      <c r="C302" t="s">
        <v>321</v>
      </c>
      <c r="D302" t="s">
        <v>12</v>
      </c>
      <c r="E302">
        <v>420</v>
      </c>
    </row>
    <row r="303" spans="1:5" x14ac:dyDescent="0.25">
      <c r="A303">
        <v>64</v>
      </c>
      <c r="B303">
        <v>4707</v>
      </c>
      <c r="C303" t="s">
        <v>329</v>
      </c>
      <c r="D303" t="s">
        <v>12</v>
      </c>
      <c r="E303">
        <v>420</v>
      </c>
    </row>
    <row r="304" spans="1:5" x14ac:dyDescent="0.25">
      <c r="A304">
        <v>64</v>
      </c>
      <c r="B304">
        <v>4712</v>
      </c>
      <c r="C304" t="s">
        <v>331</v>
      </c>
      <c r="D304" t="s">
        <v>17</v>
      </c>
      <c r="E304">
        <v>420</v>
      </c>
    </row>
    <row r="305" spans="1:5" x14ac:dyDescent="0.25">
      <c r="A305">
        <v>64</v>
      </c>
      <c r="B305">
        <v>4723</v>
      </c>
      <c r="C305" t="s">
        <v>324</v>
      </c>
      <c r="D305" t="s">
        <v>81</v>
      </c>
      <c r="E305">
        <v>420</v>
      </c>
    </row>
    <row r="306" spans="1:5" x14ac:dyDescent="0.25">
      <c r="A306">
        <v>64</v>
      </c>
      <c r="B306">
        <v>4726</v>
      </c>
      <c r="C306" t="s">
        <v>332</v>
      </c>
      <c r="D306" t="s">
        <v>6</v>
      </c>
      <c r="E306">
        <v>420</v>
      </c>
    </row>
    <row r="307" spans="1:5" x14ac:dyDescent="0.25">
      <c r="A307">
        <v>64</v>
      </c>
      <c r="B307">
        <v>4739</v>
      </c>
      <c r="C307" t="s">
        <v>325</v>
      </c>
      <c r="D307" t="s">
        <v>81</v>
      </c>
      <c r="E307">
        <v>420</v>
      </c>
    </row>
    <row r="308" spans="1:5" x14ac:dyDescent="0.25">
      <c r="A308">
        <v>64</v>
      </c>
      <c r="B308">
        <v>4740</v>
      </c>
      <c r="C308" t="s">
        <v>322</v>
      </c>
      <c r="D308" t="s">
        <v>10</v>
      </c>
      <c r="E308">
        <v>420</v>
      </c>
    </row>
    <row r="309" spans="1:5" x14ac:dyDescent="0.25">
      <c r="A309">
        <v>64</v>
      </c>
      <c r="B309">
        <v>4744</v>
      </c>
      <c r="C309" t="s">
        <v>334</v>
      </c>
      <c r="D309" t="s">
        <v>327</v>
      </c>
      <c r="E309">
        <v>420</v>
      </c>
    </row>
    <row r="310" spans="1:5" x14ac:dyDescent="0.25">
      <c r="A310">
        <v>64</v>
      </c>
      <c r="B310">
        <v>4768</v>
      </c>
      <c r="C310" t="s">
        <v>326</v>
      </c>
      <c r="D310" t="s">
        <v>327</v>
      </c>
      <c r="E310">
        <v>420</v>
      </c>
    </row>
    <row r="311" spans="1:5" x14ac:dyDescent="0.25">
      <c r="A311">
        <v>64</v>
      </c>
      <c r="B311">
        <v>4608</v>
      </c>
      <c r="C311" t="s">
        <v>94</v>
      </c>
      <c r="D311" t="s">
        <v>81</v>
      </c>
      <c r="E311">
        <v>420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2C2CF-F901-461F-8F18-20B878CA8FD0}">
  <sheetPr>
    <pageSetUpPr fitToPage="1"/>
  </sheetPr>
  <dimension ref="A4:Q35"/>
  <sheetViews>
    <sheetView topLeftCell="A17" zoomScale="115" zoomScaleNormal="115" workbookViewId="0">
      <selection activeCell="E46" activeCellId="1" sqref="E46"/>
    </sheetView>
  </sheetViews>
  <sheetFormatPr defaultColWidth="9.140625" defaultRowHeight="15" x14ac:dyDescent="0.25"/>
  <cols>
    <col min="1" max="1" width="4" style="1" bestFit="1" customWidth="1"/>
    <col min="2" max="2" width="11.42578125" style="1" bestFit="1" customWidth="1"/>
    <col min="3" max="3" width="7.85546875" style="2" bestFit="1" customWidth="1"/>
    <col min="4" max="4" width="30.28515625" style="1" bestFit="1" customWidth="1"/>
    <col min="5" max="5" width="16.7109375" style="1" bestFit="1" customWidth="1"/>
    <col min="6" max="6" width="10.42578125" style="1" bestFit="1" customWidth="1"/>
    <col min="7" max="7" width="10.28515625" style="1" customWidth="1"/>
    <col min="8" max="8" width="0.140625" style="1" customWidth="1"/>
    <col min="9" max="9" width="10.7109375" style="1" hidden="1" customWidth="1"/>
    <col min="10" max="10" width="11.7109375" style="1" customWidth="1"/>
    <col min="11" max="11" width="11.42578125" style="1" customWidth="1"/>
    <col min="12" max="16384" width="9.140625" style="1"/>
  </cols>
  <sheetData>
    <row r="4" spans="1:17" ht="15" customHeight="1" thickBot="1" x14ac:dyDescent="0.4">
      <c r="D4" s="3"/>
    </row>
    <row r="5" spans="1:17" ht="15.75" customHeight="1" x14ac:dyDescent="0.35">
      <c r="D5" s="3"/>
      <c r="L5" s="252" t="s">
        <v>346</v>
      </c>
      <c r="M5" s="252"/>
    </row>
    <row r="6" spans="1:17" ht="26.25" customHeight="1" x14ac:dyDescent="0.25">
      <c r="L6" s="253"/>
      <c r="M6" s="253"/>
    </row>
    <row r="7" spans="1:17" ht="26.25" customHeight="1" x14ac:dyDescent="0.35">
      <c r="C7" s="4"/>
      <c r="D7" s="3"/>
      <c r="G7" s="3" t="s">
        <v>347</v>
      </c>
      <c r="H7" s="3"/>
      <c r="I7" s="3"/>
      <c r="J7" s="5">
        <f ca="1">TODAY()</f>
        <v>46313</v>
      </c>
      <c r="L7" s="253"/>
      <c r="M7" s="253"/>
    </row>
    <row r="8" spans="1:17" ht="26.25" customHeight="1" x14ac:dyDescent="0.35">
      <c r="C8" s="4"/>
      <c r="D8" s="3"/>
      <c r="L8" s="253"/>
      <c r="M8" s="253"/>
    </row>
    <row r="9" spans="1:17" s="6" customFormat="1" ht="21" customHeight="1" x14ac:dyDescent="0.25">
      <c r="B9" s="7" t="s">
        <v>348</v>
      </c>
      <c r="C9" s="8"/>
      <c r="D9" s="9" t="s">
        <v>410</v>
      </c>
      <c r="E9" s="7" t="s">
        <v>349</v>
      </c>
      <c r="F9" s="9">
        <v>1</v>
      </c>
      <c r="G9" s="7" t="s">
        <v>350</v>
      </c>
      <c r="H9" s="7"/>
      <c r="I9" s="7"/>
      <c r="J9" s="10"/>
      <c r="O9" s="254"/>
      <c r="P9" s="254"/>
      <c r="Q9" s="254"/>
    </row>
    <row r="10" spans="1:17" ht="21" customHeight="1" x14ac:dyDescent="0.25">
      <c r="O10" s="254"/>
      <c r="P10" s="254"/>
      <c r="Q10" s="254"/>
    </row>
    <row r="11" spans="1:17" ht="21" customHeight="1" thickBot="1" x14ac:dyDescent="0.3">
      <c r="B11" s="11" t="s">
        <v>351</v>
      </c>
      <c r="C11" s="12" t="s">
        <v>352</v>
      </c>
      <c r="D11" s="11" t="s">
        <v>353</v>
      </c>
      <c r="E11" s="11" t="s">
        <v>354</v>
      </c>
      <c r="F11" s="11" t="s">
        <v>0</v>
      </c>
      <c r="G11" s="11" t="s">
        <v>355</v>
      </c>
      <c r="H11" s="11"/>
      <c r="I11" s="11"/>
      <c r="J11" s="13"/>
    </row>
    <row r="12" spans="1:17" ht="21" customHeight="1" thickBot="1" x14ac:dyDescent="0.3">
      <c r="A12" s="1">
        <f>F9+0.1</f>
        <v>1.1000000000000001</v>
      </c>
      <c r="B12" s="14">
        <v>1</v>
      </c>
      <c r="C12" s="15">
        <v>4002</v>
      </c>
      <c r="D12" s="16" t="s">
        <v>11</v>
      </c>
      <c r="E12" s="17" t="s">
        <v>12</v>
      </c>
      <c r="F12" s="18">
        <v>660</v>
      </c>
      <c r="G12" s="19">
        <v>1</v>
      </c>
      <c r="H12" s="20"/>
      <c r="I12" s="20"/>
      <c r="J12" s="1" t="str">
        <f>IF(ISBLANK(J11)," ",(E18+F18+G18+E20+F20+G20+H18+I18+H20+I20)/(E19+F19+G19+E21+F21+G21+H19+I19+H21+I21))</f>
        <v xml:space="preserve"> </v>
      </c>
    </row>
    <row r="13" spans="1:17" ht="21" customHeight="1" thickBot="1" x14ac:dyDescent="0.3">
      <c r="A13" s="1">
        <f>F9+0.2</f>
        <v>1.2</v>
      </c>
      <c r="B13" s="14">
        <v>2</v>
      </c>
      <c r="C13" s="21">
        <v>4794</v>
      </c>
      <c r="D13" s="22" t="s">
        <v>56</v>
      </c>
      <c r="E13" s="23" t="s">
        <v>57</v>
      </c>
      <c r="F13" s="24">
        <v>473</v>
      </c>
      <c r="G13" s="25">
        <v>37</v>
      </c>
      <c r="H13" s="20"/>
      <c r="I13" s="20"/>
      <c r="J13" s="1" t="str">
        <f>IF(ISBLANK(J11)," ",(E21+F21+G21+E22+F22+G22+H21+I21+H22+I22)/(E20+F20+G20+E23+F23+G23+H20+I20+H23+I23))</f>
        <v xml:space="preserve"> </v>
      </c>
    </row>
    <row r="14" spans="1:17" ht="21" customHeight="1" thickBot="1" x14ac:dyDescent="0.3">
      <c r="A14" s="1">
        <f>+F9+0.3</f>
        <v>1.3</v>
      </c>
      <c r="B14" s="14">
        <v>3</v>
      </c>
      <c r="C14" s="26">
        <v>4527</v>
      </c>
      <c r="D14" s="27" t="s">
        <v>47</v>
      </c>
      <c r="E14" s="28" t="s">
        <v>6</v>
      </c>
      <c r="F14" s="29">
        <v>472</v>
      </c>
      <c r="G14" s="30">
        <v>38</v>
      </c>
      <c r="H14" s="20"/>
      <c r="I14" s="20"/>
      <c r="J14" s="1" t="str">
        <f>IF(ISBLANK(J11)," ",(E19+F19+G19+E23+F23+G23+H19+I19+H23+I23)/(E18+F18+G18+E22+F22+G22+H18+I18+H22+I22))</f>
        <v xml:space="preserve"> </v>
      </c>
    </row>
    <row r="15" spans="1:17" ht="21" customHeight="1" x14ac:dyDescent="0.25"/>
    <row r="16" spans="1:17" ht="21" customHeight="1" thickBot="1" x14ac:dyDescent="0.3"/>
    <row r="17" spans="2:10" s="31" customFormat="1" ht="21" customHeight="1" thickBot="1" x14ac:dyDescent="0.3">
      <c r="B17" s="32" t="s">
        <v>356</v>
      </c>
      <c r="C17" s="33"/>
      <c r="D17" s="32" t="s">
        <v>357</v>
      </c>
      <c r="E17" s="33" t="s">
        <v>358</v>
      </c>
      <c r="F17" s="32" t="s">
        <v>359</v>
      </c>
      <c r="G17" s="34" t="s">
        <v>360</v>
      </c>
      <c r="H17" s="35" t="s">
        <v>361</v>
      </c>
      <c r="I17" s="36" t="s">
        <v>362</v>
      </c>
      <c r="J17" s="32" t="s">
        <v>363</v>
      </c>
    </row>
    <row r="18" spans="2:10" s="37" customFormat="1" ht="21" customHeight="1" thickBot="1" x14ac:dyDescent="0.3">
      <c r="B18" s="255">
        <v>1</v>
      </c>
      <c r="C18" s="12">
        <v>1</v>
      </c>
      <c r="D18" s="39" t="str">
        <f>D12</f>
        <v>ISMAEL CÁRDENAS ACOSTA</v>
      </c>
      <c r="E18" s="12">
        <v>11</v>
      </c>
      <c r="F18" s="38">
        <v>11</v>
      </c>
      <c r="G18" s="40"/>
      <c r="H18" s="41"/>
      <c r="I18" s="42"/>
      <c r="J18" s="245" cm="1">
        <f t="array" ref="J18">IF(SUMPRODUCT(--(E18:I18&gt;E19:I19))&gt;SUMPRODUCT(--(E19:I19&gt;E18:I18)), C18,
IF(SUMPRODUCT(--(E19:I19&gt;E18:I18))&gt;SUMPRODUCT(--(E18:I18&gt;E19:I19)), C19, ""))</f>
        <v>1</v>
      </c>
    </row>
    <row r="19" spans="2:10" s="37" customFormat="1" ht="21" customHeight="1" thickBot="1" x14ac:dyDescent="0.3">
      <c r="B19" s="246"/>
      <c r="C19" s="44">
        <v>3</v>
      </c>
      <c r="D19" s="45" t="str">
        <f>D14</f>
        <v>JULIÁN HERNÁNDEZ ZÚÑIGA</v>
      </c>
      <c r="E19" s="46">
        <v>1</v>
      </c>
      <c r="F19" s="47">
        <v>7</v>
      </c>
      <c r="G19" s="47"/>
      <c r="H19" s="41"/>
      <c r="I19" s="42"/>
      <c r="J19" s="246"/>
    </row>
    <row r="20" spans="2:10" s="37" customFormat="1" ht="21" customHeight="1" thickBot="1" x14ac:dyDescent="0.3">
      <c r="B20" s="245">
        <v>2</v>
      </c>
      <c r="C20" s="12">
        <v>1</v>
      </c>
      <c r="D20" s="39" t="str">
        <f>D12</f>
        <v>ISMAEL CÁRDENAS ACOSTA</v>
      </c>
      <c r="E20" s="12">
        <v>11</v>
      </c>
      <c r="F20" s="38">
        <v>11</v>
      </c>
      <c r="G20" s="38"/>
      <c r="H20" s="41"/>
      <c r="I20" s="42"/>
      <c r="J20" s="245" cm="1">
        <f t="array" ref="J20">IF(SUMPRODUCT(--(E20:I20&gt;E21:I21))&gt;SUMPRODUCT(--(E21:I21&gt;E20:I20)), C20,
IF(SUMPRODUCT(--(E21:I21&gt;E20:I20))&gt;SUMPRODUCT(--(E20:I20&gt;E21:I21)), C21, ""))</f>
        <v>1</v>
      </c>
    </row>
    <row r="21" spans="2:10" s="37" customFormat="1" ht="21" customHeight="1" thickBot="1" x14ac:dyDescent="0.3">
      <c r="B21" s="246"/>
      <c r="C21" s="44">
        <v>2</v>
      </c>
      <c r="D21" s="45" t="str">
        <f>D13</f>
        <v>FRANCISCO CHAVES MORA</v>
      </c>
      <c r="E21" s="46">
        <v>3</v>
      </c>
      <c r="F21" s="47">
        <v>2</v>
      </c>
      <c r="G21" s="47"/>
      <c r="H21" s="41"/>
      <c r="I21" s="42"/>
      <c r="J21" s="246"/>
    </row>
    <row r="22" spans="2:10" s="37" customFormat="1" ht="21" customHeight="1" thickBot="1" x14ac:dyDescent="0.3">
      <c r="B22" s="245">
        <v>3</v>
      </c>
      <c r="C22" s="44">
        <v>2</v>
      </c>
      <c r="D22" s="45" t="str">
        <f>D13</f>
        <v>FRANCISCO CHAVES MORA</v>
      </c>
      <c r="E22" s="46">
        <v>3</v>
      </c>
      <c r="F22" s="47">
        <v>4</v>
      </c>
      <c r="G22" s="47"/>
      <c r="H22" s="41"/>
      <c r="I22" s="42"/>
      <c r="J22" s="245" cm="1">
        <f t="array" ref="J22">IF(SUMPRODUCT(--(E22:I22&gt;E23:I23))&gt;SUMPRODUCT(--(E23:I23&gt;E22:I22)), C22,
IF(SUMPRODUCT(--(E23:I23&gt;E22:I22))&gt;SUMPRODUCT(--(E22:I22&gt;E23:I23)), C23, ""))</f>
        <v>3</v>
      </c>
    </row>
    <row r="23" spans="2:10" s="37" customFormat="1" ht="21" customHeight="1" thickBot="1" x14ac:dyDescent="0.3">
      <c r="B23" s="246"/>
      <c r="C23" s="48">
        <v>3</v>
      </c>
      <c r="D23" s="49" t="str">
        <f>D14</f>
        <v>JULIÁN HERNÁNDEZ ZÚÑIGA</v>
      </c>
      <c r="E23" s="48">
        <v>11</v>
      </c>
      <c r="F23" s="43">
        <v>11</v>
      </c>
      <c r="G23" s="43"/>
      <c r="H23" s="50"/>
      <c r="I23" s="51"/>
      <c r="J23" s="246"/>
    </row>
    <row r="24" spans="2:10" ht="6" customHeight="1" x14ac:dyDescent="0.25">
      <c r="B24" s="247"/>
      <c r="C24" s="52"/>
      <c r="D24" s="53"/>
      <c r="E24" s="53"/>
      <c r="F24" s="53"/>
      <c r="G24" s="53"/>
      <c r="H24" s="53"/>
      <c r="I24" s="53"/>
      <c r="J24" s="53"/>
    </row>
    <row r="25" spans="2:10" ht="6" customHeight="1" x14ac:dyDescent="0.25">
      <c r="B25" s="248"/>
      <c r="E25" s="53"/>
      <c r="F25" s="53"/>
      <c r="G25" s="53"/>
      <c r="H25" s="53"/>
      <c r="I25" s="53"/>
      <c r="J25" s="53"/>
    </row>
    <row r="26" spans="2:10" s="2" customFormat="1" ht="6" customHeight="1" x14ac:dyDescent="0.25">
      <c r="B26" s="248"/>
      <c r="E26" s="52"/>
      <c r="F26" s="52"/>
      <c r="G26" s="52"/>
      <c r="H26" s="52"/>
      <c r="I26" s="52"/>
      <c r="J26" s="52"/>
    </row>
    <row r="27" spans="2:10" ht="6" customHeight="1" x14ac:dyDescent="0.25">
      <c r="B27" s="248"/>
      <c r="E27" s="53"/>
      <c r="F27" s="53"/>
    </row>
    <row r="28" spans="2:10" ht="6" customHeight="1" x14ac:dyDescent="0.25">
      <c r="B28" s="249"/>
      <c r="E28" s="53"/>
      <c r="F28" s="53"/>
    </row>
    <row r="29" spans="2:10" ht="6" customHeight="1" x14ac:dyDescent="0.25">
      <c r="B29" s="249"/>
    </row>
    <row r="30" spans="2:10" ht="6" customHeight="1" x14ac:dyDescent="0.25"/>
    <row r="31" spans="2:10" ht="6" customHeight="1" thickBot="1" x14ac:dyDescent="0.3"/>
    <row r="32" spans="2:10" s="37" customFormat="1" ht="18" customHeight="1" thickBot="1" x14ac:dyDescent="0.3">
      <c r="C32" s="250" t="s">
        <v>364</v>
      </c>
      <c r="D32" s="251"/>
      <c r="F32" s="236" t="s">
        <v>365</v>
      </c>
      <c r="G32" s="237"/>
      <c r="H32" s="237"/>
      <c r="I32" s="237"/>
      <c r="J32" s="238"/>
    </row>
    <row r="33" spans="3:10" s="37" customFormat="1" ht="18" customHeight="1" thickBot="1" x14ac:dyDescent="0.3">
      <c r="C33" s="54" t="s">
        <v>366</v>
      </c>
      <c r="D33" s="54" t="s">
        <v>367</v>
      </c>
      <c r="F33" s="236" t="s">
        <v>368</v>
      </c>
      <c r="G33" s="237"/>
      <c r="H33" s="237"/>
      <c r="I33" s="237"/>
      <c r="J33" s="238"/>
    </row>
    <row r="34" spans="3:10" ht="25.5" customHeight="1" thickBot="1" x14ac:dyDescent="0.3">
      <c r="C34" s="55">
        <v>4002</v>
      </c>
      <c r="D34" s="56" t="s">
        <v>11</v>
      </c>
      <c r="F34" s="57" t="s">
        <v>369</v>
      </c>
      <c r="G34" s="239"/>
      <c r="H34" s="240"/>
      <c r="I34" s="240"/>
      <c r="J34" s="241"/>
    </row>
    <row r="35" spans="3:10" ht="25.5" customHeight="1" thickBot="1" x14ac:dyDescent="0.3">
      <c r="C35" s="55">
        <v>4527</v>
      </c>
      <c r="D35" s="56" t="s">
        <v>47</v>
      </c>
      <c r="F35" s="242" t="s">
        <v>370</v>
      </c>
      <c r="G35" s="243"/>
      <c r="H35" s="243"/>
      <c r="I35" s="244"/>
      <c r="J35" s="58"/>
    </row>
  </sheetData>
  <mergeCells count="16">
    <mergeCell ref="L5:M8"/>
    <mergeCell ref="O9:Q10"/>
    <mergeCell ref="B18:B19"/>
    <mergeCell ref="J18:J19"/>
    <mergeCell ref="B20:B21"/>
    <mergeCell ref="J20:J21"/>
    <mergeCell ref="F33:J33"/>
    <mergeCell ref="G34:J34"/>
    <mergeCell ref="F35:I35"/>
    <mergeCell ref="B22:B23"/>
    <mergeCell ref="J22:J23"/>
    <mergeCell ref="B24:B25"/>
    <mergeCell ref="B26:B27"/>
    <mergeCell ref="B28:B29"/>
    <mergeCell ref="C32:D32"/>
    <mergeCell ref="F32:J32"/>
  </mergeCells>
  <pageMargins left="0.7" right="0.7" top="0.75" bottom="0.75" header="0.3" footer="0.3"/>
  <pageSetup scale="88" orientation="portrait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FF69E-1BFA-47C0-8E7F-784F67544D0B}">
  <sheetPr>
    <pageSetUpPr fitToPage="1"/>
  </sheetPr>
  <dimension ref="A4:M35"/>
  <sheetViews>
    <sheetView topLeftCell="A22" zoomScale="115" zoomScaleNormal="115" workbookViewId="0">
      <selection activeCell="E46" activeCellId="1" sqref="C36:C37 E46:E47"/>
    </sheetView>
  </sheetViews>
  <sheetFormatPr defaultColWidth="9.140625" defaultRowHeight="15" x14ac:dyDescent="0.25"/>
  <cols>
    <col min="1" max="1" width="4" style="1" bestFit="1" customWidth="1"/>
    <col min="2" max="2" width="11.42578125" style="1" bestFit="1" customWidth="1"/>
    <col min="3" max="3" width="7.85546875" style="2" bestFit="1" customWidth="1"/>
    <col min="4" max="4" width="30.42578125" style="1" bestFit="1" customWidth="1"/>
    <col min="5" max="5" width="14.28515625" style="1" bestFit="1" customWidth="1"/>
    <col min="6" max="6" width="10.42578125" style="1" bestFit="1" customWidth="1"/>
    <col min="7" max="7" width="10.28515625" style="1" bestFit="1" customWidth="1"/>
    <col min="8" max="8" width="0.140625" style="1" customWidth="1"/>
    <col min="9" max="9" width="10.7109375" style="1" hidden="1" customWidth="1"/>
    <col min="10" max="10" width="11.7109375" style="1" customWidth="1"/>
    <col min="11" max="11" width="11.42578125" style="1" customWidth="1"/>
    <col min="12" max="16384" width="9.140625" style="1"/>
  </cols>
  <sheetData>
    <row r="4" spans="1:13" ht="15" customHeight="1" thickBot="1" x14ac:dyDescent="0.4">
      <c r="D4" s="3"/>
    </row>
    <row r="5" spans="1:13" ht="15.75" customHeight="1" x14ac:dyDescent="0.35">
      <c r="D5" s="3"/>
      <c r="L5" s="252" t="s">
        <v>346</v>
      </c>
      <c r="M5" s="252"/>
    </row>
    <row r="6" spans="1:13" ht="26.25" customHeight="1" x14ac:dyDescent="0.25">
      <c r="L6" s="253"/>
      <c r="M6" s="253"/>
    </row>
    <row r="7" spans="1:13" ht="26.25" customHeight="1" x14ac:dyDescent="0.35">
      <c r="C7" s="4"/>
      <c r="D7" s="3"/>
      <c r="G7" s="3" t="s">
        <v>347</v>
      </c>
      <c r="H7" s="3"/>
      <c r="I7" s="3"/>
      <c r="J7" s="5">
        <f ca="1">TODAY()</f>
        <v>46313</v>
      </c>
      <c r="L7" s="253"/>
      <c r="M7" s="253"/>
    </row>
    <row r="8" spans="1:13" ht="26.25" customHeight="1" x14ac:dyDescent="0.35">
      <c r="C8" s="4"/>
      <c r="D8" s="3"/>
      <c r="L8" s="253"/>
      <c r="M8" s="253"/>
    </row>
    <row r="9" spans="1:13" s="6" customFormat="1" ht="21" customHeight="1" x14ac:dyDescent="0.25">
      <c r="B9" s="7" t="s">
        <v>348</v>
      </c>
      <c r="C9" s="8"/>
      <c r="D9" s="9" t="s">
        <v>410</v>
      </c>
      <c r="E9" s="7" t="s">
        <v>349</v>
      </c>
      <c r="F9" s="9">
        <v>2</v>
      </c>
      <c r="G9" s="7" t="s">
        <v>350</v>
      </c>
      <c r="H9" s="7"/>
      <c r="I9" s="7"/>
      <c r="J9" s="10"/>
    </row>
    <row r="10" spans="1:13" ht="21" customHeight="1" x14ac:dyDescent="0.25"/>
    <row r="11" spans="1:13" ht="21" customHeight="1" thickBot="1" x14ac:dyDescent="0.3">
      <c r="B11" s="11" t="s">
        <v>351</v>
      </c>
      <c r="C11" s="12" t="s">
        <v>352</v>
      </c>
      <c r="D11" s="11" t="s">
        <v>353</v>
      </c>
      <c r="E11" s="11" t="s">
        <v>354</v>
      </c>
      <c r="F11" s="11" t="s">
        <v>0</v>
      </c>
      <c r="G11" s="11" t="s">
        <v>355</v>
      </c>
      <c r="H11" s="11"/>
      <c r="I11" s="11"/>
      <c r="J11" s="13"/>
    </row>
    <row r="12" spans="1:13" ht="21" customHeight="1" thickBot="1" x14ac:dyDescent="0.3">
      <c r="A12" s="1">
        <f>F9+0.1</f>
        <v>2.1</v>
      </c>
      <c r="B12" s="14">
        <v>1</v>
      </c>
      <c r="C12" s="15">
        <v>3836</v>
      </c>
      <c r="D12" s="16" t="s">
        <v>5</v>
      </c>
      <c r="E12" s="17" t="s">
        <v>6</v>
      </c>
      <c r="F12" s="18">
        <v>627</v>
      </c>
      <c r="G12" s="19">
        <v>2</v>
      </c>
      <c r="H12" s="20"/>
      <c r="I12" s="20"/>
      <c r="J12" s="1" t="str">
        <f>IF(ISBLANK(J11)," ",(E18+F18+G18+E20+F20+G20+H18+I18+H20+I20)/(E19+F19+G19+E21+F21+G21+H19+I19+H21+I21))</f>
        <v xml:space="preserve"> </v>
      </c>
    </row>
    <row r="13" spans="1:13" ht="21" customHeight="1" thickBot="1" x14ac:dyDescent="0.3">
      <c r="A13" s="1">
        <f>F9+0.2</f>
        <v>2.2000000000000002</v>
      </c>
      <c r="B13" s="14">
        <v>2</v>
      </c>
      <c r="C13" s="21">
        <v>4514</v>
      </c>
      <c r="D13" s="22" t="s">
        <v>37</v>
      </c>
      <c r="E13" s="23" t="s">
        <v>24</v>
      </c>
      <c r="F13" s="24">
        <v>478</v>
      </c>
      <c r="G13" s="25">
        <v>35</v>
      </c>
      <c r="H13" s="20"/>
      <c r="I13" s="20"/>
      <c r="J13" s="1" t="str">
        <f>IF(ISBLANK(J11)," ",(E21+F21+G21+E22+F22+G22+H21+I21+H22+I22)/(E20+F20+G20+E23+F23+G23+H20+I20+H23+I23))</f>
        <v xml:space="preserve"> </v>
      </c>
    </row>
    <row r="14" spans="1:13" ht="21" customHeight="1" thickBot="1" x14ac:dyDescent="0.3">
      <c r="A14" s="1">
        <f>+F9+0.3</f>
        <v>2.2999999999999998</v>
      </c>
      <c r="B14" s="14">
        <v>3</v>
      </c>
      <c r="C14" s="26">
        <v>4296</v>
      </c>
      <c r="D14" s="27" t="s">
        <v>70</v>
      </c>
      <c r="E14" s="28" t="s">
        <v>14</v>
      </c>
      <c r="F14" s="29">
        <v>465</v>
      </c>
      <c r="G14" s="30">
        <v>41</v>
      </c>
      <c r="H14" s="20"/>
      <c r="I14" s="20"/>
      <c r="J14" s="1" t="str">
        <f>IF(ISBLANK(J11)," ",(E19+F19+G19+E23+F23+G23+H19+I19+H23+I23)/(E18+F18+G18+E22+F22+G22+H18+I18+H22+I22))</f>
        <v xml:space="preserve"> </v>
      </c>
    </row>
    <row r="15" spans="1:13" ht="21" customHeight="1" x14ac:dyDescent="0.25"/>
    <row r="16" spans="1:13" ht="21" customHeight="1" thickBot="1" x14ac:dyDescent="0.3"/>
    <row r="17" spans="2:10" s="31" customFormat="1" ht="21" customHeight="1" thickBot="1" x14ac:dyDescent="0.3">
      <c r="B17" s="32" t="s">
        <v>356</v>
      </c>
      <c r="C17" s="33"/>
      <c r="D17" s="32" t="s">
        <v>357</v>
      </c>
      <c r="E17" s="33" t="s">
        <v>358</v>
      </c>
      <c r="F17" s="32" t="s">
        <v>359</v>
      </c>
      <c r="G17" s="34" t="s">
        <v>360</v>
      </c>
      <c r="H17" s="35" t="s">
        <v>361</v>
      </c>
      <c r="I17" s="36" t="s">
        <v>362</v>
      </c>
      <c r="J17" s="32" t="s">
        <v>363</v>
      </c>
    </row>
    <row r="18" spans="2:10" s="37" customFormat="1" ht="21" customHeight="1" thickBot="1" x14ac:dyDescent="0.3">
      <c r="B18" s="255">
        <v>1</v>
      </c>
      <c r="C18" s="12">
        <v>1</v>
      </c>
      <c r="D18" s="39" t="str">
        <f>D12</f>
        <v>LUCIANO QUIROS AVILA</v>
      </c>
      <c r="E18" s="12">
        <v>11</v>
      </c>
      <c r="F18" s="38">
        <v>11</v>
      </c>
      <c r="G18" s="40"/>
      <c r="H18" s="41"/>
      <c r="I18" s="42"/>
      <c r="J18" s="245" cm="1">
        <f t="array" ref="J18">IF(SUMPRODUCT(--(E18:I18&gt;E19:I19))&gt;SUMPRODUCT(--(E19:I19&gt;E18:I18)), C18,
IF(SUMPRODUCT(--(E19:I19&gt;E18:I18))&gt;SUMPRODUCT(--(E18:I18&gt;E19:I19)), C19, ""))</f>
        <v>1</v>
      </c>
    </row>
    <row r="19" spans="2:10" s="37" customFormat="1" ht="21" customHeight="1" thickBot="1" x14ac:dyDescent="0.3">
      <c r="B19" s="246"/>
      <c r="C19" s="44">
        <v>3</v>
      </c>
      <c r="D19" s="45" t="str">
        <f>D14</f>
        <v>SAÚL EMIR PÉREZ MEDINA</v>
      </c>
      <c r="E19" s="46">
        <v>4</v>
      </c>
      <c r="F19" s="47">
        <v>5</v>
      </c>
      <c r="G19" s="47"/>
      <c r="H19" s="41"/>
      <c r="I19" s="42"/>
      <c r="J19" s="246"/>
    </row>
    <row r="20" spans="2:10" s="37" customFormat="1" ht="21" customHeight="1" thickBot="1" x14ac:dyDescent="0.3">
      <c r="B20" s="245">
        <v>2</v>
      </c>
      <c r="C20" s="12">
        <v>1</v>
      </c>
      <c r="D20" s="39" t="str">
        <f>D12</f>
        <v>LUCIANO QUIROS AVILA</v>
      </c>
      <c r="E20" s="12">
        <v>11</v>
      </c>
      <c r="F20" s="38">
        <v>11</v>
      </c>
      <c r="G20" s="38"/>
      <c r="H20" s="41"/>
      <c r="I20" s="42"/>
      <c r="J20" s="245" cm="1">
        <f t="array" ref="J20">IF(SUMPRODUCT(--(E20:I20&gt;E21:I21))&gt;SUMPRODUCT(--(E21:I21&gt;E20:I20)), C20,
IF(SUMPRODUCT(--(E21:I21&gt;E20:I20))&gt;SUMPRODUCT(--(E20:I20&gt;E21:I21)), C21, ""))</f>
        <v>1</v>
      </c>
    </row>
    <row r="21" spans="2:10" s="37" customFormat="1" ht="21" customHeight="1" thickBot="1" x14ac:dyDescent="0.3">
      <c r="B21" s="246"/>
      <c r="C21" s="44">
        <v>2</v>
      </c>
      <c r="D21" s="45" t="str">
        <f>D13</f>
        <v>JOSUE DAVID TENORIO PANIAGUA</v>
      </c>
      <c r="E21" s="46">
        <v>6</v>
      </c>
      <c r="F21" s="47">
        <v>6</v>
      </c>
      <c r="G21" s="47"/>
      <c r="H21" s="41"/>
      <c r="I21" s="42"/>
      <c r="J21" s="246"/>
    </row>
    <row r="22" spans="2:10" s="37" customFormat="1" ht="21" customHeight="1" thickBot="1" x14ac:dyDescent="0.3">
      <c r="B22" s="245">
        <v>3</v>
      </c>
      <c r="C22" s="44">
        <v>2</v>
      </c>
      <c r="D22" s="45" t="str">
        <f>D13</f>
        <v>JOSUE DAVID TENORIO PANIAGUA</v>
      </c>
      <c r="E22" s="46">
        <v>11</v>
      </c>
      <c r="F22" s="47">
        <v>11</v>
      </c>
      <c r="G22" s="47"/>
      <c r="H22" s="41"/>
      <c r="I22" s="42"/>
      <c r="J22" s="245" cm="1">
        <f t="array" ref="J22">IF(SUMPRODUCT(--(E22:I22&gt;E23:I23))&gt;SUMPRODUCT(--(E23:I23&gt;E22:I22)), C22,
IF(SUMPRODUCT(--(E23:I23&gt;E22:I22))&gt;SUMPRODUCT(--(E22:I22&gt;E23:I23)), C23, ""))</f>
        <v>2</v>
      </c>
    </row>
    <row r="23" spans="2:10" s="37" customFormat="1" ht="21" customHeight="1" thickBot="1" x14ac:dyDescent="0.3">
      <c r="B23" s="246"/>
      <c r="C23" s="48">
        <v>3</v>
      </c>
      <c r="D23" s="49" t="str">
        <f>D14</f>
        <v>SAÚL EMIR PÉREZ MEDINA</v>
      </c>
      <c r="E23" s="48">
        <v>4</v>
      </c>
      <c r="F23" s="43">
        <v>6</v>
      </c>
      <c r="G23" s="43"/>
      <c r="H23" s="50"/>
      <c r="I23" s="51"/>
      <c r="J23" s="246"/>
    </row>
    <row r="24" spans="2:10" ht="6" customHeight="1" x14ac:dyDescent="0.25">
      <c r="B24" s="247"/>
      <c r="C24" s="52"/>
      <c r="D24" s="53"/>
      <c r="E24" s="53"/>
      <c r="F24" s="53"/>
      <c r="G24" s="53"/>
      <c r="H24" s="53"/>
      <c r="I24" s="53"/>
      <c r="J24" s="53"/>
    </row>
    <row r="25" spans="2:10" ht="6" customHeight="1" x14ac:dyDescent="0.25">
      <c r="B25" s="248"/>
      <c r="E25" s="53"/>
      <c r="F25" s="53"/>
      <c r="G25" s="53"/>
      <c r="H25" s="53"/>
      <c r="I25" s="53"/>
      <c r="J25" s="53"/>
    </row>
    <row r="26" spans="2:10" s="2" customFormat="1" ht="6" customHeight="1" x14ac:dyDescent="0.25">
      <c r="B26" s="248"/>
      <c r="E26" s="52"/>
      <c r="F26" s="52"/>
      <c r="G26" s="52"/>
      <c r="H26" s="52"/>
      <c r="I26" s="52"/>
      <c r="J26" s="52"/>
    </row>
    <row r="27" spans="2:10" ht="6" customHeight="1" x14ac:dyDescent="0.25">
      <c r="B27" s="248"/>
      <c r="E27" s="53"/>
      <c r="F27" s="53"/>
    </row>
    <row r="28" spans="2:10" ht="6" customHeight="1" x14ac:dyDescent="0.25">
      <c r="B28" s="249"/>
      <c r="E28" s="53"/>
      <c r="F28" s="53"/>
    </row>
    <row r="29" spans="2:10" ht="6" customHeight="1" x14ac:dyDescent="0.25">
      <c r="B29" s="249"/>
    </row>
    <row r="30" spans="2:10" ht="6" customHeight="1" x14ac:dyDescent="0.25"/>
    <row r="31" spans="2:10" ht="6" customHeight="1" thickBot="1" x14ac:dyDescent="0.3"/>
    <row r="32" spans="2:10" s="37" customFormat="1" ht="18" customHeight="1" thickBot="1" x14ac:dyDescent="0.3">
      <c r="C32" s="250" t="s">
        <v>364</v>
      </c>
      <c r="D32" s="251"/>
      <c r="F32" s="236" t="s">
        <v>365</v>
      </c>
      <c r="G32" s="237"/>
      <c r="H32" s="237"/>
      <c r="I32" s="237"/>
      <c r="J32" s="238"/>
    </row>
    <row r="33" spans="3:10" s="37" customFormat="1" ht="18" customHeight="1" thickBot="1" x14ac:dyDescent="0.3">
      <c r="C33" s="54" t="s">
        <v>366</v>
      </c>
      <c r="D33" s="54" t="s">
        <v>367</v>
      </c>
      <c r="F33" s="236" t="s">
        <v>368</v>
      </c>
      <c r="G33" s="237"/>
      <c r="H33" s="237"/>
      <c r="I33" s="237"/>
      <c r="J33" s="238"/>
    </row>
    <row r="34" spans="3:10" ht="25.5" customHeight="1" thickBot="1" x14ac:dyDescent="0.3">
      <c r="C34" s="55">
        <v>3836</v>
      </c>
      <c r="D34" s="56" t="s">
        <v>5</v>
      </c>
      <c r="F34" s="57" t="s">
        <v>369</v>
      </c>
      <c r="G34" s="239"/>
      <c r="H34" s="240"/>
      <c r="I34" s="240"/>
      <c r="J34" s="241"/>
    </row>
    <row r="35" spans="3:10" ht="25.5" customHeight="1" thickBot="1" x14ac:dyDescent="0.3">
      <c r="C35" s="55">
        <v>4514</v>
      </c>
      <c r="D35" s="56" t="s">
        <v>37</v>
      </c>
      <c r="F35" s="242" t="s">
        <v>370</v>
      </c>
      <c r="G35" s="243"/>
      <c r="H35" s="243"/>
      <c r="I35" s="244"/>
      <c r="J35" s="58"/>
    </row>
  </sheetData>
  <mergeCells count="15">
    <mergeCell ref="B22:B23"/>
    <mergeCell ref="J22:J23"/>
    <mergeCell ref="L5:M8"/>
    <mergeCell ref="B18:B19"/>
    <mergeCell ref="J18:J19"/>
    <mergeCell ref="B20:B21"/>
    <mergeCell ref="J20:J21"/>
    <mergeCell ref="G34:J34"/>
    <mergeCell ref="F35:I35"/>
    <mergeCell ref="B24:B25"/>
    <mergeCell ref="B26:B27"/>
    <mergeCell ref="B28:B29"/>
    <mergeCell ref="C32:D32"/>
    <mergeCell ref="F32:J32"/>
    <mergeCell ref="F33:J33"/>
  </mergeCells>
  <pageMargins left="0.7" right="0.7" top="0.75" bottom="0.75" header="0.3" footer="0.3"/>
  <pageSetup scale="90" orientation="portrait" horizontalDpi="360" verticalDpi="36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1323B-79AC-4D0F-8818-A533337A850C}">
  <sheetPr>
    <pageSetUpPr fitToPage="1"/>
  </sheetPr>
  <dimension ref="A4:M35"/>
  <sheetViews>
    <sheetView topLeftCell="A18" zoomScale="115" zoomScaleNormal="115" workbookViewId="0">
      <selection activeCell="E46" activeCellId="1" sqref="C36:C37 E46:E47"/>
    </sheetView>
  </sheetViews>
  <sheetFormatPr defaultColWidth="9.140625" defaultRowHeight="15" x14ac:dyDescent="0.25"/>
  <cols>
    <col min="1" max="1" width="4" style="1" bestFit="1" customWidth="1"/>
    <col min="2" max="2" width="11.42578125" style="1" bestFit="1" customWidth="1"/>
    <col min="3" max="3" width="7.85546875" style="2" bestFit="1" customWidth="1"/>
    <col min="4" max="4" width="31.42578125" style="1" bestFit="1" customWidth="1"/>
    <col min="5" max="5" width="11.42578125" style="1" bestFit="1" customWidth="1"/>
    <col min="6" max="6" width="10.42578125" style="1" bestFit="1" customWidth="1"/>
    <col min="7" max="7" width="10.28515625" style="1" bestFit="1" customWidth="1"/>
    <col min="8" max="8" width="0.140625" style="1" customWidth="1"/>
    <col min="9" max="9" width="10.7109375" style="1" hidden="1" customWidth="1"/>
    <col min="10" max="10" width="11.7109375" style="1" customWidth="1"/>
    <col min="11" max="11" width="11.42578125" style="1" customWidth="1"/>
    <col min="12" max="16384" width="9.140625" style="1"/>
  </cols>
  <sheetData>
    <row r="4" spans="1:13" ht="15" customHeight="1" thickBot="1" x14ac:dyDescent="0.4">
      <c r="D4" s="3"/>
    </row>
    <row r="5" spans="1:13" ht="15.75" customHeight="1" x14ac:dyDescent="0.35">
      <c r="D5" s="3"/>
      <c r="L5" s="252" t="s">
        <v>346</v>
      </c>
      <c r="M5" s="252"/>
    </row>
    <row r="6" spans="1:13" ht="26.25" customHeight="1" x14ac:dyDescent="0.25">
      <c r="L6" s="253"/>
      <c r="M6" s="253"/>
    </row>
    <row r="7" spans="1:13" ht="26.25" customHeight="1" x14ac:dyDescent="0.35">
      <c r="C7" s="4"/>
      <c r="D7" s="3"/>
      <c r="G7" s="3" t="s">
        <v>347</v>
      </c>
      <c r="H7" s="3"/>
      <c r="I7" s="3"/>
      <c r="J7" s="5">
        <f ca="1">TODAY()</f>
        <v>46313</v>
      </c>
      <c r="L7" s="253"/>
      <c r="M7" s="253"/>
    </row>
    <row r="8" spans="1:13" ht="26.25" customHeight="1" x14ac:dyDescent="0.35">
      <c r="C8" s="4"/>
      <c r="D8" s="3"/>
      <c r="L8" s="253"/>
      <c r="M8" s="253"/>
    </row>
    <row r="9" spans="1:13" s="6" customFormat="1" ht="21" customHeight="1" x14ac:dyDescent="0.25">
      <c r="B9" s="7" t="s">
        <v>348</v>
      </c>
      <c r="C9" s="8"/>
      <c r="D9" s="9" t="s">
        <v>410</v>
      </c>
      <c r="E9" s="7" t="s">
        <v>349</v>
      </c>
      <c r="F9" s="9">
        <v>3</v>
      </c>
      <c r="G9" s="7" t="s">
        <v>350</v>
      </c>
      <c r="H9" s="7"/>
      <c r="I9" s="7"/>
      <c r="J9" s="10"/>
    </row>
    <row r="10" spans="1:13" ht="21" customHeight="1" x14ac:dyDescent="0.25"/>
    <row r="11" spans="1:13" ht="21" customHeight="1" thickBot="1" x14ac:dyDescent="0.3">
      <c r="B11" s="11" t="s">
        <v>351</v>
      </c>
      <c r="C11" s="12" t="s">
        <v>352</v>
      </c>
      <c r="D11" s="11" t="s">
        <v>353</v>
      </c>
      <c r="E11" s="11" t="s">
        <v>354</v>
      </c>
      <c r="F11" s="11" t="s">
        <v>0</v>
      </c>
      <c r="G11" s="11" t="s">
        <v>355</v>
      </c>
      <c r="H11" s="11"/>
      <c r="I11" s="11"/>
      <c r="J11" s="13"/>
    </row>
    <row r="12" spans="1:13" ht="21" customHeight="1" thickBot="1" x14ac:dyDescent="0.3">
      <c r="A12" s="1">
        <f>F9+0.1</f>
        <v>3.1</v>
      </c>
      <c r="B12" s="14">
        <v>1</v>
      </c>
      <c r="C12" s="15">
        <v>4058</v>
      </c>
      <c r="D12" s="16" t="s">
        <v>7</v>
      </c>
      <c r="E12" s="17" t="s">
        <v>8</v>
      </c>
      <c r="F12" s="18">
        <v>623</v>
      </c>
      <c r="G12" s="19">
        <v>3</v>
      </c>
      <c r="H12" s="20"/>
      <c r="I12" s="20"/>
      <c r="J12" s="1" t="str">
        <f>IF(ISBLANK(J11)," ",(E18+F18+G18+E20+F20+G20+H18+I18+H20+I20)/(E19+F19+G19+E21+F21+G21+H19+I19+H21+I21))</f>
        <v xml:space="preserve"> </v>
      </c>
    </row>
    <row r="13" spans="1:13" ht="21" customHeight="1" thickBot="1" x14ac:dyDescent="0.3">
      <c r="A13" s="1">
        <f>F9+0.2</f>
        <v>3.2</v>
      </c>
      <c r="B13" s="14">
        <v>2</v>
      </c>
      <c r="C13" s="21">
        <v>4288</v>
      </c>
      <c r="D13" s="22" t="s">
        <v>35</v>
      </c>
      <c r="E13" s="23" t="s">
        <v>6</v>
      </c>
      <c r="F13" s="24">
        <v>480</v>
      </c>
      <c r="G13" s="25">
        <v>34</v>
      </c>
      <c r="H13" s="20"/>
      <c r="I13" s="20"/>
      <c r="J13" s="1" t="str">
        <f>IF(ISBLANK(J11)," ",(E21+F21+G21+E22+F22+G22+H21+I21+H22+I22)/(E20+F20+G20+E23+F23+G23+H20+I20+H23+I23))</f>
        <v xml:space="preserve"> </v>
      </c>
    </row>
    <row r="14" spans="1:13" ht="21" customHeight="1" thickBot="1" x14ac:dyDescent="0.3">
      <c r="A14" s="1">
        <f>+F9+0.3</f>
        <v>3.3</v>
      </c>
      <c r="B14" s="14">
        <v>3</v>
      </c>
      <c r="C14" s="26">
        <v>4795</v>
      </c>
      <c r="D14" s="27" t="s">
        <v>67</v>
      </c>
      <c r="E14" s="28" t="s">
        <v>57</v>
      </c>
      <c r="F14" s="29">
        <v>461</v>
      </c>
      <c r="G14" s="30">
        <v>42</v>
      </c>
      <c r="H14" s="20"/>
      <c r="I14" s="20"/>
      <c r="J14" s="1" t="str">
        <f>IF(ISBLANK(J11)," ",(E19+F19+G19+E23+F23+G23+H19+I19+H23+I23)/(E18+F18+G18+E22+F22+G22+H18+I18+H22+I22))</f>
        <v xml:space="preserve"> </v>
      </c>
    </row>
    <row r="15" spans="1:13" ht="21" customHeight="1" x14ac:dyDescent="0.25"/>
    <row r="16" spans="1:13" ht="21" customHeight="1" thickBot="1" x14ac:dyDescent="0.3"/>
    <row r="17" spans="2:10" s="31" customFormat="1" ht="21" customHeight="1" thickBot="1" x14ac:dyDescent="0.3">
      <c r="B17" s="32" t="s">
        <v>356</v>
      </c>
      <c r="C17" s="33"/>
      <c r="D17" s="32" t="s">
        <v>357</v>
      </c>
      <c r="E17" s="33" t="s">
        <v>358</v>
      </c>
      <c r="F17" s="32" t="s">
        <v>359</v>
      </c>
      <c r="G17" s="34" t="s">
        <v>360</v>
      </c>
      <c r="H17" s="35" t="s">
        <v>361</v>
      </c>
      <c r="I17" s="36" t="s">
        <v>362</v>
      </c>
      <c r="J17" s="32" t="s">
        <v>363</v>
      </c>
    </row>
    <row r="18" spans="2:10" s="37" customFormat="1" ht="21" customHeight="1" thickBot="1" x14ac:dyDescent="0.3">
      <c r="B18" s="255">
        <v>1</v>
      </c>
      <c r="C18" s="12">
        <v>1</v>
      </c>
      <c r="D18" s="39" t="str">
        <f>D12</f>
        <v>JOSE PABLO ARAYA VILLALOBOS</v>
      </c>
      <c r="E18" s="12">
        <v>11</v>
      </c>
      <c r="F18" s="38">
        <v>11</v>
      </c>
      <c r="G18" s="40"/>
      <c r="H18" s="41"/>
      <c r="I18" s="42"/>
      <c r="J18" s="245" cm="1">
        <f t="array" ref="J18">IF(SUMPRODUCT(--(E18:I18&gt;E19:I19))&gt;SUMPRODUCT(--(E19:I19&gt;E18:I18)), C18,
IF(SUMPRODUCT(--(E19:I19&gt;E18:I18))&gt;SUMPRODUCT(--(E18:I18&gt;E19:I19)), C19, ""))</f>
        <v>1</v>
      </c>
    </row>
    <row r="19" spans="2:10" s="37" customFormat="1" ht="21" customHeight="1" thickBot="1" x14ac:dyDescent="0.3">
      <c r="B19" s="246"/>
      <c r="C19" s="44">
        <v>3</v>
      </c>
      <c r="D19" s="45" t="str">
        <f>D14</f>
        <v>EMANUEL LEANDRO PERAZA ALFARO</v>
      </c>
      <c r="E19" s="46">
        <v>1</v>
      </c>
      <c r="F19" s="47">
        <v>2</v>
      </c>
      <c r="G19" s="47"/>
      <c r="H19" s="41"/>
      <c r="I19" s="42"/>
      <c r="J19" s="246"/>
    </row>
    <row r="20" spans="2:10" s="37" customFormat="1" ht="21" customHeight="1" thickBot="1" x14ac:dyDescent="0.3">
      <c r="B20" s="245">
        <v>2</v>
      </c>
      <c r="C20" s="12">
        <v>1</v>
      </c>
      <c r="D20" s="39" t="str">
        <f>D12</f>
        <v>JOSE PABLO ARAYA VILLALOBOS</v>
      </c>
      <c r="E20" s="12">
        <v>11</v>
      </c>
      <c r="F20" s="38">
        <v>11</v>
      </c>
      <c r="G20" s="38"/>
      <c r="H20" s="41"/>
      <c r="I20" s="42"/>
      <c r="J20" s="245" cm="1">
        <f t="array" ref="J20">IF(SUMPRODUCT(--(E20:I20&gt;E21:I21))&gt;SUMPRODUCT(--(E21:I21&gt;E20:I20)), C20,
IF(SUMPRODUCT(--(E21:I21&gt;E20:I20))&gt;SUMPRODUCT(--(E20:I20&gt;E21:I21)), C21, ""))</f>
        <v>1</v>
      </c>
    </row>
    <row r="21" spans="2:10" s="37" customFormat="1" ht="21" customHeight="1" thickBot="1" x14ac:dyDescent="0.3">
      <c r="B21" s="246"/>
      <c r="C21" s="44">
        <v>2</v>
      </c>
      <c r="D21" s="45" t="str">
        <f>D13</f>
        <v>FRANKLING CHEN FENG</v>
      </c>
      <c r="E21" s="46">
        <v>4</v>
      </c>
      <c r="F21" s="47">
        <v>4</v>
      </c>
      <c r="G21" s="47"/>
      <c r="H21" s="41"/>
      <c r="I21" s="42"/>
      <c r="J21" s="246"/>
    </row>
    <row r="22" spans="2:10" s="37" customFormat="1" ht="21" customHeight="1" thickBot="1" x14ac:dyDescent="0.3">
      <c r="B22" s="245">
        <v>3</v>
      </c>
      <c r="C22" s="44">
        <v>2</v>
      </c>
      <c r="D22" s="45" t="str">
        <f>D13</f>
        <v>FRANKLING CHEN FENG</v>
      </c>
      <c r="E22" s="46">
        <v>11</v>
      </c>
      <c r="F22" s="47">
        <v>11</v>
      </c>
      <c r="G22" s="47"/>
      <c r="H22" s="41"/>
      <c r="I22" s="42"/>
      <c r="J22" s="245" cm="1">
        <f t="array" ref="J22">IF(SUMPRODUCT(--(E22:I22&gt;E23:I23))&gt;SUMPRODUCT(--(E23:I23&gt;E22:I22)), C22,
IF(SUMPRODUCT(--(E23:I23&gt;E22:I22))&gt;SUMPRODUCT(--(E22:I22&gt;E23:I23)), C23, ""))</f>
        <v>2</v>
      </c>
    </row>
    <row r="23" spans="2:10" s="37" customFormat="1" ht="21" customHeight="1" thickBot="1" x14ac:dyDescent="0.3">
      <c r="B23" s="246"/>
      <c r="C23" s="48">
        <v>3</v>
      </c>
      <c r="D23" s="49" t="str">
        <f>D14</f>
        <v>EMANUEL LEANDRO PERAZA ALFARO</v>
      </c>
      <c r="E23" s="48">
        <v>3</v>
      </c>
      <c r="F23" s="43">
        <v>0</v>
      </c>
      <c r="G23" s="43"/>
      <c r="H23" s="50"/>
      <c r="I23" s="51"/>
      <c r="J23" s="246"/>
    </row>
    <row r="24" spans="2:10" ht="6" customHeight="1" x14ac:dyDescent="0.25">
      <c r="B24" s="247"/>
      <c r="C24" s="52"/>
      <c r="D24" s="53"/>
      <c r="E24" s="53"/>
      <c r="F24" s="53"/>
      <c r="G24" s="53"/>
      <c r="H24" s="53"/>
      <c r="I24" s="53"/>
      <c r="J24" s="53"/>
    </row>
    <row r="25" spans="2:10" ht="6" customHeight="1" x14ac:dyDescent="0.25">
      <c r="B25" s="248"/>
      <c r="E25" s="53"/>
      <c r="F25" s="53"/>
      <c r="G25" s="53"/>
      <c r="H25" s="53"/>
      <c r="I25" s="53"/>
      <c r="J25" s="53"/>
    </row>
    <row r="26" spans="2:10" s="2" customFormat="1" ht="6" customHeight="1" x14ac:dyDescent="0.25">
      <c r="B26" s="248"/>
      <c r="E26" s="52"/>
      <c r="F26" s="52"/>
      <c r="G26" s="52"/>
      <c r="H26" s="52"/>
      <c r="I26" s="52"/>
      <c r="J26" s="52"/>
    </row>
    <row r="27" spans="2:10" ht="6" customHeight="1" x14ac:dyDescent="0.25">
      <c r="B27" s="248"/>
      <c r="E27" s="53"/>
      <c r="F27" s="53"/>
    </row>
    <row r="28" spans="2:10" ht="6" customHeight="1" x14ac:dyDescent="0.25">
      <c r="B28" s="249"/>
      <c r="E28" s="53"/>
      <c r="F28" s="53"/>
    </row>
    <row r="29" spans="2:10" ht="6" customHeight="1" x14ac:dyDescent="0.25">
      <c r="B29" s="249"/>
    </row>
    <row r="30" spans="2:10" ht="6" customHeight="1" x14ac:dyDescent="0.25"/>
    <row r="31" spans="2:10" ht="6" customHeight="1" thickBot="1" x14ac:dyDescent="0.3"/>
    <row r="32" spans="2:10" s="37" customFormat="1" ht="18" customHeight="1" thickBot="1" x14ac:dyDescent="0.3">
      <c r="C32" s="250" t="s">
        <v>364</v>
      </c>
      <c r="D32" s="251"/>
      <c r="F32" s="236" t="s">
        <v>365</v>
      </c>
      <c r="G32" s="237"/>
      <c r="H32" s="237"/>
      <c r="I32" s="237"/>
      <c r="J32" s="238"/>
    </row>
    <row r="33" spans="3:10" s="37" customFormat="1" ht="18" customHeight="1" thickBot="1" x14ac:dyDescent="0.3">
      <c r="C33" s="54" t="s">
        <v>366</v>
      </c>
      <c r="D33" s="54" t="s">
        <v>367</v>
      </c>
      <c r="F33" s="236" t="s">
        <v>368</v>
      </c>
      <c r="G33" s="237"/>
      <c r="H33" s="237"/>
      <c r="I33" s="237"/>
      <c r="J33" s="238"/>
    </row>
    <row r="34" spans="3:10" ht="25.5" customHeight="1" thickBot="1" x14ac:dyDescent="0.3">
      <c r="C34" s="55">
        <v>4058</v>
      </c>
      <c r="D34" s="56" t="s">
        <v>7</v>
      </c>
      <c r="F34" s="57" t="s">
        <v>369</v>
      </c>
      <c r="G34" s="239"/>
      <c r="H34" s="240"/>
      <c r="I34" s="240"/>
      <c r="J34" s="241"/>
    </row>
    <row r="35" spans="3:10" ht="25.5" customHeight="1" thickBot="1" x14ac:dyDescent="0.3">
      <c r="C35" s="55">
        <v>4288</v>
      </c>
      <c r="D35" s="56" t="s">
        <v>35</v>
      </c>
      <c r="F35" s="242" t="s">
        <v>370</v>
      </c>
      <c r="G35" s="243"/>
      <c r="H35" s="243"/>
      <c r="I35" s="244"/>
      <c r="J35" s="58"/>
    </row>
  </sheetData>
  <mergeCells count="15">
    <mergeCell ref="B22:B23"/>
    <mergeCell ref="J22:J23"/>
    <mergeCell ref="L5:M8"/>
    <mergeCell ref="B18:B19"/>
    <mergeCell ref="J18:J19"/>
    <mergeCell ref="B20:B21"/>
    <mergeCell ref="J20:J21"/>
    <mergeCell ref="G34:J34"/>
    <mergeCell ref="F35:I35"/>
    <mergeCell ref="B24:B25"/>
    <mergeCell ref="B26:B27"/>
    <mergeCell ref="B28:B29"/>
    <mergeCell ref="C32:D32"/>
    <mergeCell ref="F32:J32"/>
    <mergeCell ref="F33:J33"/>
  </mergeCells>
  <pageMargins left="0.7" right="0.7" top="0.75" bottom="0.75" header="0.3" footer="0.3"/>
  <pageSetup scale="92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89730-4B1F-4715-A358-BA60CBB3E5CF}">
  <sheetPr>
    <pageSetUpPr fitToPage="1"/>
  </sheetPr>
  <dimension ref="A4:M35"/>
  <sheetViews>
    <sheetView topLeftCell="A14" zoomScale="115" zoomScaleNormal="115" workbookViewId="0">
      <selection activeCell="E46" activeCellId="1" sqref="C36:C37 E46:E47"/>
    </sheetView>
  </sheetViews>
  <sheetFormatPr defaultColWidth="9.140625" defaultRowHeight="15" x14ac:dyDescent="0.25"/>
  <cols>
    <col min="1" max="1" width="4" style="1" bestFit="1" customWidth="1"/>
    <col min="2" max="2" width="11.42578125" style="1" bestFit="1" customWidth="1"/>
    <col min="3" max="3" width="7.85546875" style="2" bestFit="1" customWidth="1"/>
    <col min="4" max="4" width="30.5703125" style="1" bestFit="1" customWidth="1"/>
    <col min="5" max="5" width="11.7109375" style="1" bestFit="1" customWidth="1"/>
    <col min="6" max="6" width="10.42578125" style="1" bestFit="1" customWidth="1"/>
    <col min="7" max="7" width="10.28515625" style="1" bestFit="1" customWidth="1"/>
    <col min="8" max="8" width="0.140625" style="1" customWidth="1"/>
    <col min="9" max="9" width="10.7109375" style="1" hidden="1" customWidth="1"/>
    <col min="10" max="10" width="11.7109375" style="1" customWidth="1"/>
    <col min="11" max="11" width="11.42578125" style="1" customWidth="1"/>
    <col min="12" max="16384" width="9.140625" style="1"/>
  </cols>
  <sheetData>
    <row r="4" spans="1:13" ht="15" customHeight="1" thickBot="1" x14ac:dyDescent="0.4">
      <c r="D4" s="3"/>
    </row>
    <row r="5" spans="1:13" ht="15.75" customHeight="1" x14ac:dyDescent="0.35">
      <c r="D5" s="3"/>
      <c r="L5" s="252" t="s">
        <v>346</v>
      </c>
      <c r="M5" s="252"/>
    </row>
    <row r="6" spans="1:13" ht="26.25" customHeight="1" x14ac:dyDescent="0.25">
      <c r="L6" s="253"/>
      <c r="M6" s="253"/>
    </row>
    <row r="7" spans="1:13" ht="26.25" customHeight="1" x14ac:dyDescent="0.35">
      <c r="C7" s="4"/>
      <c r="D7" s="3"/>
      <c r="G7" s="3" t="s">
        <v>347</v>
      </c>
      <c r="H7" s="3"/>
      <c r="I7" s="3"/>
      <c r="J7" s="5">
        <f ca="1">TODAY()</f>
        <v>46313</v>
      </c>
      <c r="L7" s="253"/>
      <c r="M7" s="253"/>
    </row>
    <row r="8" spans="1:13" ht="26.25" customHeight="1" x14ac:dyDescent="0.35">
      <c r="C8" s="4"/>
      <c r="D8" s="3"/>
      <c r="L8" s="253"/>
      <c r="M8" s="253"/>
    </row>
    <row r="9" spans="1:13" s="6" customFormat="1" ht="21" customHeight="1" x14ac:dyDescent="0.25">
      <c r="B9" s="7" t="s">
        <v>348</v>
      </c>
      <c r="C9" s="8"/>
      <c r="D9" s="9" t="s">
        <v>410</v>
      </c>
      <c r="E9" s="7" t="s">
        <v>349</v>
      </c>
      <c r="F9" s="9">
        <v>4</v>
      </c>
      <c r="G9" s="7" t="s">
        <v>350</v>
      </c>
      <c r="H9" s="7"/>
      <c r="I9" s="7"/>
      <c r="J9" s="10"/>
    </row>
    <row r="10" spans="1:13" ht="21" customHeight="1" x14ac:dyDescent="0.25"/>
    <row r="11" spans="1:13" ht="21" customHeight="1" thickBot="1" x14ac:dyDescent="0.3">
      <c r="B11" s="11" t="s">
        <v>351</v>
      </c>
      <c r="C11" s="12" t="s">
        <v>352</v>
      </c>
      <c r="D11" s="11" t="s">
        <v>353</v>
      </c>
      <c r="E11" s="11" t="s">
        <v>354</v>
      </c>
      <c r="F11" s="11" t="s">
        <v>0</v>
      </c>
      <c r="G11" s="11" t="s">
        <v>355</v>
      </c>
      <c r="H11" s="11"/>
      <c r="I11" s="11"/>
      <c r="J11" s="13"/>
    </row>
    <row r="12" spans="1:13" ht="21" customHeight="1" thickBot="1" x14ac:dyDescent="0.3">
      <c r="A12" s="1">
        <f>F9+0.1</f>
        <v>4.0999999999999996</v>
      </c>
      <c r="B12" s="14">
        <v>1</v>
      </c>
      <c r="C12" s="15">
        <v>4297</v>
      </c>
      <c r="D12" s="16" t="s">
        <v>13</v>
      </c>
      <c r="E12" s="17" t="s">
        <v>14</v>
      </c>
      <c r="F12" s="18">
        <v>614</v>
      </c>
      <c r="G12" s="19">
        <v>4</v>
      </c>
      <c r="H12" s="20"/>
      <c r="I12" s="20"/>
      <c r="J12" s="1" t="str">
        <f>IF(ISBLANK(J11)," ",(E18+F18+G18+E20+F20+G20+H18+I18+H20+I20)/(E19+F19+G19+E21+F21+G21+H19+I19+H21+I21))</f>
        <v xml:space="preserve"> </v>
      </c>
    </row>
    <row r="13" spans="1:13" ht="21" customHeight="1" thickBot="1" x14ac:dyDescent="0.3">
      <c r="A13" s="1">
        <f>F9+0.2</f>
        <v>4.2</v>
      </c>
      <c r="B13" s="14">
        <v>2</v>
      </c>
      <c r="C13" s="21">
        <v>4227</v>
      </c>
      <c r="D13" s="22" t="s">
        <v>39</v>
      </c>
      <c r="E13" s="23" t="s">
        <v>40</v>
      </c>
      <c r="F13" s="24">
        <v>482</v>
      </c>
      <c r="G13" s="25">
        <v>31</v>
      </c>
      <c r="H13" s="20"/>
      <c r="I13" s="20"/>
      <c r="J13" s="1" t="str">
        <f>IF(ISBLANK(J11)," ",(E21+F21+G21+E22+F22+G22+H21+I21+H22+I22)/(E20+F20+G20+E23+F23+G23+H20+I20+H23+I23))</f>
        <v xml:space="preserve"> </v>
      </c>
    </row>
    <row r="14" spans="1:13" ht="21" customHeight="1" thickBot="1" x14ac:dyDescent="0.3">
      <c r="A14" s="1">
        <f>+F9+0.3</f>
        <v>4.3</v>
      </c>
      <c r="B14" s="14">
        <v>3</v>
      </c>
      <c r="C14" s="26">
        <v>4252</v>
      </c>
      <c r="D14" s="27" t="s">
        <v>60</v>
      </c>
      <c r="E14" s="28" t="s">
        <v>61</v>
      </c>
      <c r="F14" s="29">
        <v>460</v>
      </c>
      <c r="G14" s="30">
        <v>44</v>
      </c>
      <c r="H14" s="20"/>
      <c r="I14" s="20"/>
      <c r="J14" s="1" t="str">
        <f>IF(ISBLANK(J11)," ",(E19+F19+G19+E23+F23+G23+H19+I19+H23+I23)/(E18+F18+G18+E22+F22+G22+H18+I18+H22+I22))</f>
        <v xml:space="preserve"> </v>
      </c>
    </row>
    <row r="15" spans="1:13" ht="21" customHeight="1" x14ac:dyDescent="0.25"/>
    <row r="16" spans="1:13" ht="21" customHeight="1" thickBot="1" x14ac:dyDescent="0.3"/>
    <row r="17" spans="2:10" s="31" customFormat="1" ht="21" customHeight="1" thickBot="1" x14ac:dyDescent="0.3">
      <c r="B17" s="32" t="s">
        <v>356</v>
      </c>
      <c r="C17" s="33"/>
      <c r="D17" s="32" t="s">
        <v>357</v>
      </c>
      <c r="E17" s="33" t="s">
        <v>358</v>
      </c>
      <c r="F17" s="32" t="s">
        <v>359</v>
      </c>
      <c r="G17" s="34" t="s">
        <v>360</v>
      </c>
      <c r="H17" s="35" t="s">
        <v>361</v>
      </c>
      <c r="I17" s="36" t="s">
        <v>362</v>
      </c>
      <c r="J17" s="32" t="s">
        <v>363</v>
      </c>
    </row>
    <row r="18" spans="2:10" s="37" customFormat="1" ht="21" customHeight="1" thickBot="1" x14ac:dyDescent="0.3">
      <c r="B18" s="255">
        <v>1</v>
      </c>
      <c r="C18" s="12">
        <v>1</v>
      </c>
      <c r="D18" s="39" t="str">
        <f>D12</f>
        <v>JESÉ DAVID CHAVES MUÑOZ</v>
      </c>
      <c r="E18" s="12">
        <v>11</v>
      </c>
      <c r="F18" s="38">
        <v>11</v>
      </c>
      <c r="G18" s="40"/>
      <c r="H18" s="41"/>
      <c r="I18" s="42"/>
      <c r="J18" s="245" cm="1">
        <f t="array" ref="J18">IF(SUMPRODUCT(--(E18:I18&gt;E19:I19))&gt;SUMPRODUCT(--(E19:I19&gt;E18:I18)), C18,
IF(SUMPRODUCT(--(E19:I19&gt;E18:I18))&gt;SUMPRODUCT(--(E18:I18&gt;E19:I19)), C19, ""))</f>
        <v>1</v>
      </c>
    </row>
    <row r="19" spans="2:10" s="37" customFormat="1" ht="21" customHeight="1" thickBot="1" x14ac:dyDescent="0.3">
      <c r="B19" s="246"/>
      <c r="C19" s="44">
        <v>3</v>
      </c>
      <c r="D19" s="45" t="str">
        <f>D14</f>
        <v>MATTEUS SERRANO VARGAS</v>
      </c>
      <c r="E19" s="46">
        <v>0</v>
      </c>
      <c r="F19" s="47">
        <v>0</v>
      </c>
      <c r="G19" s="47"/>
      <c r="H19" s="41"/>
      <c r="I19" s="42"/>
      <c r="J19" s="246"/>
    </row>
    <row r="20" spans="2:10" s="37" customFormat="1" ht="21" customHeight="1" thickBot="1" x14ac:dyDescent="0.3">
      <c r="B20" s="245">
        <v>2</v>
      </c>
      <c r="C20" s="12">
        <v>1</v>
      </c>
      <c r="D20" s="39" t="str">
        <f>D12</f>
        <v>JESÉ DAVID CHAVES MUÑOZ</v>
      </c>
      <c r="E20" s="12">
        <v>5</v>
      </c>
      <c r="F20" s="38">
        <v>11</v>
      </c>
      <c r="G20" s="38">
        <v>11</v>
      </c>
      <c r="H20" s="41"/>
      <c r="I20" s="42"/>
      <c r="J20" s="245" cm="1">
        <f t="array" ref="J20">IF(SUMPRODUCT(--(E20:I20&gt;E21:I21))&gt;SUMPRODUCT(--(E21:I21&gt;E20:I20)), C20,
IF(SUMPRODUCT(--(E21:I21&gt;E20:I20))&gt;SUMPRODUCT(--(E20:I20&gt;E21:I21)), C21, ""))</f>
        <v>1</v>
      </c>
    </row>
    <row r="21" spans="2:10" s="37" customFormat="1" ht="21" customHeight="1" thickBot="1" x14ac:dyDescent="0.3">
      <c r="B21" s="246"/>
      <c r="C21" s="44">
        <v>2</v>
      </c>
      <c r="D21" s="45" t="str">
        <f>D13</f>
        <v>ISAAC GUTIERREZ CHACON</v>
      </c>
      <c r="E21" s="46">
        <v>11</v>
      </c>
      <c r="F21" s="47">
        <v>3</v>
      </c>
      <c r="G21" s="47">
        <v>8</v>
      </c>
      <c r="H21" s="41"/>
      <c r="I21" s="42"/>
      <c r="J21" s="246"/>
    </row>
    <row r="22" spans="2:10" s="37" customFormat="1" ht="21" customHeight="1" thickBot="1" x14ac:dyDescent="0.3">
      <c r="B22" s="245">
        <v>3</v>
      </c>
      <c r="C22" s="44">
        <v>2</v>
      </c>
      <c r="D22" s="45" t="str">
        <f>D13</f>
        <v>ISAAC GUTIERREZ CHACON</v>
      </c>
      <c r="E22" s="46">
        <v>11</v>
      </c>
      <c r="F22" s="47">
        <v>11</v>
      </c>
      <c r="G22" s="47"/>
      <c r="H22" s="41"/>
      <c r="I22" s="42"/>
      <c r="J22" s="245" cm="1">
        <f t="array" ref="J22">IF(SUMPRODUCT(--(E22:I22&gt;E23:I23))&gt;SUMPRODUCT(--(E23:I23&gt;E22:I22)), C22,
IF(SUMPRODUCT(--(E23:I23&gt;E22:I22))&gt;SUMPRODUCT(--(E22:I22&gt;E23:I23)), C23, ""))</f>
        <v>2</v>
      </c>
    </row>
    <row r="23" spans="2:10" s="37" customFormat="1" ht="21" customHeight="1" thickBot="1" x14ac:dyDescent="0.3">
      <c r="B23" s="246"/>
      <c r="C23" s="48">
        <v>3</v>
      </c>
      <c r="D23" s="49" t="str">
        <f>D14</f>
        <v>MATTEUS SERRANO VARGAS</v>
      </c>
      <c r="E23" s="48">
        <v>0</v>
      </c>
      <c r="F23" s="43">
        <v>0</v>
      </c>
      <c r="G23" s="43"/>
      <c r="H23" s="50"/>
      <c r="I23" s="51"/>
      <c r="J23" s="246"/>
    </row>
    <row r="24" spans="2:10" ht="6" customHeight="1" x14ac:dyDescent="0.25">
      <c r="B24" s="247"/>
      <c r="C24" s="52"/>
      <c r="D24" s="53"/>
      <c r="E24" s="53"/>
      <c r="F24" s="53"/>
      <c r="G24" s="53"/>
      <c r="H24" s="53"/>
      <c r="I24" s="53"/>
      <c r="J24" s="53"/>
    </row>
    <row r="25" spans="2:10" ht="6" customHeight="1" x14ac:dyDescent="0.25">
      <c r="B25" s="248"/>
      <c r="E25" s="53"/>
      <c r="F25" s="53"/>
      <c r="G25" s="53"/>
      <c r="H25" s="53"/>
      <c r="I25" s="53"/>
      <c r="J25" s="53"/>
    </row>
    <row r="26" spans="2:10" s="2" customFormat="1" ht="6" customHeight="1" x14ac:dyDescent="0.25">
      <c r="B26" s="248"/>
      <c r="E26" s="52"/>
      <c r="F26" s="52"/>
      <c r="G26" s="52"/>
      <c r="H26" s="52"/>
      <c r="I26" s="52"/>
      <c r="J26" s="52"/>
    </row>
    <row r="27" spans="2:10" ht="6" customHeight="1" x14ac:dyDescent="0.25">
      <c r="B27" s="248"/>
      <c r="E27" s="53"/>
      <c r="F27" s="53"/>
    </row>
    <row r="28" spans="2:10" ht="6" customHeight="1" x14ac:dyDescent="0.25">
      <c r="B28" s="249"/>
      <c r="E28" s="53"/>
      <c r="F28" s="53"/>
    </row>
    <row r="29" spans="2:10" ht="6" customHeight="1" x14ac:dyDescent="0.25">
      <c r="B29" s="249"/>
    </row>
    <row r="30" spans="2:10" ht="6" customHeight="1" x14ac:dyDescent="0.25"/>
    <row r="31" spans="2:10" ht="6" customHeight="1" thickBot="1" x14ac:dyDescent="0.3"/>
    <row r="32" spans="2:10" s="37" customFormat="1" ht="18" customHeight="1" thickBot="1" x14ac:dyDescent="0.3">
      <c r="C32" s="250" t="s">
        <v>364</v>
      </c>
      <c r="D32" s="251"/>
      <c r="F32" s="236" t="s">
        <v>365</v>
      </c>
      <c r="G32" s="237"/>
      <c r="H32" s="237"/>
      <c r="I32" s="237"/>
      <c r="J32" s="238"/>
    </row>
    <row r="33" spans="3:10" s="37" customFormat="1" ht="18" customHeight="1" thickBot="1" x14ac:dyDescent="0.3">
      <c r="C33" s="54" t="s">
        <v>366</v>
      </c>
      <c r="D33" s="54" t="s">
        <v>367</v>
      </c>
      <c r="F33" s="236" t="s">
        <v>368</v>
      </c>
      <c r="G33" s="237"/>
      <c r="H33" s="237"/>
      <c r="I33" s="237"/>
      <c r="J33" s="238"/>
    </row>
    <row r="34" spans="3:10" ht="25.5" customHeight="1" thickBot="1" x14ac:dyDescent="0.3">
      <c r="C34" s="55">
        <v>4297</v>
      </c>
      <c r="D34" s="56" t="s">
        <v>13</v>
      </c>
      <c r="F34" s="57" t="s">
        <v>369</v>
      </c>
      <c r="G34" s="239"/>
      <c r="H34" s="240"/>
      <c r="I34" s="240"/>
      <c r="J34" s="241"/>
    </row>
    <row r="35" spans="3:10" ht="25.5" customHeight="1" thickBot="1" x14ac:dyDescent="0.3">
      <c r="C35" s="55">
        <v>4227</v>
      </c>
      <c r="D35" s="56" t="s">
        <v>39</v>
      </c>
      <c r="F35" s="242" t="s">
        <v>370</v>
      </c>
      <c r="G35" s="243"/>
      <c r="H35" s="243"/>
      <c r="I35" s="244"/>
      <c r="J35" s="58"/>
    </row>
  </sheetData>
  <mergeCells count="15">
    <mergeCell ref="B22:B23"/>
    <mergeCell ref="J22:J23"/>
    <mergeCell ref="L5:M8"/>
    <mergeCell ref="B18:B19"/>
    <mergeCell ref="J18:J19"/>
    <mergeCell ref="B20:B21"/>
    <mergeCell ref="J20:J21"/>
    <mergeCell ref="G34:J34"/>
    <mergeCell ref="F35:I35"/>
    <mergeCell ref="B24:B25"/>
    <mergeCell ref="B26:B27"/>
    <mergeCell ref="B28:B29"/>
    <mergeCell ref="C32:D32"/>
    <mergeCell ref="F32:J32"/>
    <mergeCell ref="F33:J33"/>
  </mergeCells>
  <pageMargins left="0.7" right="0.7" top="0.75" bottom="0.75" header="0.3" footer="0.3"/>
  <pageSetup scale="92" orientation="portrait" horizontalDpi="360" verticalDpi="36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EF13E-C712-4821-93BD-7F7F614F6607}">
  <sheetPr>
    <pageSetUpPr fitToPage="1"/>
  </sheetPr>
  <dimension ref="A4:M35"/>
  <sheetViews>
    <sheetView topLeftCell="A14" zoomScale="115" zoomScaleNormal="115" workbookViewId="0">
      <selection activeCell="E46" activeCellId="1" sqref="C36:C37 E46:E47"/>
    </sheetView>
  </sheetViews>
  <sheetFormatPr defaultColWidth="9.140625" defaultRowHeight="15" x14ac:dyDescent="0.25"/>
  <cols>
    <col min="1" max="1" width="4" style="1" bestFit="1" customWidth="1"/>
    <col min="2" max="2" width="11.42578125" style="1" bestFit="1" customWidth="1"/>
    <col min="3" max="3" width="7.85546875" style="2" bestFit="1" customWidth="1"/>
    <col min="4" max="4" width="30.28515625" style="1" bestFit="1" customWidth="1"/>
    <col min="5" max="5" width="10.7109375" style="1" bestFit="1" customWidth="1"/>
    <col min="6" max="6" width="10.42578125" style="1" bestFit="1" customWidth="1"/>
    <col min="7" max="7" width="10.28515625" style="1" bestFit="1" customWidth="1"/>
    <col min="8" max="8" width="0.140625" style="1" customWidth="1"/>
    <col min="9" max="9" width="10.7109375" style="1" hidden="1" customWidth="1"/>
    <col min="10" max="10" width="11.7109375" style="1" customWidth="1"/>
    <col min="11" max="11" width="11.42578125" style="1" customWidth="1"/>
    <col min="12" max="16384" width="9.140625" style="1"/>
  </cols>
  <sheetData>
    <row r="4" spans="1:13" ht="15" customHeight="1" thickBot="1" x14ac:dyDescent="0.4">
      <c r="D4" s="3"/>
    </row>
    <row r="5" spans="1:13" ht="15.75" customHeight="1" x14ac:dyDescent="0.35">
      <c r="D5" s="3"/>
      <c r="L5" s="252" t="s">
        <v>346</v>
      </c>
      <c r="M5" s="252"/>
    </row>
    <row r="6" spans="1:13" ht="26.25" customHeight="1" x14ac:dyDescent="0.25">
      <c r="L6" s="253"/>
      <c r="M6" s="253"/>
    </row>
    <row r="7" spans="1:13" ht="26.25" customHeight="1" x14ac:dyDescent="0.35">
      <c r="C7" s="4"/>
      <c r="D7" s="3"/>
      <c r="G7" s="3" t="s">
        <v>347</v>
      </c>
      <c r="H7" s="3"/>
      <c r="I7" s="3"/>
      <c r="J7" s="5">
        <f ca="1">TODAY()</f>
        <v>46313</v>
      </c>
      <c r="L7" s="253"/>
      <c r="M7" s="253"/>
    </row>
    <row r="8" spans="1:13" ht="26.25" customHeight="1" x14ac:dyDescent="0.35">
      <c r="C8" s="4"/>
      <c r="D8" s="3"/>
      <c r="L8" s="253"/>
      <c r="M8" s="253"/>
    </row>
    <row r="9" spans="1:13" s="6" customFormat="1" ht="21" customHeight="1" x14ac:dyDescent="0.25">
      <c r="B9" s="7" t="s">
        <v>348</v>
      </c>
      <c r="C9" s="8"/>
      <c r="D9" s="9" t="s">
        <v>410</v>
      </c>
      <c r="E9" s="7" t="s">
        <v>349</v>
      </c>
      <c r="F9" s="9">
        <v>5</v>
      </c>
      <c r="G9" s="7" t="s">
        <v>350</v>
      </c>
      <c r="H9" s="7"/>
      <c r="I9" s="7"/>
      <c r="J9" s="10"/>
    </row>
    <row r="10" spans="1:13" ht="21" customHeight="1" x14ac:dyDescent="0.25"/>
    <row r="11" spans="1:13" ht="21" customHeight="1" thickBot="1" x14ac:dyDescent="0.3">
      <c r="B11" s="11" t="s">
        <v>351</v>
      </c>
      <c r="C11" s="12" t="s">
        <v>352</v>
      </c>
      <c r="D11" s="11" t="s">
        <v>353</v>
      </c>
      <c r="E11" s="11" t="s">
        <v>354</v>
      </c>
      <c r="F11" s="11" t="s">
        <v>0</v>
      </c>
      <c r="G11" s="11" t="s">
        <v>355</v>
      </c>
      <c r="H11" s="11"/>
      <c r="I11" s="11"/>
      <c r="J11" s="13"/>
    </row>
    <row r="12" spans="1:13" ht="21" customHeight="1" thickBot="1" x14ac:dyDescent="0.3">
      <c r="A12" s="1">
        <f>F9+0.1</f>
        <v>5.0999999999999996</v>
      </c>
      <c r="B12" s="14">
        <v>1</v>
      </c>
      <c r="C12" s="15">
        <v>4177</v>
      </c>
      <c r="D12" s="16" t="s">
        <v>15</v>
      </c>
      <c r="E12" s="17" t="s">
        <v>14</v>
      </c>
      <c r="F12" s="18">
        <v>598</v>
      </c>
      <c r="G12" s="19">
        <v>5</v>
      </c>
      <c r="H12" s="20"/>
      <c r="I12" s="20"/>
      <c r="J12" s="1" t="str">
        <f>IF(ISBLANK(J11)," ",(E18+F18+G18+E20+F20+G20+H18+I18+H20+I20)/(E19+F19+G19+E21+F21+G21+H19+I19+H21+I21))</f>
        <v xml:space="preserve"> </v>
      </c>
    </row>
    <row r="13" spans="1:13" ht="21" customHeight="1" thickBot="1" x14ac:dyDescent="0.3">
      <c r="A13" s="1">
        <f>F9+0.2</f>
        <v>5.2</v>
      </c>
      <c r="B13" s="14">
        <v>2</v>
      </c>
      <c r="C13" s="21">
        <v>4727</v>
      </c>
      <c r="D13" s="22" t="s">
        <v>41</v>
      </c>
      <c r="E13" s="23" t="s">
        <v>6</v>
      </c>
      <c r="F13" s="24">
        <v>482</v>
      </c>
      <c r="G13" s="25">
        <v>30</v>
      </c>
      <c r="H13" s="20"/>
      <c r="I13" s="20"/>
      <c r="J13" s="1" t="str">
        <f>IF(ISBLANK(J11)," ",(E21+F21+G21+E22+F22+G22+H21+I21+H22+I22)/(E20+F20+G20+E23+F23+G23+H20+I20+H23+I23))</f>
        <v xml:space="preserve"> </v>
      </c>
    </row>
    <row r="14" spans="1:13" ht="21" customHeight="1" thickBot="1" x14ac:dyDescent="0.3">
      <c r="A14" s="1">
        <f>+F9+0.3</f>
        <v>5.3</v>
      </c>
      <c r="B14" s="14">
        <v>3</v>
      </c>
      <c r="C14" s="26">
        <v>4828</v>
      </c>
      <c r="D14" s="27" t="s">
        <v>65</v>
      </c>
      <c r="E14" s="28" t="s">
        <v>12</v>
      </c>
      <c r="F14" s="29">
        <v>451</v>
      </c>
      <c r="G14" s="30">
        <v>48</v>
      </c>
      <c r="H14" s="20"/>
      <c r="I14" s="20"/>
      <c r="J14" s="1" t="str">
        <f>IF(ISBLANK(J11)," ",(E19+F19+G19+E23+F23+G23+H19+I19+H23+I23)/(E18+F18+G18+E22+F22+G22+H18+I18+H22+I22))</f>
        <v xml:space="preserve"> </v>
      </c>
    </row>
    <row r="15" spans="1:13" ht="21" customHeight="1" x14ac:dyDescent="0.25"/>
    <row r="16" spans="1:13" ht="21" customHeight="1" thickBot="1" x14ac:dyDescent="0.3"/>
    <row r="17" spans="2:10" s="31" customFormat="1" ht="21" customHeight="1" thickBot="1" x14ac:dyDescent="0.3">
      <c r="B17" s="32" t="s">
        <v>356</v>
      </c>
      <c r="C17" s="33"/>
      <c r="D17" s="32" t="s">
        <v>357</v>
      </c>
      <c r="E17" s="33" t="s">
        <v>358</v>
      </c>
      <c r="F17" s="32" t="s">
        <v>359</v>
      </c>
      <c r="G17" s="34" t="s">
        <v>360</v>
      </c>
      <c r="H17" s="35" t="s">
        <v>361</v>
      </c>
      <c r="I17" s="36" t="s">
        <v>362</v>
      </c>
      <c r="J17" s="32" t="s">
        <v>363</v>
      </c>
    </row>
    <row r="18" spans="2:10" s="37" customFormat="1" ht="21" customHeight="1" thickBot="1" x14ac:dyDescent="0.3">
      <c r="B18" s="255">
        <v>1</v>
      </c>
      <c r="C18" s="12">
        <v>1</v>
      </c>
      <c r="D18" s="39" t="str">
        <f>D12</f>
        <v>RODOLFO ALBERTO CHAVES LEON</v>
      </c>
      <c r="E18" s="12">
        <v>11</v>
      </c>
      <c r="F18" s="38">
        <v>11</v>
      </c>
      <c r="G18" s="40"/>
      <c r="H18" s="41"/>
      <c r="I18" s="42"/>
      <c r="J18" s="245" cm="1">
        <f t="array" ref="J18">IF(SUMPRODUCT(--(E18:I18&gt;E19:I19))&gt;SUMPRODUCT(--(E19:I19&gt;E18:I18)), C18,
IF(SUMPRODUCT(--(E19:I19&gt;E18:I18))&gt;SUMPRODUCT(--(E18:I18&gt;E19:I19)), C19, ""))</f>
        <v>1</v>
      </c>
    </row>
    <row r="19" spans="2:10" s="37" customFormat="1" ht="21" customHeight="1" thickBot="1" x14ac:dyDescent="0.3">
      <c r="B19" s="246"/>
      <c r="C19" s="44">
        <v>3</v>
      </c>
      <c r="D19" s="45" t="str">
        <f>D14</f>
        <v>MATÍAS VILLEGAS FALLAS</v>
      </c>
      <c r="E19" s="46">
        <v>1</v>
      </c>
      <c r="F19" s="47">
        <v>4</v>
      </c>
      <c r="G19" s="47"/>
      <c r="H19" s="41"/>
      <c r="I19" s="42"/>
      <c r="J19" s="246"/>
    </row>
    <row r="20" spans="2:10" s="37" customFormat="1" ht="21" customHeight="1" thickBot="1" x14ac:dyDescent="0.3">
      <c r="B20" s="245">
        <v>2</v>
      </c>
      <c r="C20" s="12">
        <v>1</v>
      </c>
      <c r="D20" s="39" t="str">
        <f>D12</f>
        <v>RODOLFO ALBERTO CHAVES LEON</v>
      </c>
      <c r="E20" s="12">
        <v>11</v>
      </c>
      <c r="F20" s="38">
        <v>11</v>
      </c>
      <c r="G20" s="38"/>
      <c r="H20" s="41"/>
      <c r="I20" s="42"/>
      <c r="J20" s="245" cm="1">
        <f t="array" ref="J20">IF(SUMPRODUCT(--(E20:I20&gt;E21:I21))&gt;SUMPRODUCT(--(E21:I21&gt;E20:I20)), C20,
IF(SUMPRODUCT(--(E21:I21&gt;E20:I20))&gt;SUMPRODUCT(--(E20:I20&gt;E21:I21)), C21, ""))</f>
        <v>1</v>
      </c>
    </row>
    <row r="21" spans="2:10" s="37" customFormat="1" ht="21" customHeight="1" thickBot="1" x14ac:dyDescent="0.3">
      <c r="B21" s="246"/>
      <c r="C21" s="44">
        <v>2</v>
      </c>
      <c r="D21" s="45" t="str">
        <f>D13</f>
        <v>LUIS JAVIER MARTÍNEZ HONG</v>
      </c>
      <c r="E21" s="46">
        <v>5</v>
      </c>
      <c r="F21" s="47">
        <v>7</v>
      </c>
      <c r="G21" s="47"/>
      <c r="H21" s="41"/>
      <c r="I21" s="42"/>
      <c r="J21" s="246"/>
    </row>
    <row r="22" spans="2:10" s="37" customFormat="1" ht="21" customHeight="1" thickBot="1" x14ac:dyDescent="0.3">
      <c r="B22" s="245">
        <v>3</v>
      </c>
      <c r="C22" s="44">
        <v>2</v>
      </c>
      <c r="D22" s="45" t="str">
        <f>D13</f>
        <v>LUIS JAVIER MARTÍNEZ HONG</v>
      </c>
      <c r="E22" s="46">
        <v>15</v>
      </c>
      <c r="F22" s="47">
        <v>11</v>
      </c>
      <c r="G22" s="47"/>
      <c r="H22" s="41"/>
      <c r="I22" s="42"/>
      <c r="J22" s="245" cm="1">
        <f t="array" ref="J22">IF(SUMPRODUCT(--(E22:I22&gt;E23:I23))&gt;SUMPRODUCT(--(E23:I23&gt;E22:I22)), C22,
IF(SUMPRODUCT(--(E23:I23&gt;E22:I22))&gt;SUMPRODUCT(--(E22:I22&gt;E23:I23)), C23, ""))</f>
        <v>2</v>
      </c>
    </row>
    <row r="23" spans="2:10" s="37" customFormat="1" ht="21" customHeight="1" thickBot="1" x14ac:dyDescent="0.3">
      <c r="B23" s="246"/>
      <c r="C23" s="48">
        <v>3</v>
      </c>
      <c r="D23" s="49" t="str">
        <f>D14</f>
        <v>MATÍAS VILLEGAS FALLAS</v>
      </c>
      <c r="E23" s="48">
        <v>13</v>
      </c>
      <c r="F23" s="43">
        <v>6</v>
      </c>
      <c r="G23" s="43"/>
      <c r="H23" s="50"/>
      <c r="I23" s="51"/>
      <c r="J23" s="246"/>
    </row>
    <row r="24" spans="2:10" ht="6" customHeight="1" x14ac:dyDescent="0.25">
      <c r="B24" s="247"/>
      <c r="C24" s="52"/>
      <c r="D24" s="53"/>
      <c r="E24" s="53"/>
      <c r="F24" s="53"/>
      <c r="G24" s="53"/>
      <c r="H24" s="53"/>
      <c r="I24" s="53"/>
      <c r="J24" s="53"/>
    </row>
    <row r="25" spans="2:10" ht="6" customHeight="1" x14ac:dyDescent="0.25">
      <c r="B25" s="248"/>
      <c r="E25" s="53"/>
      <c r="F25" s="53"/>
      <c r="G25" s="53"/>
      <c r="H25" s="53"/>
      <c r="I25" s="53"/>
      <c r="J25" s="53"/>
    </row>
    <row r="26" spans="2:10" s="2" customFormat="1" ht="6" customHeight="1" x14ac:dyDescent="0.25">
      <c r="B26" s="248"/>
      <c r="E26" s="52"/>
      <c r="F26" s="52"/>
      <c r="G26" s="52"/>
      <c r="H26" s="52"/>
      <c r="I26" s="52"/>
      <c r="J26" s="52"/>
    </row>
    <row r="27" spans="2:10" ht="6" customHeight="1" x14ac:dyDescent="0.25">
      <c r="B27" s="248"/>
      <c r="E27" s="53"/>
      <c r="F27" s="53"/>
    </row>
    <row r="28" spans="2:10" ht="6" customHeight="1" x14ac:dyDescent="0.25">
      <c r="B28" s="249"/>
      <c r="E28" s="53"/>
      <c r="F28" s="53"/>
    </row>
    <row r="29" spans="2:10" ht="6" customHeight="1" x14ac:dyDescent="0.25">
      <c r="B29" s="249"/>
    </row>
    <row r="30" spans="2:10" ht="6" customHeight="1" x14ac:dyDescent="0.25"/>
    <row r="31" spans="2:10" ht="6" customHeight="1" thickBot="1" x14ac:dyDescent="0.3"/>
    <row r="32" spans="2:10" s="37" customFormat="1" ht="18" customHeight="1" thickBot="1" x14ac:dyDescent="0.3">
      <c r="C32" s="250" t="s">
        <v>364</v>
      </c>
      <c r="D32" s="251"/>
      <c r="F32" s="236" t="s">
        <v>365</v>
      </c>
      <c r="G32" s="237"/>
      <c r="H32" s="237"/>
      <c r="I32" s="237"/>
      <c r="J32" s="238"/>
    </row>
    <row r="33" spans="3:10" s="37" customFormat="1" ht="18" customHeight="1" thickBot="1" x14ac:dyDescent="0.3">
      <c r="C33" s="54" t="s">
        <v>366</v>
      </c>
      <c r="D33" s="54" t="s">
        <v>367</v>
      </c>
      <c r="F33" s="236" t="s">
        <v>368</v>
      </c>
      <c r="G33" s="237"/>
      <c r="H33" s="237"/>
      <c r="I33" s="237"/>
      <c r="J33" s="238"/>
    </row>
    <row r="34" spans="3:10" ht="25.5" customHeight="1" thickBot="1" x14ac:dyDescent="0.3">
      <c r="C34" s="55">
        <v>4177</v>
      </c>
      <c r="D34" s="56" t="s">
        <v>15</v>
      </c>
      <c r="F34" s="57" t="s">
        <v>369</v>
      </c>
      <c r="G34" s="239"/>
      <c r="H34" s="240"/>
      <c r="I34" s="240"/>
      <c r="J34" s="241"/>
    </row>
    <row r="35" spans="3:10" ht="25.5" customHeight="1" thickBot="1" x14ac:dyDescent="0.3">
      <c r="C35" s="55">
        <v>4727</v>
      </c>
      <c r="D35" s="56" t="s">
        <v>41</v>
      </c>
      <c r="F35" s="242" t="s">
        <v>370</v>
      </c>
      <c r="G35" s="243"/>
      <c r="H35" s="243"/>
      <c r="I35" s="244"/>
      <c r="J35" s="58"/>
    </row>
  </sheetData>
  <mergeCells count="15">
    <mergeCell ref="B22:B23"/>
    <mergeCell ref="J22:J23"/>
    <mergeCell ref="L5:M8"/>
    <mergeCell ref="B18:B19"/>
    <mergeCell ref="J18:J19"/>
    <mergeCell ref="B20:B21"/>
    <mergeCell ref="J20:J21"/>
    <mergeCell ref="G34:J34"/>
    <mergeCell ref="F35:I35"/>
    <mergeCell ref="B24:B25"/>
    <mergeCell ref="B26:B27"/>
    <mergeCell ref="B28:B29"/>
    <mergeCell ref="C32:D32"/>
    <mergeCell ref="F32:J32"/>
    <mergeCell ref="F33:J33"/>
  </mergeCells>
  <pageMargins left="0.7" right="0.7" top="0.75" bottom="0.75" header="0.3" footer="0.3"/>
  <pageSetup scale="94" orientation="portrait" horizontalDpi="360" verticalDpi="36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EEB19-BD97-4FBF-A2D8-117B3E6C3986}">
  <sheetPr>
    <pageSetUpPr fitToPage="1"/>
  </sheetPr>
  <dimension ref="A4:M35"/>
  <sheetViews>
    <sheetView topLeftCell="A18" zoomScale="115" zoomScaleNormal="115" workbookViewId="0">
      <selection activeCell="E46" activeCellId="1" sqref="C36:C37 E46:E47"/>
    </sheetView>
  </sheetViews>
  <sheetFormatPr defaultColWidth="9.140625" defaultRowHeight="15" x14ac:dyDescent="0.25"/>
  <cols>
    <col min="1" max="1" width="4" style="1" bestFit="1" customWidth="1"/>
    <col min="2" max="2" width="11.42578125" style="1" bestFit="1" customWidth="1"/>
    <col min="3" max="3" width="7.85546875" style="2" bestFit="1" customWidth="1"/>
    <col min="4" max="4" width="32.7109375" style="1" bestFit="1" customWidth="1"/>
    <col min="5" max="5" width="14.85546875" style="1" bestFit="1" customWidth="1"/>
    <col min="6" max="6" width="10.42578125" style="1" bestFit="1" customWidth="1"/>
    <col min="7" max="7" width="10.28515625" style="1" bestFit="1" customWidth="1"/>
    <col min="8" max="8" width="0.140625" style="1" customWidth="1"/>
    <col min="9" max="9" width="10.7109375" style="1" hidden="1" customWidth="1"/>
    <col min="10" max="10" width="11.7109375" style="1" customWidth="1"/>
    <col min="11" max="11" width="11.42578125" style="1" customWidth="1"/>
    <col min="12" max="16384" width="9.140625" style="1"/>
  </cols>
  <sheetData>
    <row r="4" spans="1:13" ht="15" customHeight="1" thickBot="1" x14ac:dyDescent="0.4">
      <c r="D4" s="3"/>
    </row>
    <row r="5" spans="1:13" ht="15.75" customHeight="1" x14ac:dyDescent="0.35">
      <c r="D5" s="3"/>
      <c r="L5" s="252" t="s">
        <v>346</v>
      </c>
      <c r="M5" s="252"/>
    </row>
    <row r="6" spans="1:13" ht="26.25" customHeight="1" x14ac:dyDescent="0.25">
      <c r="L6" s="253"/>
      <c r="M6" s="253"/>
    </row>
    <row r="7" spans="1:13" ht="26.25" customHeight="1" x14ac:dyDescent="0.35">
      <c r="C7" s="4"/>
      <c r="D7" s="3"/>
      <c r="G7" s="3" t="s">
        <v>347</v>
      </c>
      <c r="H7" s="3"/>
      <c r="I7" s="3"/>
      <c r="J7" s="5">
        <f ca="1">TODAY()</f>
        <v>46313</v>
      </c>
      <c r="L7" s="253"/>
      <c r="M7" s="253"/>
    </row>
    <row r="8" spans="1:13" ht="26.25" customHeight="1" x14ac:dyDescent="0.35">
      <c r="C8" s="4"/>
      <c r="D8" s="3"/>
      <c r="L8" s="253"/>
      <c r="M8" s="253"/>
    </row>
    <row r="9" spans="1:13" s="6" customFormat="1" ht="21" customHeight="1" x14ac:dyDescent="0.25">
      <c r="B9" s="7" t="s">
        <v>348</v>
      </c>
      <c r="C9" s="8"/>
      <c r="D9" s="9" t="s">
        <v>410</v>
      </c>
      <c r="E9" s="7" t="s">
        <v>349</v>
      </c>
      <c r="F9" s="9">
        <v>6</v>
      </c>
      <c r="G9" s="7" t="s">
        <v>350</v>
      </c>
      <c r="H9" s="7"/>
      <c r="I9" s="7"/>
      <c r="J9" s="10"/>
    </row>
    <row r="10" spans="1:13" ht="21" customHeight="1" x14ac:dyDescent="0.25"/>
    <row r="11" spans="1:13" ht="21" customHeight="1" thickBot="1" x14ac:dyDescent="0.3">
      <c r="B11" s="11" t="s">
        <v>351</v>
      </c>
      <c r="C11" s="12" t="s">
        <v>352</v>
      </c>
      <c r="D11" s="11" t="s">
        <v>353</v>
      </c>
      <c r="E11" s="11" t="s">
        <v>354</v>
      </c>
      <c r="F11" s="11" t="s">
        <v>0</v>
      </c>
      <c r="G11" s="11" t="s">
        <v>355</v>
      </c>
      <c r="H11" s="11"/>
      <c r="I11" s="11"/>
      <c r="J11" s="13"/>
    </row>
    <row r="12" spans="1:13" ht="21" customHeight="1" thickBot="1" x14ac:dyDescent="0.3">
      <c r="A12" s="1">
        <f>F9+0.1</f>
        <v>6.1</v>
      </c>
      <c r="B12" s="14">
        <v>1</v>
      </c>
      <c r="C12" s="15">
        <v>3458</v>
      </c>
      <c r="D12" s="16" t="s">
        <v>28</v>
      </c>
      <c r="E12" s="17" t="s">
        <v>29</v>
      </c>
      <c r="F12" s="18">
        <v>587</v>
      </c>
      <c r="G12" s="19">
        <v>6</v>
      </c>
      <c r="H12" s="20"/>
      <c r="I12" s="20"/>
      <c r="J12" s="1" t="str">
        <f>IF(ISBLANK(J11)," ",(E18+F18+G18+E20+F20+G20+H18+I18+H20+I20)/(E19+F19+G19+E21+F21+G21+H19+I19+H21+I21))</f>
        <v xml:space="preserve"> </v>
      </c>
    </row>
    <row r="13" spans="1:13" ht="21" customHeight="1" thickBot="1" x14ac:dyDescent="0.3">
      <c r="A13" s="1">
        <f>F9+0.2</f>
        <v>6.2</v>
      </c>
      <c r="B13" s="14">
        <v>2</v>
      </c>
      <c r="C13" s="21">
        <v>4293</v>
      </c>
      <c r="D13" s="22" t="s">
        <v>48</v>
      </c>
      <c r="E13" s="23" t="s">
        <v>14</v>
      </c>
      <c r="F13" s="24">
        <v>483</v>
      </c>
      <c r="G13" s="25">
        <v>29</v>
      </c>
      <c r="H13" s="20"/>
      <c r="I13" s="20"/>
      <c r="J13" s="1" t="str">
        <f>IF(ISBLANK(J11)," ",(E21+F21+G21+E22+F22+G22+H21+I21+H22+I22)/(E20+F20+G20+E23+F23+G23+H20+I20+H23+I23))</f>
        <v xml:space="preserve"> </v>
      </c>
    </row>
    <row r="14" spans="1:13" ht="21" customHeight="1" thickBot="1" x14ac:dyDescent="0.3">
      <c r="A14" s="1">
        <f>+F9+0.3</f>
        <v>6.3</v>
      </c>
      <c r="B14" s="14">
        <v>3</v>
      </c>
      <c r="C14" s="26">
        <v>4835</v>
      </c>
      <c r="D14" s="27" t="s">
        <v>71</v>
      </c>
      <c r="E14" s="28" t="s">
        <v>24</v>
      </c>
      <c r="F14" s="29">
        <v>450</v>
      </c>
      <c r="G14" s="30">
        <v>49</v>
      </c>
      <c r="H14" s="20"/>
      <c r="I14" s="20"/>
      <c r="J14" s="1" t="str">
        <f>IF(ISBLANK(J11)," ",(E19+F19+G19+E23+F23+G23+H19+I19+H23+I23)/(E18+F18+G18+E22+F22+G22+H18+I18+H22+I22))</f>
        <v xml:space="preserve"> </v>
      </c>
    </row>
    <row r="15" spans="1:13" ht="21" customHeight="1" x14ac:dyDescent="0.25"/>
    <row r="16" spans="1:13" ht="21" customHeight="1" thickBot="1" x14ac:dyDescent="0.3"/>
    <row r="17" spans="2:10" s="31" customFormat="1" ht="21" customHeight="1" thickBot="1" x14ac:dyDescent="0.3">
      <c r="B17" s="32" t="s">
        <v>356</v>
      </c>
      <c r="C17" s="33"/>
      <c r="D17" s="32" t="s">
        <v>357</v>
      </c>
      <c r="E17" s="33" t="s">
        <v>358</v>
      </c>
      <c r="F17" s="32" t="s">
        <v>359</v>
      </c>
      <c r="G17" s="34" t="s">
        <v>360</v>
      </c>
      <c r="H17" s="35" t="s">
        <v>361</v>
      </c>
      <c r="I17" s="36" t="s">
        <v>362</v>
      </c>
      <c r="J17" s="32" t="s">
        <v>363</v>
      </c>
    </row>
    <row r="18" spans="2:10" s="37" customFormat="1" ht="21" customHeight="1" thickBot="1" x14ac:dyDescent="0.3">
      <c r="B18" s="255">
        <v>1</v>
      </c>
      <c r="C18" s="12">
        <v>1</v>
      </c>
      <c r="D18" s="39" t="str">
        <f>D12</f>
        <v>SANTIAGO ALVAREZ LONGHI</v>
      </c>
      <c r="E18" s="12">
        <v>11</v>
      </c>
      <c r="F18" s="38">
        <v>11</v>
      </c>
      <c r="G18" s="40"/>
      <c r="H18" s="41"/>
      <c r="I18" s="42"/>
      <c r="J18" s="245" cm="1">
        <f t="array" ref="J18">IF(SUMPRODUCT(--(E18:I18&gt;E19:I19))&gt;SUMPRODUCT(--(E19:I19&gt;E18:I18)), C18,
IF(SUMPRODUCT(--(E19:I19&gt;E18:I18))&gt;SUMPRODUCT(--(E18:I18&gt;E19:I19)), C19, ""))</f>
        <v>1</v>
      </c>
    </row>
    <row r="19" spans="2:10" s="37" customFormat="1" ht="21" customHeight="1" thickBot="1" x14ac:dyDescent="0.3">
      <c r="B19" s="246"/>
      <c r="C19" s="44">
        <v>3</v>
      </c>
      <c r="D19" s="45" t="str">
        <f>D14</f>
        <v>ALESSANDRO RIMOLO VILLAGRA</v>
      </c>
      <c r="E19" s="46">
        <v>1</v>
      </c>
      <c r="F19" s="47">
        <v>5</v>
      </c>
      <c r="G19" s="47"/>
      <c r="H19" s="41"/>
      <c r="I19" s="42"/>
      <c r="J19" s="246"/>
    </row>
    <row r="20" spans="2:10" s="37" customFormat="1" ht="21" customHeight="1" thickBot="1" x14ac:dyDescent="0.3">
      <c r="B20" s="245">
        <v>2</v>
      </c>
      <c r="C20" s="12">
        <v>1</v>
      </c>
      <c r="D20" s="39" t="str">
        <f>D12</f>
        <v>SANTIAGO ALVAREZ LONGHI</v>
      </c>
      <c r="E20" s="12">
        <v>11</v>
      </c>
      <c r="F20" s="38">
        <v>11</v>
      </c>
      <c r="G20" s="38"/>
      <c r="H20" s="41"/>
      <c r="I20" s="42"/>
      <c r="J20" s="245" cm="1">
        <f t="array" ref="J20">IF(SUMPRODUCT(--(E20:I20&gt;E21:I21))&gt;SUMPRODUCT(--(E21:I21&gt;E20:I20)), C20,
IF(SUMPRODUCT(--(E21:I21&gt;E20:I20))&gt;SUMPRODUCT(--(E20:I20&gt;E21:I21)), C21, ""))</f>
        <v>1</v>
      </c>
    </row>
    <row r="21" spans="2:10" s="37" customFormat="1" ht="21" customHeight="1" thickBot="1" x14ac:dyDescent="0.3">
      <c r="B21" s="246"/>
      <c r="C21" s="44">
        <v>2</v>
      </c>
      <c r="D21" s="45" t="str">
        <f>D13</f>
        <v>MIKEL MORA JIMÉNEZ</v>
      </c>
      <c r="E21" s="46">
        <v>4</v>
      </c>
      <c r="F21" s="47">
        <v>6</v>
      </c>
      <c r="G21" s="47"/>
      <c r="H21" s="41"/>
      <c r="I21" s="42"/>
      <c r="J21" s="246"/>
    </row>
    <row r="22" spans="2:10" s="37" customFormat="1" ht="21" customHeight="1" thickBot="1" x14ac:dyDescent="0.3">
      <c r="B22" s="245">
        <v>3</v>
      </c>
      <c r="C22" s="44">
        <v>2</v>
      </c>
      <c r="D22" s="45" t="str">
        <f>D13</f>
        <v>MIKEL MORA JIMÉNEZ</v>
      </c>
      <c r="E22" s="46">
        <v>11</v>
      </c>
      <c r="F22" s="47">
        <v>11</v>
      </c>
      <c r="G22" s="47"/>
      <c r="H22" s="41"/>
      <c r="I22" s="42"/>
      <c r="J22" s="245" cm="1">
        <f t="array" ref="J22">IF(SUMPRODUCT(--(E22:I22&gt;E23:I23))&gt;SUMPRODUCT(--(E23:I23&gt;E22:I22)), C22,
IF(SUMPRODUCT(--(E23:I23&gt;E22:I22))&gt;SUMPRODUCT(--(E22:I22&gt;E23:I23)), C23, ""))</f>
        <v>2</v>
      </c>
    </row>
    <row r="23" spans="2:10" s="37" customFormat="1" ht="21" customHeight="1" thickBot="1" x14ac:dyDescent="0.3">
      <c r="B23" s="246"/>
      <c r="C23" s="48">
        <v>3</v>
      </c>
      <c r="D23" s="49" t="str">
        <f>D14</f>
        <v>ALESSANDRO RIMOLO VILLAGRA</v>
      </c>
      <c r="E23" s="48">
        <v>4</v>
      </c>
      <c r="F23" s="43">
        <v>0</v>
      </c>
      <c r="G23" s="43"/>
      <c r="H23" s="50"/>
      <c r="I23" s="51"/>
      <c r="J23" s="246"/>
    </row>
    <row r="24" spans="2:10" ht="6" customHeight="1" x14ac:dyDescent="0.25">
      <c r="B24" s="247"/>
      <c r="C24" s="52"/>
      <c r="D24" s="53"/>
      <c r="E24" s="53"/>
      <c r="F24" s="53"/>
      <c r="G24" s="53"/>
      <c r="H24" s="53"/>
      <c r="I24" s="53"/>
      <c r="J24" s="53"/>
    </row>
    <row r="25" spans="2:10" ht="6" customHeight="1" x14ac:dyDescent="0.25">
      <c r="B25" s="248"/>
      <c r="E25" s="53"/>
      <c r="F25" s="53"/>
      <c r="G25" s="53"/>
      <c r="H25" s="53"/>
      <c r="I25" s="53"/>
      <c r="J25" s="53"/>
    </row>
    <row r="26" spans="2:10" s="2" customFormat="1" ht="6" customHeight="1" x14ac:dyDescent="0.25">
      <c r="B26" s="248"/>
      <c r="E26" s="52"/>
      <c r="F26" s="52"/>
      <c r="G26" s="52"/>
      <c r="H26" s="52"/>
      <c r="I26" s="52"/>
      <c r="J26" s="52"/>
    </row>
    <row r="27" spans="2:10" ht="6" customHeight="1" x14ac:dyDescent="0.25">
      <c r="B27" s="248"/>
      <c r="E27" s="53"/>
      <c r="F27" s="53"/>
    </row>
    <row r="28" spans="2:10" ht="6" customHeight="1" x14ac:dyDescent="0.25">
      <c r="B28" s="249"/>
      <c r="E28" s="53"/>
      <c r="F28" s="53"/>
    </row>
    <row r="29" spans="2:10" ht="6" customHeight="1" x14ac:dyDescent="0.25">
      <c r="B29" s="249"/>
    </row>
    <row r="30" spans="2:10" ht="6" customHeight="1" x14ac:dyDescent="0.25"/>
    <row r="31" spans="2:10" ht="6" customHeight="1" thickBot="1" x14ac:dyDescent="0.3"/>
    <row r="32" spans="2:10" s="37" customFormat="1" ht="18" customHeight="1" thickBot="1" x14ac:dyDescent="0.3">
      <c r="C32" s="250" t="s">
        <v>364</v>
      </c>
      <c r="D32" s="251"/>
      <c r="F32" s="236" t="s">
        <v>365</v>
      </c>
      <c r="G32" s="237"/>
      <c r="H32" s="237"/>
      <c r="I32" s="237"/>
      <c r="J32" s="238"/>
    </row>
    <row r="33" spans="3:10" s="37" customFormat="1" ht="18" customHeight="1" thickBot="1" x14ac:dyDescent="0.3">
      <c r="C33" s="54" t="s">
        <v>366</v>
      </c>
      <c r="D33" s="54" t="s">
        <v>367</v>
      </c>
      <c r="F33" s="236" t="s">
        <v>368</v>
      </c>
      <c r="G33" s="237"/>
      <c r="H33" s="237"/>
      <c r="I33" s="237"/>
      <c r="J33" s="238"/>
    </row>
    <row r="34" spans="3:10" ht="25.5" customHeight="1" thickBot="1" x14ac:dyDescent="0.3">
      <c r="C34" s="55">
        <v>3458</v>
      </c>
      <c r="D34" s="56" t="s">
        <v>28</v>
      </c>
      <c r="F34" s="57" t="s">
        <v>369</v>
      </c>
      <c r="G34" s="239"/>
      <c r="H34" s="240"/>
      <c r="I34" s="240"/>
      <c r="J34" s="241"/>
    </row>
    <row r="35" spans="3:10" ht="25.5" customHeight="1" thickBot="1" x14ac:dyDescent="0.3">
      <c r="C35" s="55">
        <v>4293</v>
      </c>
      <c r="D35" s="56" t="s">
        <v>48</v>
      </c>
      <c r="F35" s="242" t="s">
        <v>370</v>
      </c>
      <c r="G35" s="243"/>
      <c r="H35" s="243"/>
      <c r="I35" s="244"/>
      <c r="J35" s="58"/>
    </row>
  </sheetData>
  <mergeCells count="15">
    <mergeCell ref="B22:B23"/>
    <mergeCell ref="J22:J23"/>
    <mergeCell ref="L5:M8"/>
    <mergeCell ref="B18:B19"/>
    <mergeCell ref="J18:J19"/>
    <mergeCell ref="B20:B21"/>
    <mergeCell ref="J20:J21"/>
    <mergeCell ref="G34:J34"/>
    <mergeCell ref="F35:I35"/>
    <mergeCell ref="B24:B25"/>
    <mergeCell ref="B26:B27"/>
    <mergeCell ref="B28:B29"/>
    <mergeCell ref="C32:D32"/>
    <mergeCell ref="F32:J32"/>
    <mergeCell ref="F33:J33"/>
  </mergeCells>
  <pageMargins left="0.7" right="0.7" top="0.75" bottom="0.75" header="0.3" footer="0.3"/>
  <pageSetup scale="88" orientation="portrait" horizontalDpi="360" verticalDpi="36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C666D-D5CC-4B95-93F8-710986BB3528}">
  <sheetPr>
    <pageSetUpPr fitToPage="1"/>
  </sheetPr>
  <dimension ref="A4:M35"/>
  <sheetViews>
    <sheetView topLeftCell="A32" zoomScale="115" zoomScaleNormal="115" workbookViewId="0">
      <selection activeCell="E46" activeCellId="1" sqref="C36:C37 E46:E47"/>
    </sheetView>
  </sheetViews>
  <sheetFormatPr defaultColWidth="9.140625" defaultRowHeight="15" x14ac:dyDescent="0.25"/>
  <cols>
    <col min="1" max="1" width="4" style="1" bestFit="1" customWidth="1"/>
    <col min="2" max="2" width="11.42578125" style="1" bestFit="1" customWidth="1"/>
    <col min="3" max="3" width="7.85546875" style="2" bestFit="1" customWidth="1"/>
    <col min="4" max="4" width="33.140625" style="1" bestFit="1" customWidth="1"/>
    <col min="5" max="5" width="14.5703125" style="1" bestFit="1" customWidth="1"/>
    <col min="6" max="6" width="10.42578125" style="1" bestFit="1" customWidth="1"/>
    <col min="7" max="7" width="10.28515625" style="1" bestFit="1" customWidth="1"/>
    <col min="8" max="8" width="0.140625" style="1" customWidth="1"/>
    <col min="9" max="9" width="10.7109375" style="1" hidden="1" customWidth="1"/>
    <col min="10" max="10" width="11.7109375" style="1" customWidth="1"/>
    <col min="11" max="11" width="11.42578125" style="1" customWidth="1"/>
    <col min="12" max="16384" width="9.140625" style="1"/>
  </cols>
  <sheetData>
    <row r="4" spans="1:13" ht="15" customHeight="1" thickBot="1" x14ac:dyDescent="0.4">
      <c r="D4" s="3"/>
    </row>
    <row r="5" spans="1:13" ht="15.75" customHeight="1" x14ac:dyDescent="0.35">
      <c r="D5" s="3"/>
      <c r="L5" s="252" t="s">
        <v>346</v>
      </c>
      <c r="M5" s="252"/>
    </row>
    <row r="6" spans="1:13" ht="26.25" customHeight="1" x14ac:dyDescent="0.25">
      <c r="L6" s="253"/>
      <c r="M6" s="253"/>
    </row>
    <row r="7" spans="1:13" ht="26.25" customHeight="1" x14ac:dyDescent="0.35">
      <c r="C7" s="4"/>
      <c r="D7" s="3"/>
      <c r="G7" s="3" t="s">
        <v>347</v>
      </c>
      <c r="H7" s="3"/>
      <c r="I7" s="3"/>
      <c r="J7" s="5">
        <f ca="1">TODAY()</f>
        <v>46313</v>
      </c>
      <c r="L7" s="253"/>
      <c r="M7" s="253"/>
    </row>
    <row r="8" spans="1:13" ht="26.25" customHeight="1" x14ac:dyDescent="0.35">
      <c r="C8" s="4"/>
      <c r="D8" s="3"/>
      <c r="L8" s="253"/>
      <c r="M8" s="253"/>
    </row>
    <row r="9" spans="1:13" s="6" customFormat="1" ht="21" customHeight="1" x14ac:dyDescent="0.25">
      <c r="B9" s="7" t="s">
        <v>348</v>
      </c>
      <c r="C9" s="8"/>
      <c r="D9" s="9" t="s">
        <v>410</v>
      </c>
      <c r="E9" s="7" t="s">
        <v>349</v>
      </c>
      <c r="F9" s="9">
        <v>7</v>
      </c>
      <c r="G9" s="7" t="s">
        <v>350</v>
      </c>
      <c r="H9" s="7"/>
      <c r="I9" s="7"/>
      <c r="J9" s="10"/>
    </row>
    <row r="10" spans="1:13" ht="21" customHeight="1" x14ac:dyDescent="0.25"/>
    <row r="11" spans="1:13" ht="21" customHeight="1" thickBot="1" x14ac:dyDescent="0.3">
      <c r="B11" s="11" t="s">
        <v>351</v>
      </c>
      <c r="C11" s="12" t="s">
        <v>352</v>
      </c>
      <c r="D11" s="11" t="s">
        <v>353</v>
      </c>
      <c r="E11" s="11" t="s">
        <v>354</v>
      </c>
      <c r="F11" s="11" t="s">
        <v>0</v>
      </c>
      <c r="G11" s="11" t="s">
        <v>355</v>
      </c>
      <c r="H11" s="11"/>
      <c r="I11" s="11"/>
      <c r="J11" s="13"/>
    </row>
    <row r="12" spans="1:13" ht="21" customHeight="1" thickBot="1" x14ac:dyDescent="0.3">
      <c r="A12" s="1">
        <f>F9+0.1</f>
        <v>7.1</v>
      </c>
      <c r="B12" s="14">
        <v>1</v>
      </c>
      <c r="C12" s="15">
        <v>3671</v>
      </c>
      <c r="D12" s="16" t="s">
        <v>9</v>
      </c>
      <c r="E12" s="17" t="s">
        <v>10</v>
      </c>
      <c r="F12" s="18">
        <v>583</v>
      </c>
      <c r="G12" s="19">
        <v>7</v>
      </c>
      <c r="H12" s="20"/>
      <c r="I12" s="20"/>
      <c r="J12" s="1" t="str">
        <f>IF(ISBLANK(J11)," ",(E18+F18+G18+E20+F20+G20+H18+I18+H20+I20)/(E19+F19+G19+E21+F21+G21+H19+I19+H21+I21))</f>
        <v xml:space="preserve"> </v>
      </c>
    </row>
    <row r="13" spans="1:13" ht="21" customHeight="1" thickBot="1" x14ac:dyDescent="0.3">
      <c r="A13" s="1">
        <f>F9+0.2</f>
        <v>7.2</v>
      </c>
      <c r="B13" s="14">
        <v>2</v>
      </c>
      <c r="C13" s="21">
        <v>4681</v>
      </c>
      <c r="D13" s="22" t="s">
        <v>46</v>
      </c>
      <c r="E13" s="23" t="s">
        <v>24</v>
      </c>
      <c r="F13" s="24">
        <v>485</v>
      </c>
      <c r="G13" s="25">
        <v>28</v>
      </c>
      <c r="H13" s="20"/>
      <c r="I13" s="20"/>
      <c r="J13" s="1" t="str">
        <f>IF(ISBLANK(J11)," ",(E21+F21+G21+E22+F22+G22+H21+I21+H22+I22)/(E20+F20+G20+E23+F23+G23+H20+I20+H23+I23))</f>
        <v xml:space="preserve"> </v>
      </c>
    </row>
    <row r="14" spans="1:13" ht="21" customHeight="1" thickBot="1" x14ac:dyDescent="0.3">
      <c r="A14" s="1">
        <f>+F9+0.3</f>
        <v>7.3</v>
      </c>
      <c r="B14" s="14">
        <v>3</v>
      </c>
      <c r="C14" s="26">
        <v>4512</v>
      </c>
      <c r="D14" s="27" t="s">
        <v>68</v>
      </c>
      <c r="E14" s="28" t="s">
        <v>40</v>
      </c>
      <c r="F14" s="29">
        <v>450</v>
      </c>
      <c r="G14" s="30">
        <v>50</v>
      </c>
      <c r="H14" s="20"/>
      <c r="I14" s="20"/>
      <c r="J14" s="1" t="str">
        <f>IF(ISBLANK(J11)," ",(E19+F19+G19+E23+F23+G23+H19+I19+H23+I23)/(E18+F18+G18+E22+F22+G22+H18+I18+H22+I22))</f>
        <v xml:space="preserve"> </v>
      </c>
    </row>
    <row r="15" spans="1:13" ht="21" customHeight="1" x14ac:dyDescent="0.25"/>
    <row r="16" spans="1:13" ht="21" customHeight="1" thickBot="1" x14ac:dyDescent="0.3"/>
    <row r="17" spans="2:10" s="31" customFormat="1" ht="21" customHeight="1" thickBot="1" x14ac:dyDescent="0.3">
      <c r="B17" s="32" t="s">
        <v>356</v>
      </c>
      <c r="C17" s="33"/>
      <c r="D17" s="32" t="s">
        <v>357</v>
      </c>
      <c r="E17" s="33" t="s">
        <v>358</v>
      </c>
      <c r="F17" s="32" t="s">
        <v>359</v>
      </c>
      <c r="G17" s="34" t="s">
        <v>360</v>
      </c>
      <c r="H17" s="35" t="s">
        <v>361</v>
      </c>
      <c r="I17" s="36" t="s">
        <v>362</v>
      </c>
      <c r="J17" s="32" t="s">
        <v>363</v>
      </c>
    </row>
    <row r="18" spans="2:10" s="37" customFormat="1" ht="21" customHeight="1" thickBot="1" x14ac:dyDescent="0.3">
      <c r="B18" s="255">
        <v>1</v>
      </c>
      <c r="C18" s="12">
        <v>1</v>
      </c>
      <c r="D18" s="39" t="str">
        <f>D12</f>
        <v>NICOLAS OVARES CASTRO</v>
      </c>
      <c r="E18" s="12">
        <v>11</v>
      </c>
      <c r="F18" s="38">
        <v>11</v>
      </c>
      <c r="G18" s="40"/>
      <c r="H18" s="41"/>
      <c r="I18" s="42"/>
      <c r="J18" s="245" cm="1">
        <f t="array" ref="J18">IF(SUMPRODUCT(--(E18:I18&gt;E19:I19))&gt;SUMPRODUCT(--(E19:I19&gt;E18:I18)), C18,
IF(SUMPRODUCT(--(E19:I19&gt;E18:I18))&gt;SUMPRODUCT(--(E18:I18&gt;E19:I19)), C19, ""))</f>
        <v>1</v>
      </c>
    </row>
    <row r="19" spans="2:10" s="37" customFormat="1" ht="21" customHeight="1" thickBot="1" x14ac:dyDescent="0.3">
      <c r="B19" s="246"/>
      <c r="C19" s="44">
        <v>3</v>
      </c>
      <c r="D19" s="45" t="str">
        <f>D14</f>
        <v>LUIS CARLOS CONTRERAS MEJIA</v>
      </c>
      <c r="E19" s="46">
        <v>8</v>
      </c>
      <c r="F19" s="47">
        <v>2</v>
      </c>
      <c r="G19" s="47"/>
      <c r="H19" s="41"/>
      <c r="I19" s="42"/>
      <c r="J19" s="246"/>
    </row>
    <row r="20" spans="2:10" s="37" customFormat="1" ht="21" customHeight="1" thickBot="1" x14ac:dyDescent="0.3">
      <c r="B20" s="245">
        <v>2</v>
      </c>
      <c r="C20" s="12">
        <v>1</v>
      </c>
      <c r="D20" s="39" t="str">
        <f>D12</f>
        <v>NICOLAS OVARES CASTRO</v>
      </c>
      <c r="E20" s="12">
        <v>11</v>
      </c>
      <c r="F20" s="38">
        <v>11</v>
      </c>
      <c r="G20" s="38"/>
      <c r="H20" s="41"/>
      <c r="I20" s="42"/>
      <c r="J20" s="245" cm="1">
        <f t="array" ref="J20">IF(SUMPRODUCT(--(E20:I20&gt;E21:I21))&gt;SUMPRODUCT(--(E21:I21&gt;E20:I20)), C20,
IF(SUMPRODUCT(--(E21:I21&gt;E20:I20))&gt;SUMPRODUCT(--(E20:I20&gt;E21:I21)), C21, ""))</f>
        <v>1</v>
      </c>
    </row>
    <row r="21" spans="2:10" s="37" customFormat="1" ht="21" customHeight="1" thickBot="1" x14ac:dyDescent="0.3">
      <c r="B21" s="246"/>
      <c r="C21" s="44">
        <v>2</v>
      </c>
      <c r="D21" s="45" t="str">
        <f>D13</f>
        <v>GAEL DINARTE GRAEFF</v>
      </c>
      <c r="E21" s="46">
        <v>6</v>
      </c>
      <c r="F21" s="47">
        <v>3</v>
      </c>
      <c r="G21" s="47"/>
      <c r="H21" s="41"/>
      <c r="I21" s="42"/>
      <c r="J21" s="246"/>
    </row>
    <row r="22" spans="2:10" s="37" customFormat="1" ht="21" customHeight="1" thickBot="1" x14ac:dyDescent="0.3">
      <c r="B22" s="245">
        <v>3</v>
      </c>
      <c r="C22" s="44">
        <v>2</v>
      </c>
      <c r="D22" s="45" t="str">
        <f>D13</f>
        <v>GAEL DINARTE GRAEFF</v>
      </c>
      <c r="E22" s="46">
        <v>11</v>
      </c>
      <c r="F22" s="47">
        <v>6</v>
      </c>
      <c r="G22" s="47">
        <v>11</v>
      </c>
      <c r="H22" s="41"/>
      <c r="I22" s="42"/>
      <c r="J22" s="245" cm="1">
        <f t="array" ref="J22">IF(SUMPRODUCT(--(E22:I22&gt;E23:I23))&gt;SUMPRODUCT(--(E23:I23&gt;E22:I22)), C22,
IF(SUMPRODUCT(--(E23:I23&gt;E22:I22))&gt;SUMPRODUCT(--(E22:I22&gt;E23:I23)), C23, ""))</f>
        <v>2</v>
      </c>
    </row>
    <row r="23" spans="2:10" s="37" customFormat="1" ht="21" customHeight="1" thickBot="1" x14ac:dyDescent="0.3">
      <c r="B23" s="246"/>
      <c r="C23" s="48">
        <v>3</v>
      </c>
      <c r="D23" s="49" t="str">
        <f>D14</f>
        <v>LUIS CARLOS CONTRERAS MEJIA</v>
      </c>
      <c r="E23" s="48">
        <v>8</v>
      </c>
      <c r="F23" s="43">
        <v>11</v>
      </c>
      <c r="G23" s="43">
        <v>7</v>
      </c>
      <c r="H23" s="50"/>
      <c r="I23" s="51"/>
      <c r="J23" s="246"/>
    </row>
    <row r="24" spans="2:10" ht="6" customHeight="1" x14ac:dyDescent="0.25">
      <c r="B24" s="247"/>
      <c r="C24" s="52"/>
      <c r="D24" s="53"/>
      <c r="E24" s="53"/>
      <c r="F24" s="53"/>
      <c r="G24" s="53"/>
      <c r="H24" s="53"/>
      <c r="I24" s="53"/>
      <c r="J24" s="53"/>
    </row>
    <row r="25" spans="2:10" ht="6" customHeight="1" x14ac:dyDescent="0.25">
      <c r="B25" s="248"/>
      <c r="E25" s="53"/>
      <c r="F25" s="53"/>
      <c r="G25" s="53"/>
      <c r="H25" s="53"/>
      <c r="I25" s="53"/>
      <c r="J25" s="53"/>
    </row>
    <row r="26" spans="2:10" s="2" customFormat="1" ht="6" customHeight="1" x14ac:dyDescent="0.25">
      <c r="B26" s="248"/>
      <c r="E26" s="52"/>
      <c r="F26" s="52"/>
      <c r="G26" s="52"/>
      <c r="H26" s="52"/>
      <c r="I26" s="52"/>
      <c r="J26" s="52"/>
    </row>
    <row r="27" spans="2:10" ht="6" customHeight="1" x14ac:dyDescent="0.25">
      <c r="B27" s="248"/>
      <c r="E27" s="53"/>
      <c r="F27" s="53"/>
    </row>
    <row r="28" spans="2:10" ht="6" customHeight="1" x14ac:dyDescent="0.25">
      <c r="B28" s="249"/>
      <c r="E28" s="53"/>
      <c r="F28" s="53"/>
    </row>
    <row r="29" spans="2:10" ht="6" customHeight="1" x14ac:dyDescent="0.25">
      <c r="B29" s="249"/>
    </row>
    <row r="30" spans="2:10" ht="6" customHeight="1" x14ac:dyDescent="0.25"/>
    <row r="31" spans="2:10" ht="6" customHeight="1" thickBot="1" x14ac:dyDescent="0.3"/>
    <row r="32" spans="2:10" s="37" customFormat="1" ht="18" customHeight="1" thickBot="1" x14ac:dyDescent="0.3">
      <c r="C32" s="250" t="s">
        <v>364</v>
      </c>
      <c r="D32" s="251"/>
      <c r="F32" s="236" t="s">
        <v>365</v>
      </c>
      <c r="G32" s="237"/>
      <c r="H32" s="237"/>
      <c r="I32" s="237"/>
      <c r="J32" s="238"/>
    </row>
    <row r="33" spans="3:10" s="37" customFormat="1" ht="18" customHeight="1" thickBot="1" x14ac:dyDescent="0.3">
      <c r="C33" s="54" t="s">
        <v>366</v>
      </c>
      <c r="D33" s="54" t="s">
        <v>367</v>
      </c>
      <c r="F33" s="236" t="s">
        <v>368</v>
      </c>
      <c r="G33" s="237"/>
      <c r="H33" s="237"/>
      <c r="I33" s="237"/>
      <c r="J33" s="238"/>
    </row>
    <row r="34" spans="3:10" ht="25.5" customHeight="1" thickBot="1" x14ac:dyDescent="0.3">
      <c r="C34" s="55">
        <v>3671</v>
      </c>
      <c r="D34" s="56" t="s">
        <v>9</v>
      </c>
      <c r="F34" s="57" t="s">
        <v>369</v>
      </c>
      <c r="G34" s="239"/>
      <c r="H34" s="240"/>
      <c r="I34" s="240"/>
      <c r="J34" s="241"/>
    </row>
    <row r="35" spans="3:10" ht="25.5" customHeight="1" thickBot="1" x14ac:dyDescent="0.3">
      <c r="C35" s="55">
        <v>4681</v>
      </c>
      <c r="D35" s="56" t="s">
        <v>46</v>
      </c>
      <c r="F35" s="242" t="s">
        <v>370</v>
      </c>
      <c r="G35" s="243"/>
      <c r="H35" s="243"/>
      <c r="I35" s="244"/>
      <c r="J35" s="58"/>
    </row>
  </sheetData>
  <mergeCells count="15">
    <mergeCell ref="B22:B23"/>
    <mergeCell ref="J22:J23"/>
    <mergeCell ref="L5:M8"/>
    <mergeCell ref="B18:B19"/>
    <mergeCell ref="J18:J19"/>
    <mergeCell ref="B20:B21"/>
    <mergeCell ref="J20:J21"/>
    <mergeCell ref="G34:J34"/>
    <mergeCell ref="F35:I35"/>
    <mergeCell ref="B24:B25"/>
    <mergeCell ref="B26:B27"/>
    <mergeCell ref="B28:B29"/>
    <mergeCell ref="C32:D32"/>
    <mergeCell ref="F32:J32"/>
    <mergeCell ref="F33:J33"/>
  </mergeCells>
  <pageMargins left="0.7" right="0.7" top="0.75" bottom="0.75" header="0.3" footer="0.3"/>
  <pageSetup scale="88" orientation="portrait" horizontalDpi="360" verticalDpi="36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2822E-4F2A-4122-871F-5B55312C5291}">
  <sheetPr>
    <pageSetUpPr fitToPage="1"/>
  </sheetPr>
  <dimension ref="A4:M35"/>
  <sheetViews>
    <sheetView topLeftCell="A16" zoomScale="115" zoomScaleNormal="115" workbookViewId="0">
      <selection activeCell="E46" activeCellId="1" sqref="C36:C37 E46:E47"/>
    </sheetView>
  </sheetViews>
  <sheetFormatPr defaultColWidth="9.140625" defaultRowHeight="15" x14ac:dyDescent="0.25"/>
  <cols>
    <col min="1" max="1" width="4" style="1" bestFit="1" customWidth="1"/>
    <col min="2" max="2" width="11.42578125" style="1" bestFit="1" customWidth="1"/>
    <col min="3" max="3" width="7.85546875" style="2" bestFit="1" customWidth="1"/>
    <col min="4" max="4" width="31.7109375" style="1" bestFit="1" customWidth="1"/>
    <col min="5" max="5" width="11.42578125" style="1" bestFit="1" customWidth="1"/>
    <col min="6" max="6" width="10.42578125" style="1" bestFit="1" customWidth="1"/>
    <col min="7" max="7" width="10.28515625" style="1" bestFit="1" customWidth="1"/>
    <col min="8" max="8" width="0.140625" style="1" customWidth="1"/>
    <col min="9" max="9" width="10.7109375" style="1" hidden="1" customWidth="1"/>
    <col min="10" max="10" width="11.7109375" style="1" customWidth="1"/>
    <col min="11" max="11" width="11.42578125" style="1" customWidth="1"/>
    <col min="12" max="16384" width="9.140625" style="1"/>
  </cols>
  <sheetData>
    <row r="4" spans="1:13" ht="15" customHeight="1" thickBot="1" x14ac:dyDescent="0.4">
      <c r="D4" s="3"/>
    </row>
    <row r="5" spans="1:13" ht="15.75" customHeight="1" x14ac:dyDescent="0.35">
      <c r="D5" s="3"/>
      <c r="L5" s="252" t="s">
        <v>346</v>
      </c>
      <c r="M5" s="252"/>
    </row>
    <row r="6" spans="1:13" ht="26.25" customHeight="1" x14ac:dyDescent="0.25">
      <c r="L6" s="253"/>
      <c r="M6" s="253"/>
    </row>
    <row r="7" spans="1:13" ht="26.25" customHeight="1" x14ac:dyDescent="0.35">
      <c r="C7" s="4"/>
      <c r="D7" s="3"/>
      <c r="G7" s="3" t="s">
        <v>347</v>
      </c>
      <c r="H7" s="3"/>
      <c r="I7" s="3"/>
      <c r="J7" s="5">
        <f ca="1">TODAY()</f>
        <v>46313</v>
      </c>
      <c r="L7" s="253"/>
      <c r="M7" s="253"/>
    </row>
    <row r="8" spans="1:13" ht="26.25" customHeight="1" x14ac:dyDescent="0.35">
      <c r="C8" s="4"/>
      <c r="D8" s="3"/>
      <c r="L8" s="253"/>
      <c r="M8" s="253"/>
    </row>
    <row r="9" spans="1:13" s="6" customFormat="1" ht="21" customHeight="1" x14ac:dyDescent="0.25">
      <c r="B9" s="7" t="s">
        <v>348</v>
      </c>
      <c r="C9" s="8"/>
      <c r="D9" s="9" t="s">
        <v>410</v>
      </c>
      <c r="E9" s="7" t="s">
        <v>349</v>
      </c>
      <c r="F9" s="9">
        <v>8</v>
      </c>
      <c r="G9" s="7" t="s">
        <v>350</v>
      </c>
      <c r="H9" s="7"/>
      <c r="I9" s="7"/>
      <c r="J9" s="10"/>
    </row>
    <row r="10" spans="1:13" ht="21" customHeight="1" x14ac:dyDescent="0.25"/>
    <row r="11" spans="1:13" ht="21" customHeight="1" thickBot="1" x14ac:dyDescent="0.3">
      <c r="B11" s="11" t="s">
        <v>351</v>
      </c>
      <c r="C11" s="12" t="s">
        <v>352</v>
      </c>
      <c r="D11" s="11" t="s">
        <v>353</v>
      </c>
      <c r="E11" s="11" t="s">
        <v>354</v>
      </c>
      <c r="F11" s="11" t="s">
        <v>0</v>
      </c>
      <c r="G11" s="11" t="s">
        <v>355</v>
      </c>
      <c r="H11" s="11"/>
      <c r="I11" s="11"/>
      <c r="J11" s="13"/>
    </row>
    <row r="12" spans="1:13" ht="21" customHeight="1" thickBot="1" x14ac:dyDescent="0.3">
      <c r="A12" s="1">
        <f>F9+0.1</f>
        <v>8.1</v>
      </c>
      <c r="B12" s="14">
        <v>1</v>
      </c>
      <c r="C12" s="59">
        <v>4458</v>
      </c>
      <c r="D12" s="16" t="s">
        <v>21</v>
      </c>
      <c r="E12" s="17" t="s">
        <v>14</v>
      </c>
      <c r="F12" s="18">
        <v>574</v>
      </c>
      <c r="G12" s="19">
        <v>8</v>
      </c>
      <c r="H12" s="20"/>
      <c r="I12" s="20"/>
      <c r="J12" s="1" t="str">
        <f>IF(ISBLANK(J11)," ",(E18+F18+G18+E20+F20+G20+H18+I18+H20+I20)/(E19+F19+G19+E21+F21+G21+H19+I19+H21+I21))</f>
        <v xml:space="preserve"> </v>
      </c>
    </row>
    <row r="13" spans="1:13" ht="21" customHeight="1" thickBot="1" x14ac:dyDescent="0.3">
      <c r="A13" s="1">
        <f>F9+0.2</f>
        <v>8.1999999999999993</v>
      </c>
      <c r="B13" s="14">
        <v>2</v>
      </c>
      <c r="C13" s="21">
        <v>4674</v>
      </c>
      <c r="D13" s="22" t="s">
        <v>34</v>
      </c>
      <c r="E13" s="23" t="s">
        <v>8</v>
      </c>
      <c r="F13" s="24">
        <v>490</v>
      </c>
      <c r="G13" s="25">
        <v>26</v>
      </c>
      <c r="H13" s="20"/>
      <c r="I13" s="20"/>
      <c r="J13" s="1" t="str">
        <f>IF(ISBLANK(J11)," ",(E21+F21+G21+E22+F22+G22+H21+I21+H22+I22)/(E20+F20+G20+E23+F23+G23+H20+I20+H23+I23))</f>
        <v xml:space="preserve"> </v>
      </c>
    </row>
    <row r="14" spans="1:13" ht="21" customHeight="1" thickBot="1" x14ac:dyDescent="0.3">
      <c r="A14" s="1">
        <f>+F9+0.3</f>
        <v>8.3000000000000007</v>
      </c>
      <c r="B14" s="14">
        <v>3</v>
      </c>
      <c r="C14" s="26">
        <v>4827</v>
      </c>
      <c r="D14" s="27" t="s">
        <v>73</v>
      </c>
      <c r="E14" s="28" t="s">
        <v>12</v>
      </c>
      <c r="F14" s="29">
        <v>445</v>
      </c>
      <c r="G14" s="30">
        <v>53</v>
      </c>
      <c r="H14" s="20"/>
      <c r="I14" s="20"/>
      <c r="J14" s="1" t="str">
        <f>IF(ISBLANK(J11)," ",(E19+F19+G19+E23+F23+G23+H19+I19+H23+I23)/(E18+F18+G18+E22+F22+G22+H18+I18+H22+I22))</f>
        <v xml:space="preserve"> </v>
      </c>
    </row>
    <row r="15" spans="1:13" ht="21" customHeight="1" x14ac:dyDescent="0.25"/>
    <row r="16" spans="1:13" ht="21" customHeight="1" thickBot="1" x14ac:dyDescent="0.3"/>
    <row r="17" spans="2:10" s="31" customFormat="1" ht="21" customHeight="1" thickBot="1" x14ac:dyDescent="0.3">
      <c r="B17" s="32" t="s">
        <v>356</v>
      </c>
      <c r="C17" s="33"/>
      <c r="D17" s="32" t="s">
        <v>357</v>
      </c>
      <c r="E17" s="33" t="s">
        <v>358</v>
      </c>
      <c r="F17" s="32" t="s">
        <v>359</v>
      </c>
      <c r="G17" s="34" t="s">
        <v>360</v>
      </c>
      <c r="H17" s="35" t="s">
        <v>361</v>
      </c>
      <c r="I17" s="36" t="s">
        <v>362</v>
      </c>
      <c r="J17" s="32" t="s">
        <v>363</v>
      </c>
    </row>
    <row r="18" spans="2:10" s="37" customFormat="1" ht="21" customHeight="1" thickBot="1" x14ac:dyDescent="0.3">
      <c r="B18" s="255">
        <v>1</v>
      </c>
      <c r="C18" s="12">
        <v>1</v>
      </c>
      <c r="D18" s="39" t="str">
        <f>D12</f>
        <v>MATHIAS QUESADA CASTILLO</v>
      </c>
      <c r="E18" s="12">
        <v>11</v>
      </c>
      <c r="F18" s="38">
        <v>11</v>
      </c>
      <c r="G18" s="40"/>
      <c r="H18" s="41"/>
      <c r="I18" s="42"/>
      <c r="J18" s="245" cm="1">
        <f t="array" ref="J18">IF(SUMPRODUCT(--(E18:I18&gt;E19:I19))&gt;SUMPRODUCT(--(E19:I19&gt;E18:I18)), C18,
IF(SUMPRODUCT(--(E19:I19&gt;E18:I18))&gt;SUMPRODUCT(--(E18:I18&gt;E19:I19)), C19, ""))</f>
        <v>1</v>
      </c>
    </row>
    <row r="19" spans="2:10" s="37" customFormat="1" ht="21" customHeight="1" thickBot="1" x14ac:dyDescent="0.3">
      <c r="B19" s="246"/>
      <c r="C19" s="44">
        <v>3</v>
      </c>
      <c r="D19" s="45" t="str">
        <f>D14</f>
        <v>GABRIEL CENTENO MORA</v>
      </c>
      <c r="E19" s="46">
        <v>6</v>
      </c>
      <c r="F19" s="47">
        <v>1</v>
      </c>
      <c r="G19" s="47"/>
      <c r="H19" s="41"/>
      <c r="I19" s="42"/>
      <c r="J19" s="246"/>
    </row>
    <row r="20" spans="2:10" s="37" customFormat="1" ht="21" customHeight="1" thickBot="1" x14ac:dyDescent="0.3">
      <c r="B20" s="245">
        <v>2</v>
      </c>
      <c r="C20" s="12">
        <v>1</v>
      </c>
      <c r="D20" s="39" t="str">
        <f>D12</f>
        <v>MATHIAS QUESADA CASTILLO</v>
      </c>
      <c r="E20" s="12">
        <v>11</v>
      </c>
      <c r="F20" s="38">
        <v>6</v>
      </c>
      <c r="G20" s="38">
        <v>12</v>
      </c>
      <c r="H20" s="41"/>
      <c r="I20" s="42"/>
      <c r="J20" s="245" cm="1">
        <f t="array" ref="J20">IF(SUMPRODUCT(--(E20:I20&gt;E21:I21))&gt;SUMPRODUCT(--(E21:I21&gt;E20:I20)), C20,
IF(SUMPRODUCT(--(E21:I21&gt;E20:I20))&gt;SUMPRODUCT(--(E20:I20&gt;E21:I21)), C21, ""))</f>
        <v>1</v>
      </c>
    </row>
    <row r="21" spans="2:10" s="37" customFormat="1" ht="21" customHeight="1" thickBot="1" x14ac:dyDescent="0.3">
      <c r="B21" s="246"/>
      <c r="C21" s="44">
        <v>2</v>
      </c>
      <c r="D21" s="45" t="str">
        <f>D13</f>
        <v>AARON EDUARDO RAMIREZ CRUZ</v>
      </c>
      <c r="E21" s="46">
        <v>8</v>
      </c>
      <c r="F21" s="47">
        <v>11</v>
      </c>
      <c r="G21" s="47">
        <v>10</v>
      </c>
      <c r="H21" s="41"/>
      <c r="I21" s="42"/>
      <c r="J21" s="246"/>
    </row>
    <row r="22" spans="2:10" s="37" customFormat="1" ht="21" customHeight="1" thickBot="1" x14ac:dyDescent="0.3">
      <c r="B22" s="245">
        <v>3</v>
      </c>
      <c r="C22" s="44">
        <v>2</v>
      </c>
      <c r="D22" s="45" t="str">
        <f>D13</f>
        <v>AARON EDUARDO RAMIREZ CRUZ</v>
      </c>
      <c r="E22" s="46">
        <v>11</v>
      </c>
      <c r="F22" s="47">
        <v>11</v>
      </c>
      <c r="G22" s="47"/>
      <c r="H22" s="41"/>
      <c r="I22" s="42"/>
      <c r="J22" s="245" cm="1">
        <f t="array" ref="J22">IF(SUMPRODUCT(--(E22:I22&gt;E23:I23))&gt;SUMPRODUCT(--(E23:I23&gt;E22:I22)), C22,
IF(SUMPRODUCT(--(E23:I23&gt;E22:I22))&gt;SUMPRODUCT(--(E22:I22&gt;E23:I23)), C23, ""))</f>
        <v>2</v>
      </c>
    </row>
    <row r="23" spans="2:10" s="37" customFormat="1" ht="21" customHeight="1" thickBot="1" x14ac:dyDescent="0.3">
      <c r="B23" s="246"/>
      <c r="C23" s="48">
        <v>3</v>
      </c>
      <c r="D23" s="49" t="str">
        <f>D14</f>
        <v>GABRIEL CENTENO MORA</v>
      </c>
      <c r="E23" s="48">
        <v>9</v>
      </c>
      <c r="F23" s="43">
        <v>1</v>
      </c>
      <c r="G23" s="43"/>
      <c r="H23" s="50"/>
      <c r="I23" s="51"/>
      <c r="J23" s="246"/>
    </row>
    <row r="24" spans="2:10" ht="6" customHeight="1" x14ac:dyDescent="0.25">
      <c r="B24" s="247"/>
      <c r="C24" s="52"/>
      <c r="D24" s="53"/>
      <c r="E24" s="53"/>
      <c r="F24" s="53"/>
      <c r="G24" s="53"/>
      <c r="H24" s="53"/>
      <c r="I24" s="53"/>
      <c r="J24" s="53"/>
    </row>
    <row r="25" spans="2:10" ht="6" customHeight="1" x14ac:dyDescent="0.25">
      <c r="B25" s="248"/>
      <c r="E25" s="53"/>
      <c r="F25" s="53"/>
      <c r="G25" s="53"/>
      <c r="H25" s="53"/>
      <c r="I25" s="53"/>
      <c r="J25" s="53"/>
    </row>
    <row r="26" spans="2:10" s="2" customFormat="1" ht="6" customHeight="1" x14ac:dyDescent="0.25">
      <c r="B26" s="248"/>
      <c r="E26" s="52"/>
      <c r="F26" s="52"/>
      <c r="G26" s="52"/>
      <c r="H26" s="52"/>
      <c r="I26" s="52"/>
      <c r="J26" s="52"/>
    </row>
    <row r="27" spans="2:10" ht="6" customHeight="1" x14ac:dyDescent="0.25">
      <c r="B27" s="248"/>
      <c r="E27" s="53"/>
      <c r="F27" s="53"/>
    </row>
    <row r="28" spans="2:10" ht="6" customHeight="1" x14ac:dyDescent="0.25">
      <c r="B28" s="249"/>
      <c r="E28" s="53"/>
      <c r="F28" s="53"/>
    </row>
    <row r="29" spans="2:10" ht="6" customHeight="1" x14ac:dyDescent="0.25">
      <c r="B29" s="249"/>
    </row>
    <row r="30" spans="2:10" ht="6" customHeight="1" x14ac:dyDescent="0.25"/>
    <row r="31" spans="2:10" ht="6" customHeight="1" thickBot="1" x14ac:dyDescent="0.3"/>
    <row r="32" spans="2:10" s="37" customFormat="1" ht="18" customHeight="1" thickBot="1" x14ac:dyDescent="0.3">
      <c r="C32" s="250" t="s">
        <v>364</v>
      </c>
      <c r="D32" s="251"/>
      <c r="F32" s="236" t="s">
        <v>365</v>
      </c>
      <c r="G32" s="237"/>
      <c r="H32" s="237"/>
      <c r="I32" s="237"/>
      <c r="J32" s="238"/>
    </row>
    <row r="33" spans="3:10" s="37" customFormat="1" ht="18" customHeight="1" thickBot="1" x14ac:dyDescent="0.3">
      <c r="C33" s="54" t="s">
        <v>366</v>
      </c>
      <c r="D33" s="54" t="s">
        <v>367</v>
      </c>
      <c r="F33" s="236" t="s">
        <v>368</v>
      </c>
      <c r="G33" s="237"/>
      <c r="H33" s="237"/>
      <c r="I33" s="237"/>
      <c r="J33" s="238"/>
    </row>
    <row r="34" spans="3:10" ht="25.5" customHeight="1" thickBot="1" x14ac:dyDescent="0.3">
      <c r="C34" s="55">
        <v>4458</v>
      </c>
      <c r="D34" s="56" t="s">
        <v>21</v>
      </c>
      <c r="F34" s="57" t="s">
        <v>369</v>
      </c>
      <c r="G34" s="239"/>
      <c r="H34" s="240"/>
      <c r="I34" s="240"/>
      <c r="J34" s="241"/>
    </row>
    <row r="35" spans="3:10" ht="25.5" customHeight="1" thickBot="1" x14ac:dyDescent="0.3">
      <c r="C35" s="55">
        <v>4674</v>
      </c>
      <c r="D35" s="56" t="s">
        <v>34</v>
      </c>
      <c r="F35" s="242" t="s">
        <v>370</v>
      </c>
      <c r="G35" s="243"/>
      <c r="H35" s="243"/>
      <c r="I35" s="244"/>
      <c r="J35" s="58"/>
    </row>
  </sheetData>
  <mergeCells count="15">
    <mergeCell ref="B22:B23"/>
    <mergeCell ref="J22:J23"/>
    <mergeCell ref="L5:M8"/>
    <mergeCell ref="B18:B19"/>
    <mergeCell ref="J18:J19"/>
    <mergeCell ref="B20:B21"/>
    <mergeCell ref="J20:J21"/>
    <mergeCell ref="G34:J34"/>
    <mergeCell ref="F35:I35"/>
    <mergeCell ref="B24:B25"/>
    <mergeCell ref="B26:B27"/>
    <mergeCell ref="B28:B29"/>
    <mergeCell ref="C32:D32"/>
    <mergeCell ref="F32:J32"/>
    <mergeCell ref="F33:J33"/>
  </mergeCells>
  <pageMargins left="0.7" right="0.7" top="0.75" bottom="0.75" header="0.3" footer="0.3"/>
  <pageSetup scale="92" orientation="portrait" horizontalDpi="360" verticalDpi="36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B84EB-4AC7-4BE6-8B7A-1A0C7E998436}">
  <sheetPr>
    <pageSetUpPr fitToPage="1"/>
  </sheetPr>
  <dimension ref="A4:Q35"/>
  <sheetViews>
    <sheetView topLeftCell="A16" zoomScale="115" zoomScaleNormal="115" workbookViewId="0">
      <selection activeCell="E46" activeCellId="1" sqref="C36:C37 E46:E47"/>
    </sheetView>
  </sheetViews>
  <sheetFormatPr defaultColWidth="9.140625" defaultRowHeight="15" x14ac:dyDescent="0.25"/>
  <cols>
    <col min="1" max="1" width="4" style="1" bestFit="1" customWidth="1"/>
    <col min="2" max="2" width="11.42578125" style="1" bestFit="1" customWidth="1"/>
    <col min="3" max="3" width="7.85546875" style="2" bestFit="1" customWidth="1"/>
    <col min="4" max="4" width="31.140625" style="1" bestFit="1" customWidth="1"/>
    <col min="5" max="5" width="16.7109375" style="1" bestFit="1" customWidth="1"/>
    <col min="6" max="6" width="10.42578125" style="1" bestFit="1" customWidth="1"/>
    <col min="7" max="7" width="10.28515625" style="1" customWidth="1"/>
    <col min="8" max="8" width="0.140625" style="1" customWidth="1"/>
    <col min="9" max="9" width="10.7109375" style="1" hidden="1" customWidth="1"/>
    <col min="10" max="10" width="11.7109375" style="1" customWidth="1"/>
    <col min="11" max="11" width="11.42578125" style="1" customWidth="1"/>
    <col min="12" max="16384" width="9.140625" style="1"/>
  </cols>
  <sheetData>
    <row r="4" spans="1:17" ht="15" customHeight="1" thickBot="1" x14ac:dyDescent="0.4">
      <c r="D4" s="3"/>
    </row>
    <row r="5" spans="1:17" ht="15.75" customHeight="1" x14ac:dyDescent="0.35">
      <c r="D5" s="3"/>
      <c r="L5" s="252" t="s">
        <v>346</v>
      </c>
      <c r="M5" s="252"/>
    </row>
    <row r="6" spans="1:17" ht="26.25" customHeight="1" x14ac:dyDescent="0.25">
      <c r="L6" s="253"/>
      <c r="M6" s="253"/>
    </row>
    <row r="7" spans="1:17" ht="26.25" customHeight="1" x14ac:dyDescent="0.35">
      <c r="C7" s="4"/>
      <c r="D7" s="3"/>
      <c r="G7" s="3" t="s">
        <v>347</v>
      </c>
      <c r="H7" s="3"/>
      <c r="I7" s="3"/>
      <c r="J7" s="5">
        <f ca="1">TODAY()</f>
        <v>46313</v>
      </c>
      <c r="L7" s="253"/>
      <c r="M7" s="253"/>
    </row>
    <row r="8" spans="1:17" ht="26.25" customHeight="1" x14ac:dyDescent="0.35">
      <c r="C8" s="4"/>
      <c r="D8" s="3"/>
      <c r="L8" s="253"/>
      <c r="M8" s="253"/>
    </row>
    <row r="9" spans="1:17" s="6" customFormat="1" ht="21" customHeight="1" x14ac:dyDescent="0.25">
      <c r="B9" s="7" t="s">
        <v>348</v>
      </c>
      <c r="C9" s="8"/>
      <c r="D9" s="9" t="s">
        <v>410</v>
      </c>
      <c r="E9" s="7" t="s">
        <v>349</v>
      </c>
      <c r="F9" s="9">
        <v>9</v>
      </c>
      <c r="G9" s="7" t="s">
        <v>350</v>
      </c>
      <c r="H9" s="7"/>
      <c r="I9" s="7"/>
      <c r="J9" s="10"/>
      <c r="O9" s="254"/>
      <c r="P9" s="254"/>
      <c r="Q9" s="254"/>
    </row>
    <row r="10" spans="1:17" ht="21" customHeight="1" x14ac:dyDescent="0.25">
      <c r="O10" s="254"/>
      <c r="P10" s="254"/>
      <c r="Q10" s="254"/>
    </row>
    <row r="11" spans="1:17" ht="21" customHeight="1" thickBot="1" x14ac:dyDescent="0.3">
      <c r="B11" s="11" t="s">
        <v>351</v>
      </c>
      <c r="C11" s="12" t="s">
        <v>352</v>
      </c>
      <c r="D11" s="11" t="s">
        <v>353</v>
      </c>
      <c r="E11" s="11" t="s">
        <v>354</v>
      </c>
      <c r="F11" s="11" t="s">
        <v>0</v>
      </c>
      <c r="G11" s="11" t="s">
        <v>355</v>
      </c>
      <c r="H11" s="11"/>
      <c r="I11" s="11"/>
      <c r="J11" s="13"/>
    </row>
    <row r="12" spans="1:17" ht="21" customHeight="1" thickBot="1" x14ac:dyDescent="0.3">
      <c r="A12" s="1">
        <f>F9+0.1</f>
        <v>9.1</v>
      </c>
      <c r="B12" s="14">
        <v>1</v>
      </c>
      <c r="C12" s="15">
        <v>3875</v>
      </c>
      <c r="D12" s="16" t="s">
        <v>20</v>
      </c>
      <c r="E12" s="17" t="s">
        <v>6</v>
      </c>
      <c r="F12" s="18">
        <v>571</v>
      </c>
      <c r="G12" s="19">
        <v>9</v>
      </c>
      <c r="H12" s="20"/>
      <c r="I12" s="20"/>
      <c r="J12" s="1" t="str">
        <f>IF(ISBLANK(J11)," ",(E18+F18+G18+E20+F20+G20+H18+I18+H20+I20)/(E19+F19+G19+E21+F21+G21+H19+I19+H21+I21))</f>
        <v xml:space="preserve"> </v>
      </c>
    </row>
    <row r="13" spans="1:17" ht="21" customHeight="1" thickBot="1" x14ac:dyDescent="0.3">
      <c r="A13" s="1">
        <f>F9+0.2</f>
        <v>9.1999999999999993</v>
      </c>
      <c r="B13" s="14">
        <v>2</v>
      </c>
      <c r="C13" s="21">
        <v>4066</v>
      </c>
      <c r="D13" s="22" t="s">
        <v>42</v>
      </c>
      <c r="E13" s="23" t="s">
        <v>24</v>
      </c>
      <c r="F13" s="24">
        <v>493</v>
      </c>
      <c r="G13" s="25">
        <v>25</v>
      </c>
      <c r="H13" s="20"/>
      <c r="I13" s="20"/>
      <c r="J13" s="1" t="str">
        <f>IF(ISBLANK(J11)," ",(E21+F21+G21+E22+F22+G22+H21+I21+H22+I22)/(E20+F20+G20+E23+F23+G23+H20+I20+H23+I23))</f>
        <v xml:space="preserve"> </v>
      </c>
    </row>
    <row r="14" spans="1:17" ht="21" customHeight="1" thickBot="1" x14ac:dyDescent="0.3">
      <c r="A14" s="1">
        <f>+F9+0.3</f>
        <v>9.3000000000000007</v>
      </c>
      <c r="B14" s="14">
        <v>3</v>
      </c>
      <c r="C14" s="26">
        <v>4465</v>
      </c>
      <c r="D14" s="27" t="s">
        <v>72</v>
      </c>
      <c r="E14" s="28" t="s">
        <v>14</v>
      </c>
      <c r="F14" s="29">
        <v>445</v>
      </c>
      <c r="G14" s="30">
        <v>54</v>
      </c>
      <c r="H14" s="20"/>
      <c r="I14" s="20"/>
      <c r="J14" s="1" t="str">
        <f>IF(ISBLANK(J11)," ",(E19+F19+G19+E23+F23+G23+H19+I19+H23+I23)/(E18+F18+G18+E22+F22+G22+H18+I18+H22+I22))</f>
        <v xml:space="preserve"> </v>
      </c>
    </row>
    <row r="15" spans="1:17" ht="21" customHeight="1" x14ac:dyDescent="0.25"/>
    <row r="16" spans="1:17" ht="21" customHeight="1" thickBot="1" x14ac:dyDescent="0.3"/>
    <row r="17" spans="2:10" s="31" customFormat="1" ht="21" customHeight="1" thickBot="1" x14ac:dyDescent="0.3">
      <c r="B17" s="32" t="s">
        <v>356</v>
      </c>
      <c r="C17" s="33"/>
      <c r="D17" s="32" t="s">
        <v>357</v>
      </c>
      <c r="E17" s="33" t="s">
        <v>358</v>
      </c>
      <c r="F17" s="32" t="s">
        <v>359</v>
      </c>
      <c r="G17" s="34" t="s">
        <v>360</v>
      </c>
      <c r="H17" s="35" t="s">
        <v>361</v>
      </c>
      <c r="I17" s="36" t="s">
        <v>362</v>
      </c>
      <c r="J17" s="32" t="s">
        <v>363</v>
      </c>
    </row>
    <row r="18" spans="2:10" s="37" customFormat="1" ht="21" customHeight="1" thickBot="1" x14ac:dyDescent="0.3">
      <c r="B18" s="255">
        <v>1</v>
      </c>
      <c r="C18" s="12">
        <v>1</v>
      </c>
      <c r="D18" s="39" t="str">
        <f>D12</f>
        <v>CALEB CASCANTE MARIN</v>
      </c>
      <c r="E18" s="12">
        <v>11</v>
      </c>
      <c r="F18" s="38">
        <v>10</v>
      </c>
      <c r="G18" s="40">
        <v>14</v>
      </c>
      <c r="H18" s="41"/>
      <c r="I18" s="42"/>
      <c r="J18" s="245" cm="1">
        <f t="array" ref="J18">IF(SUMPRODUCT(--(E18:I18&gt;E19:I19))&gt;SUMPRODUCT(--(E19:I19&gt;E18:I18)), C18,
IF(SUMPRODUCT(--(E19:I19&gt;E18:I18))&gt;SUMPRODUCT(--(E18:I18&gt;E19:I19)), C19, ""))</f>
        <v>1</v>
      </c>
    </row>
    <row r="19" spans="2:10" s="37" customFormat="1" ht="21" customHeight="1" thickBot="1" x14ac:dyDescent="0.3">
      <c r="B19" s="246"/>
      <c r="C19" s="44">
        <v>3</v>
      </c>
      <c r="D19" s="45" t="str">
        <f>D14</f>
        <v>JULIÁN ZUÑIGA AGÜERO</v>
      </c>
      <c r="E19" s="46">
        <v>2</v>
      </c>
      <c r="F19" s="47">
        <v>12</v>
      </c>
      <c r="G19" s="47">
        <v>12</v>
      </c>
      <c r="H19" s="41"/>
      <c r="I19" s="42"/>
      <c r="J19" s="246"/>
    </row>
    <row r="20" spans="2:10" s="37" customFormat="1" ht="21" customHeight="1" thickBot="1" x14ac:dyDescent="0.3">
      <c r="B20" s="245">
        <v>2</v>
      </c>
      <c r="C20" s="12">
        <v>1</v>
      </c>
      <c r="D20" s="39" t="str">
        <f>D12</f>
        <v>CALEB CASCANTE MARIN</v>
      </c>
      <c r="E20" s="12">
        <v>11</v>
      </c>
      <c r="F20" s="38">
        <v>11</v>
      </c>
      <c r="G20" s="38"/>
      <c r="H20" s="41"/>
      <c r="I20" s="42"/>
      <c r="J20" s="245" cm="1">
        <f t="array" ref="J20">IF(SUMPRODUCT(--(E20:I20&gt;E21:I21))&gt;SUMPRODUCT(--(E21:I21&gt;E20:I20)), C20,
IF(SUMPRODUCT(--(E21:I21&gt;E20:I20))&gt;SUMPRODUCT(--(E20:I20&gt;E21:I21)), C21, ""))</f>
        <v>1</v>
      </c>
    </row>
    <row r="21" spans="2:10" s="37" customFormat="1" ht="21" customHeight="1" thickBot="1" x14ac:dyDescent="0.3">
      <c r="B21" s="246"/>
      <c r="C21" s="44">
        <v>2</v>
      </c>
      <c r="D21" s="45" t="str">
        <f>D13</f>
        <v>JOSÉ IGNACIO RETANA AGUILAR</v>
      </c>
      <c r="E21" s="46">
        <v>9</v>
      </c>
      <c r="F21" s="47">
        <v>2</v>
      </c>
      <c r="G21" s="47"/>
      <c r="H21" s="41"/>
      <c r="I21" s="42"/>
      <c r="J21" s="246"/>
    </row>
    <row r="22" spans="2:10" s="37" customFormat="1" ht="21" customHeight="1" thickBot="1" x14ac:dyDescent="0.3">
      <c r="B22" s="245">
        <v>3</v>
      </c>
      <c r="C22" s="44">
        <v>2</v>
      </c>
      <c r="D22" s="45" t="str">
        <f>D13</f>
        <v>JOSÉ IGNACIO RETANA AGUILAR</v>
      </c>
      <c r="E22" s="46">
        <v>11</v>
      </c>
      <c r="F22" s="47">
        <v>11</v>
      </c>
      <c r="G22" s="47"/>
      <c r="H22" s="41"/>
      <c r="I22" s="42"/>
      <c r="J22" s="245" cm="1">
        <f t="array" ref="J22">IF(SUMPRODUCT(--(E22:I22&gt;E23:I23))&gt;SUMPRODUCT(--(E23:I23&gt;E22:I22)), C22,
IF(SUMPRODUCT(--(E23:I23&gt;E22:I22))&gt;SUMPRODUCT(--(E22:I22&gt;E23:I23)), C23, ""))</f>
        <v>2</v>
      </c>
    </row>
    <row r="23" spans="2:10" s="37" customFormat="1" ht="21" customHeight="1" thickBot="1" x14ac:dyDescent="0.3">
      <c r="B23" s="246"/>
      <c r="C23" s="48">
        <v>3</v>
      </c>
      <c r="D23" s="49" t="str">
        <f>D14</f>
        <v>JULIÁN ZUÑIGA AGÜERO</v>
      </c>
      <c r="E23" s="48">
        <v>0</v>
      </c>
      <c r="F23" s="43">
        <v>8</v>
      </c>
      <c r="G23" s="43"/>
      <c r="H23" s="50"/>
      <c r="I23" s="51"/>
      <c r="J23" s="246"/>
    </row>
    <row r="24" spans="2:10" ht="6" customHeight="1" x14ac:dyDescent="0.25">
      <c r="B24" s="247"/>
      <c r="C24" s="52"/>
      <c r="D24" s="53"/>
      <c r="E24" s="53"/>
      <c r="F24" s="53"/>
      <c r="G24" s="53"/>
      <c r="H24" s="53"/>
      <c r="I24" s="53"/>
      <c r="J24" s="53"/>
    </row>
    <row r="25" spans="2:10" ht="6" customHeight="1" x14ac:dyDescent="0.25">
      <c r="B25" s="248"/>
      <c r="E25" s="53"/>
      <c r="F25" s="53"/>
      <c r="G25" s="53"/>
      <c r="H25" s="53"/>
      <c r="I25" s="53"/>
      <c r="J25" s="53"/>
    </row>
    <row r="26" spans="2:10" s="2" customFormat="1" ht="6" customHeight="1" x14ac:dyDescent="0.25">
      <c r="B26" s="248"/>
      <c r="E26" s="52"/>
      <c r="F26" s="52"/>
      <c r="G26" s="52"/>
      <c r="H26" s="52"/>
      <c r="I26" s="52"/>
      <c r="J26" s="52"/>
    </row>
    <row r="27" spans="2:10" ht="6" customHeight="1" x14ac:dyDescent="0.25">
      <c r="B27" s="248"/>
      <c r="E27" s="53"/>
      <c r="F27" s="53"/>
    </row>
    <row r="28" spans="2:10" ht="6" customHeight="1" x14ac:dyDescent="0.25">
      <c r="B28" s="249"/>
      <c r="E28" s="53"/>
      <c r="F28" s="53"/>
    </row>
    <row r="29" spans="2:10" ht="6" customHeight="1" x14ac:dyDescent="0.25">
      <c r="B29" s="249"/>
    </row>
    <row r="30" spans="2:10" ht="6" customHeight="1" x14ac:dyDescent="0.25"/>
    <row r="31" spans="2:10" ht="6" customHeight="1" thickBot="1" x14ac:dyDescent="0.3"/>
    <row r="32" spans="2:10" s="37" customFormat="1" ht="18" customHeight="1" thickBot="1" x14ac:dyDescent="0.3">
      <c r="C32" s="250" t="s">
        <v>364</v>
      </c>
      <c r="D32" s="251"/>
      <c r="F32" s="236" t="s">
        <v>365</v>
      </c>
      <c r="G32" s="237"/>
      <c r="H32" s="237"/>
      <c r="I32" s="237"/>
      <c r="J32" s="238"/>
    </row>
    <row r="33" spans="3:10" s="37" customFormat="1" ht="18" customHeight="1" thickBot="1" x14ac:dyDescent="0.3">
      <c r="C33" s="54" t="s">
        <v>366</v>
      </c>
      <c r="D33" s="54" t="s">
        <v>367</v>
      </c>
      <c r="F33" s="236" t="s">
        <v>368</v>
      </c>
      <c r="G33" s="237"/>
      <c r="H33" s="237"/>
      <c r="I33" s="237"/>
      <c r="J33" s="238"/>
    </row>
    <row r="34" spans="3:10" ht="25.5" customHeight="1" thickBot="1" x14ac:dyDescent="0.3">
      <c r="C34" s="55">
        <v>3875</v>
      </c>
      <c r="D34" s="56" t="s">
        <v>20</v>
      </c>
      <c r="F34" s="57" t="s">
        <v>369</v>
      </c>
      <c r="G34" s="239"/>
      <c r="H34" s="240"/>
      <c r="I34" s="240"/>
      <c r="J34" s="241"/>
    </row>
    <row r="35" spans="3:10" ht="25.5" customHeight="1" thickBot="1" x14ac:dyDescent="0.3">
      <c r="C35" s="55">
        <v>4066</v>
      </c>
      <c r="D35" s="56" t="s">
        <v>42</v>
      </c>
      <c r="F35" s="242" t="s">
        <v>370</v>
      </c>
      <c r="G35" s="243"/>
      <c r="H35" s="243"/>
      <c r="I35" s="244"/>
      <c r="J35" s="58"/>
    </row>
  </sheetData>
  <mergeCells count="16">
    <mergeCell ref="L5:M8"/>
    <mergeCell ref="O9:Q10"/>
    <mergeCell ref="B18:B19"/>
    <mergeCell ref="J18:J19"/>
    <mergeCell ref="B20:B21"/>
    <mergeCell ref="J20:J21"/>
    <mergeCell ref="F33:J33"/>
    <mergeCell ref="G34:J34"/>
    <mergeCell ref="F35:I35"/>
    <mergeCell ref="B22:B23"/>
    <mergeCell ref="J22:J23"/>
    <mergeCell ref="B24:B25"/>
    <mergeCell ref="B26:B27"/>
    <mergeCell ref="B28:B29"/>
    <mergeCell ref="C32:D32"/>
    <mergeCell ref="F32:J32"/>
  </mergeCells>
  <pageMargins left="0.7" right="0.7" top="0.75" bottom="0.75" header="0.3" footer="0.3"/>
  <pageSetup scale="87" orientation="portrait" horizontalDpi="360" verticalDpi="36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99CFE-F77D-4515-B3E6-ADF6D8F4AA83}">
  <sheetPr>
    <pageSetUpPr fitToPage="1"/>
  </sheetPr>
  <dimension ref="A4:M35"/>
  <sheetViews>
    <sheetView topLeftCell="A16" zoomScale="115" zoomScaleNormal="115" workbookViewId="0">
      <selection activeCell="E46" activeCellId="1" sqref="C36:C37 E46:E47"/>
    </sheetView>
  </sheetViews>
  <sheetFormatPr defaultColWidth="9.140625" defaultRowHeight="15" x14ac:dyDescent="0.25"/>
  <cols>
    <col min="1" max="1" width="4" style="1" bestFit="1" customWidth="1"/>
    <col min="2" max="2" width="11.42578125" style="1" bestFit="1" customWidth="1"/>
    <col min="3" max="3" width="7.85546875" style="2" bestFit="1" customWidth="1"/>
    <col min="4" max="4" width="31.140625" style="1" bestFit="1" customWidth="1"/>
    <col min="5" max="5" width="10.7109375" style="1" bestFit="1" customWidth="1"/>
    <col min="6" max="6" width="10.42578125" style="1" bestFit="1" customWidth="1"/>
    <col min="7" max="7" width="10.28515625" style="1" bestFit="1" customWidth="1"/>
    <col min="8" max="8" width="0.140625" style="1" customWidth="1"/>
    <col min="9" max="9" width="10.7109375" style="1" hidden="1" customWidth="1"/>
    <col min="10" max="10" width="11.7109375" style="1" customWidth="1"/>
    <col min="11" max="11" width="11.42578125" style="1" customWidth="1"/>
    <col min="12" max="16384" width="9.140625" style="1"/>
  </cols>
  <sheetData>
    <row r="4" spans="1:13" ht="15" customHeight="1" thickBot="1" x14ac:dyDescent="0.4">
      <c r="D4" s="3"/>
    </row>
    <row r="5" spans="1:13" ht="15.75" customHeight="1" x14ac:dyDescent="0.35">
      <c r="D5" s="3"/>
      <c r="L5" s="252" t="s">
        <v>346</v>
      </c>
      <c r="M5" s="252"/>
    </row>
    <row r="6" spans="1:13" ht="26.25" customHeight="1" x14ac:dyDescent="0.25">
      <c r="L6" s="253"/>
      <c r="M6" s="253"/>
    </row>
    <row r="7" spans="1:13" ht="26.25" customHeight="1" x14ac:dyDescent="0.35">
      <c r="C7" s="4"/>
      <c r="D7" s="3"/>
      <c r="G7" s="3" t="s">
        <v>347</v>
      </c>
      <c r="H7" s="3"/>
      <c r="I7" s="3"/>
      <c r="J7" s="5">
        <f ca="1">TODAY()</f>
        <v>46313</v>
      </c>
      <c r="L7" s="253"/>
      <c r="M7" s="253"/>
    </row>
    <row r="8" spans="1:13" ht="26.25" customHeight="1" x14ac:dyDescent="0.35">
      <c r="C8" s="4"/>
      <c r="D8" s="3"/>
      <c r="L8" s="253"/>
      <c r="M8" s="253"/>
    </row>
    <row r="9" spans="1:13" s="6" customFormat="1" ht="21" customHeight="1" x14ac:dyDescent="0.25">
      <c r="B9" s="7" t="s">
        <v>348</v>
      </c>
      <c r="C9" s="8"/>
      <c r="D9" s="9" t="s">
        <v>410</v>
      </c>
      <c r="E9" s="7" t="s">
        <v>349</v>
      </c>
      <c r="F9" s="9">
        <v>10</v>
      </c>
      <c r="G9" s="7" t="s">
        <v>350</v>
      </c>
      <c r="H9" s="7"/>
      <c r="I9" s="7"/>
      <c r="J9" s="10"/>
    </row>
    <row r="10" spans="1:13" ht="21" customHeight="1" x14ac:dyDescent="0.25"/>
    <row r="11" spans="1:13" ht="21" customHeight="1" thickBot="1" x14ac:dyDescent="0.3">
      <c r="B11" s="11" t="s">
        <v>351</v>
      </c>
      <c r="C11" s="12" t="s">
        <v>352</v>
      </c>
      <c r="D11" s="11" t="s">
        <v>353</v>
      </c>
      <c r="E11" s="11" t="s">
        <v>354</v>
      </c>
      <c r="F11" s="11" t="s">
        <v>0</v>
      </c>
      <c r="G11" s="11" t="s">
        <v>355</v>
      </c>
      <c r="H11" s="11"/>
      <c r="I11" s="11"/>
      <c r="J11" s="13"/>
    </row>
    <row r="12" spans="1:13" ht="21" customHeight="1" thickBot="1" x14ac:dyDescent="0.3">
      <c r="A12" s="1">
        <f>F9+0.1</f>
        <v>10.1</v>
      </c>
      <c r="B12" s="14">
        <v>1</v>
      </c>
      <c r="C12" s="15">
        <v>3933</v>
      </c>
      <c r="D12" s="16" t="s">
        <v>16</v>
      </c>
      <c r="E12" s="17" t="s">
        <v>17</v>
      </c>
      <c r="F12" s="18">
        <v>564</v>
      </c>
      <c r="G12" s="19">
        <v>10</v>
      </c>
      <c r="H12" s="20"/>
      <c r="I12" s="20"/>
      <c r="J12" s="1" t="str">
        <f>IF(ISBLANK(J11)," ",(E18+F18+G18+E20+F20+G20+H18+I18+H20+I20)/(E19+F19+G19+E21+F21+G21+H19+I19+H21+I21))</f>
        <v xml:space="preserve"> </v>
      </c>
    </row>
    <row r="13" spans="1:13" ht="21" customHeight="1" thickBot="1" x14ac:dyDescent="0.3">
      <c r="A13" s="1">
        <f>F9+0.2</f>
        <v>10.199999999999999</v>
      </c>
      <c r="B13" s="14">
        <v>2</v>
      </c>
      <c r="C13" s="21">
        <v>4351</v>
      </c>
      <c r="D13" s="22" t="s">
        <v>43</v>
      </c>
      <c r="E13" s="23" t="s">
        <v>10</v>
      </c>
      <c r="F13" s="24">
        <v>497</v>
      </c>
      <c r="G13" s="25">
        <v>24</v>
      </c>
      <c r="H13" s="20"/>
      <c r="I13" s="20"/>
      <c r="J13" s="1" t="str">
        <f>IF(ISBLANK(J11)," ",(E21+F21+G21+E22+F22+G22+H21+I21+H22+I22)/(E20+F20+G20+E23+F23+G23+H20+I20+H23+I23))</f>
        <v xml:space="preserve"> </v>
      </c>
    </row>
    <row r="14" spans="1:13" ht="21" customHeight="1" thickBot="1" x14ac:dyDescent="0.3">
      <c r="A14" s="1">
        <f>+F9+0.3</f>
        <v>10.3</v>
      </c>
      <c r="B14" s="14">
        <v>3</v>
      </c>
      <c r="C14" s="26">
        <v>4702</v>
      </c>
      <c r="D14" s="27" t="s">
        <v>63</v>
      </c>
      <c r="E14" s="28" t="s">
        <v>14</v>
      </c>
      <c r="F14" s="29">
        <v>440</v>
      </c>
      <c r="G14" s="30">
        <v>55</v>
      </c>
      <c r="H14" s="20"/>
      <c r="I14" s="20"/>
      <c r="J14" s="1" t="str">
        <f>IF(ISBLANK(J11)," ",(E19+F19+G19+E23+F23+G23+H19+I19+H23+I23)/(E18+F18+G18+E22+F22+G22+H18+I18+H22+I22))</f>
        <v xml:space="preserve"> </v>
      </c>
    </row>
    <row r="15" spans="1:13" ht="21" customHeight="1" x14ac:dyDescent="0.25"/>
    <row r="16" spans="1:13" ht="21" customHeight="1" thickBot="1" x14ac:dyDescent="0.3"/>
    <row r="17" spans="2:10" s="31" customFormat="1" ht="21" customHeight="1" thickBot="1" x14ac:dyDescent="0.3">
      <c r="B17" s="32" t="s">
        <v>356</v>
      </c>
      <c r="C17" s="33"/>
      <c r="D17" s="32" t="s">
        <v>357</v>
      </c>
      <c r="E17" s="33" t="s">
        <v>358</v>
      </c>
      <c r="F17" s="32" t="s">
        <v>359</v>
      </c>
      <c r="G17" s="34" t="s">
        <v>360</v>
      </c>
      <c r="H17" s="35" t="s">
        <v>361</v>
      </c>
      <c r="I17" s="36" t="s">
        <v>362</v>
      </c>
      <c r="J17" s="32" t="s">
        <v>363</v>
      </c>
    </row>
    <row r="18" spans="2:10" s="37" customFormat="1" ht="21" customHeight="1" thickBot="1" x14ac:dyDescent="0.3">
      <c r="B18" s="255">
        <v>1</v>
      </c>
      <c r="C18" s="12">
        <v>1</v>
      </c>
      <c r="D18" s="39" t="str">
        <f>D12</f>
        <v>YOHAV GADIEL ALVARADO RETANA</v>
      </c>
      <c r="E18" s="12">
        <v>11</v>
      </c>
      <c r="F18" s="38">
        <v>11</v>
      </c>
      <c r="G18" s="40"/>
      <c r="H18" s="41"/>
      <c r="I18" s="42"/>
      <c r="J18" s="245" cm="1">
        <f t="array" ref="J18">IF(SUMPRODUCT(--(E18:I18&gt;E19:I19))&gt;SUMPRODUCT(--(E19:I19&gt;E18:I18)), C18,
IF(SUMPRODUCT(--(E19:I19&gt;E18:I18))&gt;SUMPRODUCT(--(E18:I18&gt;E19:I19)), C19, ""))</f>
        <v>1</v>
      </c>
    </row>
    <row r="19" spans="2:10" s="37" customFormat="1" ht="21" customHeight="1" thickBot="1" x14ac:dyDescent="0.3">
      <c r="B19" s="246"/>
      <c r="C19" s="44">
        <v>3</v>
      </c>
      <c r="D19" s="45" t="str">
        <f>D14</f>
        <v>FABIAN JOSUÉ CISNEROS VARGAS</v>
      </c>
      <c r="E19" s="46">
        <v>9</v>
      </c>
      <c r="F19" s="47">
        <v>8</v>
      </c>
      <c r="G19" s="47"/>
      <c r="H19" s="41"/>
      <c r="I19" s="42"/>
      <c r="J19" s="246"/>
    </row>
    <row r="20" spans="2:10" s="37" customFormat="1" ht="21" customHeight="1" thickBot="1" x14ac:dyDescent="0.3">
      <c r="B20" s="245">
        <v>2</v>
      </c>
      <c r="C20" s="12">
        <v>1</v>
      </c>
      <c r="D20" s="39" t="str">
        <f>D12</f>
        <v>YOHAV GADIEL ALVARADO RETANA</v>
      </c>
      <c r="E20" s="12">
        <v>11</v>
      </c>
      <c r="F20" s="38">
        <v>11</v>
      </c>
      <c r="G20" s="38"/>
      <c r="H20" s="41"/>
      <c r="I20" s="42"/>
      <c r="J20" s="245" cm="1">
        <f t="array" ref="J20">IF(SUMPRODUCT(--(E20:I20&gt;E21:I21))&gt;SUMPRODUCT(--(E21:I21&gt;E20:I20)), C20,
IF(SUMPRODUCT(--(E21:I21&gt;E20:I20))&gt;SUMPRODUCT(--(E20:I20&gt;E21:I21)), C21, ""))</f>
        <v>1</v>
      </c>
    </row>
    <row r="21" spans="2:10" s="37" customFormat="1" ht="21" customHeight="1" thickBot="1" x14ac:dyDescent="0.3">
      <c r="B21" s="246"/>
      <c r="C21" s="44">
        <v>2</v>
      </c>
      <c r="D21" s="45" t="str">
        <f>D13</f>
        <v>DANIEL GARRO OBALDÍA</v>
      </c>
      <c r="E21" s="46">
        <v>6</v>
      </c>
      <c r="F21" s="47">
        <v>3</v>
      </c>
      <c r="G21" s="47"/>
      <c r="H21" s="41"/>
      <c r="I21" s="42"/>
      <c r="J21" s="246"/>
    </row>
    <row r="22" spans="2:10" s="37" customFormat="1" ht="21" customHeight="1" thickBot="1" x14ac:dyDescent="0.3">
      <c r="B22" s="245">
        <v>3</v>
      </c>
      <c r="C22" s="44">
        <v>2</v>
      </c>
      <c r="D22" s="45" t="str">
        <f>D13</f>
        <v>DANIEL GARRO OBALDÍA</v>
      </c>
      <c r="E22" s="46">
        <v>6</v>
      </c>
      <c r="F22" s="47">
        <v>8</v>
      </c>
      <c r="G22" s="47"/>
      <c r="H22" s="41"/>
      <c r="I22" s="42"/>
      <c r="J22" s="245" cm="1">
        <f t="array" ref="J22">IF(SUMPRODUCT(--(E22:I22&gt;E23:I23))&gt;SUMPRODUCT(--(E23:I23&gt;E22:I22)), C22,
IF(SUMPRODUCT(--(E23:I23&gt;E22:I22))&gt;SUMPRODUCT(--(E22:I22&gt;E23:I23)), C23, ""))</f>
        <v>3</v>
      </c>
    </row>
    <row r="23" spans="2:10" s="37" customFormat="1" ht="21" customHeight="1" thickBot="1" x14ac:dyDescent="0.3">
      <c r="B23" s="246"/>
      <c r="C23" s="48">
        <v>3</v>
      </c>
      <c r="D23" s="49" t="str">
        <f>D14</f>
        <v>FABIAN JOSUÉ CISNEROS VARGAS</v>
      </c>
      <c r="E23" s="48">
        <v>11</v>
      </c>
      <c r="F23" s="43">
        <v>11</v>
      </c>
      <c r="G23" s="43"/>
      <c r="H23" s="50"/>
      <c r="I23" s="51"/>
      <c r="J23" s="246"/>
    </row>
    <row r="24" spans="2:10" ht="6" customHeight="1" x14ac:dyDescent="0.25">
      <c r="B24" s="247"/>
      <c r="C24" s="52"/>
      <c r="D24" s="53"/>
      <c r="E24" s="53"/>
      <c r="F24" s="53"/>
      <c r="G24" s="53"/>
      <c r="H24" s="53"/>
      <c r="I24" s="53"/>
      <c r="J24" s="53"/>
    </row>
    <row r="25" spans="2:10" ht="6" customHeight="1" x14ac:dyDescent="0.25">
      <c r="B25" s="248"/>
      <c r="E25" s="53"/>
      <c r="F25" s="53"/>
      <c r="G25" s="53"/>
      <c r="H25" s="53"/>
      <c r="I25" s="53"/>
      <c r="J25" s="53"/>
    </row>
    <row r="26" spans="2:10" s="2" customFormat="1" ht="6" customHeight="1" x14ac:dyDescent="0.25">
      <c r="B26" s="248"/>
      <c r="E26" s="52"/>
      <c r="F26" s="52"/>
      <c r="G26" s="52"/>
      <c r="H26" s="52"/>
      <c r="I26" s="52"/>
      <c r="J26" s="52"/>
    </row>
    <row r="27" spans="2:10" ht="6" customHeight="1" x14ac:dyDescent="0.25">
      <c r="B27" s="248"/>
      <c r="E27" s="53"/>
      <c r="F27" s="53"/>
    </row>
    <row r="28" spans="2:10" ht="6" customHeight="1" x14ac:dyDescent="0.25">
      <c r="B28" s="249"/>
      <c r="E28" s="53"/>
      <c r="F28" s="53"/>
    </row>
    <row r="29" spans="2:10" ht="6" customHeight="1" x14ac:dyDescent="0.25">
      <c r="B29" s="249"/>
    </row>
    <row r="30" spans="2:10" ht="6" customHeight="1" x14ac:dyDescent="0.25"/>
    <row r="31" spans="2:10" ht="6" customHeight="1" thickBot="1" x14ac:dyDescent="0.3"/>
    <row r="32" spans="2:10" s="37" customFormat="1" ht="18" customHeight="1" thickBot="1" x14ac:dyDescent="0.3">
      <c r="C32" s="250" t="s">
        <v>364</v>
      </c>
      <c r="D32" s="251"/>
      <c r="F32" s="236" t="s">
        <v>365</v>
      </c>
      <c r="G32" s="237"/>
      <c r="H32" s="237"/>
      <c r="I32" s="237"/>
      <c r="J32" s="238"/>
    </row>
    <row r="33" spans="3:10" s="37" customFormat="1" ht="18" customHeight="1" thickBot="1" x14ac:dyDescent="0.3">
      <c r="C33" s="54" t="s">
        <v>366</v>
      </c>
      <c r="D33" s="54" t="s">
        <v>367</v>
      </c>
      <c r="F33" s="236" t="s">
        <v>368</v>
      </c>
      <c r="G33" s="237"/>
      <c r="H33" s="237"/>
      <c r="I33" s="237"/>
      <c r="J33" s="238"/>
    </row>
    <row r="34" spans="3:10" ht="25.5" customHeight="1" thickBot="1" x14ac:dyDescent="0.3">
      <c r="C34" s="55">
        <v>3933</v>
      </c>
      <c r="D34" s="56" t="s">
        <v>16</v>
      </c>
      <c r="F34" s="57" t="s">
        <v>369</v>
      </c>
      <c r="G34" s="239"/>
      <c r="H34" s="240"/>
      <c r="I34" s="240"/>
      <c r="J34" s="241"/>
    </row>
    <row r="35" spans="3:10" ht="25.5" customHeight="1" thickBot="1" x14ac:dyDescent="0.3">
      <c r="C35" s="55">
        <v>4702</v>
      </c>
      <c r="D35" s="56" t="s">
        <v>63</v>
      </c>
      <c r="F35" s="242" t="s">
        <v>370</v>
      </c>
      <c r="G35" s="243"/>
      <c r="H35" s="243"/>
      <c r="I35" s="244"/>
      <c r="J35" s="58"/>
    </row>
  </sheetData>
  <mergeCells count="15">
    <mergeCell ref="B22:B23"/>
    <mergeCell ref="J22:J23"/>
    <mergeCell ref="L5:M8"/>
    <mergeCell ref="B18:B19"/>
    <mergeCell ref="J18:J19"/>
    <mergeCell ref="B20:B21"/>
    <mergeCell ref="J20:J21"/>
    <mergeCell ref="G34:J34"/>
    <mergeCell ref="F35:I35"/>
    <mergeCell ref="B24:B25"/>
    <mergeCell ref="B26:B27"/>
    <mergeCell ref="B28:B29"/>
    <mergeCell ref="C32:D32"/>
    <mergeCell ref="F32:J32"/>
    <mergeCell ref="F33:J33"/>
  </mergeCells>
  <pageMargins left="0.7" right="0.7" top="0.75" bottom="0.75" header="0.3" footer="0.3"/>
  <pageSetup scale="93" orientation="portrait" horizontalDpi="360" verticalDpi="36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9AA77-930E-40DF-9EFE-BBB7BA0DCBDE}">
  <sheetPr>
    <pageSetUpPr fitToPage="1"/>
  </sheetPr>
  <dimension ref="A4:M35"/>
  <sheetViews>
    <sheetView topLeftCell="A23" zoomScale="115" zoomScaleNormal="115" workbookViewId="0">
      <selection activeCell="E46" activeCellId="1" sqref="C36:C37 E46:E47"/>
    </sheetView>
  </sheetViews>
  <sheetFormatPr defaultColWidth="9.140625" defaultRowHeight="15" x14ac:dyDescent="0.25"/>
  <cols>
    <col min="1" max="1" width="4" style="1" bestFit="1" customWidth="1"/>
    <col min="2" max="2" width="11.42578125" style="1" bestFit="1" customWidth="1"/>
    <col min="3" max="3" width="7.85546875" style="2" bestFit="1" customWidth="1"/>
    <col min="4" max="4" width="28.140625" style="1" bestFit="1" customWidth="1"/>
    <col min="5" max="5" width="14.5703125" style="1" bestFit="1" customWidth="1"/>
    <col min="6" max="6" width="10.42578125" style="1" bestFit="1" customWidth="1"/>
    <col min="7" max="7" width="10.28515625" style="1" bestFit="1" customWidth="1"/>
    <col min="8" max="8" width="0.140625" style="1" customWidth="1"/>
    <col min="9" max="9" width="10.7109375" style="1" hidden="1" customWidth="1"/>
    <col min="10" max="10" width="11.7109375" style="1" customWidth="1"/>
    <col min="11" max="11" width="11.42578125" style="1" customWidth="1"/>
    <col min="12" max="16384" width="9.140625" style="1"/>
  </cols>
  <sheetData>
    <row r="4" spans="1:13" ht="15" customHeight="1" thickBot="1" x14ac:dyDescent="0.4">
      <c r="D4" s="3"/>
    </row>
    <row r="5" spans="1:13" ht="15.75" customHeight="1" x14ac:dyDescent="0.35">
      <c r="D5" s="3"/>
      <c r="L5" s="252" t="s">
        <v>346</v>
      </c>
      <c r="M5" s="252"/>
    </row>
    <row r="6" spans="1:13" ht="26.25" customHeight="1" x14ac:dyDescent="0.25">
      <c r="L6" s="253"/>
      <c r="M6" s="253"/>
    </row>
    <row r="7" spans="1:13" ht="26.25" customHeight="1" x14ac:dyDescent="0.35">
      <c r="C7" s="4"/>
      <c r="D7" s="3"/>
      <c r="G7" s="3" t="s">
        <v>347</v>
      </c>
      <c r="H7" s="3"/>
      <c r="I7" s="3"/>
      <c r="J7" s="5">
        <f ca="1">TODAY()</f>
        <v>46313</v>
      </c>
      <c r="L7" s="253"/>
      <c r="M7" s="253"/>
    </row>
    <row r="8" spans="1:13" ht="26.25" customHeight="1" x14ac:dyDescent="0.35">
      <c r="C8" s="4"/>
      <c r="D8" s="3"/>
      <c r="L8" s="253"/>
      <c r="M8" s="253"/>
    </row>
    <row r="9" spans="1:13" s="6" customFormat="1" ht="21" customHeight="1" x14ac:dyDescent="0.25">
      <c r="B9" s="7" t="s">
        <v>348</v>
      </c>
      <c r="C9" s="8"/>
      <c r="D9" s="9" t="s">
        <v>410</v>
      </c>
      <c r="E9" s="7" t="s">
        <v>349</v>
      </c>
      <c r="F9" s="9">
        <v>11</v>
      </c>
      <c r="G9" s="7" t="s">
        <v>350</v>
      </c>
      <c r="H9" s="7"/>
      <c r="I9" s="7"/>
      <c r="J9" s="10"/>
    </row>
    <row r="10" spans="1:13" ht="21" customHeight="1" x14ac:dyDescent="0.25"/>
    <row r="11" spans="1:13" ht="21" customHeight="1" thickBot="1" x14ac:dyDescent="0.3">
      <c r="B11" s="11" t="s">
        <v>351</v>
      </c>
      <c r="C11" s="12" t="s">
        <v>352</v>
      </c>
      <c r="D11" s="11" t="s">
        <v>353</v>
      </c>
      <c r="E11" s="11" t="s">
        <v>354</v>
      </c>
      <c r="F11" s="11" t="s">
        <v>0</v>
      </c>
      <c r="G11" s="11" t="s">
        <v>355</v>
      </c>
      <c r="H11" s="11"/>
      <c r="I11" s="11"/>
      <c r="J11" s="13"/>
    </row>
    <row r="12" spans="1:13" ht="21" customHeight="1" thickBot="1" x14ac:dyDescent="0.3">
      <c r="A12" s="1">
        <f>F9+0.1</f>
        <v>11.1</v>
      </c>
      <c r="B12" s="14">
        <v>1</v>
      </c>
      <c r="C12" s="15">
        <v>4025</v>
      </c>
      <c r="D12" s="16" t="s">
        <v>18</v>
      </c>
      <c r="E12" s="17" t="s">
        <v>14</v>
      </c>
      <c r="F12" s="18">
        <v>555</v>
      </c>
      <c r="G12" s="19">
        <v>11</v>
      </c>
      <c r="H12" s="20"/>
      <c r="I12" s="20"/>
      <c r="J12" s="1" t="str">
        <f>IF(ISBLANK(J11)," ",(E18+F18+G18+E20+F20+G20+H18+I18+H20+I20)/(E19+F19+G19+E21+F21+G21+H19+I19+H21+I21))</f>
        <v xml:space="preserve"> </v>
      </c>
    </row>
    <row r="13" spans="1:13" ht="21" customHeight="1" thickBot="1" x14ac:dyDescent="0.3">
      <c r="A13" s="1">
        <f>F9+0.2</f>
        <v>11.2</v>
      </c>
      <c r="B13" s="14">
        <v>2</v>
      </c>
      <c r="C13" s="21">
        <v>4682</v>
      </c>
      <c r="D13" s="22" t="s">
        <v>32</v>
      </c>
      <c r="E13" s="23" t="s">
        <v>24</v>
      </c>
      <c r="F13" s="24">
        <v>503</v>
      </c>
      <c r="G13" s="25">
        <v>20</v>
      </c>
      <c r="H13" s="20"/>
      <c r="I13" s="20"/>
      <c r="J13" s="1" t="str">
        <f>IF(ISBLANK(J11)," ",(E21+F21+G21+E22+F22+G22+H21+I21+H22+I22)/(E20+F20+G20+E23+F23+G23+H20+I20+H23+I23))</f>
        <v xml:space="preserve"> </v>
      </c>
    </row>
    <row r="14" spans="1:13" ht="21" customHeight="1" thickBot="1" x14ac:dyDescent="0.3">
      <c r="A14" s="1">
        <f>+F9+0.3</f>
        <v>11.3</v>
      </c>
      <c r="B14" s="14">
        <v>3</v>
      </c>
      <c r="C14" s="26">
        <v>4862</v>
      </c>
      <c r="D14" s="27" t="s">
        <v>340</v>
      </c>
      <c r="E14" s="28" t="s">
        <v>6</v>
      </c>
      <c r="F14" s="29">
        <v>435</v>
      </c>
      <c r="G14" s="30">
        <v>59</v>
      </c>
      <c r="H14" s="20"/>
      <c r="I14" s="20"/>
      <c r="J14" s="1" t="str">
        <f>IF(ISBLANK(J11)," ",(E19+F19+G19+E23+F23+G23+H19+I19+H23+I23)/(E18+F18+G18+E22+F22+G22+H18+I18+H22+I22))</f>
        <v xml:space="preserve"> </v>
      </c>
    </row>
    <row r="15" spans="1:13" ht="21" customHeight="1" x14ac:dyDescent="0.25"/>
    <row r="16" spans="1:13" ht="21" customHeight="1" thickBot="1" x14ac:dyDescent="0.3"/>
    <row r="17" spans="2:10" s="31" customFormat="1" ht="21" customHeight="1" thickBot="1" x14ac:dyDescent="0.3">
      <c r="B17" s="32" t="s">
        <v>356</v>
      </c>
      <c r="C17" s="33"/>
      <c r="D17" s="32" t="s">
        <v>357</v>
      </c>
      <c r="E17" s="33" t="s">
        <v>358</v>
      </c>
      <c r="F17" s="32" t="s">
        <v>359</v>
      </c>
      <c r="G17" s="34" t="s">
        <v>360</v>
      </c>
      <c r="H17" s="35" t="s">
        <v>361</v>
      </c>
      <c r="I17" s="36" t="s">
        <v>362</v>
      </c>
      <c r="J17" s="32" t="s">
        <v>363</v>
      </c>
    </row>
    <row r="18" spans="2:10" s="37" customFormat="1" ht="21" customHeight="1" thickBot="1" x14ac:dyDescent="0.3">
      <c r="B18" s="255">
        <v>1</v>
      </c>
      <c r="C18" s="12">
        <v>1</v>
      </c>
      <c r="D18" s="39" t="str">
        <f>D12</f>
        <v>GABRIEL CORRALES BARRANTES</v>
      </c>
      <c r="E18" s="12">
        <v>11</v>
      </c>
      <c r="F18" s="38">
        <v>11</v>
      </c>
      <c r="G18" s="40"/>
      <c r="H18" s="41"/>
      <c r="I18" s="42"/>
      <c r="J18" s="245" cm="1">
        <f t="array" ref="J18">IF(SUMPRODUCT(--(E18:I18&gt;E19:I19))&gt;SUMPRODUCT(--(E19:I19&gt;E18:I18)), C18,
IF(SUMPRODUCT(--(E19:I19&gt;E18:I18))&gt;SUMPRODUCT(--(E18:I18&gt;E19:I19)), C19, ""))</f>
        <v>1</v>
      </c>
    </row>
    <row r="19" spans="2:10" s="37" customFormat="1" ht="21" customHeight="1" thickBot="1" x14ac:dyDescent="0.3">
      <c r="B19" s="246"/>
      <c r="C19" s="44">
        <v>3</v>
      </c>
      <c r="D19" s="45" t="str">
        <f>D14</f>
        <v>JOAQUIN UMAÑA VARGAS</v>
      </c>
      <c r="E19" s="46">
        <v>5</v>
      </c>
      <c r="F19" s="47">
        <v>9</v>
      </c>
      <c r="G19" s="47"/>
      <c r="H19" s="41"/>
      <c r="I19" s="42"/>
      <c r="J19" s="246"/>
    </row>
    <row r="20" spans="2:10" s="37" customFormat="1" ht="21" customHeight="1" thickBot="1" x14ac:dyDescent="0.3">
      <c r="B20" s="245">
        <v>2</v>
      </c>
      <c r="C20" s="12">
        <v>1</v>
      </c>
      <c r="D20" s="39" t="str">
        <f>D12</f>
        <v>GABRIEL CORRALES BARRANTES</v>
      </c>
      <c r="E20" s="12">
        <v>8</v>
      </c>
      <c r="F20" s="38">
        <v>11</v>
      </c>
      <c r="G20" s="38">
        <v>11</v>
      </c>
      <c r="H20" s="41"/>
      <c r="I20" s="42"/>
      <c r="J20" s="245" cm="1">
        <f t="array" ref="J20">IF(SUMPRODUCT(--(E20:I20&gt;E21:I21))&gt;SUMPRODUCT(--(E21:I21&gt;E20:I20)), C20,
IF(SUMPRODUCT(--(E21:I21&gt;E20:I20))&gt;SUMPRODUCT(--(E20:I20&gt;E21:I21)), C21, ""))</f>
        <v>1</v>
      </c>
    </row>
    <row r="21" spans="2:10" s="37" customFormat="1" ht="21" customHeight="1" thickBot="1" x14ac:dyDescent="0.3">
      <c r="B21" s="246"/>
      <c r="C21" s="44">
        <v>2</v>
      </c>
      <c r="D21" s="45" t="str">
        <f>D13</f>
        <v>MATIAS FENG NIE</v>
      </c>
      <c r="E21" s="46">
        <v>11</v>
      </c>
      <c r="F21" s="47">
        <v>4</v>
      </c>
      <c r="G21" s="47">
        <v>8</v>
      </c>
      <c r="H21" s="41"/>
      <c r="I21" s="42"/>
      <c r="J21" s="246"/>
    </row>
    <row r="22" spans="2:10" s="37" customFormat="1" ht="21" customHeight="1" thickBot="1" x14ac:dyDescent="0.3">
      <c r="B22" s="245">
        <v>3</v>
      </c>
      <c r="C22" s="44">
        <v>2</v>
      </c>
      <c r="D22" s="45" t="str">
        <f>D13</f>
        <v>MATIAS FENG NIE</v>
      </c>
      <c r="E22" s="46">
        <v>12</v>
      </c>
      <c r="F22" s="47">
        <v>11</v>
      </c>
      <c r="G22" s="47"/>
      <c r="H22" s="41"/>
      <c r="I22" s="42"/>
      <c r="J22" s="245" cm="1">
        <f t="array" ref="J22">IF(SUMPRODUCT(--(E22:I22&gt;E23:I23))&gt;SUMPRODUCT(--(E23:I23&gt;E22:I22)), C22,
IF(SUMPRODUCT(--(E23:I23&gt;E22:I22))&gt;SUMPRODUCT(--(E22:I22&gt;E23:I23)), C23, ""))</f>
        <v>2</v>
      </c>
    </row>
    <row r="23" spans="2:10" s="37" customFormat="1" ht="21" customHeight="1" thickBot="1" x14ac:dyDescent="0.3">
      <c r="B23" s="246"/>
      <c r="C23" s="48">
        <v>3</v>
      </c>
      <c r="D23" s="49" t="str">
        <f>D14</f>
        <v>JOAQUIN UMAÑA VARGAS</v>
      </c>
      <c r="E23" s="48">
        <v>10</v>
      </c>
      <c r="F23" s="43">
        <v>9</v>
      </c>
      <c r="G23" s="43"/>
      <c r="H23" s="50"/>
      <c r="I23" s="51"/>
      <c r="J23" s="246"/>
    </row>
    <row r="24" spans="2:10" ht="6" customHeight="1" x14ac:dyDescent="0.25">
      <c r="B24" s="247"/>
      <c r="C24" s="52"/>
      <c r="D24" s="53"/>
      <c r="E24" s="53"/>
      <c r="F24" s="53"/>
      <c r="G24" s="53"/>
      <c r="H24" s="53"/>
      <c r="I24" s="53"/>
      <c r="J24" s="53"/>
    </row>
    <row r="25" spans="2:10" ht="6" customHeight="1" x14ac:dyDescent="0.25">
      <c r="B25" s="248"/>
      <c r="E25" s="53"/>
      <c r="F25" s="53"/>
      <c r="G25" s="53"/>
      <c r="H25" s="53"/>
      <c r="I25" s="53"/>
      <c r="J25" s="53"/>
    </row>
    <row r="26" spans="2:10" s="2" customFormat="1" ht="6" customHeight="1" x14ac:dyDescent="0.25">
      <c r="B26" s="248"/>
      <c r="E26" s="52"/>
      <c r="F26" s="52"/>
      <c r="G26" s="52"/>
      <c r="H26" s="52"/>
      <c r="I26" s="52"/>
      <c r="J26" s="52"/>
    </row>
    <row r="27" spans="2:10" ht="6" customHeight="1" x14ac:dyDescent="0.25">
      <c r="B27" s="248"/>
      <c r="E27" s="53"/>
      <c r="F27" s="53"/>
    </row>
    <row r="28" spans="2:10" ht="6" customHeight="1" x14ac:dyDescent="0.25">
      <c r="B28" s="249"/>
      <c r="E28" s="53"/>
      <c r="F28" s="53"/>
    </row>
    <row r="29" spans="2:10" ht="6" customHeight="1" x14ac:dyDescent="0.25">
      <c r="B29" s="249"/>
    </row>
    <row r="30" spans="2:10" ht="6" customHeight="1" x14ac:dyDescent="0.25"/>
    <row r="31" spans="2:10" ht="6" customHeight="1" thickBot="1" x14ac:dyDescent="0.3"/>
    <row r="32" spans="2:10" s="37" customFormat="1" ht="18" customHeight="1" thickBot="1" x14ac:dyDescent="0.3">
      <c r="C32" s="250" t="s">
        <v>364</v>
      </c>
      <c r="D32" s="251"/>
      <c r="F32" s="236" t="s">
        <v>365</v>
      </c>
      <c r="G32" s="237"/>
      <c r="H32" s="237"/>
      <c r="I32" s="237"/>
      <c r="J32" s="238"/>
    </row>
    <row r="33" spans="3:10" s="37" customFormat="1" ht="18" customHeight="1" thickBot="1" x14ac:dyDescent="0.3">
      <c r="C33" s="54" t="s">
        <v>366</v>
      </c>
      <c r="D33" s="54" t="s">
        <v>367</v>
      </c>
      <c r="F33" s="236" t="s">
        <v>368</v>
      </c>
      <c r="G33" s="237"/>
      <c r="H33" s="237"/>
      <c r="I33" s="237"/>
      <c r="J33" s="238"/>
    </row>
    <row r="34" spans="3:10" ht="25.5" customHeight="1" thickBot="1" x14ac:dyDescent="0.3">
      <c r="C34" s="55">
        <v>4025</v>
      </c>
      <c r="D34" s="56" t="s">
        <v>18</v>
      </c>
      <c r="F34" s="57" t="s">
        <v>369</v>
      </c>
      <c r="G34" s="239"/>
      <c r="H34" s="240"/>
      <c r="I34" s="240"/>
      <c r="J34" s="241"/>
    </row>
    <row r="35" spans="3:10" ht="25.5" customHeight="1" thickBot="1" x14ac:dyDescent="0.3">
      <c r="C35" s="55">
        <v>4682</v>
      </c>
      <c r="D35" s="56" t="s">
        <v>32</v>
      </c>
      <c r="F35" s="242" t="s">
        <v>370</v>
      </c>
      <c r="G35" s="243"/>
      <c r="H35" s="243"/>
      <c r="I35" s="244"/>
      <c r="J35" s="58"/>
    </row>
  </sheetData>
  <mergeCells count="15">
    <mergeCell ref="B22:B23"/>
    <mergeCell ref="J22:J23"/>
    <mergeCell ref="L5:M8"/>
    <mergeCell ref="B18:B19"/>
    <mergeCell ref="J18:J19"/>
    <mergeCell ref="B20:B21"/>
    <mergeCell ref="J20:J21"/>
    <mergeCell ref="G34:J34"/>
    <mergeCell ref="F35:I35"/>
    <mergeCell ref="B24:B25"/>
    <mergeCell ref="B26:B27"/>
    <mergeCell ref="B28:B29"/>
    <mergeCell ref="C32:D32"/>
    <mergeCell ref="F32:J32"/>
    <mergeCell ref="F33:J33"/>
  </mergeCells>
  <pageMargins left="0.7" right="0.7" top="0.75" bottom="0.75" header="0.3" footer="0.3"/>
  <pageSetup scale="92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0A31A-D156-43FC-AE41-7EC61883B99D}">
  <sheetPr>
    <pageSetUpPr fitToPage="1"/>
  </sheetPr>
  <dimension ref="A4:M35"/>
  <sheetViews>
    <sheetView topLeftCell="A22" zoomScale="115" zoomScaleNormal="115" workbookViewId="0">
      <selection activeCell="E46" activeCellId="1" sqref="C36:C37 E46:E47"/>
    </sheetView>
  </sheetViews>
  <sheetFormatPr defaultColWidth="9.140625" defaultRowHeight="15" x14ac:dyDescent="0.25"/>
  <cols>
    <col min="1" max="1" width="4" style="1" bestFit="1" customWidth="1"/>
    <col min="2" max="2" width="11.42578125" style="1" bestFit="1" customWidth="1"/>
    <col min="3" max="3" width="7.85546875" style="2" bestFit="1" customWidth="1"/>
    <col min="4" max="4" width="28.28515625" style="1" bestFit="1" customWidth="1"/>
    <col min="5" max="5" width="11.7109375" style="1" bestFit="1" customWidth="1"/>
    <col min="6" max="6" width="10.42578125" style="1" bestFit="1" customWidth="1"/>
    <col min="7" max="7" width="10.28515625" style="1" bestFit="1" customWidth="1"/>
    <col min="8" max="8" width="0.140625" style="1" customWidth="1"/>
    <col min="9" max="9" width="10.7109375" style="1" hidden="1" customWidth="1"/>
    <col min="10" max="10" width="11.7109375" style="1" customWidth="1"/>
    <col min="11" max="11" width="11.42578125" style="1" customWidth="1"/>
    <col min="12" max="16384" width="9.140625" style="1"/>
  </cols>
  <sheetData>
    <row r="4" spans="1:13" ht="15" customHeight="1" thickBot="1" x14ac:dyDescent="0.4">
      <c r="D4" s="3"/>
    </row>
    <row r="5" spans="1:13" ht="15.75" customHeight="1" x14ac:dyDescent="0.35">
      <c r="D5" s="3"/>
      <c r="L5" s="252" t="s">
        <v>346</v>
      </c>
      <c r="M5" s="252"/>
    </row>
    <row r="6" spans="1:13" ht="26.25" customHeight="1" x14ac:dyDescent="0.25">
      <c r="L6" s="253"/>
      <c r="M6" s="253"/>
    </row>
    <row r="7" spans="1:13" ht="26.25" customHeight="1" x14ac:dyDescent="0.35">
      <c r="C7" s="4"/>
      <c r="D7" s="3"/>
      <c r="G7" s="3" t="s">
        <v>347</v>
      </c>
      <c r="H7" s="3"/>
      <c r="I7" s="3"/>
      <c r="J7" s="5">
        <f ca="1">TODAY()</f>
        <v>46313</v>
      </c>
      <c r="L7" s="253"/>
      <c r="M7" s="253"/>
    </row>
    <row r="8" spans="1:13" ht="26.25" customHeight="1" x14ac:dyDescent="0.35">
      <c r="C8" s="4"/>
      <c r="D8" s="3"/>
      <c r="L8" s="253"/>
      <c r="M8" s="253"/>
    </row>
    <row r="9" spans="1:13" s="6" customFormat="1" ht="21" customHeight="1" x14ac:dyDescent="0.25">
      <c r="B9" s="7" t="s">
        <v>348</v>
      </c>
      <c r="C9" s="8"/>
      <c r="D9" s="9" t="s">
        <v>410</v>
      </c>
      <c r="E9" s="7" t="s">
        <v>349</v>
      </c>
      <c r="F9" s="9">
        <v>12</v>
      </c>
      <c r="G9" s="7" t="s">
        <v>350</v>
      </c>
      <c r="H9" s="7"/>
      <c r="I9" s="7"/>
      <c r="J9" s="10"/>
    </row>
    <row r="10" spans="1:13" ht="21" customHeight="1" x14ac:dyDescent="0.25"/>
    <row r="11" spans="1:13" ht="21" customHeight="1" thickBot="1" x14ac:dyDescent="0.3">
      <c r="B11" s="11" t="s">
        <v>351</v>
      </c>
      <c r="C11" s="12" t="s">
        <v>352</v>
      </c>
      <c r="D11" s="11" t="s">
        <v>353</v>
      </c>
      <c r="E11" s="11" t="s">
        <v>354</v>
      </c>
      <c r="F11" s="11" t="s">
        <v>0</v>
      </c>
      <c r="G11" s="11" t="s">
        <v>355</v>
      </c>
      <c r="H11" s="11"/>
      <c r="I11" s="11"/>
      <c r="J11" s="13"/>
    </row>
    <row r="12" spans="1:13" ht="21" customHeight="1" thickBot="1" x14ac:dyDescent="0.3">
      <c r="A12" s="1">
        <f>F9+0.1</f>
        <v>12.1</v>
      </c>
      <c r="B12" s="14">
        <v>1</v>
      </c>
      <c r="C12" s="15">
        <v>3450</v>
      </c>
      <c r="D12" s="16" t="s">
        <v>19</v>
      </c>
      <c r="E12" s="17" t="s">
        <v>10</v>
      </c>
      <c r="F12" s="18">
        <v>546</v>
      </c>
      <c r="G12" s="19">
        <v>12</v>
      </c>
      <c r="H12" s="20"/>
      <c r="I12" s="20"/>
      <c r="J12" s="1" t="str">
        <f>IF(ISBLANK(J11)," ",(E18+F18+G18+E20+F20+G20+H18+I18+H20+I20)/(E19+F19+G19+E21+F21+G21+H19+I19+H21+I21))</f>
        <v xml:space="preserve"> </v>
      </c>
    </row>
    <row r="13" spans="1:13" ht="21" customHeight="1" thickBot="1" x14ac:dyDescent="0.3">
      <c r="A13" s="1">
        <f>F9+0.2</f>
        <v>12.2</v>
      </c>
      <c r="B13" s="14">
        <v>2</v>
      </c>
      <c r="C13" s="21">
        <v>4463</v>
      </c>
      <c r="D13" s="22" t="s">
        <v>31</v>
      </c>
      <c r="E13" s="23" t="s">
        <v>14</v>
      </c>
      <c r="F13" s="24">
        <v>503</v>
      </c>
      <c r="G13" s="25">
        <v>21</v>
      </c>
      <c r="H13" s="20"/>
      <c r="I13" s="20"/>
      <c r="J13" s="1" t="str">
        <f>IF(ISBLANK(J11)," ",(E21+F21+G21+E22+F22+G22+H21+I21+H22+I22)/(E20+F20+G20+E23+F23+G23+H20+I20+H23+I23))</f>
        <v xml:space="preserve"> </v>
      </c>
    </row>
    <row r="14" spans="1:13" ht="21" customHeight="1" thickBot="1" x14ac:dyDescent="0.3">
      <c r="A14" s="1">
        <f>+F9+0.3</f>
        <v>12.3</v>
      </c>
      <c r="B14" s="14">
        <v>3</v>
      </c>
      <c r="C14" s="26">
        <v>4876</v>
      </c>
      <c r="D14" s="27" t="s">
        <v>341</v>
      </c>
      <c r="E14" s="28" t="s">
        <v>24</v>
      </c>
      <c r="F14" s="29">
        <v>435</v>
      </c>
      <c r="G14" s="30">
        <v>57</v>
      </c>
      <c r="H14" s="20"/>
      <c r="I14" s="20"/>
      <c r="J14" s="1" t="str">
        <f>IF(ISBLANK(J11)," ",(E19+F19+G19+E23+F23+G23+H19+I19+H23+I23)/(E18+F18+G18+E22+F22+G22+H18+I18+H22+I22))</f>
        <v xml:space="preserve"> </v>
      </c>
    </row>
    <row r="15" spans="1:13" ht="21" customHeight="1" x14ac:dyDescent="0.25"/>
    <row r="16" spans="1:13" ht="21" customHeight="1" thickBot="1" x14ac:dyDescent="0.3"/>
    <row r="17" spans="2:10" s="31" customFormat="1" ht="21" customHeight="1" thickBot="1" x14ac:dyDescent="0.3">
      <c r="B17" s="32" t="s">
        <v>356</v>
      </c>
      <c r="C17" s="33"/>
      <c r="D17" s="32" t="s">
        <v>357</v>
      </c>
      <c r="E17" s="33" t="s">
        <v>358</v>
      </c>
      <c r="F17" s="32" t="s">
        <v>359</v>
      </c>
      <c r="G17" s="34" t="s">
        <v>360</v>
      </c>
      <c r="H17" s="35" t="s">
        <v>361</v>
      </c>
      <c r="I17" s="36" t="s">
        <v>362</v>
      </c>
      <c r="J17" s="32" t="s">
        <v>363</v>
      </c>
    </row>
    <row r="18" spans="2:10" s="37" customFormat="1" ht="21" customHeight="1" thickBot="1" x14ac:dyDescent="0.3">
      <c r="B18" s="255">
        <v>1</v>
      </c>
      <c r="C18" s="12">
        <v>1</v>
      </c>
      <c r="D18" s="39" t="str">
        <f>D12</f>
        <v>OSWALDO IGNACIO SILVA NOVOA</v>
      </c>
      <c r="E18" s="12">
        <v>11</v>
      </c>
      <c r="F18" s="38">
        <v>11</v>
      </c>
      <c r="G18" s="40"/>
      <c r="H18" s="41"/>
      <c r="I18" s="42"/>
      <c r="J18" s="245" cm="1">
        <f t="array" ref="J18">IF(SUMPRODUCT(--(E18:I18&gt;E19:I19))&gt;SUMPRODUCT(--(E19:I19&gt;E18:I18)), C18,
IF(SUMPRODUCT(--(E19:I19&gt;E18:I18))&gt;SUMPRODUCT(--(E18:I18&gt;E19:I19)), C19, ""))</f>
        <v>1</v>
      </c>
    </row>
    <row r="19" spans="2:10" s="37" customFormat="1" ht="21" customHeight="1" thickBot="1" x14ac:dyDescent="0.3">
      <c r="B19" s="246"/>
      <c r="C19" s="44">
        <v>3</v>
      </c>
      <c r="D19" s="45" t="str">
        <f>D14</f>
        <v>IAN CHINCHILLA PEREIRA</v>
      </c>
      <c r="E19" s="46">
        <v>1</v>
      </c>
      <c r="F19" s="47">
        <v>2</v>
      </c>
      <c r="G19" s="47"/>
      <c r="H19" s="41"/>
      <c r="I19" s="42"/>
      <c r="J19" s="246"/>
    </row>
    <row r="20" spans="2:10" s="37" customFormat="1" ht="21" customHeight="1" thickBot="1" x14ac:dyDescent="0.3">
      <c r="B20" s="245">
        <v>2</v>
      </c>
      <c r="C20" s="12">
        <v>1</v>
      </c>
      <c r="D20" s="39" t="str">
        <f>D12</f>
        <v>OSWALDO IGNACIO SILVA NOVOA</v>
      </c>
      <c r="E20" s="12">
        <v>11</v>
      </c>
      <c r="F20" s="38">
        <v>11</v>
      </c>
      <c r="G20" s="38"/>
      <c r="H20" s="41"/>
      <c r="I20" s="42"/>
      <c r="J20" s="245" cm="1">
        <f t="array" ref="J20">IF(SUMPRODUCT(--(E20:I20&gt;E21:I21))&gt;SUMPRODUCT(--(E21:I21&gt;E20:I20)), C20,
IF(SUMPRODUCT(--(E21:I21&gt;E20:I20))&gt;SUMPRODUCT(--(E20:I20&gt;E21:I21)), C21, ""))</f>
        <v>1</v>
      </c>
    </row>
    <row r="21" spans="2:10" s="37" customFormat="1" ht="21" customHeight="1" thickBot="1" x14ac:dyDescent="0.3">
      <c r="B21" s="246"/>
      <c r="C21" s="44">
        <v>2</v>
      </c>
      <c r="D21" s="45" t="str">
        <f>D13</f>
        <v>ISAAC ANDRÉS LEAL CHACÓN</v>
      </c>
      <c r="E21" s="46">
        <v>8</v>
      </c>
      <c r="F21" s="47">
        <v>7</v>
      </c>
      <c r="G21" s="47"/>
      <c r="H21" s="41"/>
      <c r="I21" s="42"/>
      <c r="J21" s="246"/>
    </row>
    <row r="22" spans="2:10" s="37" customFormat="1" ht="21" customHeight="1" thickBot="1" x14ac:dyDescent="0.3">
      <c r="B22" s="245">
        <v>3</v>
      </c>
      <c r="C22" s="44">
        <v>2</v>
      </c>
      <c r="D22" s="45" t="str">
        <f>D13</f>
        <v>ISAAC ANDRÉS LEAL CHACÓN</v>
      </c>
      <c r="E22" s="46">
        <v>11</v>
      </c>
      <c r="F22" s="47">
        <v>11</v>
      </c>
      <c r="G22" s="47"/>
      <c r="H22" s="41"/>
      <c r="I22" s="42"/>
      <c r="J22" s="245" cm="1">
        <f t="array" ref="J22">IF(SUMPRODUCT(--(E22:I22&gt;E23:I23))&gt;SUMPRODUCT(--(E23:I23&gt;E22:I22)), C22,
IF(SUMPRODUCT(--(E23:I23&gt;E22:I22))&gt;SUMPRODUCT(--(E22:I22&gt;E23:I23)), C23, ""))</f>
        <v>2</v>
      </c>
    </row>
    <row r="23" spans="2:10" s="37" customFormat="1" ht="21" customHeight="1" thickBot="1" x14ac:dyDescent="0.3">
      <c r="B23" s="246"/>
      <c r="C23" s="48">
        <v>3</v>
      </c>
      <c r="D23" s="49" t="str">
        <f>D14</f>
        <v>IAN CHINCHILLA PEREIRA</v>
      </c>
      <c r="E23" s="48">
        <v>1</v>
      </c>
      <c r="F23" s="43">
        <v>7</v>
      </c>
      <c r="G23" s="43"/>
      <c r="H23" s="50"/>
      <c r="I23" s="51"/>
      <c r="J23" s="246"/>
    </row>
    <row r="24" spans="2:10" ht="6" customHeight="1" x14ac:dyDescent="0.25">
      <c r="B24" s="247"/>
      <c r="C24" s="52"/>
      <c r="D24" s="53"/>
      <c r="E24" s="53"/>
      <c r="F24" s="53"/>
      <c r="G24" s="53"/>
      <c r="H24" s="53"/>
      <c r="I24" s="53"/>
      <c r="J24" s="53"/>
    </row>
    <row r="25" spans="2:10" ht="6" customHeight="1" x14ac:dyDescent="0.25">
      <c r="B25" s="248"/>
      <c r="E25" s="53"/>
      <c r="F25" s="53"/>
      <c r="G25" s="53"/>
      <c r="H25" s="53"/>
      <c r="I25" s="53"/>
      <c r="J25" s="53"/>
    </row>
    <row r="26" spans="2:10" s="2" customFormat="1" ht="6" customHeight="1" x14ac:dyDescent="0.25">
      <c r="B26" s="248"/>
      <c r="E26" s="52"/>
      <c r="F26" s="52"/>
      <c r="G26" s="52"/>
      <c r="H26" s="52"/>
      <c r="I26" s="52"/>
      <c r="J26" s="52"/>
    </row>
    <row r="27" spans="2:10" ht="6" customHeight="1" x14ac:dyDescent="0.25">
      <c r="B27" s="248"/>
      <c r="E27" s="53"/>
      <c r="F27" s="53"/>
    </row>
    <row r="28" spans="2:10" ht="6" customHeight="1" x14ac:dyDescent="0.25">
      <c r="B28" s="249"/>
      <c r="E28" s="53"/>
      <c r="F28" s="53"/>
    </row>
    <row r="29" spans="2:10" ht="6" customHeight="1" x14ac:dyDescent="0.25">
      <c r="B29" s="249"/>
    </row>
    <row r="30" spans="2:10" ht="6" customHeight="1" x14ac:dyDescent="0.25"/>
    <row r="31" spans="2:10" ht="6" customHeight="1" thickBot="1" x14ac:dyDescent="0.3"/>
    <row r="32" spans="2:10" s="37" customFormat="1" ht="18" customHeight="1" thickBot="1" x14ac:dyDescent="0.3">
      <c r="C32" s="250" t="s">
        <v>364</v>
      </c>
      <c r="D32" s="251"/>
      <c r="F32" s="236" t="s">
        <v>365</v>
      </c>
      <c r="G32" s="237"/>
      <c r="H32" s="237"/>
      <c r="I32" s="237"/>
      <c r="J32" s="238"/>
    </row>
    <row r="33" spans="3:10" s="37" customFormat="1" ht="18" customHeight="1" thickBot="1" x14ac:dyDescent="0.3">
      <c r="C33" s="54" t="s">
        <v>366</v>
      </c>
      <c r="D33" s="54" t="s">
        <v>367</v>
      </c>
      <c r="F33" s="236" t="s">
        <v>368</v>
      </c>
      <c r="G33" s="237"/>
      <c r="H33" s="237"/>
      <c r="I33" s="237"/>
      <c r="J33" s="238"/>
    </row>
    <row r="34" spans="3:10" ht="25.5" customHeight="1" thickBot="1" x14ac:dyDescent="0.3">
      <c r="C34" s="55">
        <v>3450</v>
      </c>
      <c r="D34" s="56" t="s">
        <v>19</v>
      </c>
      <c r="F34" s="57" t="s">
        <v>369</v>
      </c>
      <c r="G34" s="239"/>
      <c r="H34" s="240"/>
      <c r="I34" s="240"/>
      <c r="J34" s="241"/>
    </row>
    <row r="35" spans="3:10" ht="25.5" customHeight="1" thickBot="1" x14ac:dyDescent="0.3">
      <c r="C35" s="55">
        <v>4463</v>
      </c>
      <c r="D35" s="56" t="s">
        <v>31</v>
      </c>
      <c r="F35" s="242" t="s">
        <v>370</v>
      </c>
      <c r="G35" s="243"/>
      <c r="H35" s="243"/>
      <c r="I35" s="244"/>
      <c r="J35" s="58"/>
    </row>
  </sheetData>
  <mergeCells count="15">
    <mergeCell ref="B22:B23"/>
    <mergeCell ref="J22:J23"/>
    <mergeCell ref="L5:M8"/>
    <mergeCell ref="B18:B19"/>
    <mergeCell ref="J18:J19"/>
    <mergeCell ref="B20:B21"/>
    <mergeCell ref="J20:J21"/>
    <mergeCell ref="G34:J34"/>
    <mergeCell ref="F35:I35"/>
    <mergeCell ref="B24:B25"/>
    <mergeCell ref="B26:B27"/>
    <mergeCell ref="B28:B29"/>
    <mergeCell ref="C32:D32"/>
    <mergeCell ref="F32:J32"/>
    <mergeCell ref="F33:J33"/>
  </mergeCells>
  <pageMargins left="0.7" right="0.7" top="0.75" bottom="0.75" header="0.3" footer="0.3"/>
  <pageSetup scale="95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B8762-EE56-4D1B-93E7-D0C6C3ED44BF}">
  <sheetPr>
    <pageSetUpPr fitToPage="1"/>
  </sheetPr>
  <dimension ref="A4:M35"/>
  <sheetViews>
    <sheetView topLeftCell="A16" zoomScale="115" zoomScaleNormal="115" workbookViewId="0">
      <selection activeCell="E46" activeCellId="1" sqref="C36:C37 E46:E47"/>
    </sheetView>
  </sheetViews>
  <sheetFormatPr defaultColWidth="9.140625" defaultRowHeight="15" x14ac:dyDescent="0.25"/>
  <cols>
    <col min="1" max="1" width="4" style="1" bestFit="1" customWidth="1"/>
    <col min="2" max="2" width="11.42578125" style="1" bestFit="1" customWidth="1"/>
    <col min="3" max="3" width="7.85546875" style="2" bestFit="1" customWidth="1"/>
    <col min="4" max="4" width="28.7109375" style="1" bestFit="1" customWidth="1"/>
    <col min="5" max="5" width="16.7109375" style="1" bestFit="1" customWidth="1"/>
    <col min="6" max="6" width="10.42578125" style="1" bestFit="1" customWidth="1"/>
    <col min="7" max="7" width="10.28515625" style="1" bestFit="1" customWidth="1"/>
    <col min="8" max="8" width="0.140625" style="1" customWidth="1"/>
    <col min="9" max="9" width="10.7109375" style="1" hidden="1" customWidth="1"/>
    <col min="10" max="10" width="11.7109375" style="1" customWidth="1"/>
    <col min="11" max="11" width="11.42578125" style="1" customWidth="1"/>
    <col min="12" max="16384" width="9.140625" style="1"/>
  </cols>
  <sheetData>
    <row r="4" spans="1:13" ht="15" customHeight="1" thickBot="1" x14ac:dyDescent="0.4">
      <c r="D4" s="3"/>
    </row>
    <row r="5" spans="1:13" ht="15.75" customHeight="1" x14ac:dyDescent="0.35">
      <c r="D5" s="3"/>
      <c r="L5" s="252" t="s">
        <v>346</v>
      </c>
      <c r="M5" s="252"/>
    </row>
    <row r="6" spans="1:13" ht="26.25" customHeight="1" x14ac:dyDescent="0.25">
      <c r="L6" s="253"/>
      <c r="M6" s="253"/>
    </row>
    <row r="7" spans="1:13" ht="26.25" customHeight="1" x14ac:dyDescent="0.35">
      <c r="C7" s="4"/>
      <c r="D7" s="3"/>
      <c r="G7" s="3" t="s">
        <v>347</v>
      </c>
      <c r="H7" s="3"/>
      <c r="I7" s="3"/>
      <c r="J7" s="5">
        <f ca="1">TODAY()</f>
        <v>46313</v>
      </c>
      <c r="L7" s="253"/>
      <c r="M7" s="253"/>
    </row>
    <row r="8" spans="1:13" ht="26.25" customHeight="1" x14ac:dyDescent="0.35">
      <c r="C8" s="4"/>
      <c r="D8" s="3"/>
      <c r="L8" s="253"/>
      <c r="M8" s="253"/>
    </row>
    <row r="9" spans="1:13" s="6" customFormat="1" ht="21" customHeight="1" x14ac:dyDescent="0.25">
      <c r="B9" s="7" t="s">
        <v>348</v>
      </c>
      <c r="C9" s="8"/>
      <c r="D9" s="9" t="s">
        <v>410</v>
      </c>
      <c r="E9" s="7" t="s">
        <v>349</v>
      </c>
      <c r="F9" s="9">
        <v>13</v>
      </c>
      <c r="G9" s="7" t="s">
        <v>350</v>
      </c>
      <c r="H9" s="7"/>
      <c r="I9" s="7"/>
      <c r="J9" s="10"/>
    </row>
    <row r="10" spans="1:13" ht="21" customHeight="1" x14ac:dyDescent="0.25"/>
    <row r="11" spans="1:13" ht="21" customHeight="1" thickBot="1" x14ac:dyDescent="0.3">
      <c r="B11" s="11" t="s">
        <v>351</v>
      </c>
      <c r="C11" s="12" t="s">
        <v>352</v>
      </c>
      <c r="D11" s="11" t="s">
        <v>353</v>
      </c>
      <c r="E11" s="11" t="s">
        <v>354</v>
      </c>
      <c r="F11" s="11" t="s">
        <v>0</v>
      </c>
      <c r="G11" s="11" t="s">
        <v>355</v>
      </c>
      <c r="H11" s="11"/>
      <c r="I11" s="11"/>
      <c r="J11" s="13"/>
    </row>
    <row r="12" spans="1:13" ht="21" customHeight="1" thickBot="1" x14ac:dyDescent="0.3">
      <c r="A12" s="1">
        <f>F9+0.1</f>
        <v>13.1</v>
      </c>
      <c r="B12" s="14">
        <v>1</v>
      </c>
      <c r="C12" s="15">
        <v>4128</v>
      </c>
      <c r="D12" s="16" t="s">
        <v>23</v>
      </c>
      <c r="E12" s="17" t="s">
        <v>24</v>
      </c>
      <c r="F12" s="18">
        <v>542</v>
      </c>
      <c r="G12" s="19">
        <v>13</v>
      </c>
      <c r="H12" s="20"/>
      <c r="I12" s="20"/>
      <c r="J12" s="1" t="str">
        <f>IF(ISBLANK(J11)," ",(E18+F18+G18+E20+F20+G20+H18+I18+H20+I20)/(E19+F19+G19+E21+F21+G21+H19+I19+H21+I21))</f>
        <v xml:space="preserve"> </v>
      </c>
    </row>
    <row r="13" spans="1:13" ht="21" customHeight="1" thickBot="1" x14ac:dyDescent="0.3">
      <c r="A13" s="1">
        <f>F9+0.2</f>
        <v>13.2</v>
      </c>
      <c r="B13" s="14">
        <v>2</v>
      </c>
      <c r="C13" s="21">
        <v>4541</v>
      </c>
      <c r="D13" s="22" t="s">
        <v>38</v>
      </c>
      <c r="E13" s="23" t="s">
        <v>14</v>
      </c>
      <c r="F13" s="24">
        <v>497</v>
      </c>
      <c r="G13" s="25">
        <v>23</v>
      </c>
      <c r="H13" s="20"/>
      <c r="I13" s="20"/>
      <c r="J13" s="1" t="str">
        <f>IF(ISBLANK(J11)," ",(E21+F21+G21+E22+F22+G22+H21+I21+H22+I22)/(E20+F20+G20+E23+F23+G23+H20+I20+H23+I23))</f>
        <v xml:space="preserve"> </v>
      </c>
    </row>
    <row r="14" spans="1:13" ht="21" customHeight="1" thickBot="1" x14ac:dyDescent="0.3">
      <c r="A14" s="1">
        <f>+F9+0.3</f>
        <v>13.3</v>
      </c>
      <c r="B14" s="14">
        <v>3</v>
      </c>
      <c r="C14" s="26">
        <v>4854</v>
      </c>
      <c r="D14" s="27" t="s">
        <v>342</v>
      </c>
      <c r="E14" s="28" t="s">
        <v>40</v>
      </c>
      <c r="F14" s="29">
        <v>435</v>
      </c>
      <c r="G14" s="30">
        <v>58</v>
      </c>
      <c r="H14" s="20"/>
      <c r="I14" s="20"/>
      <c r="J14" s="1" t="str">
        <f>IF(ISBLANK(J11)," ",(E19+F19+G19+E23+F23+G23+H19+I19+H23+I23)/(E18+F18+G18+E22+F22+G22+H18+I18+H22+I22))</f>
        <v xml:space="preserve"> </v>
      </c>
    </row>
    <row r="15" spans="1:13" ht="21" customHeight="1" x14ac:dyDescent="0.25"/>
    <row r="16" spans="1:13" ht="21" customHeight="1" thickBot="1" x14ac:dyDescent="0.3"/>
    <row r="17" spans="2:10" s="31" customFormat="1" ht="21" customHeight="1" thickBot="1" x14ac:dyDescent="0.3">
      <c r="B17" s="32" t="s">
        <v>356</v>
      </c>
      <c r="C17" s="33"/>
      <c r="D17" s="32" t="s">
        <v>357</v>
      </c>
      <c r="E17" s="33" t="s">
        <v>358</v>
      </c>
      <c r="F17" s="32" t="s">
        <v>359</v>
      </c>
      <c r="G17" s="34" t="s">
        <v>360</v>
      </c>
      <c r="H17" s="35" t="s">
        <v>361</v>
      </c>
      <c r="I17" s="36" t="s">
        <v>362</v>
      </c>
      <c r="J17" s="32" t="s">
        <v>363</v>
      </c>
    </row>
    <row r="18" spans="2:10" s="37" customFormat="1" ht="21" customHeight="1" thickBot="1" x14ac:dyDescent="0.3">
      <c r="B18" s="255">
        <v>1</v>
      </c>
      <c r="C18" s="12">
        <v>1</v>
      </c>
      <c r="D18" s="39" t="str">
        <f>D12</f>
        <v>ESTEBAN CHACÓN ALTAMIRANO</v>
      </c>
      <c r="E18" s="12">
        <v>11</v>
      </c>
      <c r="F18" s="38">
        <v>11</v>
      </c>
      <c r="G18" s="40"/>
      <c r="H18" s="41"/>
      <c r="I18" s="42"/>
      <c r="J18" s="245" cm="1">
        <f t="array" ref="J18">IF(SUMPRODUCT(--(E18:I18&gt;E19:I19))&gt;SUMPRODUCT(--(E19:I19&gt;E18:I18)), C18,
IF(SUMPRODUCT(--(E19:I19&gt;E18:I18))&gt;SUMPRODUCT(--(E18:I18&gt;E19:I19)), C19, ""))</f>
        <v>1</v>
      </c>
    </row>
    <row r="19" spans="2:10" s="37" customFormat="1" ht="21" customHeight="1" thickBot="1" x14ac:dyDescent="0.3">
      <c r="B19" s="246"/>
      <c r="C19" s="44">
        <v>3</v>
      </c>
      <c r="D19" s="45" t="str">
        <f>D14</f>
        <v>ANDRE JOSE BASTASCH JIMENEZ</v>
      </c>
      <c r="E19" s="46">
        <v>5</v>
      </c>
      <c r="F19" s="47">
        <v>3</v>
      </c>
      <c r="G19" s="47"/>
      <c r="H19" s="41"/>
      <c r="I19" s="42"/>
      <c r="J19" s="246"/>
    </row>
    <row r="20" spans="2:10" s="37" customFormat="1" ht="21" customHeight="1" thickBot="1" x14ac:dyDescent="0.3">
      <c r="B20" s="245">
        <v>2</v>
      </c>
      <c r="C20" s="12">
        <v>1</v>
      </c>
      <c r="D20" s="39" t="str">
        <f>D12</f>
        <v>ESTEBAN CHACÓN ALTAMIRANO</v>
      </c>
      <c r="E20" s="12">
        <v>11</v>
      </c>
      <c r="F20" s="38">
        <v>11</v>
      </c>
      <c r="G20" s="38"/>
      <c r="H20" s="41"/>
      <c r="I20" s="42"/>
      <c r="J20" s="245" cm="1">
        <f t="array" ref="J20">IF(SUMPRODUCT(--(E20:I20&gt;E21:I21))&gt;SUMPRODUCT(--(E21:I21&gt;E20:I20)), C20,
IF(SUMPRODUCT(--(E21:I21&gt;E20:I20))&gt;SUMPRODUCT(--(E20:I20&gt;E21:I21)), C21, ""))</f>
        <v>1</v>
      </c>
    </row>
    <row r="21" spans="2:10" s="37" customFormat="1" ht="21" customHeight="1" thickBot="1" x14ac:dyDescent="0.3">
      <c r="B21" s="246"/>
      <c r="C21" s="44">
        <v>2</v>
      </c>
      <c r="D21" s="45" t="str">
        <f>D13</f>
        <v>SANTIAGO FAIT BARRIOS</v>
      </c>
      <c r="E21" s="46">
        <v>5</v>
      </c>
      <c r="F21" s="47">
        <v>5</v>
      </c>
      <c r="G21" s="47"/>
      <c r="H21" s="41"/>
      <c r="I21" s="42"/>
      <c r="J21" s="246"/>
    </row>
    <row r="22" spans="2:10" s="37" customFormat="1" ht="21" customHeight="1" thickBot="1" x14ac:dyDescent="0.3">
      <c r="B22" s="245">
        <v>3</v>
      </c>
      <c r="C22" s="44">
        <v>2</v>
      </c>
      <c r="D22" s="45" t="str">
        <f>D13</f>
        <v>SANTIAGO FAIT BARRIOS</v>
      </c>
      <c r="E22" s="46">
        <v>11</v>
      </c>
      <c r="F22" s="47">
        <v>11</v>
      </c>
      <c r="G22" s="47"/>
      <c r="H22" s="41"/>
      <c r="I22" s="42"/>
      <c r="J22" s="245" cm="1">
        <f t="array" ref="J22">IF(SUMPRODUCT(--(E22:I22&gt;E23:I23))&gt;SUMPRODUCT(--(E23:I23&gt;E22:I22)), C22,
IF(SUMPRODUCT(--(E23:I23&gt;E22:I22))&gt;SUMPRODUCT(--(E22:I22&gt;E23:I23)), C23, ""))</f>
        <v>2</v>
      </c>
    </row>
    <row r="23" spans="2:10" s="37" customFormat="1" ht="21" customHeight="1" thickBot="1" x14ac:dyDescent="0.3">
      <c r="B23" s="246"/>
      <c r="C23" s="48">
        <v>3</v>
      </c>
      <c r="D23" s="49" t="str">
        <f>D14</f>
        <v>ANDRE JOSE BASTASCH JIMENEZ</v>
      </c>
      <c r="E23" s="48">
        <v>2</v>
      </c>
      <c r="F23" s="43">
        <v>3</v>
      </c>
      <c r="G23" s="43"/>
      <c r="H23" s="50"/>
      <c r="I23" s="51"/>
      <c r="J23" s="246"/>
    </row>
    <row r="24" spans="2:10" ht="6" customHeight="1" x14ac:dyDescent="0.25">
      <c r="B24" s="247"/>
      <c r="C24" s="52"/>
      <c r="D24" s="53"/>
      <c r="E24" s="53"/>
      <c r="F24" s="53"/>
      <c r="G24" s="53"/>
      <c r="H24" s="53"/>
      <c r="I24" s="53"/>
      <c r="J24" s="53"/>
    </row>
    <row r="25" spans="2:10" ht="6" customHeight="1" x14ac:dyDescent="0.25">
      <c r="B25" s="248"/>
      <c r="E25" s="53"/>
      <c r="F25" s="53"/>
      <c r="G25" s="53"/>
      <c r="H25" s="53"/>
      <c r="I25" s="53"/>
      <c r="J25" s="53"/>
    </row>
    <row r="26" spans="2:10" s="2" customFormat="1" ht="6" customHeight="1" x14ac:dyDescent="0.25">
      <c r="B26" s="248"/>
      <c r="E26" s="52"/>
      <c r="F26" s="52"/>
      <c r="G26" s="52"/>
      <c r="H26" s="52"/>
      <c r="I26" s="52"/>
      <c r="J26" s="52"/>
    </row>
    <row r="27" spans="2:10" ht="6" customHeight="1" x14ac:dyDescent="0.25">
      <c r="B27" s="248"/>
      <c r="E27" s="53"/>
      <c r="F27" s="53"/>
    </row>
    <row r="28" spans="2:10" ht="6" customHeight="1" x14ac:dyDescent="0.25">
      <c r="B28" s="249"/>
      <c r="E28" s="53"/>
      <c r="F28" s="53"/>
    </row>
    <row r="29" spans="2:10" ht="6" customHeight="1" x14ac:dyDescent="0.25">
      <c r="B29" s="249"/>
    </row>
    <row r="30" spans="2:10" ht="6" customHeight="1" x14ac:dyDescent="0.25"/>
    <row r="31" spans="2:10" ht="6" customHeight="1" thickBot="1" x14ac:dyDescent="0.3"/>
    <row r="32" spans="2:10" s="37" customFormat="1" ht="18" customHeight="1" thickBot="1" x14ac:dyDescent="0.3">
      <c r="C32" s="250" t="s">
        <v>364</v>
      </c>
      <c r="D32" s="251"/>
      <c r="F32" s="236" t="s">
        <v>365</v>
      </c>
      <c r="G32" s="237"/>
      <c r="H32" s="237"/>
      <c r="I32" s="237"/>
      <c r="J32" s="238"/>
    </row>
    <row r="33" spans="3:10" s="37" customFormat="1" ht="18" customHeight="1" thickBot="1" x14ac:dyDescent="0.3">
      <c r="C33" s="54" t="s">
        <v>366</v>
      </c>
      <c r="D33" s="54" t="s">
        <v>367</v>
      </c>
      <c r="F33" s="236" t="s">
        <v>368</v>
      </c>
      <c r="G33" s="237"/>
      <c r="H33" s="237"/>
      <c r="I33" s="237"/>
      <c r="J33" s="238"/>
    </row>
    <row r="34" spans="3:10" ht="25.5" customHeight="1" thickBot="1" x14ac:dyDescent="0.3">
      <c r="C34" s="55">
        <v>4128</v>
      </c>
      <c r="D34" s="56" t="s">
        <v>23</v>
      </c>
      <c r="F34" s="57" t="s">
        <v>369</v>
      </c>
      <c r="G34" s="239"/>
      <c r="H34" s="240"/>
      <c r="I34" s="240"/>
      <c r="J34" s="241"/>
    </row>
    <row r="35" spans="3:10" ht="25.5" customHeight="1" thickBot="1" x14ac:dyDescent="0.3">
      <c r="C35" s="55">
        <v>4541</v>
      </c>
      <c r="D35" s="56" t="s">
        <v>38</v>
      </c>
      <c r="F35" s="242" t="s">
        <v>370</v>
      </c>
      <c r="G35" s="243"/>
      <c r="H35" s="243"/>
      <c r="I35" s="244"/>
      <c r="J35" s="58"/>
    </row>
  </sheetData>
  <mergeCells count="15">
    <mergeCell ref="B22:B23"/>
    <mergeCell ref="J22:J23"/>
    <mergeCell ref="L5:M8"/>
    <mergeCell ref="B18:B19"/>
    <mergeCell ref="J18:J19"/>
    <mergeCell ref="B20:B21"/>
    <mergeCell ref="J20:J21"/>
    <mergeCell ref="G34:J34"/>
    <mergeCell ref="F35:I35"/>
    <mergeCell ref="B24:B25"/>
    <mergeCell ref="B26:B27"/>
    <mergeCell ref="B28:B29"/>
    <mergeCell ref="C32:D32"/>
    <mergeCell ref="F32:J32"/>
    <mergeCell ref="F33:J33"/>
  </mergeCells>
  <pageMargins left="0.7" right="0.7" top="0.75" bottom="0.75" header="0.3" footer="0.3"/>
  <pageSetup scale="90" orientation="portrait" horizontalDpi="360" verticalDpi="36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30B3B-0981-4CC4-9A3C-6104715C2E09}">
  <sheetPr>
    <pageSetUpPr fitToPage="1"/>
  </sheetPr>
  <dimension ref="A4:M35"/>
  <sheetViews>
    <sheetView topLeftCell="A16" zoomScale="115" zoomScaleNormal="115" workbookViewId="0">
      <selection activeCell="E46" activeCellId="1" sqref="C36:C37 E46:E47"/>
    </sheetView>
  </sheetViews>
  <sheetFormatPr defaultColWidth="9.140625" defaultRowHeight="15" x14ac:dyDescent="0.25"/>
  <cols>
    <col min="1" max="1" width="4" style="1" bestFit="1" customWidth="1"/>
    <col min="2" max="2" width="11.42578125" style="1" bestFit="1" customWidth="1"/>
    <col min="3" max="3" width="7.85546875" style="2" bestFit="1" customWidth="1"/>
    <col min="4" max="4" width="27.85546875" style="1" bestFit="1" customWidth="1"/>
    <col min="5" max="5" width="14.28515625" style="1" bestFit="1" customWidth="1"/>
    <col min="6" max="6" width="10.42578125" style="1" bestFit="1" customWidth="1"/>
    <col min="7" max="7" width="10.28515625" style="1" bestFit="1" customWidth="1"/>
    <col min="8" max="8" width="0.140625" style="1" customWidth="1"/>
    <col min="9" max="9" width="10.7109375" style="1" hidden="1" customWidth="1"/>
    <col min="10" max="10" width="11.7109375" style="1" customWidth="1"/>
    <col min="11" max="11" width="11.42578125" style="1" customWidth="1"/>
    <col min="12" max="16384" width="9.140625" style="1"/>
  </cols>
  <sheetData>
    <row r="4" spans="1:13" ht="15" customHeight="1" thickBot="1" x14ac:dyDescent="0.4">
      <c r="D4" s="3"/>
    </row>
    <row r="5" spans="1:13" ht="15.75" customHeight="1" x14ac:dyDescent="0.35">
      <c r="D5" s="3"/>
      <c r="L5" s="252" t="s">
        <v>346</v>
      </c>
      <c r="M5" s="252"/>
    </row>
    <row r="6" spans="1:13" ht="26.25" customHeight="1" x14ac:dyDescent="0.25">
      <c r="L6" s="253"/>
      <c r="M6" s="253"/>
    </row>
    <row r="7" spans="1:13" ht="26.25" customHeight="1" x14ac:dyDescent="0.35">
      <c r="C7" s="4"/>
      <c r="D7" s="3"/>
      <c r="G7" s="3" t="s">
        <v>347</v>
      </c>
      <c r="H7" s="3"/>
      <c r="I7" s="3"/>
      <c r="J7" s="5">
        <f ca="1">TODAY()</f>
        <v>46313</v>
      </c>
      <c r="L7" s="253"/>
      <c r="M7" s="253"/>
    </row>
    <row r="8" spans="1:13" ht="26.25" customHeight="1" x14ac:dyDescent="0.35">
      <c r="C8" s="4"/>
      <c r="D8" s="3"/>
      <c r="L8" s="253"/>
      <c r="M8" s="253"/>
    </row>
    <row r="9" spans="1:13" s="6" customFormat="1" ht="21" customHeight="1" x14ac:dyDescent="0.25">
      <c r="B9" s="7" t="s">
        <v>348</v>
      </c>
      <c r="C9" s="8"/>
      <c r="D9" s="9" t="s">
        <v>410</v>
      </c>
      <c r="E9" s="7" t="s">
        <v>349</v>
      </c>
      <c r="F9" s="9">
        <v>14</v>
      </c>
      <c r="G9" s="7" t="s">
        <v>350</v>
      </c>
      <c r="H9" s="7"/>
      <c r="I9" s="7"/>
      <c r="J9" s="10"/>
    </row>
    <row r="10" spans="1:13" ht="21" customHeight="1" x14ac:dyDescent="0.25"/>
    <row r="11" spans="1:13" ht="21" customHeight="1" thickBot="1" x14ac:dyDescent="0.3">
      <c r="B11" s="11" t="s">
        <v>351</v>
      </c>
      <c r="C11" s="12" t="s">
        <v>352</v>
      </c>
      <c r="D11" s="11" t="s">
        <v>353</v>
      </c>
      <c r="E11" s="11" t="s">
        <v>354</v>
      </c>
      <c r="F11" s="11" t="s">
        <v>0</v>
      </c>
      <c r="G11" s="11" t="s">
        <v>355</v>
      </c>
      <c r="H11" s="11"/>
      <c r="I11" s="11"/>
      <c r="J11" s="13"/>
    </row>
    <row r="12" spans="1:13" ht="21" customHeight="1" thickBot="1" x14ac:dyDescent="0.3">
      <c r="A12" s="1">
        <f>F9+0.1</f>
        <v>14.1</v>
      </c>
      <c r="B12" s="14">
        <v>1</v>
      </c>
      <c r="C12" s="15">
        <v>3696</v>
      </c>
      <c r="D12" s="16" t="s">
        <v>26</v>
      </c>
      <c r="E12" s="17" t="s">
        <v>17</v>
      </c>
      <c r="F12" s="18">
        <v>539</v>
      </c>
      <c r="G12" s="19">
        <v>14</v>
      </c>
      <c r="H12" s="20"/>
      <c r="I12" s="20"/>
      <c r="J12" s="1" t="str">
        <f>IF(ISBLANK(J11)," ",(E18+F18+G18+E20+F20+G20+H18+I18+H20+I20)/(E19+F19+G19+E21+F21+G21+H19+I19+H21+I21))</f>
        <v xml:space="preserve"> </v>
      </c>
    </row>
    <row r="13" spans="1:13" ht="21" customHeight="1" thickBot="1" x14ac:dyDescent="0.3">
      <c r="A13" s="1">
        <f>F9+0.2</f>
        <v>14.2</v>
      </c>
      <c r="B13" s="14">
        <v>2</v>
      </c>
      <c r="C13" s="21">
        <v>3988</v>
      </c>
      <c r="D13" s="22" t="s">
        <v>44</v>
      </c>
      <c r="E13" s="23" t="s">
        <v>6</v>
      </c>
      <c r="F13" s="24">
        <v>521</v>
      </c>
      <c r="G13" s="25">
        <v>18</v>
      </c>
      <c r="H13" s="20"/>
      <c r="I13" s="20"/>
      <c r="J13" s="1" t="str">
        <f>IF(ISBLANK(J11)," ",(E21+F21+G21+E22+F22+G22+H21+I21+H22+I22)/(E20+F20+G20+E23+F23+G23+H20+I20+H23+I23))</f>
        <v xml:space="preserve"> </v>
      </c>
    </row>
    <row r="14" spans="1:13" ht="21" customHeight="1" thickBot="1" x14ac:dyDescent="0.3">
      <c r="A14" s="1">
        <f>+F9+0.3</f>
        <v>14.3</v>
      </c>
      <c r="B14" s="14">
        <v>3</v>
      </c>
      <c r="C14" s="26">
        <v>3504</v>
      </c>
      <c r="D14" s="27" t="s">
        <v>30</v>
      </c>
      <c r="E14" s="28" t="s">
        <v>14</v>
      </c>
      <c r="F14" s="29">
        <v>440</v>
      </c>
      <c r="G14" s="30">
        <v>56</v>
      </c>
      <c r="H14" s="20"/>
      <c r="I14" s="20"/>
      <c r="J14" s="1" t="str">
        <f>IF(ISBLANK(J11)," ",(E19+F19+G19+E23+F23+G23+H19+I19+H23+I23)/(E18+F18+G18+E22+F22+G22+H18+I18+H22+I22))</f>
        <v xml:space="preserve"> </v>
      </c>
    </row>
    <row r="15" spans="1:13" ht="21" customHeight="1" x14ac:dyDescent="0.25"/>
    <row r="16" spans="1:13" ht="21" customHeight="1" thickBot="1" x14ac:dyDescent="0.3"/>
    <row r="17" spans="2:10" s="31" customFormat="1" ht="21" customHeight="1" thickBot="1" x14ac:dyDescent="0.3">
      <c r="B17" s="32" t="s">
        <v>356</v>
      </c>
      <c r="C17" s="33"/>
      <c r="D17" s="32" t="s">
        <v>357</v>
      </c>
      <c r="E17" s="33" t="s">
        <v>358</v>
      </c>
      <c r="F17" s="32" t="s">
        <v>359</v>
      </c>
      <c r="G17" s="34" t="s">
        <v>360</v>
      </c>
      <c r="H17" s="35" t="s">
        <v>361</v>
      </c>
      <c r="I17" s="36" t="s">
        <v>362</v>
      </c>
      <c r="J17" s="32" t="s">
        <v>363</v>
      </c>
    </row>
    <row r="18" spans="2:10" s="37" customFormat="1" ht="21" customHeight="1" thickBot="1" x14ac:dyDescent="0.3">
      <c r="B18" s="255">
        <v>1</v>
      </c>
      <c r="C18" s="12">
        <v>1</v>
      </c>
      <c r="D18" s="39" t="str">
        <f>D12</f>
        <v>NICOLAS CECILIANO ESQUIVEL</v>
      </c>
      <c r="E18" s="12">
        <v>4</v>
      </c>
      <c r="F18" s="38">
        <v>4</v>
      </c>
      <c r="G18" s="40"/>
      <c r="H18" s="41"/>
      <c r="I18" s="42"/>
      <c r="J18" s="245" cm="1">
        <f t="array" ref="J18">IF(SUMPRODUCT(--(E18:I18&gt;E19:I19))&gt;SUMPRODUCT(--(E19:I19&gt;E18:I18)), C18,
IF(SUMPRODUCT(--(E19:I19&gt;E18:I18))&gt;SUMPRODUCT(--(E18:I18&gt;E19:I19)), C19, ""))</f>
        <v>3</v>
      </c>
    </row>
    <row r="19" spans="2:10" s="37" customFormat="1" ht="21" customHeight="1" thickBot="1" x14ac:dyDescent="0.3">
      <c r="B19" s="246"/>
      <c r="C19" s="44">
        <v>3</v>
      </c>
      <c r="D19" s="45" t="str">
        <f>D14</f>
        <v>LUCCA NAEL LOBO DIAZ</v>
      </c>
      <c r="E19" s="46">
        <v>11</v>
      </c>
      <c r="F19" s="47">
        <v>11</v>
      </c>
      <c r="G19" s="47"/>
      <c r="H19" s="41"/>
      <c r="I19" s="42"/>
      <c r="J19" s="246"/>
    </row>
    <row r="20" spans="2:10" s="37" customFormat="1" ht="21" customHeight="1" thickBot="1" x14ac:dyDescent="0.3">
      <c r="B20" s="245">
        <v>2</v>
      </c>
      <c r="C20" s="12">
        <v>1</v>
      </c>
      <c r="D20" s="39" t="str">
        <f>D12</f>
        <v>NICOLAS CECILIANO ESQUIVEL</v>
      </c>
      <c r="E20" s="12">
        <v>11</v>
      </c>
      <c r="F20" s="38">
        <v>12</v>
      </c>
      <c r="G20" s="38"/>
      <c r="H20" s="41"/>
      <c r="I20" s="42"/>
      <c r="J20" s="245" cm="1">
        <f t="array" ref="J20">IF(SUMPRODUCT(--(E20:I20&gt;E21:I21))&gt;SUMPRODUCT(--(E21:I21&gt;E20:I20)), C20,
IF(SUMPRODUCT(--(E21:I21&gt;E20:I20))&gt;SUMPRODUCT(--(E20:I20&gt;E21:I21)), C21, ""))</f>
        <v>1</v>
      </c>
    </row>
    <row r="21" spans="2:10" s="37" customFormat="1" ht="21" customHeight="1" thickBot="1" x14ac:dyDescent="0.3">
      <c r="B21" s="246"/>
      <c r="C21" s="44">
        <v>2</v>
      </c>
      <c r="D21" s="45" t="str">
        <f>D13</f>
        <v>JACKY CHENG FENG</v>
      </c>
      <c r="E21" s="46">
        <v>8</v>
      </c>
      <c r="F21" s="47">
        <v>10</v>
      </c>
      <c r="G21" s="47"/>
      <c r="H21" s="41"/>
      <c r="I21" s="42"/>
      <c r="J21" s="246"/>
    </row>
    <row r="22" spans="2:10" s="37" customFormat="1" ht="21" customHeight="1" thickBot="1" x14ac:dyDescent="0.3">
      <c r="B22" s="245">
        <v>3</v>
      </c>
      <c r="C22" s="44">
        <v>2</v>
      </c>
      <c r="D22" s="45" t="str">
        <f>D13</f>
        <v>JACKY CHENG FENG</v>
      </c>
      <c r="E22" s="46">
        <v>8</v>
      </c>
      <c r="F22" s="47">
        <v>9</v>
      </c>
      <c r="G22" s="47"/>
      <c r="H22" s="41"/>
      <c r="I22" s="42"/>
      <c r="J22" s="245" cm="1">
        <f t="array" ref="J22">IF(SUMPRODUCT(--(E22:I22&gt;E23:I23))&gt;SUMPRODUCT(--(E23:I23&gt;E22:I22)), C22,
IF(SUMPRODUCT(--(E23:I23&gt;E22:I22))&gt;SUMPRODUCT(--(E22:I22&gt;E23:I23)), C23, ""))</f>
        <v>3</v>
      </c>
    </row>
    <row r="23" spans="2:10" s="37" customFormat="1" ht="21" customHeight="1" thickBot="1" x14ac:dyDescent="0.3">
      <c r="B23" s="246"/>
      <c r="C23" s="48">
        <v>3</v>
      </c>
      <c r="D23" s="49" t="str">
        <f>D14</f>
        <v>LUCCA NAEL LOBO DIAZ</v>
      </c>
      <c r="E23" s="48">
        <v>11</v>
      </c>
      <c r="F23" s="43">
        <v>11</v>
      </c>
      <c r="G23" s="43"/>
      <c r="H23" s="50"/>
      <c r="I23" s="51"/>
      <c r="J23" s="246"/>
    </row>
    <row r="24" spans="2:10" ht="6" customHeight="1" x14ac:dyDescent="0.25">
      <c r="B24" s="247"/>
      <c r="C24" s="52"/>
      <c r="D24" s="53"/>
      <c r="E24" s="53"/>
      <c r="F24" s="53"/>
      <c r="G24" s="53"/>
      <c r="H24" s="53"/>
      <c r="I24" s="53"/>
      <c r="J24" s="53"/>
    </row>
    <row r="25" spans="2:10" ht="6" customHeight="1" x14ac:dyDescent="0.25">
      <c r="B25" s="248"/>
      <c r="E25" s="53"/>
      <c r="F25" s="53"/>
      <c r="G25" s="53"/>
      <c r="H25" s="53"/>
      <c r="I25" s="53"/>
      <c r="J25" s="53"/>
    </row>
    <row r="26" spans="2:10" s="2" customFormat="1" ht="6" customHeight="1" x14ac:dyDescent="0.25">
      <c r="B26" s="248"/>
      <c r="E26" s="52"/>
      <c r="F26" s="52"/>
      <c r="G26" s="52"/>
      <c r="H26" s="52"/>
      <c r="I26" s="52"/>
      <c r="J26" s="52"/>
    </row>
    <row r="27" spans="2:10" ht="6" customHeight="1" x14ac:dyDescent="0.25">
      <c r="B27" s="248"/>
      <c r="E27" s="53"/>
      <c r="F27" s="53"/>
    </row>
    <row r="28" spans="2:10" ht="6" customHeight="1" x14ac:dyDescent="0.25">
      <c r="B28" s="249"/>
      <c r="E28" s="53"/>
      <c r="F28" s="53"/>
    </row>
    <row r="29" spans="2:10" ht="6" customHeight="1" x14ac:dyDescent="0.25">
      <c r="B29" s="249"/>
    </row>
    <row r="30" spans="2:10" ht="6" customHeight="1" x14ac:dyDescent="0.25"/>
    <row r="31" spans="2:10" ht="6" customHeight="1" thickBot="1" x14ac:dyDescent="0.3"/>
    <row r="32" spans="2:10" s="37" customFormat="1" ht="18" customHeight="1" thickBot="1" x14ac:dyDescent="0.3">
      <c r="C32" s="250" t="s">
        <v>364</v>
      </c>
      <c r="D32" s="251"/>
      <c r="F32" s="236" t="s">
        <v>365</v>
      </c>
      <c r="G32" s="237"/>
      <c r="H32" s="237"/>
      <c r="I32" s="237"/>
      <c r="J32" s="238"/>
    </row>
    <row r="33" spans="3:10" s="37" customFormat="1" ht="18" customHeight="1" thickBot="1" x14ac:dyDescent="0.3">
      <c r="C33" s="54" t="s">
        <v>366</v>
      </c>
      <c r="D33" s="54" t="s">
        <v>367</v>
      </c>
      <c r="F33" s="236" t="s">
        <v>368</v>
      </c>
      <c r="G33" s="237"/>
      <c r="H33" s="237"/>
      <c r="I33" s="237"/>
      <c r="J33" s="238"/>
    </row>
    <row r="34" spans="3:10" ht="25.5" customHeight="1" thickBot="1" x14ac:dyDescent="0.3">
      <c r="C34" s="55">
        <v>3504</v>
      </c>
      <c r="D34" s="56" t="s">
        <v>30</v>
      </c>
      <c r="F34" s="57" t="s">
        <v>369</v>
      </c>
      <c r="G34" s="239"/>
      <c r="H34" s="240"/>
      <c r="I34" s="240"/>
      <c r="J34" s="241"/>
    </row>
    <row r="35" spans="3:10" ht="25.5" customHeight="1" thickBot="1" x14ac:dyDescent="0.3">
      <c r="C35" s="55">
        <v>3696</v>
      </c>
      <c r="D35" s="56" t="s">
        <v>26</v>
      </c>
      <c r="F35" s="242" t="s">
        <v>370</v>
      </c>
      <c r="G35" s="243"/>
      <c r="H35" s="243"/>
      <c r="I35" s="244"/>
      <c r="J35" s="58"/>
    </row>
  </sheetData>
  <mergeCells count="15">
    <mergeCell ref="B22:B23"/>
    <mergeCell ref="J22:J23"/>
    <mergeCell ref="L5:M8"/>
    <mergeCell ref="B18:B19"/>
    <mergeCell ref="J18:J19"/>
    <mergeCell ref="B20:B21"/>
    <mergeCell ref="J20:J21"/>
    <mergeCell ref="G34:J34"/>
    <mergeCell ref="F35:I35"/>
    <mergeCell ref="B24:B25"/>
    <mergeCell ref="B26:B27"/>
    <mergeCell ref="B28:B29"/>
    <mergeCell ref="C32:D32"/>
    <mergeCell ref="F32:J32"/>
    <mergeCell ref="F33:J33"/>
  </mergeCells>
  <pageMargins left="0.7" right="0.7" top="0.75" bottom="0.75" header="0.3" footer="0.3"/>
  <pageSetup scale="92" orientation="portrait" horizontalDpi="360" verticalDpi="36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4BB66-9443-4734-B849-69EC716F5CF4}">
  <sheetPr>
    <pageSetUpPr fitToPage="1"/>
  </sheetPr>
  <dimension ref="A4:M35"/>
  <sheetViews>
    <sheetView topLeftCell="A18" zoomScale="115" zoomScaleNormal="115" workbookViewId="0">
      <selection activeCell="E46" activeCellId="1" sqref="C36:C37 E46:E47"/>
    </sheetView>
  </sheetViews>
  <sheetFormatPr defaultColWidth="9.140625" defaultRowHeight="15" x14ac:dyDescent="0.25"/>
  <cols>
    <col min="1" max="1" width="4" style="1" bestFit="1" customWidth="1"/>
    <col min="2" max="2" width="11.42578125" style="1" bestFit="1" customWidth="1"/>
    <col min="3" max="3" width="7.85546875" style="2" bestFit="1" customWidth="1"/>
    <col min="4" max="4" width="30.5703125" style="1" bestFit="1" customWidth="1"/>
    <col min="5" max="5" width="15.28515625" style="1" bestFit="1" customWidth="1"/>
    <col min="6" max="6" width="10.42578125" style="1" bestFit="1" customWidth="1"/>
    <col min="7" max="7" width="10.28515625" style="1" bestFit="1" customWidth="1"/>
    <col min="8" max="8" width="0.140625" style="1" customWidth="1"/>
    <col min="9" max="9" width="10.7109375" style="1" hidden="1" customWidth="1"/>
    <col min="10" max="10" width="11.7109375" style="1" customWidth="1"/>
    <col min="11" max="11" width="11.42578125" style="1" customWidth="1"/>
    <col min="12" max="16384" width="9.140625" style="1"/>
  </cols>
  <sheetData>
    <row r="4" spans="1:13" ht="15" customHeight="1" thickBot="1" x14ac:dyDescent="0.4">
      <c r="D4" s="3"/>
    </row>
    <row r="5" spans="1:13" ht="15.75" customHeight="1" x14ac:dyDescent="0.35">
      <c r="D5" s="3"/>
      <c r="L5" s="252" t="s">
        <v>346</v>
      </c>
      <c r="M5" s="252"/>
    </row>
    <row r="6" spans="1:13" ht="26.25" customHeight="1" x14ac:dyDescent="0.25">
      <c r="L6" s="253"/>
      <c r="M6" s="253"/>
    </row>
    <row r="7" spans="1:13" ht="26.25" customHeight="1" x14ac:dyDescent="0.35">
      <c r="C7" s="4"/>
      <c r="D7" s="3"/>
      <c r="G7" s="3" t="s">
        <v>347</v>
      </c>
      <c r="H7" s="3"/>
      <c r="I7" s="3"/>
      <c r="J7" s="5">
        <f ca="1">TODAY()</f>
        <v>46313</v>
      </c>
      <c r="L7" s="253"/>
      <c r="M7" s="253"/>
    </row>
    <row r="8" spans="1:13" ht="26.25" customHeight="1" x14ac:dyDescent="0.35">
      <c r="C8" s="4"/>
      <c r="D8" s="3"/>
      <c r="L8" s="253"/>
      <c r="M8" s="253"/>
    </row>
    <row r="9" spans="1:13" s="6" customFormat="1" ht="21" customHeight="1" x14ac:dyDescent="0.25">
      <c r="B9" s="7" t="s">
        <v>348</v>
      </c>
      <c r="C9" s="8"/>
      <c r="D9" s="9" t="s">
        <v>410</v>
      </c>
      <c r="E9" s="7" t="s">
        <v>349</v>
      </c>
      <c r="F9" s="9">
        <v>15</v>
      </c>
      <c r="G9" s="7" t="s">
        <v>350</v>
      </c>
      <c r="H9" s="7"/>
      <c r="I9" s="7"/>
      <c r="J9" s="10"/>
    </row>
    <row r="10" spans="1:13" ht="21" customHeight="1" x14ac:dyDescent="0.25"/>
    <row r="11" spans="1:13" ht="21" customHeight="1" thickBot="1" x14ac:dyDescent="0.3">
      <c r="B11" s="11" t="s">
        <v>351</v>
      </c>
      <c r="C11" s="12" t="s">
        <v>352</v>
      </c>
      <c r="D11" s="11" t="s">
        <v>353</v>
      </c>
      <c r="E11" s="11" t="s">
        <v>354</v>
      </c>
      <c r="F11" s="11" t="s">
        <v>0</v>
      </c>
      <c r="G11" s="11" t="s">
        <v>355</v>
      </c>
      <c r="H11" s="11"/>
      <c r="I11" s="11"/>
      <c r="J11" s="13"/>
    </row>
    <row r="12" spans="1:13" ht="21" customHeight="1" thickBot="1" x14ac:dyDescent="0.3">
      <c r="A12" s="1">
        <f>F9+0.1</f>
        <v>15.1</v>
      </c>
      <c r="B12" s="14">
        <v>1</v>
      </c>
      <c r="C12" s="15">
        <v>4287</v>
      </c>
      <c r="D12" s="16" t="s">
        <v>27</v>
      </c>
      <c r="E12" s="17" t="s">
        <v>6</v>
      </c>
      <c r="F12" s="18">
        <v>539</v>
      </c>
      <c r="G12" s="19">
        <v>15</v>
      </c>
      <c r="H12" s="20"/>
      <c r="I12" s="20"/>
      <c r="J12" s="1" t="str">
        <f>IF(ISBLANK(J11)," ",(E18+F18+G18+E20+F20+G20+H18+I18+H20+I20)/(E19+F19+G19+E21+F21+G21+H19+I19+H21+I21))</f>
        <v xml:space="preserve"> </v>
      </c>
    </row>
    <row r="13" spans="1:13" ht="21" customHeight="1" thickBot="1" x14ac:dyDescent="0.3">
      <c r="A13" s="1">
        <f>F9+0.2</f>
        <v>15.2</v>
      </c>
      <c r="B13" s="14">
        <v>2</v>
      </c>
      <c r="C13" s="21">
        <v>4182</v>
      </c>
      <c r="D13" s="22" t="s">
        <v>36</v>
      </c>
      <c r="E13" s="23" t="s">
        <v>8</v>
      </c>
      <c r="F13" s="24">
        <v>506</v>
      </c>
      <c r="G13" s="25">
        <v>19</v>
      </c>
      <c r="H13" s="20"/>
      <c r="I13" s="20"/>
      <c r="J13" s="1" t="str">
        <f>IF(ISBLANK(J11)," ",(E21+F21+G21+E22+F22+G22+H21+I21+H22+I22)/(E20+F20+G20+E23+F23+G23+H20+I20+H23+I23))</f>
        <v xml:space="preserve"> </v>
      </c>
    </row>
    <row r="14" spans="1:13" ht="21" customHeight="1" thickBot="1" x14ac:dyDescent="0.3">
      <c r="A14" s="1">
        <f>+F9+0.3</f>
        <v>15.3</v>
      </c>
      <c r="B14" s="14">
        <v>3</v>
      </c>
      <c r="C14" s="26">
        <v>4874</v>
      </c>
      <c r="D14" s="27" t="s">
        <v>343</v>
      </c>
      <c r="E14" s="28" t="s">
        <v>24</v>
      </c>
      <c r="F14" s="29">
        <v>435</v>
      </c>
      <c r="G14" s="30">
        <v>60</v>
      </c>
      <c r="H14" s="20"/>
      <c r="I14" s="20"/>
      <c r="J14" s="1" t="str">
        <f>IF(ISBLANK(J11)," ",(E19+F19+G19+E23+F23+G23+H19+I19+H23+I23)/(E18+F18+G18+E22+F22+G22+H18+I18+H22+I22))</f>
        <v xml:space="preserve"> </v>
      </c>
    </row>
    <row r="15" spans="1:13" ht="21" customHeight="1" x14ac:dyDescent="0.25"/>
    <row r="16" spans="1:13" ht="21" customHeight="1" thickBot="1" x14ac:dyDescent="0.3"/>
    <row r="17" spans="2:10" s="31" customFormat="1" ht="21" customHeight="1" thickBot="1" x14ac:dyDescent="0.3">
      <c r="B17" s="32" t="s">
        <v>356</v>
      </c>
      <c r="C17" s="33"/>
      <c r="D17" s="32" t="s">
        <v>357</v>
      </c>
      <c r="E17" s="33" t="s">
        <v>358</v>
      </c>
      <c r="F17" s="32" t="s">
        <v>359</v>
      </c>
      <c r="G17" s="34" t="s">
        <v>360</v>
      </c>
      <c r="H17" s="35" t="s">
        <v>361</v>
      </c>
      <c r="I17" s="36" t="s">
        <v>362</v>
      </c>
      <c r="J17" s="32" t="s">
        <v>363</v>
      </c>
    </row>
    <row r="18" spans="2:10" s="37" customFormat="1" ht="21" customHeight="1" thickBot="1" x14ac:dyDescent="0.3">
      <c r="B18" s="255">
        <v>1</v>
      </c>
      <c r="C18" s="12">
        <v>1</v>
      </c>
      <c r="D18" s="39" t="str">
        <f>D12</f>
        <v>MATÍAS RAMÍREZ MARÍN</v>
      </c>
      <c r="E18" s="12">
        <v>11</v>
      </c>
      <c r="F18" s="38">
        <v>11</v>
      </c>
      <c r="G18" s="40"/>
      <c r="H18" s="41"/>
      <c r="I18" s="42"/>
      <c r="J18" s="245" cm="1">
        <f t="array" ref="J18">IF(SUMPRODUCT(--(E18:I18&gt;E19:I19))&gt;SUMPRODUCT(--(E19:I19&gt;E18:I18)), C18,
IF(SUMPRODUCT(--(E19:I19&gt;E18:I18))&gt;SUMPRODUCT(--(E18:I18&gt;E19:I19)), C19, ""))</f>
        <v>1</v>
      </c>
    </row>
    <row r="19" spans="2:10" s="37" customFormat="1" ht="21" customHeight="1" thickBot="1" x14ac:dyDescent="0.3">
      <c r="B19" s="246"/>
      <c r="C19" s="44">
        <v>3</v>
      </c>
      <c r="D19" s="45" t="str">
        <f>D14</f>
        <v>ESTÉFANO TACSAN HIDALGO</v>
      </c>
      <c r="E19" s="46">
        <v>5</v>
      </c>
      <c r="F19" s="47">
        <v>4</v>
      </c>
      <c r="G19" s="47"/>
      <c r="H19" s="41"/>
      <c r="I19" s="42"/>
      <c r="J19" s="246"/>
    </row>
    <row r="20" spans="2:10" s="37" customFormat="1" ht="21" customHeight="1" thickBot="1" x14ac:dyDescent="0.3">
      <c r="B20" s="245">
        <v>2</v>
      </c>
      <c r="C20" s="12">
        <v>1</v>
      </c>
      <c r="D20" s="39" t="str">
        <f>D12</f>
        <v>MATÍAS RAMÍREZ MARÍN</v>
      </c>
      <c r="E20" s="12">
        <v>11</v>
      </c>
      <c r="F20" s="38">
        <v>11</v>
      </c>
      <c r="G20" s="38"/>
      <c r="H20" s="41"/>
      <c r="I20" s="42"/>
      <c r="J20" s="245" cm="1">
        <f t="array" ref="J20">IF(SUMPRODUCT(--(E20:I20&gt;E21:I21))&gt;SUMPRODUCT(--(E21:I21&gt;E20:I20)), C20,
IF(SUMPRODUCT(--(E21:I21&gt;E20:I20))&gt;SUMPRODUCT(--(E20:I20&gt;E21:I21)), C21, ""))</f>
        <v>1</v>
      </c>
    </row>
    <row r="21" spans="2:10" s="37" customFormat="1" ht="21" customHeight="1" thickBot="1" x14ac:dyDescent="0.3">
      <c r="B21" s="246"/>
      <c r="C21" s="44">
        <v>2</v>
      </c>
      <c r="D21" s="45" t="str">
        <f>D13</f>
        <v>JUAN PABLO ARCE VÁSQUEZ</v>
      </c>
      <c r="E21" s="46">
        <v>9</v>
      </c>
      <c r="F21" s="47">
        <v>9</v>
      </c>
      <c r="G21" s="47"/>
      <c r="H21" s="41"/>
      <c r="I21" s="42"/>
      <c r="J21" s="246"/>
    </row>
    <row r="22" spans="2:10" s="37" customFormat="1" ht="21" customHeight="1" thickBot="1" x14ac:dyDescent="0.3">
      <c r="B22" s="245">
        <v>3</v>
      </c>
      <c r="C22" s="44">
        <v>2</v>
      </c>
      <c r="D22" s="45" t="str">
        <f>D13</f>
        <v>JUAN PABLO ARCE VÁSQUEZ</v>
      </c>
      <c r="E22" s="46">
        <v>11</v>
      </c>
      <c r="F22" s="47">
        <v>11</v>
      </c>
      <c r="G22" s="47"/>
      <c r="H22" s="41"/>
      <c r="I22" s="42"/>
      <c r="J22" s="245" cm="1">
        <f t="array" ref="J22">IF(SUMPRODUCT(--(E22:I22&gt;E23:I23))&gt;SUMPRODUCT(--(E23:I23&gt;E22:I22)), C22,
IF(SUMPRODUCT(--(E23:I23&gt;E22:I22))&gt;SUMPRODUCT(--(E22:I22&gt;E23:I23)), C23, ""))</f>
        <v>2</v>
      </c>
    </row>
    <row r="23" spans="2:10" s="37" customFormat="1" ht="21" customHeight="1" thickBot="1" x14ac:dyDescent="0.3">
      <c r="B23" s="246"/>
      <c r="C23" s="48">
        <v>3</v>
      </c>
      <c r="D23" s="49" t="str">
        <f>D14</f>
        <v>ESTÉFANO TACSAN HIDALGO</v>
      </c>
      <c r="E23" s="48">
        <v>11</v>
      </c>
      <c r="F23" s="43">
        <v>6</v>
      </c>
      <c r="G23" s="43"/>
      <c r="H23" s="50"/>
      <c r="I23" s="51"/>
      <c r="J23" s="246"/>
    </row>
    <row r="24" spans="2:10" ht="6" customHeight="1" x14ac:dyDescent="0.25">
      <c r="B24" s="247"/>
      <c r="C24" s="52"/>
      <c r="D24" s="53"/>
      <c r="E24" s="53"/>
      <c r="F24" s="53"/>
      <c r="G24" s="53"/>
      <c r="H24" s="53"/>
      <c r="I24" s="53"/>
      <c r="J24" s="53"/>
    </row>
    <row r="25" spans="2:10" ht="6" customHeight="1" x14ac:dyDescent="0.25">
      <c r="B25" s="248"/>
      <c r="E25" s="53"/>
      <c r="F25" s="53"/>
      <c r="G25" s="53"/>
      <c r="H25" s="53"/>
      <c r="I25" s="53"/>
      <c r="J25" s="53"/>
    </row>
    <row r="26" spans="2:10" s="2" customFormat="1" ht="6" customHeight="1" x14ac:dyDescent="0.25">
      <c r="B26" s="248"/>
      <c r="E26" s="52"/>
      <c r="F26" s="52"/>
      <c r="G26" s="52"/>
      <c r="H26" s="52"/>
      <c r="I26" s="52"/>
      <c r="J26" s="52"/>
    </row>
    <row r="27" spans="2:10" ht="6" customHeight="1" x14ac:dyDescent="0.25">
      <c r="B27" s="248"/>
      <c r="E27" s="53"/>
      <c r="F27" s="53"/>
    </row>
    <row r="28" spans="2:10" ht="6" customHeight="1" x14ac:dyDescent="0.25">
      <c r="B28" s="249"/>
      <c r="E28" s="53"/>
      <c r="F28" s="53"/>
    </row>
    <row r="29" spans="2:10" ht="6" customHeight="1" x14ac:dyDescent="0.25">
      <c r="B29" s="249"/>
    </row>
    <row r="30" spans="2:10" ht="6" customHeight="1" x14ac:dyDescent="0.25"/>
    <row r="31" spans="2:10" ht="6" customHeight="1" thickBot="1" x14ac:dyDescent="0.3"/>
    <row r="32" spans="2:10" s="37" customFormat="1" ht="18" customHeight="1" thickBot="1" x14ac:dyDescent="0.3">
      <c r="C32" s="250" t="s">
        <v>364</v>
      </c>
      <c r="D32" s="251"/>
      <c r="F32" s="236" t="s">
        <v>365</v>
      </c>
      <c r="G32" s="237"/>
      <c r="H32" s="237"/>
      <c r="I32" s="237"/>
      <c r="J32" s="238"/>
    </row>
    <row r="33" spans="3:10" s="37" customFormat="1" ht="18" customHeight="1" thickBot="1" x14ac:dyDescent="0.3">
      <c r="C33" s="54" t="s">
        <v>366</v>
      </c>
      <c r="D33" s="54" t="s">
        <v>367</v>
      </c>
      <c r="F33" s="236" t="s">
        <v>368</v>
      </c>
      <c r="G33" s="237"/>
      <c r="H33" s="237"/>
      <c r="I33" s="237"/>
      <c r="J33" s="238"/>
    </row>
    <row r="34" spans="3:10" ht="25.5" customHeight="1" thickBot="1" x14ac:dyDescent="0.3">
      <c r="C34" s="55">
        <v>4287</v>
      </c>
      <c r="D34" s="56" t="s">
        <v>27</v>
      </c>
      <c r="F34" s="57" t="s">
        <v>369</v>
      </c>
      <c r="G34" s="239"/>
      <c r="H34" s="240"/>
      <c r="I34" s="240"/>
      <c r="J34" s="241"/>
    </row>
    <row r="35" spans="3:10" ht="25.5" customHeight="1" thickBot="1" x14ac:dyDescent="0.3">
      <c r="C35" s="55">
        <v>4182</v>
      </c>
      <c r="D35" s="56" t="s">
        <v>36</v>
      </c>
      <c r="F35" s="242" t="s">
        <v>370</v>
      </c>
      <c r="G35" s="243"/>
      <c r="H35" s="243"/>
      <c r="I35" s="244"/>
      <c r="J35" s="58"/>
    </row>
  </sheetData>
  <mergeCells count="15">
    <mergeCell ref="B22:B23"/>
    <mergeCell ref="J22:J23"/>
    <mergeCell ref="L5:M8"/>
    <mergeCell ref="B18:B19"/>
    <mergeCell ref="J18:J19"/>
    <mergeCell ref="B20:B21"/>
    <mergeCell ref="J20:J21"/>
    <mergeCell ref="G34:J34"/>
    <mergeCell ref="F35:I35"/>
    <mergeCell ref="B24:B25"/>
    <mergeCell ref="B26:B27"/>
    <mergeCell ref="B28:B29"/>
    <mergeCell ref="C32:D32"/>
    <mergeCell ref="F32:J32"/>
    <mergeCell ref="F33:J33"/>
  </mergeCells>
  <pageMargins left="0.7" right="0.7" top="0.75" bottom="0.75" header="0.3" footer="0.3"/>
  <pageSetup scale="89" orientation="portrait" horizontalDpi="360" verticalDpi="36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72BCF-95FA-45DE-8272-B17A8F005FBE}">
  <sheetPr>
    <pageSetUpPr fitToPage="1"/>
  </sheetPr>
  <dimension ref="A4:M35"/>
  <sheetViews>
    <sheetView topLeftCell="A21" zoomScale="104" zoomScaleNormal="115" workbookViewId="0">
      <selection activeCell="E46" activeCellId="1" sqref="C36:C37 E46:E47"/>
    </sheetView>
  </sheetViews>
  <sheetFormatPr defaultColWidth="9.140625" defaultRowHeight="15" x14ac:dyDescent="0.25"/>
  <cols>
    <col min="1" max="1" width="5" style="60" bestFit="1" customWidth="1"/>
    <col min="2" max="2" width="7.7109375" style="60" customWidth="1"/>
    <col min="3" max="3" width="7.28515625" style="61" customWidth="1"/>
    <col min="4" max="4" width="32.85546875" style="60" bestFit="1" customWidth="1"/>
    <col min="5" max="5" width="15.42578125" style="60" bestFit="1" customWidth="1"/>
    <col min="6" max="6" width="9.85546875" style="60" bestFit="1" customWidth="1"/>
    <col min="7" max="7" width="11" style="60" bestFit="1" customWidth="1"/>
    <col min="8" max="8" width="0.140625" style="60" customWidth="1"/>
    <col min="9" max="9" width="11.5703125" style="60" hidden="1" customWidth="1"/>
    <col min="10" max="10" width="14.5703125" style="60" customWidth="1"/>
    <col min="11" max="11" width="11.42578125" style="60" customWidth="1"/>
    <col min="12" max="16384" width="9.140625" style="60"/>
  </cols>
  <sheetData>
    <row r="4" spans="1:13" ht="15" customHeight="1" thickBot="1" x14ac:dyDescent="0.4">
      <c r="D4" s="62"/>
    </row>
    <row r="5" spans="1:13" ht="25.5" customHeight="1" x14ac:dyDescent="0.35">
      <c r="D5" s="62"/>
      <c r="L5" s="270" t="s">
        <v>371</v>
      </c>
      <c r="M5" s="271"/>
    </row>
    <row r="6" spans="1:13" ht="25.5" customHeight="1" x14ac:dyDescent="0.35">
      <c r="D6" s="62"/>
      <c r="L6" s="272"/>
      <c r="M6" s="273"/>
    </row>
    <row r="7" spans="1:13" ht="29.25" customHeight="1" x14ac:dyDescent="0.35">
      <c r="C7" s="276"/>
      <c r="D7" s="276"/>
      <c r="E7" s="276"/>
      <c r="F7" s="276"/>
      <c r="G7" s="64" t="s">
        <v>372</v>
      </c>
      <c r="H7" s="64"/>
      <c r="I7" s="64"/>
      <c r="J7" s="65">
        <f ca="1">TODAY()</f>
        <v>46313</v>
      </c>
      <c r="L7" s="272"/>
      <c r="M7" s="273"/>
    </row>
    <row r="8" spans="1:13" ht="20.25" customHeight="1" thickBot="1" x14ac:dyDescent="0.4">
      <c r="D8" s="62"/>
      <c r="G8" s="66"/>
      <c r="H8" s="66"/>
      <c r="I8" s="66"/>
      <c r="L8" s="274"/>
      <c r="M8" s="275"/>
    </row>
    <row r="9" spans="1:13" ht="21" customHeight="1" x14ac:dyDescent="0.35">
      <c r="B9" s="67" t="s">
        <v>373</v>
      </c>
      <c r="C9" s="68"/>
      <c r="D9" s="69" t="s">
        <v>410</v>
      </c>
      <c r="E9" s="67" t="s">
        <v>349</v>
      </c>
      <c r="F9" s="70">
        <v>16</v>
      </c>
      <c r="G9" s="67" t="s">
        <v>350</v>
      </c>
      <c r="H9" s="66"/>
      <c r="I9" s="66"/>
      <c r="J9" s="63"/>
    </row>
    <row r="10" spans="1:13" ht="30" customHeight="1" x14ac:dyDescent="0.25"/>
    <row r="11" spans="1:13" ht="21" customHeight="1" thickBot="1" x14ac:dyDescent="0.3">
      <c r="B11" s="66" t="s">
        <v>351</v>
      </c>
      <c r="C11" s="68" t="s">
        <v>352</v>
      </c>
      <c r="D11" s="71" t="s">
        <v>353</v>
      </c>
      <c r="E11" s="71" t="s">
        <v>354</v>
      </c>
      <c r="F11" s="71" t="s">
        <v>0</v>
      </c>
      <c r="G11" s="71" t="s">
        <v>355</v>
      </c>
      <c r="H11" s="71"/>
      <c r="I11" s="71"/>
    </row>
    <row r="12" spans="1:13" ht="21" customHeight="1" thickBot="1" x14ac:dyDescent="0.35">
      <c r="A12" s="60">
        <f>$F$9+0.1</f>
        <v>16.100000000000001</v>
      </c>
      <c r="B12" s="72">
        <v>1</v>
      </c>
      <c r="C12" s="73">
        <v>4511</v>
      </c>
      <c r="D12" s="74" t="s">
        <v>22</v>
      </c>
      <c r="E12" s="75" t="s">
        <v>12</v>
      </c>
      <c r="F12" s="76">
        <v>534</v>
      </c>
      <c r="G12" s="77">
        <v>16</v>
      </c>
      <c r="H12" s="78"/>
      <c r="I12" s="78"/>
    </row>
    <row r="13" spans="1:13" ht="21" customHeight="1" thickBot="1" x14ac:dyDescent="0.35">
      <c r="A13" s="60">
        <f>$F$9+0.2</f>
        <v>16.2</v>
      </c>
      <c r="B13" s="72">
        <v>2</v>
      </c>
      <c r="C13" s="79">
        <v>3787</v>
      </c>
      <c r="D13" s="80" t="s">
        <v>25</v>
      </c>
      <c r="E13" s="81" t="s">
        <v>24</v>
      </c>
      <c r="F13" s="82">
        <v>524</v>
      </c>
      <c r="G13" s="83">
        <v>17</v>
      </c>
      <c r="H13" s="78"/>
      <c r="I13" s="78"/>
    </row>
    <row r="14" spans="1:13" ht="21" customHeight="1" thickBot="1" x14ac:dyDescent="0.35">
      <c r="A14" s="60">
        <f>$F$9+0.3</f>
        <v>16.3</v>
      </c>
      <c r="B14" s="72">
        <v>3</v>
      </c>
      <c r="C14" s="84">
        <v>4855</v>
      </c>
      <c r="D14" s="85" t="s">
        <v>344</v>
      </c>
      <c r="E14" s="86" t="s">
        <v>40</v>
      </c>
      <c r="F14" s="87">
        <v>435</v>
      </c>
      <c r="G14" s="88">
        <v>61</v>
      </c>
      <c r="H14" s="78"/>
      <c r="I14" s="78"/>
    </row>
    <row r="15" spans="1:13" s="89" customFormat="1" ht="21" customHeight="1" thickBot="1" x14ac:dyDescent="0.35">
      <c r="A15" s="89">
        <f>$F$9+0.4</f>
        <v>16.399999999999999</v>
      </c>
      <c r="B15" s="90">
        <v>4</v>
      </c>
      <c r="C15" s="79">
        <v>4872</v>
      </c>
      <c r="D15" s="91" t="s">
        <v>345</v>
      </c>
      <c r="E15" s="92" t="s">
        <v>6</v>
      </c>
      <c r="F15" s="82">
        <v>435</v>
      </c>
      <c r="G15" s="83">
        <v>62</v>
      </c>
      <c r="H15" s="93"/>
      <c r="I15" s="93"/>
    </row>
    <row r="16" spans="1:13" ht="21" customHeight="1" thickBot="1" x14ac:dyDescent="0.3"/>
    <row r="17" spans="2:10" s="99" customFormat="1" ht="21" customHeight="1" thickBot="1" x14ac:dyDescent="0.3">
      <c r="B17" s="94" t="s">
        <v>356</v>
      </c>
      <c r="C17" s="95" t="s">
        <v>374</v>
      </c>
      <c r="D17" s="94" t="s">
        <v>357</v>
      </c>
      <c r="E17" s="95" t="s">
        <v>358</v>
      </c>
      <c r="F17" s="94" t="s">
        <v>359</v>
      </c>
      <c r="G17" s="96" t="s">
        <v>360</v>
      </c>
      <c r="H17" s="97" t="s">
        <v>361</v>
      </c>
      <c r="I17" s="98" t="s">
        <v>362</v>
      </c>
      <c r="J17" s="94" t="s">
        <v>363</v>
      </c>
    </row>
    <row r="18" spans="2:10" s="105" customFormat="1" ht="21" customHeight="1" thickBot="1" x14ac:dyDescent="0.3">
      <c r="B18" s="265">
        <v>1</v>
      </c>
      <c r="C18" s="68">
        <v>1</v>
      </c>
      <c r="D18" s="101" t="str">
        <f>D12</f>
        <v>RONALDO CONDE TRELLES</v>
      </c>
      <c r="E18" s="68">
        <v>11</v>
      </c>
      <c r="F18" s="100">
        <v>11</v>
      </c>
      <c r="G18" s="102"/>
      <c r="H18" s="103"/>
      <c r="I18" s="104"/>
      <c r="J18" s="265" cm="1">
        <f t="array" ref="J18">IF(SUMPRODUCT(--(E18:I18&gt;E19:I19))&gt;SUMPRODUCT(--(E19:I19&gt;E18:I18)), C18,
IF(SUMPRODUCT(--(E19:I19&gt;E18:I18))&gt;SUMPRODUCT(--(E18:I18&gt;E19:I19)), C19, ""))</f>
        <v>1</v>
      </c>
    </row>
    <row r="19" spans="2:10" s="105" customFormat="1" ht="21" customHeight="1" thickBot="1" x14ac:dyDescent="0.3">
      <c r="B19" s="265"/>
      <c r="C19" s="106">
        <v>3</v>
      </c>
      <c r="D19" s="107" t="str">
        <f>D14</f>
        <v>CALEB SOLIS CALVO</v>
      </c>
      <c r="E19" s="108">
        <v>1</v>
      </c>
      <c r="F19" s="109">
        <v>7</v>
      </c>
      <c r="G19" s="110"/>
      <c r="H19" s="111"/>
      <c r="I19" s="112"/>
      <c r="J19" s="267"/>
    </row>
    <row r="20" spans="2:10" s="105" customFormat="1" ht="21" customHeight="1" thickBot="1" x14ac:dyDescent="0.3">
      <c r="B20" s="266">
        <v>2</v>
      </c>
      <c r="C20" s="68">
        <v>4</v>
      </c>
      <c r="D20" s="101" t="str">
        <f>D15</f>
        <v>MAXIMILIANO BADILLA PICADO</v>
      </c>
      <c r="E20" s="68">
        <v>2</v>
      </c>
      <c r="F20" s="100">
        <v>3</v>
      </c>
      <c r="G20" s="102"/>
      <c r="H20" s="115"/>
      <c r="I20" s="112"/>
      <c r="J20" s="266" cm="1">
        <f t="array" ref="J20">IF(SUMPRODUCT(--(E20:I20&gt;E21:I21))&gt;SUMPRODUCT(--(E21:I21&gt;E20:I20)), C20,
IF(SUMPRODUCT(--(E21:I21&gt;E20:I20))&gt;SUMPRODUCT(--(E20:I20&gt;E21:I21)), C21, ""))</f>
        <v>2</v>
      </c>
    </row>
    <row r="21" spans="2:10" s="105" customFormat="1" ht="21" customHeight="1" thickBot="1" x14ac:dyDescent="0.3">
      <c r="B21" s="267"/>
      <c r="C21" s="106">
        <v>2</v>
      </c>
      <c r="D21" s="107" t="str">
        <f>D13</f>
        <v>ISAAC RIVERA TORRES</v>
      </c>
      <c r="E21" s="108">
        <v>11</v>
      </c>
      <c r="F21" s="109">
        <v>11</v>
      </c>
      <c r="G21" s="110"/>
      <c r="H21" s="111"/>
      <c r="I21" s="112"/>
      <c r="J21" s="267"/>
    </row>
    <row r="22" spans="2:10" s="105" customFormat="1" ht="21" customHeight="1" thickBot="1" x14ac:dyDescent="0.3">
      <c r="B22" s="265">
        <v>3</v>
      </c>
      <c r="C22" s="106">
        <v>1</v>
      </c>
      <c r="D22" s="107" t="str">
        <f>D12</f>
        <v>RONALDO CONDE TRELLES</v>
      </c>
      <c r="E22" s="108">
        <v>7</v>
      </c>
      <c r="F22" s="109">
        <v>7</v>
      </c>
      <c r="G22" s="110"/>
      <c r="H22" s="111"/>
      <c r="I22" s="112"/>
      <c r="J22" s="266" cm="1">
        <f t="array" ref="J22">IF(SUMPRODUCT(--(E22:I22&gt;E23:I23))&gt;SUMPRODUCT(--(E23:I23&gt;E22:I22)), C22,
IF(SUMPRODUCT(--(E23:I23&gt;E22:I22))&gt;SUMPRODUCT(--(E22:I22&gt;E23:I23)), C23, ""))</f>
        <v>2</v>
      </c>
    </row>
    <row r="23" spans="2:10" s="105" customFormat="1" ht="21" customHeight="1" thickBot="1" x14ac:dyDescent="0.3">
      <c r="B23" s="265"/>
      <c r="C23" s="68">
        <v>2</v>
      </c>
      <c r="D23" s="116" t="str">
        <f>D13</f>
        <v>ISAAC RIVERA TORRES</v>
      </c>
      <c r="E23" s="68">
        <v>11</v>
      </c>
      <c r="F23" s="113">
        <v>11</v>
      </c>
      <c r="G23" s="109"/>
      <c r="H23" s="117"/>
      <c r="I23" s="118"/>
      <c r="J23" s="267"/>
    </row>
    <row r="24" spans="2:10" ht="21" customHeight="1" thickBot="1" x14ac:dyDescent="0.3">
      <c r="B24" s="256">
        <v>4</v>
      </c>
      <c r="C24" s="114">
        <v>3</v>
      </c>
      <c r="D24" s="119" t="str">
        <f>D19</f>
        <v>CALEB SOLIS CALVO</v>
      </c>
      <c r="E24" s="120">
        <v>11</v>
      </c>
      <c r="F24" s="121">
        <v>9</v>
      </c>
      <c r="G24" s="120">
        <v>11</v>
      </c>
      <c r="H24" s="122"/>
      <c r="I24" s="123"/>
      <c r="J24" s="268" cm="1">
        <f t="array" ref="J24">IF(SUMPRODUCT(--(E24:I24&gt;E25:I25))&gt;SUMPRODUCT(--(E25:I25&gt;E24:I24)), C24,
IF(SUMPRODUCT(--(E25:I25&gt;E24:I24))&gt;SUMPRODUCT(--(E24:I24&gt;E25:I25)), C25, ""))</f>
        <v>3</v>
      </c>
    </row>
    <row r="25" spans="2:10" ht="21" customHeight="1" thickBot="1" x14ac:dyDescent="0.3">
      <c r="B25" s="257"/>
      <c r="C25" s="109">
        <v>4</v>
      </c>
      <c r="D25" s="124" t="str">
        <f>D20</f>
        <v>MAXIMILIANO BADILLA PICADO</v>
      </c>
      <c r="E25" s="125">
        <v>7</v>
      </c>
      <c r="F25" s="126">
        <v>11</v>
      </c>
      <c r="G25" s="125">
        <v>5</v>
      </c>
      <c r="H25" s="127"/>
      <c r="I25" s="128"/>
      <c r="J25" s="258"/>
    </row>
    <row r="26" spans="2:10" ht="21" customHeight="1" thickBot="1" x14ac:dyDescent="0.3">
      <c r="B26" s="269">
        <v>5</v>
      </c>
      <c r="C26" s="100">
        <v>1</v>
      </c>
      <c r="D26" s="129" t="str">
        <f>D12</f>
        <v>RONALDO CONDE TRELLES</v>
      </c>
      <c r="E26" s="130">
        <v>11</v>
      </c>
      <c r="F26" s="131">
        <v>11</v>
      </c>
      <c r="G26" s="130"/>
      <c r="H26" s="127"/>
      <c r="I26" s="132"/>
      <c r="J26" s="256" cm="1">
        <f t="array" ref="J26">IF(SUMPRODUCT(--(E26:I26&gt;E27:I27))&gt;SUMPRODUCT(--(E27:I27&gt;E26:I26)), C26,
IF(SUMPRODUCT(--(E27:I27&gt;E26:I26))&gt;SUMPRODUCT(--(E26:I26&gt;E27:I27)), C27, ""))</f>
        <v>1</v>
      </c>
    </row>
    <row r="27" spans="2:10" ht="21" customHeight="1" thickBot="1" x14ac:dyDescent="0.3">
      <c r="B27" s="269"/>
      <c r="C27" s="109">
        <v>4</v>
      </c>
      <c r="D27" s="124" t="str">
        <f>D15</f>
        <v>MAXIMILIANO BADILLA PICADO</v>
      </c>
      <c r="E27" s="125">
        <v>5</v>
      </c>
      <c r="F27" s="126">
        <v>2</v>
      </c>
      <c r="G27" s="125"/>
      <c r="H27" s="127"/>
      <c r="I27" s="132"/>
      <c r="J27" s="257"/>
    </row>
    <row r="28" spans="2:10" ht="21" customHeight="1" thickBot="1" x14ac:dyDescent="0.3">
      <c r="B28" s="256">
        <v>6</v>
      </c>
      <c r="C28" s="100">
        <v>2</v>
      </c>
      <c r="D28" s="129" t="str">
        <f>D13</f>
        <v>ISAAC RIVERA TORRES</v>
      </c>
      <c r="E28" s="130">
        <v>11</v>
      </c>
      <c r="F28" s="131">
        <v>11</v>
      </c>
      <c r="G28" s="130"/>
      <c r="H28" s="127"/>
      <c r="I28" s="128"/>
      <c r="J28" s="258" cm="1">
        <f t="array" ref="J28">IF(SUMPRODUCT(--(E28:I28&gt;E29:I29))&gt;SUMPRODUCT(--(E29:I29&gt;E28:I28)), C28,
IF(SUMPRODUCT(--(E29:I29&gt;E28:I28))&gt;SUMPRODUCT(--(E28:I28&gt;E29:I29)), C29, ""))</f>
        <v>2</v>
      </c>
    </row>
    <row r="29" spans="2:10" ht="21" customHeight="1" thickBot="1" x14ac:dyDescent="0.3">
      <c r="B29" s="257"/>
      <c r="C29" s="109">
        <v>3</v>
      </c>
      <c r="D29" s="124" t="str">
        <f>D24</f>
        <v>CALEB SOLIS CALVO</v>
      </c>
      <c r="E29" s="125">
        <v>5</v>
      </c>
      <c r="F29" s="126">
        <v>9</v>
      </c>
      <c r="G29" s="125"/>
      <c r="H29" s="133"/>
      <c r="I29" s="134"/>
      <c r="J29" s="259"/>
    </row>
    <row r="31" spans="2:10" ht="15.75" thickBot="1" x14ac:dyDescent="0.3"/>
    <row r="32" spans="2:10" s="105" customFormat="1" ht="22.5" customHeight="1" thickBot="1" x14ac:dyDescent="0.3">
      <c r="C32" s="260" t="s">
        <v>364</v>
      </c>
      <c r="D32" s="261"/>
      <c r="F32" s="236" t="s">
        <v>365</v>
      </c>
      <c r="G32" s="237"/>
      <c r="H32" s="237"/>
      <c r="I32" s="237"/>
      <c r="J32" s="238"/>
    </row>
    <row r="33" spans="3:10" s="136" customFormat="1" ht="20.25" customHeight="1" thickBot="1" x14ac:dyDescent="0.3">
      <c r="C33" s="135" t="s">
        <v>366</v>
      </c>
      <c r="D33" s="135" t="s">
        <v>367</v>
      </c>
      <c r="F33" s="236" t="s">
        <v>368</v>
      </c>
      <c r="G33" s="237"/>
      <c r="H33" s="237"/>
      <c r="I33" s="237"/>
      <c r="J33" s="238"/>
    </row>
    <row r="34" spans="3:10" s="105" customFormat="1" ht="20.25" customHeight="1" thickBot="1" x14ac:dyDescent="0.3">
      <c r="C34" s="137">
        <v>3787</v>
      </c>
      <c r="D34" s="138" t="s">
        <v>25</v>
      </c>
      <c r="F34" s="57" t="s">
        <v>369</v>
      </c>
      <c r="G34" s="262"/>
      <c r="H34" s="263"/>
      <c r="I34" s="263"/>
      <c r="J34" s="264"/>
    </row>
    <row r="35" spans="3:10" s="105" customFormat="1" ht="20.25" customHeight="1" thickBot="1" x14ac:dyDescent="0.3">
      <c r="C35" s="137">
        <v>4511</v>
      </c>
      <c r="D35" s="138" t="s">
        <v>22</v>
      </c>
      <c r="F35" s="242" t="s">
        <v>370</v>
      </c>
      <c r="G35" s="243"/>
      <c r="H35" s="243"/>
      <c r="I35" s="244"/>
      <c r="J35" s="139"/>
    </row>
  </sheetData>
  <mergeCells count="19">
    <mergeCell ref="L5:M8"/>
    <mergeCell ref="C7:F7"/>
    <mergeCell ref="B18:B19"/>
    <mergeCell ref="J18:J19"/>
    <mergeCell ref="B20:B21"/>
    <mergeCell ref="J20:J21"/>
    <mergeCell ref="B22:B23"/>
    <mergeCell ref="J22:J23"/>
    <mergeCell ref="B24:B25"/>
    <mergeCell ref="J24:J25"/>
    <mergeCell ref="B26:B27"/>
    <mergeCell ref="J26:J27"/>
    <mergeCell ref="F35:I35"/>
    <mergeCell ref="B28:B29"/>
    <mergeCell ref="J28:J29"/>
    <mergeCell ref="C32:D32"/>
    <mergeCell ref="F32:J32"/>
    <mergeCell ref="F33:J33"/>
    <mergeCell ref="G34:J34"/>
  </mergeCells>
  <pageMargins left="0.7" right="0.7" top="0.75" bottom="0.75" header="0.3" footer="0.3"/>
  <pageSetup scale="87" orientation="portrait" horizontalDpi="360" verticalDpi="36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60054-9E69-4620-A470-7A89FF3CCB3A}">
  <sheetPr>
    <tabColor rgb="FFFFFF00"/>
    <pageSetUpPr fitToPage="1"/>
  </sheetPr>
  <dimension ref="A6:CB178"/>
  <sheetViews>
    <sheetView showGridLines="0" topLeftCell="A37" zoomScale="70" zoomScaleNormal="70" workbookViewId="0">
      <selection activeCell="E46" activeCellId="1" sqref="C36:C37 E46:E47"/>
    </sheetView>
  </sheetViews>
  <sheetFormatPr defaultColWidth="11.42578125" defaultRowHeight="15" x14ac:dyDescent="0.25"/>
  <cols>
    <col min="1" max="2" width="4.7109375" style="230" customWidth="1"/>
    <col min="3" max="3" width="5.140625" style="230" bestFit="1" customWidth="1"/>
    <col min="4" max="5" width="4.7109375" style="230" customWidth="1"/>
    <col min="6" max="6" width="0" style="230" hidden="1" customWidth="1"/>
    <col min="7" max="7" width="5.7109375" style="230" bestFit="1" customWidth="1"/>
    <col min="8" max="8" width="5.42578125" style="230" bestFit="1" customWidth="1"/>
    <col min="9" max="9" width="28.42578125" style="230" bestFit="1" customWidth="1"/>
    <col min="10" max="10" width="19.42578125" style="230" bestFit="1" customWidth="1"/>
    <col min="11" max="11" width="16.5703125" style="230" bestFit="1" customWidth="1"/>
    <col min="12" max="12" width="16.28515625" style="230" bestFit="1" customWidth="1"/>
    <col min="13" max="26" width="2.7109375" style="230" customWidth="1"/>
    <col min="27" max="45" width="0" style="230" hidden="1" customWidth="1"/>
    <col min="46" max="46" width="0.140625" style="230" customWidth="1"/>
    <col min="47" max="47" width="3.140625" style="230" customWidth="1"/>
    <col min="48" max="48" width="5.5703125" style="231" bestFit="1" customWidth="1"/>
    <col min="49" max="49" width="29.85546875" style="232" bestFit="1" customWidth="1"/>
    <col min="50" max="50" width="16.85546875" style="233" bestFit="1" customWidth="1"/>
    <col min="51" max="51" width="5.5703125" style="234" bestFit="1" customWidth="1"/>
    <col min="52" max="52" width="27.7109375" style="232" bestFit="1" customWidth="1"/>
    <col min="53" max="53" width="16.85546875" style="233" bestFit="1" customWidth="1"/>
    <col min="54" max="54" width="5.5703125" style="234" bestFit="1" customWidth="1"/>
    <col min="55" max="55" width="26.28515625" style="232" bestFit="1" customWidth="1"/>
    <col min="56" max="56" width="9.7109375" style="235" bestFit="1" customWidth="1"/>
    <col min="57" max="57" width="5.5703125" style="234" bestFit="1" customWidth="1"/>
    <col min="58" max="58" width="25.7109375" style="232" bestFit="1" customWidth="1"/>
    <col min="59" max="59" width="10.85546875" style="235" bestFit="1" customWidth="1"/>
    <col min="60" max="60" width="5.5703125" style="234" bestFit="1" customWidth="1"/>
    <col min="61" max="61" width="23.140625" style="232" bestFit="1" customWidth="1"/>
    <col min="62" max="62" width="8.7109375" style="235" bestFit="1" customWidth="1"/>
    <col min="63" max="63" width="11.42578125" style="230"/>
    <col min="64" max="64" width="7.85546875" style="230" customWidth="1"/>
    <col min="65" max="65" width="6.7109375" style="230" customWidth="1"/>
    <col min="66" max="66" width="7.28515625" style="230" bestFit="1" customWidth="1"/>
    <col min="67" max="67" width="6.42578125" style="230" customWidth="1"/>
    <col min="68" max="68" width="3.85546875" style="230" customWidth="1"/>
    <col min="69" max="69" width="4.140625" style="230" customWidth="1"/>
    <col min="70" max="70" width="4" style="230" customWidth="1"/>
    <col min="71" max="71" width="8.140625" style="230" customWidth="1"/>
    <col min="72" max="72" width="5.7109375" style="230" customWidth="1"/>
    <col min="73" max="73" width="8.140625" style="230" customWidth="1"/>
    <col min="74" max="74" width="5.7109375" style="230" customWidth="1"/>
    <col min="75" max="75" width="8.28515625" style="230" customWidth="1"/>
    <col min="76" max="78" width="11.42578125" style="230"/>
    <col min="79" max="79" width="16" style="230" bestFit="1" customWidth="1"/>
    <col min="80" max="80" width="12.42578125" style="230" customWidth="1"/>
    <col min="81" max="16384" width="11.42578125" style="230"/>
  </cols>
  <sheetData>
    <row r="6" spans="1:80" s="143" customFormat="1" ht="18" x14ac:dyDescent="0.25">
      <c r="A6" s="140"/>
      <c r="B6" s="140"/>
      <c r="C6" s="140"/>
      <c r="D6" s="141"/>
      <c r="E6" s="140"/>
      <c r="F6" s="140"/>
      <c r="G6" s="140"/>
      <c r="H6" s="140"/>
      <c r="I6" s="140"/>
      <c r="J6" s="140"/>
      <c r="K6" s="140"/>
      <c r="L6" s="140"/>
      <c r="M6" s="140"/>
      <c r="N6" s="140"/>
      <c r="O6" s="140"/>
      <c r="P6" s="140"/>
      <c r="Q6" s="140"/>
      <c r="R6" s="140"/>
      <c r="S6" s="140"/>
      <c r="T6" s="140"/>
      <c r="U6" s="140"/>
      <c r="V6" s="140"/>
      <c r="W6" s="140"/>
      <c r="X6" s="140"/>
      <c r="Y6" s="140"/>
      <c r="Z6" s="140"/>
      <c r="AA6" s="409">
        <v>2</v>
      </c>
      <c r="AB6" s="409"/>
      <c r="AC6" s="142"/>
      <c r="AD6" s="140"/>
      <c r="AE6" s="140"/>
      <c r="AF6" s="140"/>
      <c r="AG6" s="140"/>
      <c r="AH6" s="140"/>
      <c r="AI6" s="140"/>
      <c r="AJ6" s="140"/>
      <c r="AK6" s="140"/>
      <c r="AL6" s="140"/>
      <c r="AM6" s="140"/>
      <c r="AN6" s="140"/>
      <c r="AO6" s="140"/>
      <c r="AP6" s="140"/>
      <c r="AQ6" s="140"/>
      <c r="AR6" s="140"/>
      <c r="AS6" s="140"/>
      <c r="AU6" s="144"/>
      <c r="AV6" s="145"/>
      <c r="AW6" s="146"/>
      <c r="AX6" s="147"/>
      <c r="AY6" s="148"/>
      <c r="AZ6" s="146"/>
      <c r="BA6" s="147"/>
      <c r="BB6" s="148"/>
      <c r="BC6" s="146"/>
      <c r="BD6" s="149"/>
      <c r="BE6" s="148"/>
      <c r="BF6" s="146"/>
      <c r="BG6" s="149"/>
      <c r="BH6" s="148"/>
      <c r="BI6" s="146"/>
      <c r="BJ6" s="150"/>
    </row>
    <row r="7" spans="1:80" s="143" customFormat="1" ht="13.5" thickBot="1" x14ac:dyDescent="0.3">
      <c r="A7" s="140" t="s">
        <v>375</v>
      </c>
      <c r="B7" s="140" t="s">
        <v>376</v>
      </c>
      <c r="C7" s="140" t="s">
        <v>377</v>
      </c>
      <c r="D7" s="141" t="s">
        <v>378</v>
      </c>
      <c r="E7" s="140" t="s">
        <v>379</v>
      </c>
      <c r="F7" s="140"/>
      <c r="G7" s="140" t="s">
        <v>380</v>
      </c>
      <c r="H7" s="140" t="s">
        <v>381</v>
      </c>
      <c r="I7" s="140" t="s">
        <v>382</v>
      </c>
      <c r="J7" s="140" t="s">
        <v>383</v>
      </c>
      <c r="K7" s="140" t="s">
        <v>384</v>
      </c>
      <c r="L7" s="140" t="s">
        <v>385</v>
      </c>
      <c r="M7" s="140"/>
      <c r="N7" s="140"/>
      <c r="O7" s="140"/>
      <c r="P7" s="140"/>
      <c r="Q7" s="140"/>
      <c r="R7" s="140"/>
      <c r="S7" s="140"/>
      <c r="T7" s="140"/>
      <c r="U7" s="140"/>
      <c r="V7" s="140"/>
      <c r="W7" s="140"/>
      <c r="X7" s="140"/>
      <c r="Y7" s="140"/>
      <c r="Z7" s="140"/>
      <c r="AA7" s="140" t="s">
        <v>386</v>
      </c>
      <c r="AB7" s="140" t="s">
        <v>387</v>
      </c>
      <c r="AC7" s="140"/>
      <c r="AD7" s="140" t="s">
        <v>388</v>
      </c>
      <c r="AE7" s="140" t="s">
        <v>389</v>
      </c>
      <c r="AF7" s="140"/>
      <c r="AG7" s="140"/>
      <c r="AH7" s="140"/>
      <c r="AI7" s="140"/>
      <c r="AJ7" s="140"/>
      <c r="AK7" s="140"/>
      <c r="AL7" s="140"/>
      <c r="AM7" s="140"/>
      <c r="AN7" s="140"/>
      <c r="AO7" s="140"/>
      <c r="AP7" s="140"/>
      <c r="AQ7" s="140"/>
      <c r="AR7" s="140"/>
      <c r="AS7" s="140"/>
      <c r="AU7" s="144"/>
      <c r="AV7" s="145"/>
      <c r="AW7" s="151"/>
      <c r="AX7" s="150"/>
      <c r="AY7" s="152"/>
      <c r="AZ7" s="151"/>
      <c r="BA7" s="150"/>
      <c r="BB7" s="152"/>
      <c r="BC7" s="151"/>
      <c r="BD7" s="153"/>
      <c r="BE7" s="152"/>
      <c r="BF7" s="154"/>
      <c r="BG7" s="150"/>
      <c r="BH7" s="152"/>
      <c r="BI7" s="154"/>
      <c r="BJ7" s="150"/>
    </row>
    <row r="8" spans="1:80" s="143" customFormat="1" ht="18.75" thickBot="1" x14ac:dyDescent="0.3">
      <c r="A8" s="305">
        <v>1</v>
      </c>
      <c r="B8" s="400" t="s">
        <v>390</v>
      </c>
      <c r="C8" s="402" t="s">
        <v>391</v>
      </c>
      <c r="D8" s="402"/>
      <c r="E8" s="390"/>
      <c r="F8" s="404" t="str">
        <f>C8&amp;"-"&amp;D8&amp;"- Table"&amp;E8</f>
        <v>4 Julio-- Table</v>
      </c>
      <c r="G8" s="390">
        <v>4002</v>
      </c>
      <c r="H8" s="390">
        <v>4702</v>
      </c>
      <c r="I8" s="390" t="s">
        <v>11</v>
      </c>
      <c r="J8" s="390" t="s">
        <v>12</v>
      </c>
      <c r="K8" s="390" t="s">
        <v>63</v>
      </c>
      <c r="L8" s="390" t="s">
        <v>14</v>
      </c>
      <c r="M8" s="398">
        <v>11</v>
      </c>
      <c r="N8" s="390">
        <v>6</v>
      </c>
      <c r="O8" s="390">
        <v>11</v>
      </c>
      <c r="P8" s="390">
        <v>8</v>
      </c>
      <c r="Q8" s="390"/>
      <c r="R8" s="390"/>
      <c r="S8" s="390"/>
      <c r="T8" s="390"/>
      <c r="U8" s="390"/>
      <c r="V8" s="390"/>
      <c r="W8" s="390"/>
      <c r="X8" s="390"/>
      <c r="Y8" s="390"/>
      <c r="Z8" s="392"/>
      <c r="AA8" s="318">
        <f>IF(M8+N8&lt;&gt;0,SUM(AF8:AL8),"")</f>
        <v>2</v>
      </c>
      <c r="AB8" s="318">
        <f>IF(M8+N8&lt;&gt;0,SUM(AF9:AL9),"")</f>
        <v>0</v>
      </c>
      <c r="AC8" s="318" t="str">
        <f>IF(AA8&gt;AB8,AD8&amp;"  "&amp;AE8,IF(AB8&gt;AA8,AD8&amp;"  "&amp;AE9,""))</f>
        <v>2 - 0  (6, 8)</v>
      </c>
      <c r="AD8" s="140" t="str">
        <f>IF(AA8&gt;AB8,AA8&amp;" - "&amp;AB8,IF(AB8&gt;AA8,AB8&amp;" - "&amp;AA8,""))</f>
        <v>2 - 0</v>
      </c>
      <c r="AE8" s="140" t="str">
        <f t="shared" ref="AE8:AE71" si="0">CONCATENATE("(",AM8,AN8,AO8,AP8,AQ8,AR8,AS8,")")</f>
        <v>(6, 8)</v>
      </c>
      <c r="AF8" s="140">
        <f>IF(M8&gt;N8,1,0)</f>
        <v>1</v>
      </c>
      <c r="AG8" s="140">
        <f>IF(O8&gt;P8,1,0)</f>
        <v>1</v>
      </c>
      <c r="AH8" s="140">
        <f>IF(Q8&gt;R8,1,0)</f>
        <v>0</v>
      </c>
      <c r="AI8" s="140">
        <f>IF(S8&gt;T8,1,0)</f>
        <v>0</v>
      </c>
      <c r="AJ8" s="140">
        <f>IF(U8&gt;V8,1,0)</f>
        <v>0</v>
      </c>
      <c r="AK8" s="140">
        <f>IF(W8&gt;X8,1,0)</f>
        <v>0</v>
      </c>
      <c r="AL8" s="140">
        <f>IF(Y8&gt;Z8,1,0)</f>
        <v>0</v>
      </c>
      <c r="AM8" s="140">
        <f>IF(M8&gt;N8,N8,IF(N8&gt;M8,-M8,""))</f>
        <v>6</v>
      </c>
      <c r="AN8" s="140" t="str">
        <f>IF(O8&gt;P8,", "&amp;P8,IF(P8&gt;O8,", "&amp;-O8,""))</f>
        <v>, 8</v>
      </c>
      <c r="AO8" s="140" t="str">
        <f>IF(Q8&gt;R8,", "&amp;R8,IF(R8&gt;Q8,", "&amp;-Q8,""))</f>
        <v/>
      </c>
      <c r="AP8" s="140" t="str">
        <f>IF(S8&gt;T8,", "&amp;T8,IF(T8&gt;S8,", "&amp;-S8,""))</f>
        <v/>
      </c>
      <c r="AQ8" s="140" t="str">
        <f>IF(U8&gt;V8,", "&amp;V8,IF(V8&gt;U8,", "&amp;-U8,""))</f>
        <v/>
      </c>
      <c r="AR8" s="140" t="str">
        <f>IF(W8&gt;X8,", "&amp;X8,IF(X8&gt;W8,", "&amp;-W8,""))</f>
        <v/>
      </c>
      <c r="AS8" s="140" t="str">
        <f>IF(Y8&gt;Z8,", "&amp;Z8,IF(Z8&gt;Y8,", "&amp;-Y8,""))</f>
        <v/>
      </c>
      <c r="AU8" s="155">
        <v>1</v>
      </c>
      <c r="AV8" s="156">
        <f>VLOOKUP(AV9,$A$8:$L$87,7,FALSE)</f>
        <v>4002</v>
      </c>
      <c r="AW8" s="157" t="s">
        <v>11</v>
      </c>
      <c r="AX8" s="158" t="s">
        <v>12</v>
      </c>
      <c r="AY8" s="159"/>
      <c r="AZ8" s="160" t="str">
        <f>VLOOKUP(AV9,$A$8:$AD$87,29,FALSE)</f>
        <v>2 - 0  (6, 8)</v>
      </c>
      <c r="BA8" s="161"/>
      <c r="BB8" s="152"/>
      <c r="BC8" s="151"/>
      <c r="BD8" s="153"/>
      <c r="BE8" s="152"/>
      <c r="BF8" s="406" t="s">
        <v>392</v>
      </c>
      <c r="BG8" s="407"/>
      <c r="BH8" s="407"/>
      <c r="BI8" s="407"/>
      <c r="BJ8" s="408"/>
      <c r="BL8" s="162" t="s">
        <v>393</v>
      </c>
      <c r="BM8" s="162" t="s">
        <v>394</v>
      </c>
      <c r="BN8" s="162" t="s">
        <v>395</v>
      </c>
      <c r="BO8" s="162" t="s">
        <v>396</v>
      </c>
      <c r="BP8" s="162" t="s">
        <v>397</v>
      </c>
      <c r="BQ8" s="162" t="s">
        <v>398</v>
      </c>
      <c r="BR8" s="162" t="s">
        <v>399</v>
      </c>
      <c r="BS8" s="162" t="s">
        <v>400</v>
      </c>
      <c r="BT8" s="162" t="s">
        <v>401</v>
      </c>
      <c r="BU8" s="162" t="s">
        <v>402</v>
      </c>
      <c r="BV8" s="162" t="s">
        <v>403</v>
      </c>
      <c r="BW8" s="162" t="s">
        <v>404</v>
      </c>
      <c r="BX8" s="163"/>
      <c r="BY8" s="164" t="s">
        <v>405</v>
      </c>
      <c r="BZ8" s="165" t="s">
        <v>406</v>
      </c>
      <c r="CA8" s="166" t="s">
        <v>407</v>
      </c>
      <c r="CB8" s="167" t="s">
        <v>408</v>
      </c>
    </row>
    <row r="9" spans="1:80" s="143" customFormat="1" ht="12.75" x14ac:dyDescent="0.25">
      <c r="A9" s="305"/>
      <c r="B9" s="401"/>
      <c r="C9" s="403"/>
      <c r="D9" s="403"/>
      <c r="E9" s="391"/>
      <c r="F9" s="405"/>
      <c r="G9" s="391"/>
      <c r="H9" s="391"/>
      <c r="I9" s="391">
        <v>0</v>
      </c>
      <c r="J9" s="391">
        <v>0</v>
      </c>
      <c r="K9" s="391">
        <v>0</v>
      </c>
      <c r="L9" s="391">
        <v>0</v>
      </c>
      <c r="M9" s="399"/>
      <c r="N9" s="391"/>
      <c r="O9" s="391"/>
      <c r="P9" s="391"/>
      <c r="Q9" s="391"/>
      <c r="R9" s="391"/>
      <c r="S9" s="391"/>
      <c r="T9" s="391"/>
      <c r="U9" s="391"/>
      <c r="V9" s="391"/>
      <c r="W9" s="391"/>
      <c r="X9" s="391"/>
      <c r="Y9" s="391"/>
      <c r="Z9" s="393"/>
      <c r="AA9" s="318"/>
      <c r="AB9" s="318"/>
      <c r="AC9" s="318"/>
      <c r="AD9" s="140" t="str">
        <f>IF(AA8&gt;AB8,AD8&amp;"  "&amp;AE8,IF(AB8&gt;AA8,AD8&amp;"  "&amp;AE9,""))</f>
        <v>2 - 0  (6, 8)</v>
      </c>
      <c r="AE9" s="140" t="str">
        <f t="shared" si="0"/>
        <v>(-6, -8)</v>
      </c>
      <c r="AF9" s="140">
        <f>IF(N8&gt;M8,1,0)</f>
        <v>0</v>
      </c>
      <c r="AG9" s="140">
        <f>IF(P8&gt;O8,1,0)</f>
        <v>0</v>
      </c>
      <c r="AH9" s="140">
        <f>IF(R8&gt;Q8,1,0)</f>
        <v>0</v>
      </c>
      <c r="AI9" s="140">
        <f>IF(T8&gt;S8,1,0)</f>
        <v>0</v>
      </c>
      <c r="AJ9" s="140">
        <f>IF(V8&gt;U8,1,0)</f>
        <v>0</v>
      </c>
      <c r="AK9" s="140">
        <f>IF(X8&gt;W8,1,0)</f>
        <v>0</v>
      </c>
      <c r="AL9" s="140">
        <f>IF(Z8&gt;Y8,1,0)</f>
        <v>0</v>
      </c>
      <c r="AM9" s="140">
        <f>IF(N8&gt;M8,M8,IF(M8&gt;N8,-N8,""))</f>
        <v>-6</v>
      </c>
      <c r="AN9" s="140" t="str">
        <f>IF(P8&gt;O8,", "&amp;O8,IF(O8&gt;P8,", "&amp;-P8,""))</f>
        <v>, -8</v>
      </c>
      <c r="AO9" s="140" t="str">
        <f>IF(R8&gt;Q8,", "&amp;Q8,IF(Q8&gt;R8,", "&amp;-R8,""))</f>
        <v/>
      </c>
      <c r="AP9" s="140" t="str">
        <f>IF(T8&gt;S8,", "&amp;S8,IF(S8&gt;T8,", "&amp;-T8,""))</f>
        <v/>
      </c>
      <c r="AQ9" s="140" t="str">
        <f>IF(V8&gt;U8,", "&amp;U8,IF(U8&gt;V8,", "&amp;-V8,""))</f>
        <v/>
      </c>
      <c r="AR9" s="140" t="str">
        <f>IF(X8&gt;W8,", "&amp;W8,IF(W8&gt;X8,", "&amp;-X8,""))</f>
        <v/>
      </c>
      <c r="AS9" s="140" t="str">
        <f>IF(Z8&gt;Y8,", "&amp;Y8,IF(Y8&gt;Z8,", "&amp;-Z8,""))</f>
        <v/>
      </c>
      <c r="AU9" s="144"/>
      <c r="AV9" s="168">
        <v>1</v>
      </c>
      <c r="AW9" s="169" t="str">
        <f>VLOOKUP(AV9,$A$8:$L$87,6,FALSE)</f>
        <v>4 Julio-- Table</v>
      </c>
      <c r="AX9" s="170"/>
      <c r="AY9" s="171">
        <f>VLOOKUP(AY11,$A$8:$L$91,7,FALSE)</f>
        <v>4002</v>
      </c>
      <c r="AZ9" s="157" t="s">
        <v>11</v>
      </c>
      <c r="BA9" s="158" t="s">
        <v>12</v>
      </c>
      <c r="BB9" s="152"/>
      <c r="BC9" s="151"/>
      <c r="BD9" s="153"/>
      <c r="BE9" s="152"/>
      <c r="BF9" s="154"/>
      <c r="BG9" s="150"/>
      <c r="BH9" s="152"/>
      <c r="BI9" s="154"/>
      <c r="BJ9" s="150"/>
      <c r="BL9" s="172">
        <v>1</v>
      </c>
      <c r="BM9" s="173" t="str">
        <f>C8</f>
        <v>4 Julio</v>
      </c>
      <c r="BN9" s="173">
        <f>D8</f>
        <v>0</v>
      </c>
      <c r="BO9" s="174">
        <f>E8</f>
        <v>0</v>
      </c>
      <c r="BP9" s="175" t="s">
        <v>409</v>
      </c>
      <c r="BQ9" s="172"/>
      <c r="BR9" s="172">
        <v>1</v>
      </c>
      <c r="BS9" s="176" t="e">
        <v>#REF!</v>
      </c>
      <c r="BT9" s="177"/>
      <c r="BU9" s="176" t="e">
        <v>#REF!</v>
      </c>
      <c r="BV9" s="177"/>
      <c r="BW9" s="172"/>
      <c r="BX9" s="163"/>
      <c r="BY9" s="178">
        <f>G8</f>
        <v>4002</v>
      </c>
      <c r="BZ9" s="179">
        <f>H8</f>
        <v>4702</v>
      </c>
      <c r="CA9" s="166" t="s">
        <v>410</v>
      </c>
      <c r="CB9" s="167" t="s">
        <v>411</v>
      </c>
    </row>
    <row r="10" spans="1:80" s="143" customFormat="1" ht="12.75" x14ac:dyDescent="0.25">
      <c r="A10" s="305">
        <v>2</v>
      </c>
      <c r="B10" s="394" t="s">
        <v>390</v>
      </c>
      <c r="C10" s="396" t="s">
        <v>391</v>
      </c>
      <c r="D10" s="396"/>
      <c r="E10" s="382"/>
      <c r="F10" s="388" t="str">
        <f t="shared" ref="F10" si="1">C10&amp;"-"&amp;D10&amp;"- Table"&amp;E10</f>
        <v>4 Julio-- Table</v>
      </c>
      <c r="G10" s="382">
        <v>4227</v>
      </c>
      <c r="H10" s="382">
        <v>4025</v>
      </c>
      <c r="I10" s="382" t="s">
        <v>39</v>
      </c>
      <c r="J10" s="382" t="s">
        <v>40</v>
      </c>
      <c r="K10" s="382" t="s">
        <v>18</v>
      </c>
      <c r="L10" s="382" t="s">
        <v>14</v>
      </c>
      <c r="M10" s="386">
        <v>7</v>
      </c>
      <c r="N10" s="382">
        <v>11</v>
      </c>
      <c r="O10" s="382">
        <v>4</v>
      </c>
      <c r="P10" s="382">
        <v>11</v>
      </c>
      <c r="Q10" s="382"/>
      <c r="R10" s="382"/>
      <c r="S10" s="382"/>
      <c r="T10" s="382"/>
      <c r="U10" s="382"/>
      <c r="V10" s="382"/>
      <c r="W10" s="382"/>
      <c r="X10" s="382"/>
      <c r="Y10" s="382"/>
      <c r="Z10" s="384"/>
      <c r="AA10" s="318">
        <f t="shared" ref="AA10" si="2">IF(M10+N10&lt;&gt;0,SUM(AF10:AL10),"")</f>
        <v>0</v>
      </c>
      <c r="AB10" s="318">
        <f t="shared" ref="AB10" si="3">IF(M10+N10&lt;&gt;0,SUM(AF11:AL11),"")</f>
        <v>2</v>
      </c>
      <c r="AC10" s="318" t="str">
        <f t="shared" ref="AC10" si="4">IF(AA10&gt;AB10,AD10&amp;"  "&amp;AE10,IF(AB10&gt;AA10,AD10&amp;"  "&amp;AE11,""))</f>
        <v>2 - 0  (7, 4)</v>
      </c>
      <c r="AD10" s="140" t="str">
        <f t="shared" ref="AD10" si="5">IF(AA10&gt;AB10,AA10&amp;" - "&amp;AB10,IF(AB10&gt;AA10,AB10&amp;" - "&amp;AA10,""))</f>
        <v>2 - 0</v>
      </c>
      <c r="AE10" s="140" t="str">
        <f t="shared" si="0"/>
        <v>(-7, -4)</v>
      </c>
      <c r="AF10" s="140">
        <f t="shared" ref="AF10" si="6">IF(M10&gt;N10,1,0)</f>
        <v>0</v>
      </c>
      <c r="AG10" s="140">
        <f t="shared" ref="AG10" si="7">IF(O10&gt;P10,1,0)</f>
        <v>0</v>
      </c>
      <c r="AH10" s="140">
        <f t="shared" ref="AH10" si="8">IF(Q10&gt;R10,1,0)</f>
        <v>0</v>
      </c>
      <c r="AI10" s="140">
        <f t="shared" ref="AI10" si="9">IF(S10&gt;T10,1,0)</f>
        <v>0</v>
      </c>
      <c r="AJ10" s="140">
        <f t="shared" ref="AJ10" si="10">IF(U10&gt;V10,1,0)</f>
        <v>0</v>
      </c>
      <c r="AK10" s="140">
        <f t="shared" ref="AK10" si="11">IF(W10&gt;X10,1,0)</f>
        <v>0</v>
      </c>
      <c r="AL10" s="140">
        <f t="shared" ref="AL10" si="12">IF(Y10&gt;Z10,1,0)</f>
        <v>0</v>
      </c>
      <c r="AM10" s="140">
        <f t="shared" ref="AM10" si="13">IF(M10&gt;N10,N10,IF(N10&gt;M10,-M10,""))</f>
        <v>-7</v>
      </c>
      <c r="AN10" s="140" t="str">
        <f t="shared" ref="AN10" si="14">IF(O10&gt;P10,", "&amp;P10,IF(P10&gt;O10,", "&amp;-O10,""))</f>
        <v>, -4</v>
      </c>
      <c r="AO10" s="140" t="str">
        <f t="shared" ref="AO10" si="15">IF(Q10&gt;R10,", "&amp;R10,IF(R10&gt;Q10,", "&amp;-Q10,""))</f>
        <v/>
      </c>
      <c r="AP10" s="140" t="str">
        <f t="shared" ref="AP10" si="16">IF(S10&gt;T10,", "&amp;T10,IF(T10&gt;S10,", "&amp;-S10,""))</f>
        <v/>
      </c>
      <c r="AQ10" s="140" t="str">
        <f t="shared" ref="AQ10" si="17">IF(U10&gt;V10,", "&amp;V10,IF(V10&gt;U10,", "&amp;-U10,""))</f>
        <v/>
      </c>
      <c r="AR10" s="140" t="str">
        <f t="shared" ref="AR10" si="18">IF(W10&gt;X10,", "&amp;X10,IF(X10&gt;W10,", "&amp;-W10,""))</f>
        <v/>
      </c>
      <c r="AS10" s="140" t="str">
        <f t="shared" ref="AS10" si="19">IF(Y10&gt;Z10,", "&amp;Z10,IF(Z10&gt;Y10,", "&amp;-Y10,""))</f>
        <v/>
      </c>
      <c r="AU10" s="155">
        <f>1+AU8</f>
        <v>2</v>
      </c>
      <c r="AV10" s="180">
        <f>VLOOKUP(AV9,$A$8:$L$87,8,FALSE)</f>
        <v>4702</v>
      </c>
      <c r="AW10" s="181" t="s">
        <v>63</v>
      </c>
      <c r="AX10" s="182" t="s">
        <v>14</v>
      </c>
      <c r="AY10" s="152"/>
      <c r="AZ10" s="151"/>
      <c r="BA10" s="170"/>
      <c r="BB10" s="159"/>
      <c r="BC10" s="160" t="str">
        <f>VLOOKUP(AY11,$A$8:$AD$87,29,FALSE)</f>
        <v>2 - 0  (2, 13)</v>
      </c>
      <c r="BD10" s="160"/>
      <c r="BE10" s="152"/>
      <c r="BF10" s="154"/>
      <c r="BG10" s="150"/>
      <c r="BH10" s="152"/>
      <c r="BI10" s="154"/>
      <c r="BJ10" s="150"/>
      <c r="BL10" s="172">
        <f>1+BL9</f>
        <v>2</v>
      </c>
      <c r="BM10" s="173" t="str">
        <f>C10</f>
        <v>4 Julio</v>
      </c>
      <c r="BN10" s="173">
        <f>D10</f>
        <v>0</v>
      </c>
      <c r="BO10" s="174">
        <f>E10</f>
        <v>0</v>
      </c>
      <c r="BP10" s="175" t="s">
        <v>409</v>
      </c>
      <c r="BQ10" s="172"/>
      <c r="BR10" s="172">
        <v>2</v>
      </c>
      <c r="BS10" s="176" t="e">
        <v>#REF!</v>
      </c>
      <c r="BT10" s="177"/>
      <c r="BU10" s="176" t="e">
        <v>#REF!</v>
      </c>
      <c r="BV10" s="177"/>
      <c r="BW10" s="172"/>
      <c r="BX10" s="163"/>
      <c r="BY10" s="178">
        <f>G10</f>
        <v>4227</v>
      </c>
      <c r="BZ10" s="179">
        <f>H10</f>
        <v>4025</v>
      </c>
      <c r="CA10" s="166" t="s">
        <v>410</v>
      </c>
      <c r="CB10" s="167" t="s">
        <v>412</v>
      </c>
    </row>
    <row r="11" spans="1:80" s="143" customFormat="1" ht="12.75" x14ac:dyDescent="0.25">
      <c r="A11" s="305"/>
      <c r="B11" s="395"/>
      <c r="C11" s="397"/>
      <c r="D11" s="397"/>
      <c r="E11" s="383"/>
      <c r="F11" s="389"/>
      <c r="G11" s="383"/>
      <c r="H11" s="383"/>
      <c r="I11" s="383">
        <v>0</v>
      </c>
      <c r="J11" s="383">
        <v>0</v>
      </c>
      <c r="K11" s="383">
        <v>0</v>
      </c>
      <c r="L11" s="383">
        <v>0</v>
      </c>
      <c r="M11" s="387"/>
      <c r="N11" s="383"/>
      <c r="O11" s="383"/>
      <c r="P11" s="383"/>
      <c r="Q11" s="383"/>
      <c r="R11" s="383"/>
      <c r="S11" s="383"/>
      <c r="T11" s="383"/>
      <c r="U11" s="383"/>
      <c r="V11" s="383"/>
      <c r="W11" s="383"/>
      <c r="X11" s="383"/>
      <c r="Y11" s="383"/>
      <c r="Z11" s="385"/>
      <c r="AA11" s="318"/>
      <c r="AB11" s="318"/>
      <c r="AC11" s="318"/>
      <c r="AD11" s="140" t="str">
        <f t="shared" ref="AD11" si="20">IF(AA10&gt;AB10,AD10&amp;"  "&amp;AE10,IF(AB10&gt;AA10,AD10&amp;"  "&amp;AE11,""))</f>
        <v>2 - 0  (7, 4)</v>
      </c>
      <c r="AE11" s="140" t="str">
        <f t="shared" si="0"/>
        <v>(7, 4)</v>
      </c>
      <c r="AF11" s="140">
        <f t="shared" ref="AF11" si="21">IF(N10&gt;M10,1,0)</f>
        <v>1</v>
      </c>
      <c r="AG11" s="140">
        <f t="shared" ref="AG11" si="22">IF(P10&gt;O10,1,0)</f>
        <v>1</v>
      </c>
      <c r="AH11" s="140">
        <f t="shared" ref="AH11" si="23">IF(R10&gt;Q10,1,0)</f>
        <v>0</v>
      </c>
      <c r="AI11" s="140">
        <f t="shared" ref="AI11" si="24">IF(T10&gt;S10,1,0)</f>
        <v>0</v>
      </c>
      <c r="AJ11" s="140">
        <f t="shared" ref="AJ11" si="25">IF(V10&gt;U10,1,0)</f>
        <v>0</v>
      </c>
      <c r="AK11" s="140">
        <f t="shared" ref="AK11" si="26">IF(X10&gt;W10,1,0)</f>
        <v>0</v>
      </c>
      <c r="AL11" s="140">
        <f t="shared" ref="AL11" si="27">IF(Z10&gt;Y10,1,0)</f>
        <v>0</v>
      </c>
      <c r="AM11" s="140">
        <f t="shared" ref="AM11" si="28">IF(N10&gt;M10,M10,IF(M10&gt;N10,-N10,""))</f>
        <v>7</v>
      </c>
      <c r="AN11" s="140" t="str">
        <f t="shared" ref="AN11" si="29">IF(P10&gt;O10,", "&amp;O10,IF(O10&gt;P10,", "&amp;-P10,""))</f>
        <v>, 4</v>
      </c>
      <c r="AO11" s="140" t="str">
        <f t="shared" ref="AO11" si="30">IF(R10&gt;Q10,", "&amp;Q10,IF(Q10&gt;R10,", "&amp;-R10,""))</f>
        <v/>
      </c>
      <c r="AP11" s="140" t="str">
        <f t="shared" ref="AP11" si="31">IF(T10&gt;S10,", "&amp;S10,IF(S10&gt;T10,", "&amp;-T10,""))</f>
        <v/>
      </c>
      <c r="AQ11" s="140" t="str">
        <f t="shared" ref="AQ11" si="32">IF(V10&gt;U10,", "&amp;U10,IF(U10&gt;V10,", "&amp;-V10,""))</f>
        <v/>
      </c>
      <c r="AR11" s="140" t="str">
        <f t="shared" ref="AR11" si="33">IF(X10&gt;W10,", "&amp;W10,IF(W10&gt;X10,", "&amp;-X10,""))</f>
        <v/>
      </c>
      <c r="AS11" s="140" t="str">
        <f t="shared" ref="AS11" si="34">IF(Z10&gt;Y10,", "&amp;Y10,IF(Y10&gt;Z10,", "&amp;-Z10,""))</f>
        <v/>
      </c>
      <c r="AU11" s="155"/>
      <c r="AV11" s="145"/>
      <c r="AW11" s="151"/>
      <c r="AX11" s="150"/>
      <c r="AY11" s="168">
        <v>17</v>
      </c>
      <c r="AZ11" s="169" t="str">
        <f>VLOOKUP(AY11,$A$8:$L$87,6,FALSE)</f>
        <v>4 Julio-- Table</v>
      </c>
      <c r="BA11" s="183"/>
      <c r="BB11" s="171">
        <f>VLOOKUP(BB15,$A$8:$L$91,7,FALSE)</f>
        <v>4025</v>
      </c>
      <c r="BC11" s="157" t="s">
        <v>18</v>
      </c>
      <c r="BD11" s="184" t="s">
        <v>14</v>
      </c>
      <c r="BE11" s="152"/>
      <c r="BF11" s="154"/>
      <c r="BG11" s="150"/>
      <c r="BH11" s="152"/>
      <c r="BI11" s="154"/>
      <c r="BJ11" s="150"/>
      <c r="BL11" s="172">
        <f t="shared" ref="BL11:BL40" si="35">1+BL10</f>
        <v>3</v>
      </c>
      <c r="BM11" s="173" t="str">
        <f>C12</f>
        <v>4 Julio</v>
      </c>
      <c r="BN11" s="173">
        <f>D12</f>
        <v>0</v>
      </c>
      <c r="BO11" s="174">
        <f>E12</f>
        <v>0</v>
      </c>
      <c r="BP11" s="175" t="s">
        <v>409</v>
      </c>
      <c r="BQ11" s="172"/>
      <c r="BR11" s="172">
        <v>3</v>
      </c>
      <c r="BS11" s="176" t="e">
        <v>#REF!</v>
      </c>
      <c r="BT11" s="177"/>
      <c r="BU11" s="176" t="e">
        <v>#REF!</v>
      </c>
      <c r="BV11" s="177"/>
      <c r="BW11" s="172"/>
      <c r="BX11" s="163"/>
      <c r="BY11" s="178">
        <f>G12</f>
        <v>4287</v>
      </c>
      <c r="BZ11" s="179">
        <f>H12</f>
        <v>4511</v>
      </c>
      <c r="CA11" s="166" t="s">
        <v>410</v>
      </c>
      <c r="CB11" s="167" t="s">
        <v>413</v>
      </c>
    </row>
    <row r="12" spans="1:80" s="143" customFormat="1" ht="12.75" x14ac:dyDescent="0.25">
      <c r="A12" s="305">
        <v>3</v>
      </c>
      <c r="B12" s="400" t="s">
        <v>414</v>
      </c>
      <c r="C12" s="402" t="s">
        <v>391</v>
      </c>
      <c r="D12" s="402"/>
      <c r="E12" s="390"/>
      <c r="F12" s="404" t="str">
        <f t="shared" ref="F12" si="36">C12&amp;"-"&amp;D12&amp;"- Table"&amp;E12</f>
        <v>4 Julio-- Table</v>
      </c>
      <c r="G12" s="390">
        <v>4287</v>
      </c>
      <c r="H12" s="390">
        <v>4511</v>
      </c>
      <c r="I12" s="390" t="s">
        <v>27</v>
      </c>
      <c r="J12" s="390" t="s">
        <v>6</v>
      </c>
      <c r="K12" s="390" t="s">
        <v>22</v>
      </c>
      <c r="L12" s="390" t="s">
        <v>12</v>
      </c>
      <c r="M12" s="398">
        <v>7</v>
      </c>
      <c r="N12" s="390">
        <v>11</v>
      </c>
      <c r="O12" s="390">
        <v>7</v>
      </c>
      <c r="P12" s="390">
        <v>11</v>
      </c>
      <c r="Q12" s="390"/>
      <c r="R12" s="390"/>
      <c r="S12" s="390"/>
      <c r="T12" s="390"/>
      <c r="U12" s="390"/>
      <c r="V12" s="390"/>
      <c r="W12" s="390"/>
      <c r="X12" s="390"/>
      <c r="Y12" s="390"/>
      <c r="Z12" s="392"/>
      <c r="AA12" s="318">
        <f t="shared" ref="AA12" si="37">IF(M12+N12&lt;&gt;0,SUM(AF12:AL12),"")</f>
        <v>0</v>
      </c>
      <c r="AB12" s="318">
        <f t="shared" ref="AB12" si="38">IF(M12+N12&lt;&gt;0,SUM(AF13:AL13),"")</f>
        <v>2</v>
      </c>
      <c r="AC12" s="318" t="str">
        <f t="shared" ref="AC12" si="39">IF(AA12&gt;AB12,AD12&amp;"  "&amp;AE12,IF(AB12&gt;AA12,AD12&amp;"  "&amp;AE13,""))</f>
        <v>2 - 0  (7, 7)</v>
      </c>
      <c r="AD12" s="140" t="str">
        <f t="shared" ref="AD12" si="40">IF(AA12&gt;AB12,AA12&amp;" - "&amp;AB12,IF(AB12&gt;AA12,AB12&amp;" - "&amp;AA12,""))</f>
        <v>2 - 0</v>
      </c>
      <c r="AE12" s="140" t="str">
        <f t="shared" si="0"/>
        <v>(-7, -7)</v>
      </c>
      <c r="AF12" s="140">
        <f t="shared" ref="AF12" si="41">IF(M12&gt;N12,1,0)</f>
        <v>0</v>
      </c>
      <c r="AG12" s="140">
        <f t="shared" ref="AG12" si="42">IF(O12&gt;P12,1,0)</f>
        <v>0</v>
      </c>
      <c r="AH12" s="140">
        <f t="shared" ref="AH12" si="43">IF(Q12&gt;R12,1,0)</f>
        <v>0</v>
      </c>
      <c r="AI12" s="140">
        <f t="shared" ref="AI12" si="44">IF(S12&gt;T12,1,0)</f>
        <v>0</v>
      </c>
      <c r="AJ12" s="140">
        <f t="shared" ref="AJ12" si="45">IF(U12&gt;V12,1,0)</f>
        <v>0</v>
      </c>
      <c r="AK12" s="140">
        <f t="shared" ref="AK12" si="46">IF(W12&gt;X12,1,0)</f>
        <v>0</v>
      </c>
      <c r="AL12" s="140">
        <f t="shared" ref="AL12" si="47">IF(Y12&gt;Z12,1,0)</f>
        <v>0</v>
      </c>
      <c r="AM12" s="140">
        <f t="shared" ref="AM12" si="48">IF(M12&gt;N12,N12,IF(N12&gt;M12,-M12,""))</f>
        <v>-7</v>
      </c>
      <c r="AN12" s="140" t="str">
        <f t="shared" ref="AN12" si="49">IF(O12&gt;P12,", "&amp;P12,IF(P12&gt;O12,", "&amp;-O12,""))</f>
        <v>, -7</v>
      </c>
      <c r="AO12" s="140" t="str">
        <f t="shared" ref="AO12" si="50">IF(Q12&gt;R12,", "&amp;R12,IF(R12&gt;Q12,", "&amp;-Q12,""))</f>
        <v/>
      </c>
      <c r="AP12" s="140" t="str">
        <f t="shared" ref="AP12" si="51">IF(S12&gt;T12,", "&amp;T12,IF(T12&gt;S12,", "&amp;-S12,""))</f>
        <v/>
      </c>
      <c r="AQ12" s="140" t="str">
        <f t="shared" ref="AQ12" si="52">IF(U12&gt;V12,", "&amp;V12,IF(V12&gt;U12,", "&amp;-U12,""))</f>
        <v/>
      </c>
      <c r="AR12" s="140" t="str">
        <f t="shared" ref="AR12" si="53">IF(W12&gt;X12,", "&amp;X12,IF(X12&gt;W12,", "&amp;-W12,""))</f>
        <v/>
      </c>
      <c r="AS12" s="140" t="str">
        <f t="shared" ref="AS12" si="54">IF(Y12&gt;Z12,", "&amp;Z12,IF(Z12&gt;Y12,", "&amp;-Y12,""))</f>
        <v/>
      </c>
      <c r="AU12" s="155">
        <f>1+AU10</f>
        <v>3</v>
      </c>
      <c r="AV12" s="156">
        <f>VLOOKUP(AV13,$A$8:$L$87,7,FALSE)</f>
        <v>4227</v>
      </c>
      <c r="AW12" s="157" t="s">
        <v>39</v>
      </c>
      <c r="AX12" s="158" t="s">
        <v>40</v>
      </c>
      <c r="AY12" s="185"/>
      <c r="AZ12" s="151"/>
      <c r="BA12" s="170"/>
      <c r="BB12" s="152"/>
      <c r="BC12" s="151"/>
      <c r="BD12" s="186"/>
      <c r="BE12" s="152"/>
      <c r="BF12" s="154"/>
      <c r="BG12" s="150"/>
      <c r="BH12" s="152"/>
      <c r="BI12" s="154"/>
      <c r="BJ12" s="150"/>
      <c r="BL12" s="172">
        <f t="shared" si="35"/>
        <v>4</v>
      </c>
      <c r="BM12" s="173" t="str">
        <f>C14</f>
        <v>4 Julio</v>
      </c>
      <c r="BN12" s="173">
        <f>D14</f>
        <v>0</v>
      </c>
      <c r="BO12" s="174">
        <f>E14</f>
        <v>0</v>
      </c>
      <c r="BP12" s="175" t="s">
        <v>409</v>
      </c>
      <c r="BQ12" s="172"/>
      <c r="BR12" s="172">
        <v>4</v>
      </c>
      <c r="BS12" s="176" t="e">
        <v>#REF!</v>
      </c>
      <c r="BT12" s="177"/>
      <c r="BU12" s="176" t="e">
        <v>#REF!</v>
      </c>
      <c r="BV12" s="177"/>
      <c r="BW12" s="172"/>
      <c r="BX12" s="163"/>
      <c r="BY12" s="178">
        <f>G14</f>
        <v>4293</v>
      </c>
      <c r="BZ12" s="179">
        <f>H14</f>
        <v>3671</v>
      </c>
      <c r="CA12" s="166" t="s">
        <v>410</v>
      </c>
      <c r="CB12" s="167" t="s">
        <v>415</v>
      </c>
    </row>
    <row r="13" spans="1:80" s="143" customFormat="1" ht="12.75" x14ac:dyDescent="0.25">
      <c r="A13" s="305"/>
      <c r="B13" s="401"/>
      <c r="C13" s="403"/>
      <c r="D13" s="403"/>
      <c r="E13" s="391"/>
      <c r="F13" s="405"/>
      <c r="G13" s="391"/>
      <c r="H13" s="391"/>
      <c r="I13" s="391">
        <v>0</v>
      </c>
      <c r="J13" s="391">
        <v>0</v>
      </c>
      <c r="K13" s="391">
        <v>0</v>
      </c>
      <c r="L13" s="391">
        <v>0</v>
      </c>
      <c r="M13" s="399"/>
      <c r="N13" s="391"/>
      <c r="O13" s="391"/>
      <c r="P13" s="391"/>
      <c r="Q13" s="391"/>
      <c r="R13" s="391"/>
      <c r="S13" s="391"/>
      <c r="T13" s="391"/>
      <c r="U13" s="391"/>
      <c r="V13" s="391"/>
      <c r="W13" s="391"/>
      <c r="X13" s="391"/>
      <c r="Y13" s="391"/>
      <c r="Z13" s="393"/>
      <c r="AA13" s="318"/>
      <c r="AB13" s="318"/>
      <c r="AC13" s="318"/>
      <c r="AD13" s="140" t="str">
        <f t="shared" ref="AD13" si="55">IF(AA12&gt;AB12,AD12&amp;"  "&amp;AE12,IF(AB12&gt;AA12,AD12&amp;"  "&amp;AE13,""))</f>
        <v>2 - 0  (7, 7)</v>
      </c>
      <c r="AE13" s="140" t="str">
        <f t="shared" si="0"/>
        <v>(7, 7)</v>
      </c>
      <c r="AF13" s="140">
        <f t="shared" ref="AF13" si="56">IF(N12&gt;M12,1,0)</f>
        <v>1</v>
      </c>
      <c r="AG13" s="140">
        <f t="shared" ref="AG13" si="57">IF(P12&gt;O12,1,0)</f>
        <v>1</v>
      </c>
      <c r="AH13" s="140">
        <f t="shared" ref="AH13" si="58">IF(R12&gt;Q12,1,0)</f>
        <v>0</v>
      </c>
      <c r="AI13" s="140">
        <f t="shared" ref="AI13" si="59">IF(T12&gt;S12,1,0)</f>
        <v>0</v>
      </c>
      <c r="AJ13" s="140">
        <f t="shared" ref="AJ13" si="60">IF(V12&gt;U12,1,0)</f>
        <v>0</v>
      </c>
      <c r="AK13" s="140">
        <f t="shared" ref="AK13" si="61">IF(X12&gt;W12,1,0)</f>
        <v>0</v>
      </c>
      <c r="AL13" s="140">
        <f t="shared" ref="AL13" si="62">IF(Z12&gt;Y12,1,0)</f>
        <v>0</v>
      </c>
      <c r="AM13" s="140">
        <f t="shared" ref="AM13" si="63">IF(N12&gt;M12,M12,IF(M12&gt;N12,-N12,""))</f>
        <v>7</v>
      </c>
      <c r="AN13" s="140" t="str">
        <f t="shared" ref="AN13" si="64">IF(P12&gt;O12,", "&amp;O12,IF(O12&gt;P12,", "&amp;-P12,""))</f>
        <v>, 7</v>
      </c>
      <c r="AO13" s="140" t="str">
        <f t="shared" ref="AO13" si="65">IF(R12&gt;Q12,", "&amp;Q12,IF(Q12&gt;R12,", "&amp;-R12,""))</f>
        <v/>
      </c>
      <c r="AP13" s="140" t="str">
        <f t="shared" ref="AP13" si="66">IF(T12&gt;S12,", "&amp;S12,IF(S12&gt;T12,", "&amp;-T12,""))</f>
        <v/>
      </c>
      <c r="AQ13" s="140" t="str">
        <f t="shared" ref="AQ13" si="67">IF(V12&gt;U12,", "&amp;U12,IF(U12&gt;V12,", "&amp;-V12,""))</f>
        <v/>
      </c>
      <c r="AR13" s="140" t="str">
        <f t="shared" ref="AR13" si="68">IF(X12&gt;W12,", "&amp;W12,IF(W12&gt;X12,", "&amp;-X12,""))</f>
        <v/>
      </c>
      <c r="AS13" s="140" t="str">
        <f t="shared" ref="AS13" si="69">IF(Z12&gt;Y12,", "&amp;Y12,IF(Y12&gt;Z12,", "&amp;-Z12,""))</f>
        <v/>
      </c>
      <c r="AU13" s="144"/>
      <c r="AV13" s="168">
        <v>2</v>
      </c>
      <c r="AW13" s="169" t="str">
        <f>VLOOKUP(AV13,$A$8:$L$87,6,FALSE)</f>
        <v>4 Julio-- Table</v>
      </c>
      <c r="AX13" s="170"/>
      <c r="AY13" s="187">
        <f>VLOOKUP(AY11,$A$8:$L$91,8,FALSE)</f>
        <v>4025</v>
      </c>
      <c r="AZ13" s="181" t="s">
        <v>18</v>
      </c>
      <c r="BA13" s="182" t="s">
        <v>14</v>
      </c>
      <c r="BB13" s="152"/>
      <c r="BC13" s="151"/>
      <c r="BD13" s="186"/>
      <c r="BE13" s="152"/>
      <c r="BF13" s="154"/>
      <c r="BG13" s="150"/>
      <c r="BH13" s="152"/>
      <c r="BI13" s="154"/>
      <c r="BJ13" s="150"/>
      <c r="BL13" s="172">
        <f t="shared" si="35"/>
        <v>5</v>
      </c>
      <c r="BM13" s="173" t="str">
        <f>C16</f>
        <v>4 Julio</v>
      </c>
      <c r="BN13" s="173">
        <f>D16</f>
        <v>0</v>
      </c>
      <c r="BO13" s="174">
        <f>E16</f>
        <v>0</v>
      </c>
      <c r="BP13" s="175" t="s">
        <v>409</v>
      </c>
      <c r="BQ13" s="172"/>
      <c r="BR13" s="172">
        <v>5</v>
      </c>
      <c r="BS13" s="176" t="e">
        <v>#REF!</v>
      </c>
      <c r="BT13" s="177"/>
      <c r="BU13" s="176" t="e">
        <v>#REF!</v>
      </c>
      <c r="BV13" s="177"/>
      <c r="BW13" s="172"/>
      <c r="BX13" s="163"/>
      <c r="BY13" s="178">
        <f>G16</f>
        <v>4177</v>
      </c>
      <c r="BZ13" s="179">
        <f>H16</f>
        <v>4514</v>
      </c>
      <c r="CA13" s="166" t="s">
        <v>410</v>
      </c>
      <c r="CB13" s="167" t="s">
        <v>416</v>
      </c>
    </row>
    <row r="14" spans="1:80" s="143" customFormat="1" ht="12.75" x14ac:dyDescent="0.25">
      <c r="A14" s="305">
        <v>4</v>
      </c>
      <c r="B14" s="394" t="s">
        <v>414</v>
      </c>
      <c r="C14" s="396" t="s">
        <v>391</v>
      </c>
      <c r="D14" s="396"/>
      <c r="E14" s="382"/>
      <c r="F14" s="388" t="str">
        <f t="shared" ref="F14" si="70">C14&amp;"-"&amp;D14&amp;"- Table"&amp;E14</f>
        <v>4 Julio-- Table</v>
      </c>
      <c r="G14" s="382">
        <v>4293</v>
      </c>
      <c r="H14" s="382">
        <v>3671</v>
      </c>
      <c r="I14" s="382" t="s">
        <v>48</v>
      </c>
      <c r="J14" s="382" t="s">
        <v>14</v>
      </c>
      <c r="K14" s="382" t="s">
        <v>9</v>
      </c>
      <c r="L14" s="382" t="s">
        <v>10</v>
      </c>
      <c r="M14" s="386">
        <v>10</v>
      </c>
      <c r="N14" s="382">
        <v>12</v>
      </c>
      <c r="O14" s="382">
        <v>5</v>
      </c>
      <c r="P14" s="382">
        <v>11</v>
      </c>
      <c r="Q14" s="382"/>
      <c r="R14" s="382"/>
      <c r="S14" s="382"/>
      <c r="T14" s="382"/>
      <c r="U14" s="382"/>
      <c r="V14" s="382"/>
      <c r="W14" s="382"/>
      <c r="X14" s="382"/>
      <c r="Y14" s="382"/>
      <c r="Z14" s="384"/>
      <c r="AA14" s="318">
        <f t="shared" ref="AA14" si="71">IF(M14+N14&lt;&gt;0,SUM(AF14:AL14),"")</f>
        <v>0</v>
      </c>
      <c r="AB14" s="318">
        <f t="shared" ref="AB14" si="72">IF(M14+N14&lt;&gt;0,SUM(AF15:AL15),"")</f>
        <v>2</v>
      </c>
      <c r="AC14" s="318" t="str">
        <f t="shared" ref="AC14" si="73">IF(AA14&gt;AB14,AD14&amp;"  "&amp;AE14,IF(AB14&gt;AA14,AD14&amp;"  "&amp;AE15,""))</f>
        <v>2 - 0  (10, 5)</v>
      </c>
      <c r="AD14" s="140" t="str">
        <f t="shared" ref="AD14" si="74">IF(AA14&gt;AB14,AA14&amp;" - "&amp;AB14,IF(AB14&gt;AA14,AB14&amp;" - "&amp;AA14,""))</f>
        <v>2 - 0</v>
      </c>
      <c r="AE14" s="140" t="str">
        <f t="shared" si="0"/>
        <v>(-10, -5)</v>
      </c>
      <c r="AF14" s="140">
        <f t="shared" ref="AF14" si="75">IF(M14&gt;N14,1,0)</f>
        <v>0</v>
      </c>
      <c r="AG14" s="140">
        <f t="shared" ref="AG14" si="76">IF(O14&gt;P14,1,0)</f>
        <v>0</v>
      </c>
      <c r="AH14" s="140">
        <f t="shared" ref="AH14" si="77">IF(Q14&gt;R14,1,0)</f>
        <v>0</v>
      </c>
      <c r="AI14" s="140">
        <f t="shared" ref="AI14" si="78">IF(S14&gt;T14,1,0)</f>
        <v>0</v>
      </c>
      <c r="AJ14" s="140">
        <f t="shared" ref="AJ14" si="79">IF(U14&gt;V14,1,0)</f>
        <v>0</v>
      </c>
      <c r="AK14" s="140">
        <f t="shared" ref="AK14" si="80">IF(W14&gt;X14,1,0)</f>
        <v>0</v>
      </c>
      <c r="AL14" s="140">
        <f t="shared" ref="AL14" si="81">IF(Y14&gt;Z14,1,0)</f>
        <v>0</v>
      </c>
      <c r="AM14" s="140">
        <f t="shared" ref="AM14" si="82">IF(M14&gt;N14,N14,IF(N14&gt;M14,-M14,""))</f>
        <v>-10</v>
      </c>
      <c r="AN14" s="140" t="str">
        <f t="shared" ref="AN14" si="83">IF(O14&gt;P14,", "&amp;P14,IF(P14&gt;O14,", "&amp;-O14,""))</f>
        <v>, -5</v>
      </c>
      <c r="AO14" s="140" t="str">
        <f t="shared" ref="AO14" si="84">IF(Q14&gt;R14,", "&amp;R14,IF(R14&gt;Q14,", "&amp;-Q14,""))</f>
        <v/>
      </c>
      <c r="AP14" s="140" t="str">
        <f t="shared" ref="AP14" si="85">IF(S14&gt;T14,", "&amp;T14,IF(T14&gt;S14,", "&amp;-S14,""))</f>
        <v/>
      </c>
      <c r="AQ14" s="140" t="str">
        <f t="shared" ref="AQ14" si="86">IF(U14&gt;V14,", "&amp;V14,IF(V14&gt;U14,", "&amp;-U14,""))</f>
        <v/>
      </c>
      <c r="AR14" s="140" t="str">
        <f t="shared" ref="AR14" si="87">IF(W14&gt;X14,", "&amp;X14,IF(X14&gt;W14,", "&amp;-W14,""))</f>
        <v/>
      </c>
      <c r="AS14" s="140" t="str">
        <f t="shared" ref="AS14" si="88">IF(Y14&gt;Z14,", "&amp;Z14,IF(Z14&gt;Y14,", "&amp;-Y14,""))</f>
        <v/>
      </c>
      <c r="AU14" s="155">
        <f>1+AU12</f>
        <v>4</v>
      </c>
      <c r="AV14" s="180">
        <f>VLOOKUP(AV13,$A$8:$L$87,8,FALSE)</f>
        <v>4025</v>
      </c>
      <c r="AW14" s="181" t="s">
        <v>18</v>
      </c>
      <c r="AX14" s="182" t="s">
        <v>14</v>
      </c>
      <c r="AY14" s="159"/>
      <c r="AZ14" s="160" t="str">
        <f>VLOOKUP(AV13,$A$8:$AD$91,29,FALSE)</f>
        <v>2 - 0  (7, 4)</v>
      </c>
      <c r="BA14" s="161"/>
      <c r="BB14" s="152"/>
      <c r="BC14" s="151"/>
      <c r="BD14" s="186"/>
      <c r="BE14" s="159"/>
      <c r="BF14" s="160" t="str">
        <f>VLOOKUP(BB15,$A$8:$AD$87,29,FALSE)</f>
        <v>2 - 0  (3, 6)</v>
      </c>
      <c r="BG14" s="160"/>
      <c r="BH14" s="152"/>
      <c r="BI14" s="154"/>
      <c r="BJ14" s="150"/>
      <c r="BL14" s="172">
        <f t="shared" si="35"/>
        <v>6</v>
      </c>
      <c r="BM14" s="173" t="str">
        <f>C18</f>
        <v>4 Julio</v>
      </c>
      <c r="BN14" s="173">
        <f>D18</f>
        <v>0</v>
      </c>
      <c r="BO14" s="174">
        <f>E18</f>
        <v>0</v>
      </c>
      <c r="BP14" s="175" t="s">
        <v>409</v>
      </c>
      <c r="BQ14" s="172"/>
      <c r="BR14" s="172">
        <v>6</v>
      </c>
      <c r="BS14" s="176" t="e">
        <v>#REF!</v>
      </c>
      <c r="BT14" s="177"/>
      <c r="BU14" s="176" t="e">
        <v>#REF!</v>
      </c>
      <c r="BV14" s="177"/>
      <c r="BW14" s="172"/>
      <c r="BX14" s="163"/>
      <c r="BY14" s="178">
        <f>G18</f>
        <v>4463</v>
      </c>
      <c r="BZ14" s="179">
        <f>H18</f>
        <v>4128</v>
      </c>
      <c r="CA14" s="166" t="s">
        <v>410</v>
      </c>
      <c r="CB14" s="167" t="s">
        <v>417</v>
      </c>
    </row>
    <row r="15" spans="1:80" s="143" customFormat="1" ht="12.75" x14ac:dyDescent="0.25">
      <c r="A15" s="305"/>
      <c r="B15" s="395"/>
      <c r="C15" s="397"/>
      <c r="D15" s="397"/>
      <c r="E15" s="383"/>
      <c r="F15" s="389"/>
      <c r="G15" s="383"/>
      <c r="H15" s="383"/>
      <c r="I15" s="383">
        <v>0</v>
      </c>
      <c r="J15" s="383">
        <v>0</v>
      </c>
      <c r="K15" s="383">
        <v>0</v>
      </c>
      <c r="L15" s="383">
        <v>0</v>
      </c>
      <c r="M15" s="387"/>
      <c r="N15" s="383"/>
      <c r="O15" s="383"/>
      <c r="P15" s="383"/>
      <c r="Q15" s="383"/>
      <c r="R15" s="383"/>
      <c r="S15" s="383"/>
      <c r="T15" s="383"/>
      <c r="U15" s="383"/>
      <c r="V15" s="383"/>
      <c r="W15" s="383"/>
      <c r="X15" s="383"/>
      <c r="Y15" s="383"/>
      <c r="Z15" s="385"/>
      <c r="AA15" s="318"/>
      <c r="AB15" s="318"/>
      <c r="AC15" s="318"/>
      <c r="AD15" s="140" t="str">
        <f t="shared" ref="AD15" si="89">IF(AA14&gt;AB14,AD14&amp;"  "&amp;AE14,IF(AB14&gt;AA14,AD14&amp;"  "&amp;AE15,""))</f>
        <v>2 - 0  (10, 5)</v>
      </c>
      <c r="AE15" s="140" t="str">
        <f t="shared" si="0"/>
        <v>(10, 5)</v>
      </c>
      <c r="AF15" s="140">
        <f t="shared" ref="AF15" si="90">IF(N14&gt;M14,1,0)</f>
        <v>1</v>
      </c>
      <c r="AG15" s="140">
        <f t="shared" ref="AG15" si="91">IF(P14&gt;O14,1,0)</f>
        <v>1</v>
      </c>
      <c r="AH15" s="140">
        <f t="shared" ref="AH15" si="92">IF(R14&gt;Q14,1,0)</f>
        <v>0</v>
      </c>
      <c r="AI15" s="140">
        <f t="shared" ref="AI15" si="93">IF(T14&gt;S14,1,0)</f>
        <v>0</v>
      </c>
      <c r="AJ15" s="140">
        <f t="shared" ref="AJ15" si="94">IF(V14&gt;U14,1,0)</f>
        <v>0</v>
      </c>
      <c r="AK15" s="140">
        <f t="shared" ref="AK15" si="95">IF(X14&gt;W14,1,0)</f>
        <v>0</v>
      </c>
      <c r="AL15" s="140">
        <f t="shared" ref="AL15" si="96">IF(Z14&gt;Y14,1,0)</f>
        <v>0</v>
      </c>
      <c r="AM15" s="140">
        <f t="shared" ref="AM15" si="97">IF(N14&gt;M14,M14,IF(M14&gt;N14,-N14,""))</f>
        <v>10</v>
      </c>
      <c r="AN15" s="140" t="str">
        <f t="shared" ref="AN15" si="98">IF(P14&gt;O14,", "&amp;O14,IF(O14&gt;P14,", "&amp;-P14,""))</f>
        <v>, 5</v>
      </c>
      <c r="AO15" s="140" t="str">
        <f t="shared" ref="AO15" si="99">IF(R14&gt;Q14,", "&amp;Q14,IF(Q14&gt;R14,", "&amp;-R14,""))</f>
        <v/>
      </c>
      <c r="AP15" s="140" t="str">
        <f t="shared" ref="AP15" si="100">IF(T14&gt;S14,", "&amp;S14,IF(S14&gt;T14,", "&amp;-T14,""))</f>
        <v/>
      </c>
      <c r="AQ15" s="140" t="str">
        <f t="shared" ref="AQ15" si="101">IF(V14&gt;U14,", "&amp;U14,IF(U14&gt;V14,", "&amp;-V14,""))</f>
        <v/>
      </c>
      <c r="AR15" s="140" t="str">
        <f t="shared" ref="AR15" si="102">IF(X14&gt;W14,", "&amp;W14,IF(W14&gt;X14,", "&amp;-X14,""))</f>
        <v/>
      </c>
      <c r="AS15" s="140" t="str">
        <f t="shared" ref="AS15" si="103">IF(Z14&gt;Y14,", "&amp;Y14,IF(Y14&gt;Z14,", "&amp;-Z14,""))</f>
        <v/>
      </c>
      <c r="AU15" s="144"/>
      <c r="AV15" s="145"/>
      <c r="AW15" s="151"/>
      <c r="AX15" s="150"/>
      <c r="AY15" s="152"/>
      <c r="AZ15" s="151"/>
      <c r="BA15" s="150"/>
      <c r="BB15" s="168">
        <v>25</v>
      </c>
      <c r="BC15" s="169" t="str">
        <f>VLOOKUP(BB15,$A$8:$L$87,6,FALSE)</f>
        <v>4 Julio-- Table</v>
      </c>
      <c r="BD15" s="186"/>
      <c r="BE15" s="171">
        <f>VLOOKUP(BE23,$A$8:$L$91,7,FALSE)</f>
        <v>3671</v>
      </c>
      <c r="BF15" s="157" t="s">
        <v>9</v>
      </c>
      <c r="BG15" s="184" t="s">
        <v>10</v>
      </c>
      <c r="BH15" s="152"/>
      <c r="BI15" s="154"/>
      <c r="BJ15" s="150"/>
      <c r="BL15" s="172">
        <f t="shared" si="35"/>
        <v>7</v>
      </c>
      <c r="BM15" s="173" t="str">
        <f>C20</f>
        <v>4 Julio</v>
      </c>
      <c r="BN15" s="173">
        <f>D20</f>
        <v>0</v>
      </c>
      <c r="BO15" s="174">
        <f>E20</f>
        <v>0</v>
      </c>
      <c r="BP15" s="175" t="s">
        <v>409</v>
      </c>
      <c r="BQ15" s="172"/>
      <c r="BR15" s="172">
        <v>7</v>
      </c>
      <c r="BS15" s="176" t="e">
        <v>#REF!</v>
      </c>
      <c r="BT15" s="177"/>
      <c r="BU15" s="176" t="e">
        <v>#REF!</v>
      </c>
      <c r="BV15" s="177"/>
      <c r="BW15" s="172"/>
      <c r="BX15" s="163"/>
      <c r="BY15" s="178">
        <f>G20</f>
        <v>3875</v>
      </c>
      <c r="BZ15" s="179">
        <f>H20</f>
        <v>4674</v>
      </c>
      <c r="CA15" s="166" t="s">
        <v>410</v>
      </c>
      <c r="CB15" s="167" t="s">
        <v>418</v>
      </c>
    </row>
    <row r="16" spans="1:80" s="143" customFormat="1" ht="12.75" x14ac:dyDescent="0.25">
      <c r="A16" s="305">
        <v>5</v>
      </c>
      <c r="B16" s="400" t="s">
        <v>414</v>
      </c>
      <c r="C16" s="402" t="s">
        <v>391</v>
      </c>
      <c r="D16" s="402"/>
      <c r="E16" s="390"/>
      <c r="F16" s="404" t="str">
        <f t="shared" ref="F16" si="104">C16&amp;"-"&amp;D16&amp;"- Table"&amp;E16</f>
        <v>4 Julio-- Table</v>
      </c>
      <c r="G16" s="390">
        <v>4177</v>
      </c>
      <c r="H16" s="390">
        <v>4514</v>
      </c>
      <c r="I16" s="390" t="s">
        <v>15</v>
      </c>
      <c r="J16" s="390" t="s">
        <v>14</v>
      </c>
      <c r="K16" s="390" t="s">
        <v>37</v>
      </c>
      <c r="L16" s="390" t="s">
        <v>24</v>
      </c>
      <c r="M16" s="398">
        <v>11</v>
      </c>
      <c r="N16" s="390">
        <v>4</v>
      </c>
      <c r="O16" s="390">
        <v>11</v>
      </c>
      <c r="P16" s="390">
        <v>4</v>
      </c>
      <c r="Q16" s="390"/>
      <c r="R16" s="390"/>
      <c r="S16" s="390"/>
      <c r="T16" s="390"/>
      <c r="U16" s="390"/>
      <c r="V16" s="390"/>
      <c r="W16" s="390"/>
      <c r="X16" s="390"/>
      <c r="Y16" s="390"/>
      <c r="Z16" s="392"/>
      <c r="AA16" s="318">
        <f t="shared" ref="AA16" si="105">IF(M16+N16&lt;&gt;0,SUM(AF16:AL16),"")</f>
        <v>2</v>
      </c>
      <c r="AB16" s="318">
        <f t="shared" ref="AB16" si="106">IF(M16+N16&lt;&gt;0,SUM(AF17:AL17),"")</f>
        <v>0</v>
      </c>
      <c r="AC16" s="318" t="str">
        <f t="shared" ref="AC16" si="107">IF(AA16&gt;AB16,AD16&amp;"  "&amp;AE16,IF(AB16&gt;AA16,AD16&amp;"  "&amp;AE17,""))</f>
        <v>2 - 0  (4, 4)</v>
      </c>
      <c r="AD16" s="140" t="str">
        <f t="shared" ref="AD16" si="108">IF(AA16&gt;AB16,AA16&amp;" - "&amp;AB16,IF(AB16&gt;AA16,AB16&amp;" - "&amp;AA16,""))</f>
        <v>2 - 0</v>
      </c>
      <c r="AE16" s="140" t="str">
        <f t="shared" si="0"/>
        <v>(4, 4)</v>
      </c>
      <c r="AF16" s="140">
        <f t="shared" ref="AF16" si="109">IF(M16&gt;N16,1,0)</f>
        <v>1</v>
      </c>
      <c r="AG16" s="140">
        <f t="shared" ref="AG16" si="110">IF(O16&gt;P16,1,0)</f>
        <v>1</v>
      </c>
      <c r="AH16" s="140">
        <f t="shared" ref="AH16" si="111">IF(Q16&gt;R16,1,0)</f>
        <v>0</v>
      </c>
      <c r="AI16" s="140">
        <f t="shared" ref="AI16" si="112">IF(S16&gt;T16,1,0)</f>
        <v>0</v>
      </c>
      <c r="AJ16" s="140">
        <f t="shared" ref="AJ16" si="113">IF(U16&gt;V16,1,0)</f>
        <v>0</v>
      </c>
      <c r="AK16" s="140">
        <f t="shared" ref="AK16" si="114">IF(W16&gt;X16,1,0)</f>
        <v>0</v>
      </c>
      <c r="AL16" s="140">
        <f t="shared" ref="AL16" si="115">IF(Y16&gt;Z16,1,0)</f>
        <v>0</v>
      </c>
      <c r="AM16" s="140">
        <f t="shared" ref="AM16" si="116">IF(M16&gt;N16,N16,IF(N16&gt;M16,-M16,""))</f>
        <v>4</v>
      </c>
      <c r="AN16" s="140" t="str">
        <f t="shared" ref="AN16" si="117">IF(O16&gt;P16,", "&amp;P16,IF(P16&gt;O16,", "&amp;-O16,""))</f>
        <v>, 4</v>
      </c>
      <c r="AO16" s="140" t="str">
        <f t="shared" ref="AO16" si="118">IF(Q16&gt;R16,", "&amp;R16,IF(R16&gt;Q16,", "&amp;-Q16,""))</f>
        <v/>
      </c>
      <c r="AP16" s="140" t="str">
        <f t="shared" ref="AP16" si="119">IF(S16&gt;T16,", "&amp;T16,IF(T16&gt;S16,", "&amp;-S16,""))</f>
        <v/>
      </c>
      <c r="AQ16" s="140" t="str">
        <f t="shared" ref="AQ16" si="120">IF(U16&gt;V16,", "&amp;V16,IF(V16&gt;U16,", "&amp;-U16,""))</f>
        <v/>
      </c>
      <c r="AR16" s="140" t="str">
        <f t="shared" ref="AR16" si="121">IF(W16&gt;X16,", "&amp;X16,IF(X16&gt;W16,", "&amp;-W16,""))</f>
        <v/>
      </c>
      <c r="AS16" s="140" t="str">
        <f t="shared" ref="AS16" si="122">IF(Y16&gt;Z16,", "&amp;Z16,IF(Z16&gt;Y16,", "&amp;-Y16,""))</f>
        <v/>
      </c>
      <c r="AU16" s="155">
        <f>1+AU14</f>
        <v>5</v>
      </c>
      <c r="AV16" s="156">
        <f>VLOOKUP(AV17,$A$8:$L$87,7,FALSE)</f>
        <v>4287</v>
      </c>
      <c r="AW16" s="157" t="s">
        <v>27</v>
      </c>
      <c r="AX16" s="158" t="s">
        <v>6</v>
      </c>
      <c r="AY16" s="159"/>
      <c r="AZ16" s="160" t="str">
        <f>VLOOKUP(AV17,$A$8:$AD$87,29,FALSE)</f>
        <v>2 - 0  (7, 7)</v>
      </c>
      <c r="BA16" s="161"/>
      <c r="BB16" s="152"/>
      <c r="BC16" s="151"/>
      <c r="BD16" s="186"/>
      <c r="BE16" s="152"/>
      <c r="BF16" s="154"/>
      <c r="BG16" s="170"/>
      <c r="BH16" s="152"/>
      <c r="BI16" s="154"/>
      <c r="BJ16" s="150"/>
      <c r="BL16" s="172">
        <f t="shared" si="35"/>
        <v>8</v>
      </c>
      <c r="BM16" s="173" t="str">
        <f>C22</f>
        <v>4 Julio</v>
      </c>
      <c r="BN16" s="173">
        <f>D22</f>
        <v>0</v>
      </c>
      <c r="BO16" s="174">
        <f>E22</f>
        <v>0</v>
      </c>
      <c r="BP16" s="175" t="s">
        <v>409</v>
      </c>
      <c r="BQ16" s="172"/>
      <c r="BR16" s="172">
        <v>8</v>
      </c>
      <c r="BS16" s="176" t="e">
        <v>#REF!</v>
      </c>
      <c r="BT16" s="177"/>
      <c r="BU16" s="176" t="e">
        <v>#REF!</v>
      </c>
      <c r="BV16" s="177"/>
      <c r="BW16" s="172"/>
      <c r="BX16" s="163"/>
      <c r="BY16" s="178">
        <f>G22</f>
        <v>3696</v>
      </c>
      <c r="BZ16" s="179">
        <f>H22</f>
        <v>4058</v>
      </c>
      <c r="CA16" s="166" t="s">
        <v>410</v>
      </c>
      <c r="CB16" s="167" t="s">
        <v>419</v>
      </c>
    </row>
    <row r="17" spans="1:80" s="143" customFormat="1" ht="12.75" x14ac:dyDescent="0.25">
      <c r="A17" s="305"/>
      <c r="B17" s="401"/>
      <c r="C17" s="403"/>
      <c r="D17" s="403"/>
      <c r="E17" s="391"/>
      <c r="F17" s="405"/>
      <c r="G17" s="391"/>
      <c r="H17" s="391"/>
      <c r="I17" s="391">
        <v>0</v>
      </c>
      <c r="J17" s="391">
        <v>0</v>
      </c>
      <c r="K17" s="391">
        <v>0</v>
      </c>
      <c r="L17" s="391">
        <v>0</v>
      </c>
      <c r="M17" s="399"/>
      <c r="N17" s="391"/>
      <c r="O17" s="391"/>
      <c r="P17" s="391"/>
      <c r="Q17" s="391"/>
      <c r="R17" s="391"/>
      <c r="S17" s="391"/>
      <c r="T17" s="391"/>
      <c r="U17" s="391"/>
      <c r="V17" s="391"/>
      <c r="W17" s="391"/>
      <c r="X17" s="391"/>
      <c r="Y17" s="391"/>
      <c r="Z17" s="393"/>
      <c r="AA17" s="318"/>
      <c r="AB17" s="318"/>
      <c r="AC17" s="318"/>
      <c r="AD17" s="140" t="str">
        <f t="shared" ref="AD17" si="123">IF(AA16&gt;AB16,AD16&amp;"  "&amp;AE16,IF(AB16&gt;AA16,AD16&amp;"  "&amp;AE17,""))</f>
        <v>2 - 0  (4, 4)</v>
      </c>
      <c r="AE17" s="140" t="str">
        <f t="shared" si="0"/>
        <v>(-4, -4)</v>
      </c>
      <c r="AF17" s="140">
        <f t="shared" ref="AF17" si="124">IF(N16&gt;M16,1,0)</f>
        <v>0</v>
      </c>
      <c r="AG17" s="140">
        <f t="shared" ref="AG17" si="125">IF(P16&gt;O16,1,0)</f>
        <v>0</v>
      </c>
      <c r="AH17" s="140">
        <f t="shared" ref="AH17" si="126">IF(R16&gt;Q16,1,0)</f>
        <v>0</v>
      </c>
      <c r="AI17" s="140">
        <f t="shared" ref="AI17" si="127">IF(T16&gt;S16,1,0)</f>
        <v>0</v>
      </c>
      <c r="AJ17" s="140">
        <f t="shared" ref="AJ17" si="128">IF(V16&gt;U16,1,0)</f>
        <v>0</v>
      </c>
      <c r="AK17" s="140">
        <f t="shared" ref="AK17" si="129">IF(X16&gt;W16,1,0)</f>
        <v>0</v>
      </c>
      <c r="AL17" s="140">
        <f t="shared" ref="AL17" si="130">IF(Z16&gt;Y16,1,0)</f>
        <v>0</v>
      </c>
      <c r="AM17" s="140">
        <f t="shared" ref="AM17" si="131">IF(N16&gt;M16,M16,IF(M16&gt;N16,-N16,""))</f>
        <v>-4</v>
      </c>
      <c r="AN17" s="140" t="str">
        <f t="shared" ref="AN17" si="132">IF(P16&gt;O16,", "&amp;O16,IF(O16&gt;P16,", "&amp;-P16,""))</f>
        <v>, -4</v>
      </c>
      <c r="AO17" s="140" t="str">
        <f t="shared" ref="AO17" si="133">IF(R16&gt;Q16,", "&amp;Q16,IF(Q16&gt;R16,", "&amp;-R16,""))</f>
        <v/>
      </c>
      <c r="AP17" s="140" t="str">
        <f t="shared" ref="AP17" si="134">IF(T16&gt;S16,", "&amp;S16,IF(S16&gt;T16,", "&amp;-T16,""))</f>
        <v/>
      </c>
      <c r="AQ17" s="140" t="str">
        <f t="shared" ref="AQ17" si="135">IF(V16&gt;U16,", "&amp;U16,IF(U16&gt;V16,", "&amp;-V16,""))</f>
        <v/>
      </c>
      <c r="AR17" s="140" t="str">
        <f t="shared" ref="AR17" si="136">IF(X16&gt;W16,", "&amp;W16,IF(W16&gt;X16,", "&amp;-X16,""))</f>
        <v/>
      </c>
      <c r="AS17" s="140" t="str">
        <f t="shared" ref="AS17" si="137">IF(Z16&gt;Y16,", "&amp;Y16,IF(Y16&gt;Z16,", "&amp;-Z16,""))</f>
        <v/>
      </c>
      <c r="AU17" s="144"/>
      <c r="AV17" s="168">
        <v>3</v>
      </c>
      <c r="AW17" s="169" t="str">
        <f>VLOOKUP(AV17,$A$8:$L$87,6,FALSE)</f>
        <v>4 Julio-- Table</v>
      </c>
      <c r="AX17" s="170"/>
      <c r="AY17" s="171">
        <f>VLOOKUP(AY19,$A$8:$L$91,7,FALSE)</f>
        <v>4511</v>
      </c>
      <c r="AZ17" s="157" t="s">
        <v>22</v>
      </c>
      <c r="BA17" s="158" t="s">
        <v>12</v>
      </c>
      <c r="BB17" s="152"/>
      <c r="BC17" s="151"/>
      <c r="BD17" s="186"/>
      <c r="BE17" s="152"/>
      <c r="BF17" s="154"/>
      <c r="BG17" s="170"/>
      <c r="BH17" s="152"/>
      <c r="BI17" s="154"/>
      <c r="BJ17" s="150"/>
      <c r="BL17" s="172">
        <f t="shared" si="35"/>
        <v>9</v>
      </c>
      <c r="BM17" s="173" t="str">
        <f>C24</f>
        <v>4 Julio</v>
      </c>
      <c r="BN17" s="173">
        <f>D24</f>
        <v>0</v>
      </c>
      <c r="BO17" s="174">
        <f>E24</f>
        <v>0</v>
      </c>
      <c r="BP17" s="175" t="s">
        <v>409</v>
      </c>
      <c r="BQ17" s="172"/>
      <c r="BR17" s="172">
        <v>9</v>
      </c>
      <c r="BS17" s="176" t="e">
        <v>#REF!</v>
      </c>
      <c r="BT17" s="177"/>
      <c r="BU17" s="176" t="e">
        <v>#REF!</v>
      </c>
      <c r="BV17" s="177"/>
      <c r="BW17" s="172"/>
      <c r="BX17" s="163"/>
      <c r="BY17" s="178">
        <f>G24</f>
        <v>4297</v>
      </c>
      <c r="BZ17" s="179">
        <f>H24</f>
        <v>4527</v>
      </c>
      <c r="CA17" s="166" t="s">
        <v>410</v>
      </c>
      <c r="CB17" s="167" t="s">
        <v>420</v>
      </c>
    </row>
    <row r="18" spans="1:80" s="143" customFormat="1" ht="12.75" x14ac:dyDescent="0.25">
      <c r="A18" s="305">
        <v>6</v>
      </c>
      <c r="B18" s="394" t="s">
        <v>414</v>
      </c>
      <c r="C18" s="396" t="s">
        <v>391</v>
      </c>
      <c r="D18" s="396"/>
      <c r="E18" s="382"/>
      <c r="F18" s="388" t="str">
        <f t="shared" ref="F18" si="138">C18&amp;"-"&amp;D18&amp;"- Table"&amp;E18</f>
        <v>4 Julio-- Table</v>
      </c>
      <c r="G18" s="382">
        <v>4463</v>
      </c>
      <c r="H18" s="382">
        <v>4128</v>
      </c>
      <c r="I18" s="382" t="s">
        <v>31</v>
      </c>
      <c r="J18" s="382" t="s">
        <v>14</v>
      </c>
      <c r="K18" s="382" t="s">
        <v>23</v>
      </c>
      <c r="L18" s="382" t="s">
        <v>24</v>
      </c>
      <c r="M18" s="386">
        <v>4</v>
      </c>
      <c r="N18" s="382">
        <v>11</v>
      </c>
      <c r="O18" s="382">
        <v>8</v>
      </c>
      <c r="P18" s="382">
        <v>11</v>
      </c>
      <c r="Q18" s="382"/>
      <c r="R18" s="382"/>
      <c r="S18" s="382"/>
      <c r="T18" s="382"/>
      <c r="U18" s="382"/>
      <c r="V18" s="382"/>
      <c r="W18" s="382"/>
      <c r="X18" s="382"/>
      <c r="Y18" s="382"/>
      <c r="Z18" s="384"/>
      <c r="AA18" s="318">
        <f t="shared" ref="AA18" si="139">IF(M18+N18&lt;&gt;0,SUM(AF18:AL18),"")</f>
        <v>0</v>
      </c>
      <c r="AB18" s="318">
        <f t="shared" ref="AB18" si="140">IF(M18+N18&lt;&gt;0,SUM(AF19:AL19),"")</f>
        <v>2</v>
      </c>
      <c r="AC18" s="318" t="str">
        <f t="shared" ref="AC18" si="141">IF(AA18&gt;AB18,AD18&amp;"  "&amp;AE18,IF(AB18&gt;AA18,AD18&amp;"  "&amp;AE19,""))</f>
        <v>2 - 0  (4, 8)</v>
      </c>
      <c r="AD18" s="140" t="str">
        <f t="shared" ref="AD18" si="142">IF(AA18&gt;AB18,AA18&amp;" - "&amp;AB18,IF(AB18&gt;AA18,AB18&amp;" - "&amp;AA18,""))</f>
        <v>2 - 0</v>
      </c>
      <c r="AE18" s="140" t="str">
        <f t="shared" si="0"/>
        <v>(-4, -8)</v>
      </c>
      <c r="AF18" s="140">
        <f t="shared" ref="AF18" si="143">IF(M18&gt;N18,1,0)</f>
        <v>0</v>
      </c>
      <c r="AG18" s="140">
        <f t="shared" ref="AG18" si="144">IF(O18&gt;P18,1,0)</f>
        <v>0</v>
      </c>
      <c r="AH18" s="140">
        <f t="shared" ref="AH18" si="145">IF(Q18&gt;R18,1,0)</f>
        <v>0</v>
      </c>
      <c r="AI18" s="140">
        <f t="shared" ref="AI18" si="146">IF(S18&gt;T18,1,0)</f>
        <v>0</v>
      </c>
      <c r="AJ18" s="140">
        <f t="shared" ref="AJ18" si="147">IF(U18&gt;V18,1,0)</f>
        <v>0</v>
      </c>
      <c r="AK18" s="140">
        <f t="shared" ref="AK18" si="148">IF(W18&gt;X18,1,0)</f>
        <v>0</v>
      </c>
      <c r="AL18" s="140">
        <f t="shared" ref="AL18" si="149">IF(Y18&gt;Z18,1,0)</f>
        <v>0</v>
      </c>
      <c r="AM18" s="140">
        <f t="shared" ref="AM18" si="150">IF(M18&gt;N18,N18,IF(N18&gt;M18,-M18,""))</f>
        <v>-4</v>
      </c>
      <c r="AN18" s="140" t="str">
        <f t="shared" ref="AN18" si="151">IF(O18&gt;P18,", "&amp;P18,IF(P18&gt;O18,", "&amp;-O18,""))</f>
        <v>, -8</v>
      </c>
      <c r="AO18" s="140" t="str">
        <f t="shared" ref="AO18" si="152">IF(Q18&gt;R18,", "&amp;R18,IF(R18&gt;Q18,", "&amp;-Q18,""))</f>
        <v/>
      </c>
      <c r="AP18" s="140" t="str">
        <f t="shared" ref="AP18" si="153">IF(S18&gt;T18,", "&amp;T18,IF(T18&gt;S18,", "&amp;-S18,""))</f>
        <v/>
      </c>
      <c r="AQ18" s="140" t="str">
        <f t="shared" ref="AQ18" si="154">IF(U18&gt;V18,", "&amp;V18,IF(V18&gt;U18,", "&amp;-U18,""))</f>
        <v/>
      </c>
      <c r="AR18" s="140" t="str">
        <f t="shared" ref="AR18" si="155">IF(W18&gt;X18,", "&amp;X18,IF(X18&gt;W18,", "&amp;-W18,""))</f>
        <v/>
      </c>
      <c r="AS18" s="140" t="str">
        <f t="shared" ref="AS18" si="156">IF(Y18&gt;Z18,", "&amp;Z18,IF(Z18&gt;Y18,", "&amp;-Y18,""))</f>
        <v/>
      </c>
      <c r="AU18" s="155">
        <f>1+AU16</f>
        <v>6</v>
      </c>
      <c r="AV18" s="180">
        <f>VLOOKUP(AV17,$A$8:$L$87,8,FALSE)</f>
        <v>4511</v>
      </c>
      <c r="AW18" s="181" t="s">
        <v>22</v>
      </c>
      <c r="AX18" s="182" t="s">
        <v>12</v>
      </c>
      <c r="AY18" s="152"/>
      <c r="AZ18" s="151"/>
      <c r="BA18" s="170"/>
      <c r="BB18" s="152"/>
      <c r="BC18" s="151"/>
      <c r="BD18" s="186"/>
      <c r="BE18" s="152"/>
      <c r="BF18" s="154"/>
      <c r="BG18" s="170"/>
      <c r="BH18" s="152"/>
      <c r="BI18" s="154"/>
      <c r="BJ18" s="150"/>
      <c r="BL18" s="172">
        <f t="shared" si="35"/>
        <v>10</v>
      </c>
      <c r="BM18" s="173" t="str">
        <f>C26</f>
        <v>4 Julio</v>
      </c>
      <c r="BN18" s="173">
        <f>D26</f>
        <v>0</v>
      </c>
      <c r="BO18" s="174">
        <f>E26</f>
        <v>0</v>
      </c>
      <c r="BP18" s="175" t="s">
        <v>409</v>
      </c>
      <c r="BQ18" s="172"/>
      <c r="BR18" s="172">
        <v>10</v>
      </c>
      <c r="BS18" s="176" t="e">
        <v>#REF!</v>
      </c>
      <c r="BT18" s="177"/>
      <c r="BU18" s="176" t="e">
        <v>#REF!</v>
      </c>
      <c r="BV18" s="177"/>
      <c r="BW18" s="172"/>
      <c r="BX18" s="163"/>
      <c r="BY18" s="178">
        <f>G26</f>
        <v>4182</v>
      </c>
      <c r="BZ18" s="179">
        <f>H26</f>
        <v>3450</v>
      </c>
      <c r="CA18" s="166" t="s">
        <v>410</v>
      </c>
      <c r="CB18" s="167" t="s">
        <v>421</v>
      </c>
    </row>
    <row r="19" spans="1:80" s="143" customFormat="1" ht="12.75" x14ac:dyDescent="0.25">
      <c r="A19" s="305"/>
      <c r="B19" s="395"/>
      <c r="C19" s="397"/>
      <c r="D19" s="397"/>
      <c r="E19" s="383"/>
      <c r="F19" s="389"/>
      <c r="G19" s="383"/>
      <c r="H19" s="383"/>
      <c r="I19" s="383">
        <v>0</v>
      </c>
      <c r="J19" s="383">
        <v>0</v>
      </c>
      <c r="K19" s="383">
        <v>0</v>
      </c>
      <c r="L19" s="383">
        <v>0</v>
      </c>
      <c r="M19" s="387"/>
      <c r="N19" s="383"/>
      <c r="O19" s="383"/>
      <c r="P19" s="383"/>
      <c r="Q19" s="383"/>
      <c r="R19" s="383"/>
      <c r="S19" s="383"/>
      <c r="T19" s="383"/>
      <c r="U19" s="383"/>
      <c r="V19" s="383"/>
      <c r="W19" s="383"/>
      <c r="X19" s="383"/>
      <c r="Y19" s="383"/>
      <c r="Z19" s="385"/>
      <c r="AA19" s="318"/>
      <c r="AB19" s="318"/>
      <c r="AC19" s="318"/>
      <c r="AD19" s="140" t="str">
        <f t="shared" ref="AD19" si="157">IF(AA18&gt;AB18,AD18&amp;"  "&amp;AE18,IF(AB18&gt;AA18,AD18&amp;"  "&amp;AE19,""))</f>
        <v>2 - 0  (4, 8)</v>
      </c>
      <c r="AE19" s="140" t="str">
        <f t="shared" si="0"/>
        <v>(4, 8)</v>
      </c>
      <c r="AF19" s="140">
        <f t="shared" ref="AF19" si="158">IF(N18&gt;M18,1,0)</f>
        <v>1</v>
      </c>
      <c r="AG19" s="140">
        <f t="shared" ref="AG19" si="159">IF(P18&gt;O18,1,0)</f>
        <v>1</v>
      </c>
      <c r="AH19" s="140">
        <f t="shared" ref="AH19" si="160">IF(R18&gt;Q18,1,0)</f>
        <v>0</v>
      </c>
      <c r="AI19" s="140">
        <f t="shared" ref="AI19" si="161">IF(T18&gt;S18,1,0)</f>
        <v>0</v>
      </c>
      <c r="AJ19" s="140">
        <f t="shared" ref="AJ19" si="162">IF(V18&gt;U18,1,0)</f>
        <v>0</v>
      </c>
      <c r="AK19" s="140">
        <f t="shared" ref="AK19" si="163">IF(X18&gt;W18,1,0)</f>
        <v>0</v>
      </c>
      <c r="AL19" s="140">
        <f t="shared" ref="AL19" si="164">IF(Z18&gt;Y18,1,0)</f>
        <v>0</v>
      </c>
      <c r="AM19" s="140">
        <f t="shared" ref="AM19" si="165">IF(N18&gt;M18,M18,IF(M18&gt;N18,-N18,""))</f>
        <v>4</v>
      </c>
      <c r="AN19" s="140" t="str">
        <f t="shared" ref="AN19" si="166">IF(P18&gt;O18,", "&amp;O18,IF(O18&gt;P18,", "&amp;-P18,""))</f>
        <v>, 8</v>
      </c>
      <c r="AO19" s="140" t="str">
        <f t="shared" ref="AO19" si="167">IF(R18&gt;Q18,", "&amp;Q18,IF(Q18&gt;R18,", "&amp;-R18,""))</f>
        <v/>
      </c>
      <c r="AP19" s="140" t="str">
        <f t="shared" ref="AP19" si="168">IF(T18&gt;S18,", "&amp;S18,IF(S18&gt;T18,", "&amp;-T18,""))</f>
        <v/>
      </c>
      <c r="AQ19" s="140" t="str">
        <f t="shared" ref="AQ19" si="169">IF(V18&gt;U18,", "&amp;U18,IF(U18&gt;V18,", "&amp;-V18,""))</f>
        <v/>
      </c>
      <c r="AR19" s="140" t="str">
        <f t="shared" ref="AR19" si="170">IF(X18&gt;W18,", "&amp;W18,IF(W18&gt;X18,", "&amp;-X18,""))</f>
        <v/>
      </c>
      <c r="AS19" s="140" t="str">
        <f t="shared" ref="AS19" si="171">IF(Z18&gt;Y18,", "&amp;Y18,IF(Y18&gt;Z18,", "&amp;-Z18,""))</f>
        <v/>
      </c>
      <c r="AU19" s="144"/>
      <c r="AV19" s="145"/>
      <c r="AW19" s="151"/>
      <c r="AX19" s="150"/>
      <c r="AY19" s="168">
        <v>18</v>
      </c>
      <c r="AZ19" s="169" t="str">
        <f>VLOOKUP(AY19,$A$8:$L$87,6,FALSE)</f>
        <v>4 Julio-- Table</v>
      </c>
      <c r="BA19" s="183"/>
      <c r="BB19" s="187">
        <f>VLOOKUP(BB15,$A$8:$L$91,8,FALSE)</f>
        <v>3671</v>
      </c>
      <c r="BC19" s="181" t="s">
        <v>9</v>
      </c>
      <c r="BD19" s="188" t="s">
        <v>10</v>
      </c>
      <c r="BE19" s="152"/>
      <c r="BF19" s="154"/>
      <c r="BG19" s="170"/>
      <c r="BH19" s="152"/>
      <c r="BI19" s="154"/>
      <c r="BJ19" s="150"/>
      <c r="BL19" s="172">
        <f t="shared" si="35"/>
        <v>11</v>
      </c>
      <c r="BM19" s="173" t="str">
        <f>C28</f>
        <v>4 Julio</v>
      </c>
      <c r="BN19" s="173">
        <f>D28</f>
        <v>0</v>
      </c>
      <c r="BO19" s="174">
        <f>E28</f>
        <v>0</v>
      </c>
      <c r="BP19" s="175" t="s">
        <v>409</v>
      </c>
      <c r="BQ19" s="172"/>
      <c r="BR19" s="172">
        <v>11</v>
      </c>
      <c r="BS19" s="176" t="e">
        <v>#REF!</v>
      </c>
      <c r="BT19" s="177"/>
      <c r="BU19" s="176" t="e">
        <v>#REF!</v>
      </c>
      <c r="BV19" s="177"/>
      <c r="BW19" s="172"/>
      <c r="BX19" s="163"/>
      <c r="BY19" s="178">
        <f>G28</f>
        <v>3504</v>
      </c>
      <c r="BZ19" s="179">
        <f>H28</f>
        <v>4066</v>
      </c>
      <c r="CA19" s="166" t="s">
        <v>410</v>
      </c>
      <c r="CB19" s="167" t="s">
        <v>422</v>
      </c>
    </row>
    <row r="20" spans="1:80" s="143" customFormat="1" ht="12.75" x14ac:dyDescent="0.25">
      <c r="A20" s="305">
        <v>7</v>
      </c>
      <c r="B20" s="400" t="s">
        <v>414</v>
      </c>
      <c r="C20" s="402" t="s">
        <v>391</v>
      </c>
      <c r="D20" s="402"/>
      <c r="E20" s="390"/>
      <c r="F20" s="404" t="str">
        <f t="shared" ref="F20" si="172">C20&amp;"-"&amp;D20&amp;"- Table"&amp;E20</f>
        <v>4 Julio-- Table</v>
      </c>
      <c r="G20" s="390">
        <v>3875</v>
      </c>
      <c r="H20" s="390">
        <v>4674</v>
      </c>
      <c r="I20" s="390" t="s">
        <v>20</v>
      </c>
      <c r="J20" s="390" t="s">
        <v>6</v>
      </c>
      <c r="K20" s="390" t="s">
        <v>34</v>
      </c>
      <c r="L20" s="390" t="s">
        <v>8</v>
      </c>
      <c r="M20" s="398">
        <v>12</v>
      </c>
      <c r="N20" s="390">
        <v>10</v>
      </c>
      <c r="O20" s="390">
        <v>7</v>
      </c>
      <c r="P20" s="390">
        <v>11</v>
      </c>
      <c r="Q20" s="390">
        <v>5</v>
      </c>
      <c r="R20" s="390">
        <v>11</v>
      </c>
      <c r="S20" s="390"/>
      <c r="T20" s="390"/>
      <c r="U20" s="390"/>
      <c r="V20" s="390"/>
      <c r="W20" s="390"/>
      <c r="X20" s="390"/>
      <c r="Y20" s="390"/>
      <c r="Z20" s="392"/>
      <c r="AA20" s="318">
        <f t="shared" ref="AA20" si="173">IF(M20+N20&lt;&gt;0,SUM(AF20:AL20),"")</f>
        <v>1</v>
      </c>
      <c r="AB20" s="318">
        <f t="shared" ref="AB20" si="174">IF(M20+N20&lt;&gt;0,SUM(AF21:AL21),"")</f>
        <v>2</v>
      </c>
      <c r="AC20" s="318" t="str">
        <f t="shared" ref="AC20" si="175">IF(AA20&gt;AB20,AD20&amp;"  "&amp;AE20,IF(AB20&gt;AA20,AD20&amp;"  "&amp;AE21,""))</f>
        <v>2 - 1  (-10, 7, 5)</v>
      </c>
      <c r="AD20" s="140" t="str">
        <f t="shared" ref="AD20" si="176">IF(AA20&gt;AB20,AA20&amp;" - "&amp;AB20,IF(AB20&gt;AA20,AB20&amp;" - "&amp;AA20,""))</f>
        <v>2 - 1</v>
      </c>
      <c r="AE20" s="140" t="str">
        <f t="shared" si="0"/>
        <v>(10, -7, -5)</v>
      </c>
      <c r="AF20" s="140">
        <f t="shared" ref="AF20" si="177">IF(M20&gt;N20,1,0)</f>
        <v>1</v>
      </c>
      <c r="AG20" s="140">
        <f t="shared" ref="AG20" si="178">IF(O20&gt;P20,1,0)</f>
        <v>0</v>
      </c>
      <c r="AH20" s="140">
        <f t="shared" ref="AH20" si="179">IF(Q20&gt;R20,1,0)</f>
        <v>0</v>
      </c>
      <c r="AI20" s="140">
        <f t="shared" ref="AI20" si="180">IF(S20&gt;T20,1,0)</f>
        <v>0</v>
      </c>
      <c r="AJ20" s="140">
        <f t="shared" ref="AJ20" si="181">IF(U20&gt;V20,1,0)</f>
        <v>0</v>
      </c>
      <c r="AK20" s="140">
        <f t="shared" ref="AK20" si="182">IF(W20&gt;X20,1,0)</f>
        <v>0</v>
      </c>
      <c r="AL20" s="140">
        <f t="shared" ref="AL20" si="183">IF(Y20&gt;Z20,1,0)</f>
        <v>0</v>
      </c>
      <c r="AM20" s="140">
        <f t="shared" ref="AM20" si="184">IF(M20&gt;N20,N20,IF(N20&gt;M20,-M20,""))</f>
        <v>10</v>
      </c>
      <c r="AN20" s="140" t="str">
        <f t="shared" ref="AN20" si="185">IF(O20&gt;P20,", "&amp;P20,IF(P20&gt;O20,", "&amp;-O20,""))</f>
        <v>, -7</v>
      </c>
      <c r="AO20" s="140" t="str">
        <f t="shared" ref="AO20" si="186">IF(Q20&gt;R20,", "&amp;R20,IF(R20&gt;Q20,", "&amp;-Q20,""))</f>
        <v>, -5</v>
      </c>
      <c r="AP20" s="140" t="str">
        <f t="shared" ref="AP20" si="187">IF(S20&gt;T20,", "&amp;T20,IF(T20&gt;S20,", "&amp;-S20,""))</f>
        <v/>
      </c>
      <c r="AQ20" s="140" t="str">
        <f t="shared" ref="AQ20" si="188">IF(U20&gt;V20,", "&amp;V20,IF(V20&gt;U20,", "&amp;-U20,""))</f>
        <v/>
      </c>
      <c r="AR20" s="140" t="str">
        <f t="shared" ref="AR20" si="189">IF(W20&gt;X20,", "&amp;X20,IF(X20&gt;W20,", "&amp;-W20,""))</f>
        <v/>
      </c>
      <c r="AS20" s="140" t="str">
        <f t="shared" ref="AS20" si="190">IF(Y20&gt;Z20,", "&amp;Z20,IF(Z20&gt;Y20,", "&amp;-Y20,""))</f>
        <v/>
      </c>
      <c r="AU20" s="155">
        <f>1+AU18</f>
        <v>7</v>
      </c>
      <c r="AV20" s="156">
        <f>VLOOKUP(AV21,$A$8:$L$87,7,FALSE)</f>
        <v>4293</v>
      </c>
      <c r="AW20" s="157" t="s">
        <v>48</v>
      </c>
      <c r="AX20" s="158" t="s">
        <v>14</v>
      </c>
      <c r="AY20" s="185"/>
      <c r="AZ20" s="151"/>
      <c r="BA20" s="170"/>
      <c r="BB20" s="159"/>
      <c r="BC20" s="160" t="str">
        <f>VLOOKUP(AY19,$A$8:$AD$91,29,FALSE)</f>
        <v>2 - 0  (7, 8)</v>
      </c>
      <c r="BD20" s="160"/>
      <c r="BE20" s="152"/>
      <c r="BF20" s="154"/>
      <c r="BG20" s="170"/>
      <c r="BH20" s="152"/>
      <c r="BI20" s="154"/>
      <c r="BJ20" s="150"/>
      <c r="BL20" s="172">
        <f t="shared" si="35"/>
        <v>12</v>
      </c>
      <c r="BM20" s="173" t="str">
        <f>C30</f>
        <v>4 Julio</v>
      </c>
      <c r="BN20" s="173">
        <f>D30</f>
        <v>0</v>
      </c>
      <c r="BO20" s="174">
        <f>E30</f>
        <v>0</v>
      </c>
      <c r="BP20" s="175" t="s">
        <v>409</v>
      </c>
      <c r="BQ20" s="172"/>
      <c r="BR20" s="172">
        <v>12</v>
      </c>
      <c r="BS20" s="176" t="e">
        <v>#REF!</v>
      </c>
      <c r="BT20" s="177"/>
      <c r="BU20" s="176" t="e">
        <v>#REF!</v>
      </c>
      <c r="BV20" s="177"/>
      <c r="BW20" s="172"/>
      <c r="BX20" s="163"/>
      <c r="BY20" s="178">
        <f>G30</f>
        <v>4727</v>
      </c>
      <c r="BZ20" s="179">
        <f>H30</f>
        <v>3458</v>
      </c>
      <c r="CA20" s="166" t="s">
        <v>410</v>
      </c>
      <c r="CB20" s="167" t="s">
        <v>423</v>
      </c>
    </row>
    <row r="21" spans="1:80" s="143" customFormat="1" ht="12.75" x14ac:dyDescent="0.25">
      <c r="A21" s="305"/>
      <c r="B21" s="401"/>
      <c r="C21" s="403"/>
      <c r="D21" s="403"/>
      <c r="E21" s="391"/>
      <c r="F21" s="405"/>
      <c r="G21" s="391"/>
      <c r="H21" s="391"/>
      <c r="I21" s="391">
        <v>0</v>
      </c>
      <c r="J21" s="391">
        <v>0</v>
      </c>
      <c r="K21" s="391">
        <v>0</v>
      </c>
      <c r="L21" s="391">
        <v>0</v>
      </c>
      <c r="M21" s="399"/>
      <c r="N21" s="391"/>
      <c r="O21" s="391"/>
      <c r="P21" s="391"/>
      <c r="Q21" s="391"/>
      <c r="R21" s="391"/>
      <c r="S21" s="391"/>
      <c r="T21" s="391"/>
      <c r="U21" s="391"/>
      <c r="V21" s="391"/>
      <c r="W21" s="391"/>
      <c r="X21" s="391"/>
      <c r="Y21" s="391"/>
      <c r="Z21" s="393"/>
      <c r="AA21" s="318"/>
      <c r="AB21" s="318"/>
      <c r="AC21" s="318"/>
      <c r="AD21" s="140" t="str">
        <f t="shared" ref="AD21" si="191">IF(AA20&gt;AB20,AD20&amp;"  "&amp;AE20,IF(AB20&gt;AA20,AD20&amp;"  "&amp;AE21,""))</f>
        <v>2 - 1  (-10, 7, 5)</v>
      </c>
      <c r="AE21" s="140" t="str">
        <f t="shared" si="0"/>
        <v>(-10, 7, 5)</v>
      </c>
      <c r="AF21" s="140">
        <f t="shared" ref="AF21" si="192">IF(N20&gt;M20,1,0)</f>
        <v>0</v>
      </c>
      <c r="AG21" s="140">
        <f t="shared" ref="AG21" si="193">IF(P20&gt;O20,1,0)</f>
        <v>1</v>
      </c>
      <c r="AH21" s="140">
        <f t="shared" ref="AH21" si="194">IF(R20&gt;Q20,1,0)</f>
        <v>1</v>
      </c>
      <c r="AI21" s="140">
        <f t="shared" ref="AI21" si="195">IF(T20&gt;S20,1,0)</f>
        <v>0</v>
      </c>
      <c r="AJ21" s="140">
        <f t="shared" ref="AJ21" si="196">IF(V20&gt;U20,1,0)</f>
        <v>0</v>
      </c>
      <c r="AK21" s="140">
        <f t="shared" ref="AK21" si="197">IF(X20&gt;W20,1,0)</f>
        <v>0</v>
      </c>
      <c r="AL21" s="140">
        <f t="shared" ref="AL21" si="198">IF(Z20&gt;Y20,1,0)</f>
        <v>0</v>
      </c>
      <c r="AM21" s="140">
        <f t="shared" ref="AM21" si="199">IF(N20&gt;M20,M20,IF(M20&gt;N20,-N20,""))</f>
        <v>-10</v>
      </c>
      <c r="AN21" s="140" t="str">
        <f t="shared" ref="AN21" si="200">IF(P20&gt;O20,", "&amp;O20,IF(O20&gt;P20,", "&amp;-P20,""))</f>
        <v>, 7</v>
      </c>
      <c r="AO21" s="140" t="str">
        <f t="shared" ref="AO21" si="201">IF(R20&gt;Q20,", "&amp;Q20,IF(Q20&gt;R20,", "&amp;-R20,""))</f>
        <v>, 5</v>
      </c>
      <c r="AP21" s="140" t="str">
        <f t="shared" ref="AP21" si="202">IF(T20&gt;S20,", "&amp;S20,IF(S20&gt;T20,", "&amp;-T20,""))</f>
        <v/>
      </c>
      <c r="AQ21" s="140" t="str">
        <f t="shared" ref="AQ21" si="203">IF(V20&gt;U20,", "&amp;U20,IF(U20&gt;V20,", "&amp;-V20,""))</f>
        <v/>
      </c>
      <c r="AR21" s="140" t="str">
        <f t="shared" ref="AR21" si="204">IF(X20&gt;W20,", "&amp;W20,IF(W20&gt;X20,", "&amp;-X20,""))</f>
        <v/>
      </c>
      <c r="AS21" s="140" t="str">
        <f t="shared" ref="AS21" si="205">IF(Z20&gt;Y20,", "&amp;Y20,IF(Y20&gt;Z20,", "&amp;-Z20,""))</f>
        <v/>
      </c>
      <c r="AU21" s="144"/>
      <c r="AV21" s="168">
        <v>4</v>
      </c>
      <c r="AW21" s="169" t="str">
        <f>VLOOKUP(AV21,$A$8:$L$87,6,FALSE)</f>
        <v>4 Julio-- Table</v>
      </c>
      <c r="AX21" s="170"/>
      <c r="AY21" s="187">
        <f>VLOOKUP(AY19,$A$8:$L$91,8,FALSE)</f>
        <v>3671</v>
      </c>
      <c r="AZ21" s="181" t="s">
        <v>9</v>
      </c>
      <c r="BA21" s="182" t="s">
        <v>10</v>
      </c>
      <c r="BB21" s="152"/>
      <c r="BC21" s="151"/>
      <c r="BD21" s="153"/>
      <c r="BE21" s="152"/>
      <c r="BF21" s="154"/>
      <c r="BG21" s="170"/>
      <c r="BH21" s="152"/>
      <c r="BI21" s="154"/>
      <c r="BJ21" s="150"/>
      <c r="BL21" s="172">
        <f t="shared" si="35"/>
        <v>13</v>
      </c>
      <c r="BM21" s="173" t="str">
        <f>C32</f>
        <v>4 Julio</v>
      </c>
      <c r="BN21" s="173">
        <f>D32</f>
        <v>0</v>
      </c>
      <c r="BO21" s="174">
        <f>E32</f>
        <v>0</v>
      </c>
      <c r="BP21" s="175" t="s">
        <v>409</v>
      </c>
      <c r="BQ21" s="172"/>
      <c r="BR21" s="172">
        <v>13</v>
      </c>
      <c r="BS21" s="176" t="e">
        <v>#REF!</v>
      </c>
      <c r="BT21" s="177"/>
      <c r="BU21" s="176" t="e">
        <v>#REF!</v>
      </c>
      <c r="BV21" s="177"/>
      <c r="BW21" s="172"/>
      <c r="BX21" s="163"/>
      <c r="BY21" s="178">
        <f>G32</f>
        <v>4458</v>
      </c>
      <c r="BZ21" s="179">
        <f>H32</f>
        <v>4682</v>
      </c>
      <c r="CA21" s="166" t="s">
        <v>410</v>
      </c>
      <c r="CB21" s="167" t="s">
        <v>424</v>
      </c>
    </row>
    <row r="22" spans="1:80" s="143" customFormat="1" ht="12.75" x14ac:dyDescent="0.25">
      <c r="A22" s="305">
        <v>8</v>
      </c>
      <c r="B22" s="394" t="s">
        <v>414</v>
      </c>
      <c r="C22" s="396" t="s">
        <v>391</v>
      </c>
      <c r="D22" s="396"/>
      <c r="E22" s="382"/>
      <c r="F22" s="388" t="str">
        <f t="shared" ref="F22" si="206">C22&amp;"-"&amp;D22&amp;"- Table"&amp;E22</f>
        <v>4 Julio-- Table</v>
      </c>
      <c r="G22" s="382">
        <v>3696</v>
      </c>
      <c r="H22" s="382">
        <v>4058</v>
      </c>
      <c r="I22" s="382" t="s">
        <v>26</v>
      </c>
      <c r="J22" s="382" t="s">
        <v>17</v>
      </c>
      <c r="K22" s="382" t="s">
        <v>7</v>
      </c>
      <c r="L22" s="382" t="s">
        <v>8</v>
      </c>
      <c r="M22" s="386">
        <v>6</v>
      </c>
      <c r="N22" s="382">
        <v>11</v>
      </c>
      <c r="O22" s="382">
        <v>9</v>
      </c>
      <c r="P22" s="382">
        <v>11</v>
      </c>
      <c r="Q22" s="382"/>
      <c r="R22" s="382"/>
      <c r="S22" s="382"/>
      <c r="T22" s="382"/>
      <c r="U22" s="382"/>
      <c r="V22" s="382"/>
      <c r="W22" s="382"/>
      <c r="X22" s="382"/>
      <c r="Y22" s="382"/>
      <c r="Z22" s="384"/>
      <c r="AA22" s="318">
        <f t="shared" ref="AA22" si="207">IF(M22+N22&lt;&gt;0,SUM(AF22:AL22),"")</f>
        <v>0</v>
      </c>
      <c r="AB22" s="318">
        <f t="shared" ref="AB22" si="208">IF(M22+N22&lt;&gt;0,SUM(AF23:AL23),"")</f>
        <v>2</v>
      </c>
      <c r="AC22" s="318" t="str">
        <f t="shared" ref="AC22" si="209">IF(AA22&gt;AB22,AD22&amp;"  "&amp;AE22,IF(AB22&gt;AA22,AD22&amp;"  "&amp;AE23,""))</f>
        <v>2 - 0  (6, 9)</v>
      </c>
      <c r="AD22" s="140" t="str">
        <f t="shared" ref="AD22" si="210">IF(AA22&gt;AB22,AA22&amp;" - "&amp;AB22,IF(AB22&gt;AA22,AB22&amp;" - "&amp;AA22,""))</f>
        <v>2 - 0</v>
      </c>
      <c r="AE22" s="140" t="str">
        <f t="shared" si="0"/>
        <v>(-6, -9)</v>
      </c>
      <c r="AF22" s="140">
        <f t="shared" ref="AF22" si="211">IF(M22&gt;N22,1,0)</f>
        <v>0</v>
      </c>
      <c r="AG22" s="140">
        <f t="shared" ref="AG22" si="212">IF(O22&gt;P22,1,0)</f>
        <v>0</v>
      </c>
      <c r="AH22" s="140">
        <f t="shared" ref="AH22" si="213">IF(Q22&gt;R22,1,0)</f>
        <v>0</v>
      </c>
      <c r="AI22" s="140">
        <f t="shared" ref="AI22" si="214">IF(S22&gt;T22,1,0)</f>
        <v>0</v>
      </c>
      <c r="AJ22" s="140">
        <f t="shared" ref="AJ22" si="215">IF(U22&gt;V22,1,0)</f>
        <v>0</v>
      </c>
      <c r="AK22" s="140">
        <f t="shared" ref="AK22" si="216">IF(W22&gt;X22,1,0)</f>
        <v>0</v>
      </c>
      <c r="AL22" s="140">
        <f t="shared" ref="AL22" si="217">IF(Y22&gt;Z22,1,0)</f>
        <v>0</v>
      </c>
      <c r="AM22" s="140">
        <f t="shared" ref="AM22" si="218">IF(M22&gt;N22,N22,IF(N22&gt;M22,-M22,""))</f>
        <v>-6</v>
      </c>
      <c r="AN22" s="140" t="str">
        <f t="shared" ref="AN22" si="219">IF(O22&gt;P22,", "&amp;P22,IF(P22&gt;O22,", "&amp;-O22,""))</f>
        <v>, -9</v>
      </c>
      <c r="AO22" s="140" t="str">
        <f t="shared" ref="AO22" si="220">IF(Q22&gt;R22,", "&amp;R22,IF(R22&gt;Q22,", "&amp;-Q22,""))</f>
        <v/>
      </c>
      <c r="AP22" s="140" t="str">
        <f t="shared" ref="AP22" si="221">IF(S22&gt;T22,", "&amp;T22,IF(T22&gt;S22,", "&amp;-S22,""))</f>
        <v/>
      </c>
      <c r="AQ22" s="140" t="str">
        <f t="shared" ref="AQ22" si="222">IF(U22&gt;V22,", "&amp;V22,IF(V22&gt;U22,", "&amp;-U22,""))</f>
        <v/>
      </c>
      <c r="AR22" s="140" t="str">
        <f t="shared" ref="AR22" si="223">IF(W22&gt;X22,", "&amp;X22,IF(X22&gt;W22,", "&amp;-W22,""))</f>
        <v/>
      </c>
      <c r="AS22" s="140" t="str">
        <f t="shared" ref="AS22" si="224">IF(Y22&gt;Z22,", "&amp;Z22,IF(Z22&gt;Y22,", "&amp;-Y22,""))</f>
        <v/>
      </c>
      <c r="AU22" s="155">
        <f>1+AU20</f>
        <v>8</v>
      </c>
      <c r="AV22" s="180">
        <f>VLOOKUP(AV21,$A$8:$L$87,8,FALSE)</f>
        <v>3671</v>
      </c>
      <c r="AW22" s="181" t="s">
        <v>9</v>
      </c>
      <c r="AX22" s="182" t="s">
        <v>10</v>
      </c>
      <c r="AY22" s="159"/>
      <c r="AZ22" s="160" t="str">
        <f>VLOOKUP(AV21,$A$8:$AD$91,29,FALSE)</f>
        <v>2 - 0  (10, 5)</v>
      </c>
      <c r="BA22" s="161"/>
      <c r="BB22" s="152"/>
      <c r="BC22" s="151"/>
      <c r="BD22" s="153"/>
      <c r="BE22" s="152"/>
      <c r="BF22" s="151"/>
      <c r="BG22" s="186"/>
      <c r="BH22" s="159"/>
      <c r="BI22" s="160" t="str">
        <f>VLOOKUP(BE23,$A$8:$AD$87,29,FALSE)</f>
        <v>3 - 1  (7, 7, -8, 7)</v>
      </c>
      <c r="BJ22" s="160"/>
      <c r="BL22" s="172">
        <f t="shared" si="35"/>
        <v>14</v>
      </c>
      <c r="BM22" s="173" t="str">
        <f>C34</f>
        <v>4 Julio</v>
      </c>
      <c r="BN22" s="173">
        <f>D34</f>
        <v>0</v>
      </c>
      <c r="BO22" s="174">
        <f>E34</f>
        <v>0</v>
      </c>
      <c r="BP22" s="175" t="s">
        <v>409</v>
      </c>
      <c r="BQ22" s="172"/>
      <c r="BR22" s="172">
        <v>14</v>
      </c>
      <c r="BS22" s="176" t="e">
        <v>#REF!</v>
      </c>
      <c r="BT22" s="177"/>
      <c r="BU22" s="176" t="e">
        <v>#REF!</v>
      </c>
      <c r="BV22" s="177"/>
      <c r="BW22" s="172"/>
      <c r="BX22" s="163"/>
      <c r="BY22" s="178">
        <f>G34</f>
        <v>4288</v>
      </c>
      <c r="BZ22" s="179">
        <f>H34</f>
        <v>3787</v>
      </c>
      <c r="CA22" s="166" t="s">
        <v>410</v>
      </c>
      <c r="CB22" s="167" t="s">
        <v>425</v>
      </c>
    </row>
    <row r="23" spans="1:80" s="143" customFormat="1" ht="12.75" x14ac:dyDescent="0.25">
      <c r="A23" s="305"/>
      <c r="B23" s="395"/>
      <c r="C23" s="397"/>
      <c r="D23" s="397"/>
      <c r="E23" s="383"/>
      <c r="F23" s="389"/>
      <c r="G23" s="383"/>
      <c r="H23" s="383"/>
      <c r="I23" s="383">
        <v>0</v>
      </c>
      <c r="J23" s="383">
        <v>0</v>
      </c>
      <c r="K23" s="383">
        <v>0</v>
      </c>
      <c r="L23" s="383">
        <v>0</v>
      </c>
      <c r="M23" s="387"/>
      <c r="N23" s="383"/>
      <c r="O23" s="383"/>
      <c r="P23" s="383"/>
      <c r="Q23" s="383"/>
      <c r="R23" s="383"/>
      <c r="S23" s="383"/>
      <c r="T23" s="383"/>
      <c r="U23" s="383"/>
      <c r="V23" s="383"/>
      <c r="W23" s="383"/>
      <c r="X23" s="383"/>
      <c r="Y23" s="383"/>
      <c r="Z23" s="385"/>
      <c r="AA23" s="318"/>
      <c r="AB23" s="318"/>
      <c r="AC23" s="318"/>
      <c r="AD23" s="140" t="str">
        <f t="shared" ref="AD23" si="225">IF(AA22&gt;AB22,AD22&amp;"  "&amp;AE22,IF(AB22&gt;AA22,AD22&amp;"  "&amp;AE23,""))</f>
        <v>2 - 0  (6, 9)</v>
      </c>
      <c r="AE23" s="140" t="str">
        <f t="shared" si="0"/>
        <v>(6, 9)</v>
      </c>
      <c r="AF23" s="140">
        <f t="shared" ref="AF23" si="226">IF(N22&gt;M22,1,0)</f>
        <v>1</v>
      </c>
      <c r="AG23" s="140">
        <f t="shared" ref="AG23" si="227">IF(P22&gt;O22,1,0)</f>
        <v>1</v>
      </c>
      <c r="AH23" s="140">
        <f t="shared" ref="AH23" si="228">IF(R22&gt;Q22,1,0)</f>
        <v>0</v>
      </c>
      <c r="AI23" s="140">
        <f t="shared" ref="AI23" si="229">IF(T22&gt;S22,1,0)</f>
        <v>0</v>
      </c>
      <c r="AJ23" s="140">
        <f t="shared" ref="AJ23" si="230">IF(V22&gt;U22,1,0)</f>
        <v>0</v>
      </c>
      <c r="AK23" s="140">
        <f t="shared" ref="AK23" si="231">IF(X22&gt;W22,1,0)</f>
        <v>0</v>
      </c>
      <c r="AL23" s="140">
        <f t="shared" ref="AL23" si="232">IF(Z22&gt;Y22,1,0)</f>
        <v>0</v>
      </c>
      <c r="AM23" s="140">
        <f t="shared" ref="AM23" si="233">IF(N22&gt;M22,M22,IF(M22&gt;N22,-N22,""))</f>
        <v>6</v>
      </c>
      <c r="AN23" s="140" t="str">
        <f t="shared" ref="AN23" si="234">IF(P22&gt;O22,", "&amp;O22,IF(O22&gt;P22,", "&amp;-P22,""))</f>
        <v>, 9</v>
      </c>
      <c r="AO23" s="140" t="str">
        <f t="shared" ref="AO23" si="235">IF(R22&gt;Q22,", "&amp;Q22,IF(Q22&gt;R22,", "&amp;-R22,""))</f>
        <v/>
      </c>
      <c r="AP23" s="140" t="str">
        <f t="shared" ref="AP23" si="236">IF(T22&gt;S22,", "&amp;S22,IF(S22&gt;T22,", "&amp;-T22,""))</f>
        <v/>
      </c>
      <c r="AQ23" s="140" t="str">
        <f t="shared" ref="AQ23" si="237">IF(V22&gt;U22,", "&amp;U22,IF(U22&gt;V22,", "&amp;-V22,""))</f>
        <v/>
      </c>
      <c r="AR23" s="140" t="str">
        <f t="shared" ref="AR23" si="238">IF(X22&gt;W22,", "&amp;W22,IF(W22&gt;X22,", "&amp;-X22,""))</f>
        <v/>
      </c>
      <c r="AS23" s="140" t="str">
        <f t="shared" ref="AS23" si="239">IF(Z22&gt;Y22,", "&amp;Y22,IF(Y22&gt;Z22,", "&amp;-Z22,""))</f>
        <v/>
      </c>
      <c r="AU23" s="144"/>
      <c r="AV23" s="145"/>
      <c r="AW23" s="151"/>
      <c r="AX23" s="150"/>
      <c r="AY23" s="152"/>
      <c r="AZ23" s="151"/>
      <c r="BA23" s="150"/>
      <c r="BB23" s="152"/>
      <c r="BC23" s="151"/>
      <c r="BD23" s="153"/>
      <c r="BE23" s="168">
        <v>29</v>
      </c>
      <c r="BF23" s="169" t="str">
        <f>VLOOKUP(BE23,$A$8:$L$87,6,FALSE)</f>
        <v>4 Julio-- Table</v>
      </c>
      <c r="BG23" s="186"/>
      <c r="BH23" s="171">
        <f>VLOOKUP(BH38,$A$8:$L$91,7,FALSE)</f>
        <v>3671</v>
      </c>
      <c r="BI23" s="157" t="s">
        <v>9</v>
      </c>
      <c r="BJ23" s="184" t="s">
        <v>10</v>
      </c>
      <c r="BL23" s="172">
        <f t="shared" si="35"/>
        <v>15</v>
      </c>
      <c r="BM23" s="173" t="str">
        <f>C36</f>
        <v>4 Julio</v>
      </c>
      <c r="BN23" s="173">
        <f>D36</f>
        <v>0</v>
      </c>
      <c r="BO23" s="174">
        <f>E36</f>
        <v>0</v>
      </c>
      <c r="BP23" s="175" t="s">
        <v>409</v>
      </c>
      <c r="BQ23" s="172"/>
      <c r="BR23" s="172">
        <v>15</v>
      </c>
      <c r="BS23" s="176" t="e">
        <v>#REF!</v>
      </c>
      <c r="BT23" s="177"/>
      <c r="BU23" s="176" t="e">
        <v>#REF!</v>
      </c>
      <c r="BV23" s="177"/>
      <c r="BW23" s="172"/>
      <c r="BX23" s="163"/>
      <c r="BY23" s="178">
        <f>G36</f>
        <v>3933</v>
      </c>
      <c r="BZ23" s="179">
        <f>H36</f>
        <v>4541</v>
      </c>
      <c r="CA23" s="166" t="s">
        <v>410</v>
      </c>
      <c r="CB23" s="167" t="s">
        <v>426</v>
      </c>
    </row>
    <row r="24" spans="1:80" s="143" customFormat="1" ht="12.75" x14ac:dyDescent="0.25">
      <c r="A24" s="305">
        <v>9</v>
      </c>
      <c r="B24" s="400" t="s">
        <v>414</v>
      </c>
      <c r="C24" s="402" t="s">
        <v>391</v>
      </c>
      <c r="D24" s="402"/>
      <c r="E24" s="390"/>
      <c r="F24" s="404" t="str">
        <f t="shared" ref="F24" si="240">C24&amp;"-"&amp;D24&amp;"- Table"&amp;E24</f>
        <v>4 Julio-- Table</v>
      </c>
      <c r="G24" s="390">
        <v>4297</v>
      </c>
      <c r="H24" s="390">
        <v>4527</v>
      </c>
      <c r="I24" s="390" t="s">
        <v>13</v>
      </c>
      <c r="J24" s="390" t="s">
        <v>14</v>
      </c>
      <c r="K24" s="390" t="s">
        <v>47</v>
      </c>
      <c r="L24" s="390" t="s">
        <v>6</v>
      </c>
      <c r="M24" s="398">
        <v>12</v>
      </c>
      <c r="N24" s="390">
        <v>10</v>
      </c>
      <c r="O24" s="390">
        <v>11</v>
      </c>
      <c r="P24" s="390">
        <v>3</v>
      </c>
      <c r="Q24" s="390"/>
      <c r="R24" s="390"/>
      <c r="S24" s="390"/>
      <c r="T24" s="390"/>
      <c r="U24" s="390"/>
      <c r="V24" s="390"/>
      <c r="W24" s="390"/>
      <c r="X24" s="390"/>
      <c r="Y24" s="390"/>
      <c r="Z24" s="392"/>
      <c r="AA24" s="318">
        <f t="shared" ref="AA24" si="241">IF(M24+N24&lt;&gt;0,SUM(AF24:AL24),"")</f>
        <v>2</v>
      </c>
      <c r="AB24" s="318">
        <f t="shared" ref="AB24" si="242">IF(M24+N24&lt;&gt;0,SUM(AF25:AL25),"")</f>
        <v>0</v>
      </c>
      <c r="AC24" s="318" t="str">
        <f t="shared" ref="AC24" si="243">IF(AA24&gt;AB24,AD24&amp;"  "&amp;AE24,IF(AB24&gt;AA24,AD24&amp;"  "&amp;AE25,""))</f>
        <v>2 - 0  (10, 3)</v>
      </c>
      <c r="AD24" s="140" t="str">
        <f t="shared" ref="AD24" si="244">IF(AA24&gt;AB24,AA24&amp;" - "&amp;AB24,IF(AB24&gt;AA24,AB24&amp;" - "&amp;AA24,""))</f>
        <v>2 - 0</v>
      </c>
      <c r="AE24" s="140" t="str">
        <f t="shared" si="0"/>
        <v>(10, 3)</v>
      </c>
      <c r="AF24" s="140">
        <f t="shared" ref="AF24" si="245">IF(M24&gt;N24,1,0)</f>
        <v>1</v>
      </c>
      <c r="AG24" s="140">
        <f t="shared" ref="AG24" si="246">IF(O24&gt;P24,1,0)</f>
        <v>1</v>
      </c>
      <c r="AH24" s="140">
        <f t="shared" ref="AH24" si="247">IF(Q24&gt;R24,1,0)</f>
        <v>0</v>
      </c>
      <c r="AI24" s="140">
        <f t="shared" ref="AI24" si="248">IF(S24&gt;T24,1,0)</f>
        <v>0</v>
      </c>
      <c r="AJ24" s="140">
        <f t="shared" ref="AJ24" si="249">IF(U24&gt;V24,1,0)</f>
        <v>0</v>
      </c>
      <c r="AK24" s="140">
        <f t="shared" ref="AK24" si="250">IF(W24&gt;X24,1,0)</f>
        <v>0</v>
      </c>
      <c r="AL24" s="140">
        <f t="shared" ref="AL24" si="251">IF(Y24&gt;Z24,1,0)</f>
        <v>0</v>
      </c>
      <c r="AM24" s="140">
        <f t="shared" ref="AM24" si="252">IF(M24&gt;N24,N24,IF(N24&gt;M24,-M24,""))</f>
        <v>10</v>
      </c>
      <c r="AN24" s="140" t="str">
        <f t="shared" ref="AN24" si="253">IF(O24&gt;P24,", "&amp;P24,IF(P24&gt;O24,", "&amp;-O24,""))</f>
        <v>, 3</v>
      </c>
      <c r="AO24" s="140" t="str">
        <f t="shared" ref="AO24" si="254">IF(Q24&gt;R24,", "&amp;R24,IF(R24&gt;Q24,", "&amp;-Q24,""))</f>
        <v/>
      </c>
      <c r="AP24" s="140" t="str">
        <f t="shared" ref="AP24" si="255">IF(S24&gt;T24,", "&amp;T24,IF(T24&gt;S24,", "&amp;-S24,""))</f>
        <v/>
      </c>
      <c r="AQ24" s="140" t="str">
        <f t="shared" ref="AQ24" si="256">IF(U24&gt;V24,", "&amp;V24,IF(V24&gt;U24,", "&amp;-U24,""))</f>
        <v/>
      </c>
      <c r="AR24" s="140" t="str">
        <f t="shared" ref="AR24" si="257">IF(W24&gt;X24,", "&amp;X24,IF(X24&gt;W24,", "&amp;-W24,""))</f>
        <v/>
      </c>
      <c r="AS24" s="140" t="str">
        <f t="shared" ref="AS24" si="258">IF(Y24&gt;Z24,", "&amp;Z24,IF(Z24&gt;Y24,", "&amp;-Y24,""))</f>
        <v/>
      </c>
      <c r="AU24" s="155">
        <f>1+AU22</f>
        <v>9</v>
      </c>
      <c r="AV24" s="156">
        <f>VLOOKUP(AV25,$A$8:$L$87,7,FALSE)</f>
        <v>4177</v>
      </c>
      <c r="AW24" s="157" t="s">
        <v>15</v>
      </c>
      <c r="AX24" s="158" t="s">
        <v>14</v>
      </c>
      <c r="AY24" s="159"/>
      <c r="AZ24" s="160" t="str">
        <f>VLOOKUP(AV25,$A$8:$AD$87,29,FALSE)</f>
        <v>2 - 0  (4, 4)</v>
      </c>
      <c r="BA24" s="161"/>
      <c r="BB24" s="152"/>
      <c r="BC24" s="151"/>
      <c r="BD24" s="153"/>
      <c r="BE24" s="152"/>
      <c r="BF24" s="151"/>
      <c r="BG24" s="186"/>
      <c r="BH24" s="152"/>
      <c r="BI24" s="154"/>
      <c r="BJ24" s="170"/>
      <c r="BL24" s="172">
        <f t="shared" si="35"/>
        <v>16</v>
      </c>
      <c r="BM24" s="173" t="str">
        <f>C38</f>
        <v>4 Julio</v>
      </c>
      <c r="BN24" s="173">
        <f>D38</f>
        <v>0</v>
      </c>
      <c r="BO24" s="174">
        <f>E38</f>
        <v>0</v>
      </c>
      <c r="BP24" s="175" t="s">
        <v>409</v>
      </c>
      <c r="BQ24" s="172"/>
      <c r="BR24" s="172">
        <v>16</v>
      </c>
      <c r="BS24" s="176" t="e">
        <v>#REF!</v>
      </c>
      <c r="BT24" s="177"/>
      <c r="BU24" s="176" t="e">
        <v>#REF!</v>
      </c>
      <c r="BV24" s="177"/>
      <c r="BW24" s="172"/>
      <c r="BX24" s="163"/>
      <c r="BY24" s="178">
        <f>G38</f>
        <v>4681</v>
      </c>
      <c r="BZ24" s="179">
        <f>H38</f>
        <v>3836</v>
      </c>
      <c r="CA24" s="166" t="s">
        <v>410</v>
      </c>
      <c r="CB24" s="167" t="s">
        <v>427</v>
      </c>
    </row>
    <row r="25" spans="1:80" s="143" customFormat="1" ht="12.75" x14ac:dyDescent="0.25">
      <c r="A25" s="305"/>
      <c r="B25" s="401"/>
      <c r="C25" s="403"/>
      <c r="D25" s="403"/>
      <c r="E25" s="391"/>
      <c r="F25" s="405"/>
      <c r="G25" s="391"/>
      <c r="H25" s="391"/>
      <c r="I25" s="391">
        <v>0</v>
      </c>
      <c r="J25" s="391">
        <v>0</v>
      </c>
      <c r="K25" s="391">
        <v>0</v>
      </c>
      <c r="L25" s="391">
        <v>0</v>
      </c>
      <c r="M25" s="399"/>
      <c r="N25" s="391"/>
      <c r="O25" s="391"/>
      <c r="P25" s="391"/>
      <c r="Q25" s="391"/>
      <c r="R25" s="391"/>
      <c r="S25" s="391"/>
      <c r="T25" s="391"/>
      <c r="U25" s="391"/>
      <c r="V25" s="391"/>
      <c r="W25" s="391"/>
      <c r="X25" s="391"/>
      <c r="Y25" s="391"/>
      <c r="Z25" s="393"/>
      <c r="AA25" s="318"/>
      <c r="AB25" s="318"/>
      <c r="AC25" s="318"/>
      <c r="AD25" s="140" t="str">
        <f t="shared" ref="AD25" si="259">IF(AA24&gt;AB24,AD24&amp;"  "&amp;AE24,IF(AB24&gt;AA24,AD24&amp;"  "&amp;AE25,""))</f>
        <v>2 - 0  (10, 3)</v>
      </c>
      <c r="AE25" s="140" t="str">
        <f t="shared" si="0"/>
        <v>(-10, -3)</v>
      </c>
      <c r="AF25" s="140">
        <f t="shared" ref="AF25" si="260">IF(N24&gt;M24,1,0)</f>
        <v>0</v>
      </c>
      <c r="AG25" s="140">
        <f t="shared" ref="AG25" si="261">IF(P24&gt;O24,1,0)</f>
        <v>0</v>
      </c>
      <c r="AH25" s="140">
        <f t="shared" ref="AH25" si="262">IF(R24&gt;Q24,1,0)</f>
        <v>0</v>
      </c>
      <c r="AI25" s="140">
        <f t="shared" ref="AI25" si="263">IF(T24&gt;S24,1,0)</f>
        <v>0</v>
      </c>
      <c r="AJ25" s="140">
        <f t="shared" ref="AJ25" si="264">IF(V24&gt;U24,1,0)</f>
        <v>0</v>
      </c>
      <c r="AK25" s="140">
        <f t="shared" ref="AK25" si="265">IF(X24&gt;W24,1,0)</f>
        <v>0</v>
      </c>
      <c r="AL25" s="140">
        <f t="shared" ref="AL25" si="266">IF(Z24&gt;Y24,1,0)</f>
        <v>0</v>
      </c>
      <c r="AM25" s="140">
        <f t="shared" ref="AM25" si="267">IF(N24&gt;M24,M24,IF(M24&gt;N24,-N24,""))</f>
        <v>-10</v>
      </c>
      <c r="AN25" s="140" t="str">
        <f t="shared" ref="AN25" si="268">IF(P24&gt;O24,", "&amp;O24,IF(O24&gt;P24,", "&amp;-P24,""))</f>
        <v>, -3</v>
      </c>
      <c r="AO25" s="140" t="str">
        <f t="shared" ref="AO25" si="269">IF(R24&gt;Q24,", "&amp;Q24,IF(Q24&gt;R24,", "&amp;-R24,""))</f>
        <v/>
      </c>
      <c r="AP25" s="140" t="str">
        <f t="shared" ref="AP25" si="270">IF(T24&gt;S24,", "&amp;S24,IF(S24&gt;T24,", "&amp;-T24,""))</f>
        <v/>
      </c>
      <c r="AQ25" s="140" t="str">
        <f t="shared" ref="AQ25" si="271">IF(V24&gt;U24,", "&amp;U24,IF(U24&gt;V24,", "&amp;-V24,""))</f>
        <v/>
      </c>
      <c r="AR25" s="140" t="str">
        <f t="shared" ref="AR25" si="272">IF(X24&gt;W24,", "&amp;W24,IF(W24&gt;X24,", "&amp;-X24,""))</f>
        <v/>
      </c>
      <c r="AS25" s="140" t="str">
        <f t="shared" ref="AS25" si="273">IF(Z24&gt;Y24,", "&amp;Y24,IF(Y24&gt;Z24,", "&amp;-Z24,""))</f>
        <v/>
      </c>
      <c r="AU25" s="144"/>
      <c r="AV25" s="168">
        <v>5</v>
      </c>
      <c r="AW25" s="169" t="str">
        <f>VLOOKUP(AV25,$A$8:$L$87,6,FALSE)</f>
        <v>4 Julio-- Table</v>
      </c>
      <c r="AX25" s="170"/>
      <c r="AY25" s="171">
        <f>VLOOKUP(AY27,$A$8:$L$91,7,FALSE)</f>
        <v>4177</v>
      </c>
      <c r="AZ25" s="157" t="s">
        <v>15</v>
      </c>
      <c r="BA25" s="158" t="s">
        <v>14</v>
      </c>
      <c r="BB25" s="152"/>
      <c r="BC25" s="151"/>
      <c r="BD25" s="153"/>
      <c r="BE25" s="152"/>
      <c r="BF25" s="154"/>
      <c r="BG25" s="170"/>
      <c r="BH25" s="152"/>
      <c r="BI25" s="154"/>
      <c r="BJ25" s="170"/>
      <c r="BL25" s="189">
        <f t="shared" si="35"/>
        <v>17</v>
      </c>
      <c r="BM25" s="190" t="str">
        <f>C40</f>
        <v>4 Julio</v>
      </c>
      <c r="BN25" s="190">
        <f>D40</f>
        <v>0</v>
      </c>
      <c r="BO25" s="191">
        <f>E40</f>
        <v>0</v>
      </c>
      <c r="BP25" s="192" t="s">
        <v>409</v>
      </c>
      <c r="BQ25" s="189"/>
      <c r="BR25" s="189">
        <v>33</v>
      </c>
      <c r="BS25" s="193" t="e">
        <v>#REF!</v>
      </c>
      <c r="BT25" s="189"/>
      <c r="BU25" s="193" t="e">
        <v>#REF!</v>
      </c>
      <c r="BV25" s="189"/>
      <c r="BW25" s="189"/>
      <c r="BY25" s="178">
        <f>G40</f>
        <v>4002</v>
      </c>
      <c r="BZ25" s="179">
        <f>H40</f>
        <v>4025</v>
      </c>
      <c r="CA25" s="166" t="s">
        <v>410</v>
      </c>
      <c r="CB25" s="167" t="s">
        <v>428</v>
      </c>
    </row>
    <row r="26" spans="1:80" s="143" customFormat="1" ht="12.75" x14ac:dyDescent="0.25">
      <c r="A26" s="305">
        <v>10</v>
      </c>
      <c r="B26" s="394" t="s">
        <v>414</v>
      </c>
      <c r="C26" s="396" t="s">
        <v>391</v>
      </c>
      <c r="D26" s="396"/>
      <c r="E26" s="382"/>
      <c r="F26" s="388" t="str">
        <f t="shared" ref="F26" si="274">C26&amp;"-"&amp;D26&amp;"- Table"&amp;E26</f>
        <v>4 Julio-- Table</v>
      </c>
      <c r="G26" s="382">
        <v>4182</v>
      </c>
      <c r="H26" s="382">
        <v>3450</v>
      </c>
      <c r="I26" s="382" t="s">
        <v>36</v>
      </c>
      <c r="J26" s="382" t="s">
        <v>8</v>
      </c>
      <c r="K26" s="382" t="s">
        <v>19</v>
      </c>
      <c r="L26" s="382" t="s">
        <v>10</v>
      </c>
      <c r="M26" s="386">
        <v>8</v>
      </c>
      <c r="N26" s="382">
        <v>11</v>
      </c>
      <c r="O26" s="382">
        <v>8</v>
      </c>
      <c r="P26" s="382">
        <v>11</v>
      </c>
      <c r="Q26" s="382"/>
      <c r="R26" s="382"/>
      <c r="S26" s="382"/>
      <c r="T26" s="382"/>
      <c r="U26" s="382"/>
      <c r="V26" s="382"/>
      <c r="W26" s="382"/>
      <c r="X26" s="382"/>
      <c r="Y26" s="382"/>
      <c r="Z26" s="384"/>
      <c r="AA26" s="318">
        <f t="shared" ref="AA26" si="275">IF(M26+N26&lt;&gt;0,SUM(AF26:AL26),"")</f>
        <v>0</v>
      </c>
      <c r="AB26" s="318">
        <f t="shared" ref="AB26" si="276">IF(M26+N26&lt;&gt;0,SUM(AF27:AL27),"")</f>
        <v>2</v>
      </c>
      <c r="AC26" s="318" t="str">
        <f t="shared" ref="AC26" si="277">IF(AA26&gt;AB26,AD26&amp;"  "&amp;AE26,IF(AB26&gt;AA26,AD26&amp;"  "&amp;AE27,""))</f>
        <v>2 - 0  (8, 8)</v>
      </c>
      <c r="AD26" s="140" t="str">
        <f t="shared" ref="AD26" si="278">IF(AA26&gt;AB26,AA26&amp;" - "&amp;AB26,IF(AB26&gt;AA26,AB26&amp;" - "&amp;AA26,""))</f>
        <v>2 - 0</v>
      </c>
      <c r="AE26" s="140" t="str">
        <f t="shared" si="0"/>
        <v>(-8, -8)</v>
      </c>
      <c r="AF26" s="140">
        <f t="shared" ref="AF26" si="279">IF(M26&gt;N26,1,0)</f>
        <v>0</v>
      </c>
      <c r="AG26" s="140">
        <f t="shared" ref="AG26" si="280">IF(O26&gt;P26,1,0)</f>
        <v>0</v>
      </c>
      <c r="AH26" s="140">
        <f t="shared" ref="AH26" si="281">IF(Q26&gt;R26,1,0)</f>
        <v>0</v>
      </c>
      <c r="AI26" s="140">
        <f t="shared" ref="AI26" si="282">IF(S26&gt;T26,1,0)</f>
        <v>0</v>
      </c>
      <c r="AJ26" s="140">
        <f t="shared" ref="AJ26" si="283">IF(U26&gt;V26,1,0)</f>
        <v>0</v>
      </c>
      <c r="AK26" s="140">
        <f t="shared" ref="AK26" si="284">IF(W26&gt;X26,1,0)</f>
        <v>0</v>
      </c>
      <c r="AL26" s="140">
        <f t="shared" ref="AL26" si="285">IF(Y26&gt;Z26,1,0)</f>
        <v>0</v>
      </c>
      <c r="AM26" s="140">
        <f t="shared" ref="AM26" si="286">IF(M26&gt;N26,N26,IF(N26&gt;M26,-M26,""))</f>
        <v>-8</v>
      </c>
      <c r="AN26" s="140" t="str">
        <f t="shared" ref="AN26" si="287">IF(O26&gt;P26,", "&amp;P26,IF(P26&gt;O26,", "&amp;-O26,""))</f>
        <v>, -8</v>
      </c>
      <c r="AO26" s="140" t="str">
        <f t="shared" ref="AO26" si="288">IF(Q26&gt;R26,", "&amp;R26,IF(R26&gt;Q26,", "&amp;-Q26,""))</f>
        <v/>
      </c>
      <c r="AP26" s="140" t="str">
        <f t="shared" ref="AP26" si="289">IF(S26&gt;T26,", "&amp;T26,IF(T26&gt;S26,", "&amp;-S26,""))</f>
        <v/>
      </c>
      <c r="AQ26" s="140" t="str">
        <f t="shared" ref="AQ26" si="290">IF(U26&gt;V26,", "&amp;V26,IF(V26&gt;U26,", "&amp;-U26,""))</f>
        <v/>
      </c>
      <c r="AR26" s="140" t="str">
        <f t="shared" ref="AR26" si="291">IF(W26&gt;X26,", "&amp;X26,IF(X26&gt;W26,", "&amp;-W26,""))</f>
        <v/>
      </c>
      <c r="AS26" s="140" t="str">
        <f t="shared" ref="AS26" si="292">IF(Y26&gt;Z26,", "&amp;Z26,IF(Z26&gt;Y26,", "&amp;-Y26,""))</f>
        <v/>
      </c>
      <c r="AU26" s="155">
        <f>1+AU24</f>
        <v>10</v>
      </c>
      <c r="AV26" s="180">
        <f>VLOOKUP(AV25,$A$8:$L$87,8,FALSE)</f>
        <v>4514</v>
      </c>
      <c r="AW26" s="181" t="s">
        <v>37</v>
      </c>
      <c r="AX26" s="182" t="s">
        <v>24</v>
      </c>
      <c r="AY26" s="152"/>
      <c r="AZ26" s="151"/>
      <c r="BA26" s="170"/>
      <c r="BB26" s="159"/>
      <c r="BC26" s="160" t="str">
        <f>VLOOKUP(AY27,$A$8:$AD$87,29,FALSE)</f>
        <v>2 - 1  (-7, 9, 11)</v>
      </c>
      <c r="BD26" s="160"/>
      <c r="BE26" s="152"/>
      <c r="BF26" s="154"/>
      <c r="BG26" s="170"/>
      <c r="BH26" s="152"/>
      <c r="BI26" s="154"/>
      <c r="BJ26" s="170"/>
      <c r="BL26" s="189">
        <f t="shared" si="35"/>
        <v>18</v>
      </c>
      <c r="BM26" s="190" t="str">
        <f>C42</f>
        <v>4 Julio</v>
      </c>
      <c r="BN26" s="190">
        <f>D42</f>
        <v>0</v>
      </c>
      <c r="BO26" s="191">
        <f>E42</f>
        <v>0</v>
      </c>
      <c r="BP26" s="192" t="s">
        <v>409</v>
      </c>
      <c r="BQ26" s="189"/>
      <c r="BR26" s="189">
        <v>34</v>
      </c>
      <c r="BS26" s="193" t="e">
        <v>#REF!</v>
      </c>
      <c r="BT26" s="189"/>
      <c r="BU26" s="193" t="e">
        <v>#REF!</v>
      </c>
      <c r="BV26" s="189"/>
      <c r="BW26" s="189"/>
      <c r="BY26" s="178">
        <f>G42</f>
        <v>4511</v>
      </c>
      <c r="BZ26" s="179">
        <f>H42</f>
        <v>3671</v>
      </c>
      <c r="CA26" s="166" t="s">
        <v>410</v>
      </c>
      <c r="CB26" s="167" t="s">
        <v>429</v>
      </c>
    </row>
    <row r="27" spans="1:80" s="143" customFormat="1" ht="12.75" x14ac:dyDescent="0.25">
      <c r="A27" s="305"/>
      <c r="B27" s="395"/>
      <c r="C27" s="397"/>
      <c r="D27" s="397"/>
      <c r="E27" s="383"/>
      <c r="F27" s="389"/>
      <c r="G27" s="383"/>
      <c r="H27" s="383"/>
      <c r="I27" s="383">
        <v>0</v>
      </c>
      <c r="J27" s="383">
        <v>0</v>
      </c>
      <c r="K27" s="383">
        <v>0</v>
      </c>
      <c r="L27" s="383">
        <v>0</v>
      </c>
      <c r="M27" s="387"/>
      <c r="N27" s="383"/>
      <c r="O27" s="383"/>
      <c r="P27" s="383"/>
      <c r="Q27" s="383"/>
      <c r="R27" s="383"/>
      <c r="S27" s="383"/>
      <c r="T27" s="383"/>
      <c r="U27" s="383"/>
      <c r="V27" s="383"/>
      <c r="W27" s="383"/>
      <c r="X27" s="383"/>
      <c r="Y27" s="383"/>
      <c r="Z27" s="385"/>
      <c r="AA27" s="318"/>
      <c r="AB27" s="318"/>
      <c r="AC27" s="318"/>
      <c r="AD27" s="140" t="str">
        <f t="shared" ref="AD27" si="293">IF(AA26&gt;AB26,AD26&amp;"  "&amp;AE26,IF(AB26&gt;AA26,AD26&amp;"  "&amp;AE27,""))</f>
        <v>2 - 0  (8, 8)</v>
      </c>
      <c r="AE27" s="140" t="str">
        <f t="shared" si="0"/>
        <v>(8, 8)</v>
      </c>
      <c r="AF27" s="140">
        <f t="shared" ref="AF27" si="294">IF(N26&gt;M26,1,0)</f>
        <v>1</v>
      </c>
      <c r="AG27" s="140">
        <f t="shared" ref="AG27" si="295">IF(P26&gt;O26,1,0)</f>
        <v>1</v>
      </c>
      <c r="AH27" s="140">
        <f t="shared" ref="AH27" si="296">IF(R26&gt;Q26,1,0)</f>
        <v>0</v>
      </c>
      <c r="AI27" s="140">
        <f t="shared" ref="AI27" si="297">IF(T26&gt;S26,1,0)</f>
        <v>0</v>
      </c>
      <c r="AJ27" s="140">
        <f t="shared" ref="AJ27" si="298">IF(V26&gt;U26,1,0)</f>
        <v>0</v>
      </c>
      <c r="AK27" s="140">
        <f t="shared" ref="AK27" si="299">IF(X26&gt;W26,1,0)</f>
        <v>0</v>
      </c>
      <c r="AL27" s="140">
        <f t="shared" ref="AL27" si="300">IF(Z26&gt;Y26,1,0)</f>
        <v>0</v>
      </c>
      <c r="AM27" s="140">
        <f t="shared" ref="AM27" si="301">IF(N26&gt;M26,M26,IF(M26&gt;N26,-N26,""))</f>
        <v>8</v>
      </c>
      <c r="AN27" s="140" t="str">
        <f t="shared" ref="AN27" si="302">IF(P26&gt;O26,", "&amp;O26,IF(O26&gt;P26,", "&amp;-P26,""))</f>
        <v>, 8</v>
      </c>
      <c r="AO27" s="140" t="str">
        <f t="shared" ref="AO27" si="303">IF(R26&gt;Q26,", "&amp;Q26,IF(Q26&gt;R26,", "&amp;-R26,""))</f>
        <v/>
      </c>
      <c r="AP27" s="140" t="str">
        <f t="shared" ref="AP27" si="304">IF(T26&gt;S26,", "&amp;S26,IF(S26&gt;T26,", "&amp;-T26,""))</f>
        <v/>
      </c>
      <c r="AQ27" s="140" t="str">
        <f t="shared" ref="AQ27" si="305">IF(V26&gt;U26,", "&amp;U26,IF(U26&gt;V26,", "&amp;-V26,""))</f>
        <v/>
      </c>
      <c r="AR27" s="140" t="str">
        <f t="shared" ref="AR27" si="306">IF(X26&gt;W26,", "&amp;W26,IF(W26&gt;X26,", "&amp;-X26,""))</f>
        <v/>
      </c>
      <c r="AS27" s="140" t="str">
        <f t="shared" ref="AS27" si="307">IF(Z26&gt;Y26,", "&amp;Y26,IF(Y26&gt;Z26,", "&amp;-Z26,""))</f>
        <v/>
      </c>
      <c r="AU27" s="144"/>
      <c r="AV27" s="145"/>
      <c r="AW27" s="151"/>
      <c r="AX27" s="150"/>
      <c r="AY27" s="168">
        <v>19</v>
      </c>
      <c r="AZ27" s="169" t="str">
        <f>VLOOKUP(AY27,$A$8:$L$87,6,FALSE)</f>
        <v>4 Julio-- Table</v>
      </c>
      <c r="BA27" s="183"/>
      <c r="BB27" s="171">
        <f>VLOOKUP(BB31,$A$8:$L$91,7,FALSE)</f>
        <v>4128</v>
      </c>
      <c r="BC27" s="157" t="s">
        <v>23</v>
      </c>
      <c r="BD27" s="184" t="s">
        <v>24</v>
      </c>
      <c r="BE27" s="152"/>
      <c r="BF27" s="154"/>
      <c r="BG27" s="170"/>
      <c r="BH27" s="152"/>
      <c r="BI27" s="154"/>
      <c r="BJ27" s="170"/>
      <c r="BL27" s="189">
        <f t="shared" si="35"/>
        <v>19</v>
      </c>
      <c r="BM27" s="190" t="str">
        <f>C44</f>
        <v>4 Julio</v>
      </c>
      <c r="BN27" s="190">
        <f>D44</f>
        <v>0</v>
      </c>
      <c r="BO27" s="191">
        <f>E44</f>
        <v>0</v>
      </c>
      <c r="BP27" s="192" t="s">
        <v>409</v>
      </c>
      <c r="BQ27" s="189"/>
      <c r="BR27" s="189">
        <v>35</v>
      </c>
      <c r="BS27" s="193" t="e">
        <v>#REF!</v>
      </c>
      <c r="BT27" s="189"/>
      <c r="BU27" s="193" t="e">
        <v>#REF!</v>
      </c>
      <c r="BV27" s="189"/>
      <c r="BW27" s="189"/>
      <c r="BY27" s="178">
        <f>G44</f>
        <v>4177</v>
      </c>
      <c r="BZ27" s="179">
        <f>H44</f>
        <v>4128</v>
      </c>
      <c r="CA27" s="166" t="s">
        <v>410</v>
      </c>
      <c r="CB27" s="167" t="s">
        <v>430</v>
      </c>
    </row>
    <row r="28" spans="1:80" s="143" customFormat="1" ht="12.75" x14ac:dyDescent="0.25">
      <c r="A28" s="305">
        <v>11</v>
      </c>
      <c r="B28" s="400" t="s">
        <v>414</v>
      </c>
      <c r="C28" s="402" t="s">
        <v>391</v>
      </c>
      <c r="D28" s="402"/>
      <c r="E28" s="390"/>
      <c r="F28" s="404" t="str">
        <f t="shared" ref="F28" si="308">C28&amp;"-"&amp;D28&amp;"- Table"&amp;E28</f>
        <v>4 Julio-- Table</v>
      </c>
      <c r="G28" s="390">
        <v>3504</v>
      </c>
      <c r="H28" s="390">
        <v>4066</v>
      </c>
      <c r="I28" s="390" t="s">
        <v>30</v>
      </c>
      <c r="J28" s="390" t="s">
        <v>14</v>
      </c>
      <c r="K28" s="390" t="s">
        <v>42</v>
      </c>
      <c r="L28" s="390" t="s">
        <v>24</v>
      </c>
      <c r="M28" s="398">
        <v>11</v>
      </c>
      <c r="N28" s="390">
        <v>4</v>
      </c>
      <c r="O28" s="390">
        <v>11</v>
      </c>
      <c r="P28" s="390">
        <v>4</v>
      </c>
      <c r="Q28" s="390"/>
      <c r="R28" s="390"/>
      <c r="S28" s="390"/>
      <c r="T28" s="390"/>
      <c r="U28" s="390"/>
      <c r="V28" s="390"/>
      <c r="W28" s="390"/>
      <c r="X28" s="390"/>
      <c r="Y28" s="390"/>
      <c r="Z28" s="392"/>
      <c r="AA28" s="318">
        <f t="shared" ref="AA28" si="309">IF(M28+N28&lt;&gt;0,SUM(AF28:AL28),"")</f>
        <v>2</v>
      </c>
      <c r="AB28" s="318">
        <f t="shared" ref="AB28" si="310">IF(M28+N28&lt;&gt;0,SUM(AF29:AL29),"")</f>
        <v>0</v>
      </c>
      <c r="AC28" s="318" t="str">
        <f t="shared" ref="AC28" si="311">IF(AA28&gt;AB28,AD28&amp;"  "&amp;AE28,IF(AB28&gt;AA28,AD28&amp;"  "&amp;AE29,""))</f>
        <v>2 - 0  (4, 4)</v>
      </c>
      <c r="AD28" s="140" t="str">
        <f t="shared" ref="AD28" si="312">IF(AA28&gt;AB28,AA28&amp;" - "&amp;AB28,IF(AB28&gt;AA28,AB28&amp;" - "&amp;AA28,""))</f>
        <v>2 - 0</v>
      </c>
      <c r="AE28" s="140" t="str">
        <f t="shared" si="0"/>
        <v>(4, 4)</v>
      </c>
      <c r="AF28" s="140">
        <f t="shared" ref="AF28" si="313">IF(M28&gt;N28,1,0)</f>
        <v>1</v>
      </c>
      <c r="AG28" s="140">
        <f t="shared" ref="AG28" si="314">IF(O28&gt;P28,1,0)</f>
        <v>1</v>
      </c>
      <c r="AH28" s="140">
        <f t="shared" ref="AH28" si="315">IF(Q28&gt;R28,1,0)</f>
        <v>0</v>
      </c>
      <c r="AI28" s="140">
        <f t="shared" ref="AI28" si="316">IF(S28&gt;T28,1,0)</f>
        <v>0</v>
      </c>
      <c r="AJ28" s="140">
        <f t="shared" ref="AJ28" si="317">IF(U28&gt;V28,1,0)</f>
        <v>0</v>
      </c>
      <c r="AK28" s="140">
        <f t="shared" ref="AK28" si="318">IF(W28&gt;X28,1,0)</f>
        <v>0</v>
      </c>
      <c r="AL28" s="140">
        <f t="shared" ref="AL28" si="319">IF(Y28&gt;Z28,1,0)</f>
        <v>0</v>
      </c>
      <c r="AM28" s="140">
        <f t="shared" ref="AM28" si="320">IF(M28&gt;N28,N28,IF(N28&gt;M28,-M28,""))</f>
        <v>4</v>
      </c>
      <c r="AN28" s="140" t="str">
        <f t="shared" ref="AN28" si="321">IF(O28&gt;P28,", "&amp;P28,IF(P28&gt;O28,", "&amp;-O28,""))</f>
        <v>, 4</v>
      </c>
      <c r="AO28" s="140" t="str">
        <f t="shared" ref="AO28" si="322">IF(Q28&gt;R28,", "&amp;R28,IF(R28&gt;Q28,", "&amp;-Q28,""))</f>
        <v/>
      </c>
      <c r="AP28" s="140" t="str">
        <f t="shared" ref="AP28" si="323">IF(S28&gt;T28,", "&amp;T28,IF(T28&gt;S28,", "&amp;-S28,""))</f>
        <v/>
      </c>
      <c r="AQ28" s="140" t="str">
        <f t="shared" ref="AQ28" si="324">IF(U28&gt;V28,", "&amp;V28,IF(V28&gt;U28,", "&amp;-U28,""))</f>
        <v/>
      </c>
      <c r="AR28" s="140" t="str">
        <f t="shared" ref="AR28" si="325">IF(W28&gt;X28,", "&amp;X28,IF(X28&gt;W28,", "&amp;-W28,""))</f>
        <v/>
      </c>
      <c r="AS28" s="140" t="str">
        <f t="shared" ref="AS28" si="326">IF(Y28&gt;Z28,", "&amp;Z28,IF(Z28&gt;Y28,", "&amp;-Y28,""))</f>
        <v/>
      </c>
      <c r="AU28" s="155">
        <f>1+AU26</f>
        <v>11</v>
      </c>
      <c r="AV28" s="156">
        <f>VLOOKUP(AV29,$A$8:$L$87,7,FALSE)</f>
        <v>4463</v>
      </c>
      <c r="AW28" s="157" t="s">
        <v>31</v>
      </c>
      <c r="AX28" s="158" t="s">
        <v>14</v>
      </c>
      <c r="AY28" s="185"/>
      <c r="AZ28" s="151"/>
      <c r="BA28" s="170"/>
      <c r="BB28" s="152"/>
      <c r="BC28" s="151"/>
      <c r="BD28" s="186"/>
      <c r="BE28" s="152"/>
      <c r="BF28" s="154"/>
      <c r="BG28" s="170"/>
      <c r="BH28" s="152"/>
      <c r="BI28" s="154"/>
      <c r="BJ28" s="170"/>
      <c r="BL28" s="189">
        <f t="shared" si="35"/>
        <v>20</v>
      </c>
      <c r="BM28" s="190" t="str">
        <f>C46</f>
        <v>4 Julio</v>
      </c>
      <c r="BN28" s="190">
        <f>D46</f>
        <v>0</v>
      </c>
      <c r="BO28" s="191">
        <f>E46</f>
        <v>0</v>
      </c>
      <c r="BP28" s="192" t="s">
        <v>409</v>
      </c>
      <c r="BQ28" s="189"/>
      <c r="BR28" s="189">
        <v>36</v>
      </c>
      <c r="BS28" s="193" t="e">
        <v>#REF!</v>
      </c>
      <c r="BT28" s="189"/>
      <c r="BU28" s="193" t="e">
        <v>#REF!</v>
      </c>
      <c r="BV28" s="189"/>
      <c r="BW28" s="189"/>
      <c r="BY28" s="178">
        <f>G46</f>
        <v>4674</v>
      </c>
      <c r="BZ28" s="179">
        <f>H46</f>
        <v>4058</v>
      </c>
      <c r="CA28" s="166" t="s">
        <v>410</v>
      </c>
      <c r="CB28" s="167" t="s">
        <v>431</v>
      </c>
    </row>
    <row r="29" spans="1:80" s="143" customFormat="1" ht="12.75" x14ac:dyDescent="0.25">
      <c r="A29" s="305"/>
      <c r="B29" s="401"/>
      <c r="C29" s="403"/>
      <c r="D29" s="403"/>
      <c r="E29" s="391"/>
      <c r="F29" s="405"/>
      <c r="G29" s="391"/>
      <c r="H29" s="391"/>
      <c r="I29" s="391">
        <v>0</v>
      </c>
      <c r="J29" s="391">
        <v>0</v>
      </c>
      <c r="K29" s="391">
        <v>0</v>
      </c>
      <c r="L29" s="391">
        <v>0</v>
      </c>
      <c r="M29" s="399"/>
      <c r="N29" s="391"/>
      <c r="O29" s="391"/>
      <c r="P29" s="391"/>
      <c r="Q29" s="391"/>
      <c r="R29" s="391"/>
      <c r="S29" s="391"/>
      <c r="T29" s="391"/>
      <c r="U29" s="391"/>
      <c r="V29" s="391"/>
      <c r="W29" s="391"/>
      <c r="X29" s="391"/>
      <c r="Y29" s="391"/>
      <c r="Z29" s="393"/>
      <c r="AA29" s="318"/>
      <c r="AB29" s="318"/>
      <c r="AC29" s="318"/>
      <c r="AD29" s="140" t="str">
        <f t="shared" ref="AD29" si="327">IF(AA28&gt;AB28,AD28&amp;"  "&amp;AE28,IF(AB28&gt;AA28,AD28&amp;"  "&amp;AE29,""))</f>
        <v>2 - 0  (4, 4)</v>
      </c>
      <c r="AE29" s="140" t="str">
        <f t="shared" si="0"/>
        <v>(-4, -4)</v>
      </c>
      <c r="AF29" s="140">
        <f t="shared" ref="AF29" si="328">IF(N28&gt;M28,1,0)</f>
        <v>0</v>
      </c>
      <c r="AG29" s="140">
        <f t="shared" ref="AG29" si="329">IF(P28&gt;O28,1,0)</f>
        <v>0</v>
      </c>
      <c r="AH29" s="140">
        <f t="shared" ref="AH29" si="330">IF(R28&gt;Q28,1,0)</f>
        <v>0</v>
      </c>
      <c r="AI29" s="140">
        <f t="shared" ref="AI29" si="331">IF(T28&gt;S28,1,0)</f>
        <v>0</v>
      </c>
      <c r="AJ29" s="140">
        <f t="shared" ref="AJ29" si="332">IF(V28&gt;U28,1,0)</f>
        <v>0</v>
      </c>
      <c r="AK29" s="140">
        <f t="shared" ref="AK29" si="333">IF(X28&gt;W28,1,0)</f>
        <v>0</v>
      </c>
      <c r="AL29" s="140">
        <f t="shared" ref="AL29" si="334">IF(Z28&gt;Y28,1,0)</f>
        <v>0</v>
      </c>
      <c r="AM29" s="140">
        <f t="shared" ref="AM29" si="335">IF(N28&gt;M28,M28,IF(M28&gt;N28,-N28,""))</f>
        <v>-4</v>
      </c>
      <c r="AN29" s="140" t="str">
        <f t="shared" ref="AN29" si="336">IF(P28&gt;O28,", "&amp;O28,IF(O28&gt;P28,", "&amp;-P28,""))</f>
        <v>, -4</v>
      </c>
      <c r="AO29" s="140" t="str">
        <f t="shared" ref="AO29" si="337">IF(R28&gt;Q28,", "&amp;Q28,IF(Q28&gt;R28,", "&amp;-R28,""))</f>
        <v/>
      </c>
      <c r="AP29" s="140" t="str">
        <f t="shared" ref="AP29" si="338">IF(T28&gt;S28,", "&amp;S28,IF(S28&gt;T28,", "&amp;-T28,""))</f>
        <v/>
      </c>
      <c r="AQ29" s="140" t="str">
        <f t="shared" ref="AQ29" si="339">IF(V28&gt;U28,", "&amp;U28,IF(U28&gt;V28,", "&amp;-V28,""))</f>
        <v/>
      </c>
      <c r="AR29" s="140" t="str">
        <f t="shared" ref="AR29" si="340">IF(X28&gt;W28,", "&amp;W28,IF(W28&gt;X28,", "&amp;-X28,""))</f>
        <v/>
      </c>
      <c r="AS29" s="140" t="str">
        <f t="shared" ref="AS29" si="341">IF(Z28&gt;Y28,", "&amp;Y28,IF(Y28&gt;Z28,", "&amp;-Z28,""))</f>
        <v/>
      </c>
      <c r="AU29" s="144"/>
      <c r="AV29" s="168">
        <v>6</v>
      </c>
      <c r="AW29" s="169" t="str">
        <f>VLOOKUP(AV29,$A$8:$L$87,6,FALSE)</f>
        <v>4 Julio-- Table</v>
      </c>
      <c r="AX29" s="170"/>
      <c r="AY29" s="187">
        <f>VLOOKUP(AY27,$A$8:$L$91,8,FALSE)</f>
        <v>4128</v>
      </c>
      <c r="AZ29" s="181" t="s">
        <v>23</v>
      </c>
      <c r="BA29" s="182" t="s">
        <v>24</v>
      </c>
      <c r="BB29" s="152"/>
      <c r="BC29" s="151"/>
      <c r="BD29" s="186"/>
      <c r="BE29" s="152"/>
      <c r="BF29" s="154"/>
      <c r="BG29" s="170"/>
      <c r="BH29" s="152"/>
      <c r="BI29" s="154"/>
      <c r="BJ29" s="170"/>
      <c r="BL29" s="189">
        <f t="shared" si="35"/>
        <v>21</v>
      </c>
      <c r="BM29" s="190" t="str">
        <f>C48</f>
        <v>4 Julio</v>
      </c>
      <c r="BN29" s="190">
        <f>D48</f>
        <v>0</v>
      </c>
      <c r="BO29" s="191">
        <f>E48</f>
        <v>0</v>
      </c>
      <c r="BP29" s="192" t="s">
        <v>409</v>
      </c>
      <c r="BQ29" s="189"/>
      <c r="BR29" s="189">
        <v>37</v>
      </c>
      <c r="BS29" s="193" t="e">
        <v>#REF!</v>
      </c>
      <c r="BT29" s="189"/>
      <c r="BU29" s="193" t="e">
        <v>#REF!</v>
      </c>
      <c r="BV29" s="189"/>
      <c r="BW29" s="189"/>
      <c r="BY29" s="178">
        <f>G48</f>
        <v>4297</v>
      </c>
      <c r="BZ29" s="179">
        <f>H48</f>
        <v>3450</v>
      </c>
      <c r="CA29" s="166" t="s">
        <v>410</v>
      </c>
      <c r="CB29" s="167" t="s">
        <v>432</v>
      </c>
    </row>
    <row r="30" spans="1:80" s="143" customFormat="1" ht="12.75" x14ac:dyDescent="0.25">
      <c r="A30" s="305">
        <v>12</v>
      </c>
      <c r="B30" s="394" t="s">
        <v>414</v>
      </c>
      <c r="C30" s="396" t="s">
        <v>391</v>
      </c>
      <c r="D30" s="396"/>
      <c r="E30" s="382"/>
      <c r="F30" s="388" t="str">
        <f t="shared" ref="F30" si="342">C30&amp;"-"&amp;D30&amp;"- Table"&amp;E30</f>
        <v>4 Julio-- Table</v>
      </c>
      <c r="G30" s="382">
        <v>4727</v>
      </c>
      <c r="H30" s="382">
        <v>3458</v>
      </c>
      <c r="I30" s="382" t="s">
        <v>41</v>
      </c>
      <c r="J30" s="382" t="s">
        <v>6</v>
      </c>
      <c r="K30" s="382" t="s">
        <v>28</v>
      </c>
      <c r="L30" s="382" t="s">
        <v>29</v>
      </c>
      <c r="M30" s="386">
        <v>2</v>
      </c>
      <c r="N30" s="382">
        <v>11</v>
      </c>
      <c r="O30" s="382">
        <v>6</v>
      </c>
      <c r="P30" s="382">
        <v>11</v>
      </c>
      <c r="Q30" s="382"/>
      <c r="R30" s="382"/>
      <c r="S30" s="382"/>
      <c r="T30" s="382"/>
      <c r="U30" s="382"/>
      <c r="V30" s="382"/>
      <c r="W30" s="382"/>
      <c r="X30" s="382"/>
      <c r="Y30" s="382"/>
      <c r="Z30" s="384"/>
      <c r="AA30" s="318">
        <f t="shared" ref="AA30" si="343">IF(M30+N30&lt;&gt;0,SUM(AF30:AL30),"")</f>
        <v>0</v>
      </c>
      <c r="AB30" s="318">
        <f t="shared" ref="AB30" si="344">IF(M30+N30&lt;&gt;0,SUM(AF31:AL31),"")</f>
        <v>2</v>
      </c>
      <c r="AC30" s="318" t="str">
        <f t="shared" ref="AC30" si="345">IF(AA30&gt;AB30,AD30&amp;"  "&amp;AE30,IF(AB30&gt;AA30,AD30&amp;"  "&amp;AE31,""))</f>
        <v>2 - 0  (2, 6)</v>
      </c>
      <c r="AD30" s="140" t="str">
        <f t="shared" ref="AD30" si="346">IF(AA30&gt;AB30,AA30&amp;" - "&amp;AB30,IF(AB30&gt;AA30,AB30&amp;" - "&amp;AA30,""))</f>
        <v>2 - 0</v>
      </c>
      <c r="AE30" s="140" t="str">
        <f t="shared" si="0"/>
        <v>(-2, -6)</v>
      </c>
      <c r="AF30" s="140">
        <f t="shared" ref="AF30" si="347">IF(M30&gt;N30,1,0)</f>
        <v>0</v>
      </c>
      <c r="AG30" s="140">
        <f t="shared" ref="AG30" si="348">IF(O30&gt;P30,1,0)</f>
        <v>0</v>
      </c>
      <c r="AH30" s="140">
        <f t="shared" ref="AH30" si="349">IF(Q30&gt;R30,1,0)</f>
        <v>0</v>
      </c>
      <c r="AI30" s="140">
        <f t="shared" ref="AI30" si="350">IF(S30&gt;T30,1,0)</f>
        <v>0</v>
      </c>
      <c r="AJ30" s="140">
        <f t="shared" ref="AJ30" si="351">IF(U30&gt;V30,1,0)</f>
        <v>0</v>
      </c>
      <c r="AK30" s="140">
        <f t="shared" ref="AK30" si="352">IF(W30&gt;X30,1,0)</f>
        <v>0</v>
      </c>
      <c r="AL30" s="140">
        <f t="shared" ref="AL30" si="353">IF(Y30&gt;Z30,1,0)</f>
        <v>0</v>
      </c>
      <c r="AM30" s="140">
        <f t="shared" ref="AM30" si="354">IF(M30&gt;N30,N30,IF(N30&gt;M30,-M30,""))</f>
        <v>-2</v>
      </c>
      <c r="AN30" s="140" t="str">
        <f t="shared" ref="AN30" si="355">IF(O30&gt;P30,", "&amp;P30,IF(P30&gt;O30,", "&amp;-O30,""))</f>
        <v>, -6</v>
      </c>
      <c r="AO30" s="140" t="str">
        <f t="shared" ref="AO30" si="356">IF(Q30&gt;R30,", "&amp;R30,IF(R30&gt;Q30,", "&amp;-Q30,""))</f>
        <v/>
      </c>
      <c r="AP30" s="140" t="str">
        <f t="shared" ref="AP30" si="357">IF(S30&gt;T30,", "&amp;T30,IF(T30&gt;S30,", "&amp;-S30,""))</f>
        <v/>
      </c>
      <c r="AQ30" s="140" t="str">
        <f t="shared" ref="AQ30" si="358">IF(U30&gt;V30,", "&amp;V30,IF(V30&gt;U30,", "&amp;-U30,""))</f>
        <v/>
      </c>
      <c r="AR30" s="140" t="str">
        <f t="shared" ref="AR30" si="359">IF(W30&gt;X30,", "&amp;X30,IF(X30&gt;W30,", "&amp;-W30,""))</f>
        <v/>
      </c>
      <c r="AS30" s="140" t="str">
        <f t="shared" ref="AS30" si="360">IF(Y30&gt;Z30,", "&amp;Z30,IF(Z30&gt;Y30,", "&amp;-Y30,""))</f>
        <v/>
      </c>
      <c r="AU30" s="155">
        <f>1+AU28</f>
        <v>12</v>
      </c>
      <c r="AV30" s="180">
        <f>VLOOKUP(AV29,$A$8:$L$87,8,FALSE)</f>
        <v>4128</v>
      </c>
      <c r="AW30" s="181" t="s">
        <v>23</v>
      </c>
      <c r="AX30" s="182" t="s">
        <v>24</v>
      </c>
      <c r="AY30" s="159"/>
      <c r="AZ30" s="160" t="str">
        <f>VLOOKUP(AV29,$A$8:$AD$91,29,FALSE)</f>
        <v>2 - 0  (4, 8)</v>
      </c>
      <c r="BA30" s="161"/>
      <c r="BB30" s="152"/>
      <c r="BC30" s="151"/>
      <c r="BD30" s="186"/>
      <c r="BE30" s="152"/>
      <c r="BF30" s="154"/>
      <c r="BG30" s="170"/>
      <c r="BH30" s="152"/>
      <c r="BI30" s="154"/>
      <c r="BJ30" s="170"/>
      <c r="BL30" s="189">
        <f t="shared" si="35"/>
        <v>22</v>
      </c>
      <c r="BM30" s="190" t="str">
        <f>C50</f>
        <v>4 Julio</v>
      </c>
      <c r="BN30" s="190">
        <f>D50</f>
        <v>0</v>
      </c>
      <c r="BO30" s="191">
        <f>E50</f>
        <v>0</v>
      </c>
      <c r="BP30" s="192" t="s">
        <v>409</v>
      </c>
      <c r="BQ30" s="189"/>
      <c r="BR30" s="189">
        <v>38</v>
      </c>
      <c r="BS30" s="193" t="e">
        <v>#REF!</v>
      </c>
      <c r="BT30" s="189"/>
      <c r="BU30" s="193" t="e">
        <v>#REF!</v>
      </c>
      <c r="BV30" s="189"/>
      <c r="BW30" s="189"/>
      <c r="BY30" s="178">
        <f>G50</f>
        <v>3504</v>
      </c>
      <c r="BZ30" s="179">
        <f>H50</f>
        <v>3458</v>
      </c>
      <c r="CA30" s="166" t="s">
        <v>410</v>
      </c>
      <c r="CB30" s="167" t="s">
        <v>433</v>
      </c>
    </row>
    <row r="31" spans="1:80" s="143" customFormat="1" ht="12.75" x14ac:dyDescent="0.25">
      <c r="A31" s="305"/>
      <c r="B31" s="395"/>
      <c r="C31" s="397"/>
      <c r="D31" s="397"/>
      <c r="E31" s="383"/>
      <c r="F31" s="389"/>
      <c r="G31" s="383"/>
      <c r="H31" s="383"/>
      <c r="I31" s="383">
        <v>0</v>
      </c>
      <c r="J31" s="383">
        <v>0</v>
      </c>
      <c r="K31" s="383">
        <v>0</v>
      </c>
      <c r="L31" s="383">
        <v>0</v>
      </c>
      <c r="M31" s="387"/>
      <c r="N31" s="383"/>
      <c r="O31" s="383"/>
      <c r="P31" s="383"/>
      <c r="Q31" s="383"/>
      <c r="R31" s="383"/>
      <c r="S31" s="383"/>
      <c r="T31" s="383"/>
      <c r="U31" s="383"/>
      <c r="V31" s="383"/>
      <c r="W31" s="383"/>
      <c r="X31" s="383"/>
      <c r="Y31" s="383"/>
      <c r="Z31" s="385"/>
      <c r="AA31" s="318"/>
      <c r="AB31" s="318"/>
      <c r="AC31" s="318"/>
      <c r="AD31" s="140" t="str">
        <f t="shared" ref="AD31" si="361">IF(AA30&gt;AB30,AD30&amp;"  "&amp;AE30,IF(AB30&gt;AA30,AD30&amp;"  "&amp;AE31,""))</f>
        <v>2 - 0  (2, 6)</v>
      </c>
      <c r="AE31" s="140" t="str">
        <f t="shared" si="0"/>
        <v>(2, 6)</v>
      </c>
      <c r="AF31" s="140">
        <f t="shared" ref="AF31" si="362">IF(N30&gt;M30,1,0)</f>
        <v>1</v>
      </c>
      <c r="AG31" s="140">
        <f t="shared" ref="AG31" si="363">IF(P30&gt;O30,1,0)</f>
        <v>1</v>
      </c>
      <c r="AH31" s="140">
        <f t="shared" ref="AH31" si="364">IF(R30&gt;Q30,1,0)</f>
        <v>0</v>
      </c>
      <c r="AI31" s="140">
        <f t="shared" ref="AI31" si="365">IF(T30&gt;S30,1,0)</f>
        <v>0</v>
      </c>
      <c r="AJ31" s="140">
        <f t="shared" ref="AJ31" si="366">IF(V30&gt;U30,1,0)</f>
        <v>0</v>
      </c>
      <c r="AK31" s="140">
        <f t="shared" ref="AK31" si="367">IF(X30&gt;W30,1,0)</f>
        <v>0</v>
      </c>
      <c r="AL31" s="140">
        <f t="shared" ref="AL31" si="368">IF(Z30&gt;Y30,1,0)</f>
        <v>0</v>
      </c>
      <c r="AM31" s="140">
        <f t="shared" ref="AM31" si="369">IF(N30&gt;M30,M30,IF(M30&gt;N30,-N30,""))</f>
        <v>2</v>
      </c>
      <c r="AN31" s="140" t="str">
        <f t="shared" ref="AN31" si="370">IF(P30&gt;O30,", "&amp;O30,IF(O30&gt;P30,", "&amp;-P30,""))</f>
        <v>, 6</v>
      </c>
      <c r="AO31" s="140" t="str">
        <f t="shared" ref="AO31" si="371">IF(R30&gt;Q30,", "&amp;Q30,IF(Q30&gt;R30,", "&amp;-R30,""))</f>
        <v/>
      </c>
      <c r="AP31" s="140" t="str">
        <f t="shared" ref="AP31" si="372">IF(T30&gt;S30,", "&amp;S30,IF(S30&gt;T30,", "&amp;-T30,""))</f>
        <v/>
      </c>
      <c r="AQ31" s="140" t="str">
        <f t="shared" ref="AQ31" si="373">IF(V30&gt;U30,", "&amp;U30,IF(U30&gt;V30,", "&amp;-V30,""))</f>
        <v/>
      </c>
      <c r="AR31" s="140" t="str">
        <f t="shared" ref="AR31" si="374">IF(X30&gt;W30,", "&amp;W30,IF(W30&gt;X30,", "&amp;-X30,""))</f>
        <v/>
      </c>
      <c r="AS31" s="140" t="str">
        <f t="shared" ref="AS31" si="375">IF(Z30&gt;Y30,", "&amp;Y30,IF(Y30&gt;Z30,", "&amp;-Z30,""))</f>
        <v/>
      </c>
      <c r="AU31" s="144"/>
      <c r="AV31" s="145"/>
      <c r="AW31" s="151"/>
      <c r="AX31" s="150"/>
      <c r="AY31" s="152"/>
      <c r="AZ31" s="151"/>
      <c r="BA31" s="150"/>
      <c r="BB31" s="168">
        <v>26</v>
      </c>
      <c r="BC31" s="169" t="str">
        <f>VLOOKUP(BB31,$A$8:$L$87,6,FALSE)</f>
        <v>4 Julio-- Table</v>
      </c>
      <c r="BD31" s="186"/>
      <c r="BE31" s="187">
        <f>VLOOKUP(BE23,$A$8:$L$91,8,FALSE)</f>
        <v>4058</v>
      </c>
      <c r="BF31" s="181" t="s">
        <v>7</v>
      </c>
      <c r="BG31" s="188" t="s">
        <v>8</v>
      </c>
      <c r="BH31" s="152"/>
      <c r="BI31" s="154"/>
      <c r="BJ31" s="170"/>
      <c r="BL31" s="189">
        <f t="shared" si="35"/>
        <v>23</v>
      </c>
      <c r="BM31" s="190" t="str">
        <f>C52</f>
        <v>4 Julio</v>
      </c>
      <c r="BN31" s="190">
        <f>D52</f>
        <v>0</v>
      </c>
      <c r="BO31" s="191">
        <f>E52</f>
        <v>0</v>
      </c>
      <c r="BP31" s="192" t="s">
        <v>409</v>
      </c>
      <c r="BQ31" s="189"/>
      <c r="BR31" s="189">
        <v>39</v>
      </c>
      <c r="BS31" s="193" t="e">
        <v>#REF!</v>
      </c>
      <c r="BT31" s="189"/>
      <c r="BU31" s="193" t="e">
        <v>#REF!</v>
      </c>
      <c r="BV31" s="189"/>
      <c r="BW31" s="189"/>
      <c r="BY31" s="178">
        <f>G52</f>
        <v>4458</v>
      </c>
      <c r="BZ31" s="179">
        <f>H52</f>
        <v>3787</v>
      </c>
      <c r="CA31" s="166" t="s">
        <v>410</v>
      </c>
      <c r="CB31" s="167" t="s">
        <v>434</v>
      </c>
    </row>
    <row r="32" spans="1:80" s="143" customFormat="1" ht="12.75" x14ac:dyDescent="0.25">
      <c r="A32" s="305">
        <v>13</v>
      </c>
      <c r="B32" s="400" t="s">
        <v>414</v>
      </c>
      <c r="C32" s="402" t="s">
        <v>391</v>
      </c>
      <c r="D32" s="402"/>
      <c r="E32" s="390"/>
      <c r="F32" s="404" t="str">
        <f t="shared" ref="F32" si="376">C32&amp;"-"&amp;D32&amp;"- Table"&amp;E32</f>
        <v>4 Julio-- Table</v>
      </c>
      <c r="G32" s="390">
        <v>4458</v>
      </c>
      <c r="H32" s="390">
        <v>4682</v>
      </c>
      <c r="I32" s="390" t="s">
        <v>21</v>
      </c>
      <c r="J32" s="390" t="s">
        <v>14</v>
      </c>
      <c r="K32" s="390" t="s">
        <v>32</v>
      </c>
      <c r="L32" s="390" t="s">
        <v>24</v>
      </c>
      <c r="M32" s="398">
        <v>8</v>
      </c>
      <c r="N32" s="390">
        <v>11</v>
      </c>
      <c r="O32" s="390">
        <v>11</v>
      </c>
      <c r="P32" s="390">
        <v>6</v>
      </c>
      <c r="Q32" s="390">
        <v>11</v>
      </c>
      <c r="R32" s="390">
        <v>7</v>
      </c>
      <c r="S32" s="390"/>
      <c r="T32" s="390"/>
      <c r="U32" s="390"/>
      <c r="V32" s="390"/>
      <c r="W32" s="390"/>
      <c r="X32" s="390"/>
      <c r="Y32" s="390"/>
      <c r="Z32" s="392"/>
      <c r="AA32" s="318">
        <f t="shared" ref="AA32" si="377">IF(M32+N32&lt;&gt;0,SUM(AF32:AL32),"")</f>
        <v>2</v>
      </c>
      <c r="AB32" s="318">
        <f t="shared" ref="AB32" si="378">IF(M32+N32&lt;&gt;0,SUM(AF33:AL33),"")</f>
        <v>1</v>
      </c>
      <c r="AC32" s="318" t="str">
        <f t="shared" ref="AC32" si="379">IF(AA32&gt;AB32,AD32&amp;"  "&amp;AE32,IF(AB32&gt;AA32,AD32&amp;"  "&amp;AE33,""))</f>
        <v>2 - 1  (-8, 6, 7)</v>
      </c>
      <c r="AD32" s="140" t="str">
        <f t="shared" ref="AD32" si="380">IF(AA32&gt;AB32,AA32&amp;" - "&amp;AB32,IF(AB32&gt;AA32,AB32&amp;" - "&amp;AA32,""))</f>
        <v>2 - 1</v>
      </c>
      <c r="AE32" s="140" t="str">
        <f t="shared" si="0"/>
        <v>(-8, 6, 7)</v>
      </c>
      <c r="AF32" s="140">
        <f t="shared" ref="AF32" si="381">IF(M32&gt;N32,1,0)</f>
        <v>0</v>
      </c>
      <c r="AG32" s="140">
        <f t="shared" ref="AG32" si="382">IF(O32&gt;P32,1,0)</f>
        <v>1</v>
      </c>
      <c r="AH32" s="140">
        <f t="shared" ref="AH32" si="383">IF(Q32&gt;R32,1,0)</f>
        <v>1</v>
      </c>
      <c r="AI32" s="140">
        <f t="shared" ref="AI32" si="384">IF(S32&gt;T32,1,0)</f>
        <v>0</v>
      </c>
      <c r="AJ32" s="140">
        <f t="shared" ref="AJ32" si="385">IF(U32&gt;V32,1,0)</f>
        <v>0</v>
      </c>
      <c r="AK32" s="140">
        <f t="shared" ref="AK32" si="386">IF(W32&gt;X32,1,0)</f>
        <v>0</v>
      </c>
      <c r="AL32" s="140">
        <f t="shared" ref="AL32" si="387">IF(Y32&gt;Z32,1,0)</f>
        <v>0</v>
      </c>
      <c r="AM32" s="140">
        <f t="shared" ref="AM32" si="388">IF(M32&gt;N32,N32,IF(N32&gt;M32,-M32,""))</f>
        <v>-8</v>
      </c>
      <c r="AN32" s="140" t="str">
        <f t="shared" ref="AN32" si="389">IF(O32&gt;P32,", "&amp;P32,IF(P32&gt;O32,", "&amp;-O32,""))</f>
        <v>, 6</v>
      </c>
      <c r="AO32" s="140" t="str">
        <f t="shared" ref="AO32" si="390">IF(Q32&gt;R32,", "&amp;R32,IF(R32&gt;Q32,", "&amp;-Q32,""))</f>
        <v>, 7</v>
      </c>
      <c r="AP32" s="140" t="str">
        <f t="shared" ref="AP32" si="391">IF(S32&gt;T32,", "&amp;T32,IF(T32&gt;S32,", "&amp;-S32,""))</f>
        <v/>
      </c>
      <c r="AQ32" s="140" t="str">
        <f t="shared" ref="AQ32" si="392">IF(U32&gt;V32,", "&amp;V32,IF(V32&gt;U32,", "&amp;-U32,""))</f>
        <v/>
      </c>
      <c r="AR32" s="140" t="str">
        <f t="shared" ref="AR32" si="393">IF(W32&gt;X32,", "&amp;X32,IF(X32&gt;W32,", "&amp;-W32,""))</f>
        <v/>
      </c>
      <c r="AS32" s="140" t="str">
        <f t="shared" ref="AS32" si="394">IF(Y32&gt;Z32,", "&amp;Z32,IF(Z32&gt;Y32,", "&amp;-Y32,""))</f>
        <v/>
      </c>
      <c r="AU32" s="155">
        <f>1+AU30</f>
        <v>13</v>
      </c>
      <c r="AV32" s="156">
        <f>VLOOKUP(AV33,$A$8:$L$87,7,FALSE)</f>
        <v>3875</v>
      </c>
      <c r="AW32" s="157" t="s">
        <v>20</v>
      </c>
      <c r="AX32" s="158" t="s">
        <v>6</v>
      </c>
      <c r="AY32" s="159"/>
      <c r="AZ32" s="160" t="str">
        <f>VLOOKUP(AV33,$A$8:$AD$87,29,FALSE)</f>
        <v>2 - 1  (-10, 7, 5)</v>
      </c>
      <c r="BA32" s="161"/>
      <c r="BB32" s="152"/>
      <c r="BC32" s="151"/>
      <c r="BD32" s="186"/>
      <c r="BE32" s="159"/>
      <c r="BF32" s="160" t="str">
        <f>VLOOKUP(BB31,$A$8:$AD$91,29,FALSE)</f>
        <v>2 - 1  (9, -9, 10)</v>
      </c>
      <c r="BG32" s="160"/>
      <c r="BH32" s="152"/>
      <c r="BI32" s="154"/>
      <c r="BJ32" s="170"/>
      <c r="BL32" s="189">
        <f t="shared" si="35"/>
        <v>24</v>
      </c>
      <c r="BM32" s="190" t="str">
        <f>C54</f>
        <v>4 Julio</v>
      </c>
      <c r="BN32" s="190">
        <f>D54</f>
        <v>0</v>
      </c>
      <c r="BO32" s="191">
        <f>E54</f>
        <v>0</v>
      </c>
      <c r="BP32" s="192" t="s">
        <v>409</v>
      </c>
      <c r="BQ32" s="189"/>
      <c r="BR32" s="189">
        <v>40</v>
      </c>
      <c r="BS32" s="193" t="e">
        <v>#REF!</v>
      </c>
      <c r="BT32" s="189"/>
      <c r="BU32" s="193" t="e">
        <v>#REF!</v>
      </c>
      <c r="BV32" s="189"/>
      <c r="BW32" s="189"/>
      <c r="BY32" s="178">
        <f>G54</f>
        <v>3933</v>
      </c>
      <c r="BZ32" s="179">
        <f>H54</f>
        <v>3836</v>
      </c>
      <c r="CA32" s="166" t="s">
        <v>410</v>
      </c>
      <c r="CB32" s="167" t="s">
        <v>435</v>
      </c>
    </row>
    <row r="33" spans="1:80" s="143" customFormat="1" ht="12.75" x14ac:dyDescent="0.25">
      <c r="A33" s="305"/>
      <c r="B33" s="401"/>
      <c r="C33" s="403"/>
      <c r="D33" s="403"/>
      <c r="E33" s="391"/>
      <c r="F33" s="405"/>
      <c r="G33" s="391"/>
      <c r="H33" s="391"/>
      <c r="I33" s="391">
        <v>0</v>
      </c>
      <c r="J33" s="391">
        <v>0</v>
      </c>
      <c r="K33" s="391">
        <v>0</v>
      </c>
      <c r="L33" s="391">
        <v>0</v>
      </c>
      <c r="M33" s="399"/>
      <c r="N33" s="391"/>
      <c r="O33" s="391"/>
      <c r="P33" s="391"/>
      <c r="Q33" s="391"/>
      <c r="R33" s="391"/>
      <c r="S33" s="391"/>
      <c r="T33" s="391"/>
      <c r="U33" s="391"/>
      <c r="V33" s="391"/>
      <c r="W33" s="391"/>
      <c r="X33" s="391"/>
      <c r="Y33" s="391"/>
      <c r="Z33" s="393"/>
      <c r="AA33" s="318"/>
      <c r="AB33" s="318"/>
      <c r="AC33" s="318"/>
      <c r="AD33" s="140" t="str">
        <f t="shared" ref="AD33" si="395">IF(AA32&gt;AB32,AD32&amp;"  "&amp;AE32,IF(AB32&gt;AA32,AD32&amp;"  "&amp;AE33,""))</f>
        <v>2 - 1  (-8, 6, 7)</v>
      </c>
      <c r="AE33" s="140" t="str">
        <f t="shared" si="0"/>
        <v>(8, -6, -7)</v>
      </c>
      <c r="AF33" s="140">
        <f t="shared" ref="AF33" si="396">IF(N32&gt;M32,1,0)</f>
        <v>1</v>
      </c>
      <c r="AG33" s="140">
        <f t="shared" ref="AG33" si="397">IF(P32&gt;O32,1,0)</f>
        <v>0</v>
      </c>
      <c r="AH33" s="140">
        <f t="shared" ref="AH33" si="398">IF(R32&gt;Q32,1,0)</f>
        <v>0</v>
      </c>
      <c r="AI33" s="140">
        <f t="shared" ref="AI33" si="399">IF(T32&gt;S32,1,0)</f>
        <v>0</v>
      </c>
      <c r="AJ33" s="140">
        <f t="shared" ref="AJ33" si="400">IF(V32&gt;U32,1,0)</f>
        <v>0</v>
      </c>
      <c r="AK33" s="140">
        <f t="shared" ref="AK33" si="401">IF(X32&gt;W32,1,0)</f>
        <v>0</v>
      </c>
      <c r="AL33" s="140">
        <f t="shared" ref="AL33" si="402">IF(Z32&gt;Y32,1,0)</f>
        <v>0</v>
      </c>
      <c r="AM33" s="140">
        <f t="shared" ref="AM33" si="403">IF(N32&gt;M32,M32,IF(M32&gt;N32,-N32,""))</f>
        <v>8</v>
      </c>
      <c r="AN33" s="140" t="str">
        <f t="shared" ref="AN33" si="404">IF(P32&gt;O32,", "&amp;O32,IF(O32&gt;P32,", "&amp;-P32,""))</f>
        <v>, -6</v>
      </c>
      <c r="AO33" s="140" t="str">
        <f t="shared" ref="AO33" si="405">IF(R32&gt;Q32,", "&amp;Q32,IF(Q32&gt;R32,", "&amp;-R32,""))</f>
        <v>, -7</v>
      </c>
      <c r="AP33" s="140" t="str">
        <f t="shared" ref="AP33" si="406">IF(T32&gt;S32,", "&amp;S32,IF(S32&gt;T32,", "&amp;-T32,""))</f>
        <v/>
      </c>
      <c r="AQ33" s="140" t="str">
        <f t="shared" ref="AQ33" si="407">IF(V32&gt;U32,", "&amp;U32,IF(U32&gt;V32,", "&amp;-V32,""))</f>
        <v/>
      </c>
      <c r="AR33" s="140" t="str">
        <f t="shared" ref="AR33" si="408">IF(X32&gt;W32,", "&amp;W32,IF(W32&gt;X32,", "&amp;-X32,""))</f>
        <v/>
      </c>
      <c r="AS33" s="140" t="str">
        <f t="shared" ref="AS33" si="409">IF(Z32&gt;Y32,", "&amp;Y32,IF(Y32&gt;Z32,", "&amp;-Z32,""))</f>
        <v/>
      </c>
      <c r="AU33" s="144"/>
      <c r="AV33" s="168">
        <v>7</v>
      </c>
      <c r="AW33" s="169" t="str">
        <f>VLOOKUP(AV33,$A$8:$L$87,6,FALSE)</f>
        <v>4 Julio-- Table</v>
      </c>
      <c r="AX33" s="170"/>
      <c r="AY33" s="171">
        <f>VLOOKUP(AY35,$A$8:$L$91,7,FALSE)</f>
        <v>4674</v>
      </c>
      <c r="AZ33" s="157" t="s">
        <v>34</v>
      </c>
      <c r="BA33" s="158" t="s">
        <v>8</v>
      </c>
      <c r="BB33" s="152"/>
      <c r="BC33" s="151"/>
      <c r="BD33" s="186"/>
      <c r="BE33" s="152"/>
      <c r="BF33" s="154"/>
      <c r="BG33" s="150"/>
      <c r="BH33" s="152"/>
      <c r="BI33" s="154"/>
      <c r="BJ33" s="170"/>
      <c r="BL33" s="194">
        <f t="shared" si="35"/>
        <v>25</v>
      </c>
      <c r="BM33" s="195" t="str">
        <f>C56</f>
        <v>4 Julio</v>
      </c>
      <c r="BN33" s="195">
        <f>D56</f>
        <v>0</v>
      </c>
      <c r="BO33" s="196">
        <f>E56</f>
        <v>0</v>
      </c>
      <c r="BP33" s="197" t="s">
        <v>409</v>
      </c>
      <c r="BQ33" s="194"/>
      <c r="BR33" s="194">
        <v>49</v>
      </c>
      <c r="BS33" s="198" t="e">
        <v>#REF!</v>
      </c>
      <c r="BT33" s="194"/>
      <c r="BU33" s="198" t="e">
        <v>#REF!</v>
      </c>
      <c r="BV33" s="194"/>
      <c r="BW33" s="194"/>
      <c r="BY33" s="178">
        <f>G56</f>
        <v>4025</v>
      </c>
      <c r="BZ33" s="179">
        <f>H56</f>
        <v>3671</v>
      </c>
      <c r="CA33" s="166" t="s">
        <v>410</v>
      </c>
      <c r="CB33" s="167" t="s">
        <v>436</v>
      </c>
    </row>
    <row r="34" spans="1:80" s="143" customFormat="1" ht="12.75" x14ac:dyDescent="0.25">
      <c r="A34" s="305">
        <v>14</v>
      </c>
      <c r="B34" s="394" t="s">
        <v>414</v>
      </c>
      <c r="C34" s="396" t="s">
        <v>391</v>
      </c>
      <c r="D34" s="396"/>
      <c r="E34" s="382"/>
      <c r="F34" s="388" t="str">
        <f t="shared" ref="F34" si="410">C34&amp;"-"&amp;D34&amp;"- Table"&amp;E34</f>
        <v>4 Julio-- Table</v>
      </c>
      <c r="G34" s="382">
        <v>4288</v>
      </c>
      <c r="H34" s="382">
        <v>3787</v>
      </c>
      <c r="I34" s="382" t="s">
        <v>35</v>
      </c>
      <c r="J34" s="382" t="s">
        <v>6</v>
      </c>
      <c r="K34" s="382" t="s">
        <v>25</v>
      </c>
      <c r="L34" s="382" t="s">
        <v>24</v>
      </c>
      <c r="M34" s="386">
        <v>7</v>
      </c>
      <c r="N34" s="382">
        <v>11</v>
      </c>
      <c r="O34" s="382">
        <v>1</v>
      </c>
      <c r="P34" s="382">
        <v>11</v>
      </c>
      <c r="Q34" s="382"/>
      <c r="R34" s="382"/>
      <c r="S34" s="382"/>
      <c r="T34" s="382"/>
      <c r="U34" s="382"/>
      <c r="V34" s="382"/>
      <c r="W34" s="382"/>
      <c r="X34" s="382"/>
      <c r="Y34" s="382"/>
      <c r="Z34" s="384"/>
      <c r="AA34" s="318">
        <f t="shared" ref="AA34" si="411">IF(M34+N34&lt;&gt;0,SUM(AF34:AL34),"")</f>
        <v>0</v>
      </c>
      <c r="AB34" s="318">
        <f t="shared" ref="AB34" si="412">IF(M34+N34&lt;&gt;0,SUM(AF35:AL35),"")</f>
        <v>2</v>
      </c>
      <c r="AC34" s="318" t="str">
        <f t="shared" ref="AC34" si="413">IF(AA34&gt;AB34,AD34&amp;"  "&amp;AE34,IF(AB34&gt;AA34,AD34&amp;"  "&amp;AE35,""))</f>
        <v>2 - 0  (7, 1)</v>
      </c>
      <c r="AD34" s="140" t="str">
        <f t="shared" ref="AD34" si="414">IF(AA34&gt;AB34,AA34&amp;" - "&amp;AB34,IF(AB34&gt;AA34,AB34&amp;" - "&amp;AA34,""))</f>
        <v>2 - 0</v>
      </c>
      <c r="AE34" s="140" t="str">
        <f t="shared" si="0"/>
        <v>(-7, -1)</v>
      </c>
      <c r="AF34" s="140">
        <f t="shared" ref="AF34" si="415">IF(M34&gt;N34,1,0)</f>
        <v>0</v>
      </c>
      <c r="AG34" s="140">
        <f t="shared" ref="AG34" si="416">IF(O34&gt;P34,1,0)</f>
        <v>0</v>
      </c>
      <c r="AH34" s="140">
        <f t="shared" ref="AH34" si="417">IF(Q34&gt;R34,1,0)</f>
        <v>0</v>
      </c>
      <c r="AI34" s="140">
        <f t="shared" ref="AI34" si="418">IF(S34&gt;T34,1,0)</f>
        <v>0</v>
      </c>
      <c r="AJ34" s="140">
        <f t="shared" ref="AJ34" si="419">IF(U34&gt;V34,1,0)</f>
        <v>0</v>
      </c>
      <c r="AK34" s="140">
        <f t="shared" ref="AK34" si="420">IF(W34&gt;X34,1,0)</f>
        <v>0</v>
      </c>
      <c r="AL34" s="140">
        <f t="shared" ref="AL34" si="421">IF(Y34&gt;Z34,1,0)</f>
        <v>0</v>
      </c>
      <c r="AM34" s="140">
        <f t="shared" ref="AM34" si="422">IF(M34&gt;N34,N34,IF(N34&gt;M34,-M34,""))</f>
        <v>-7</v>
      </c>
      <c r="AN34" s="140" t="str">
        <f t="shared" ref="AN34" si="423">IF(O34&gt;P34,", "&amp;P34,IF(P34&gt;O34,", "&amp;-O34,""))</f>
        <v>, -1</v>
      </c>
      <c r="AO34" s="140" t="str">
        <f t="shared" ref="AO34" si="424">IF(Q34&gt;R34,", "&amp;R34,IF(R34&gt;Q34,", "&amp;-Q34,""))</f>
        <v/>
      </c>
      <c r="AP34" s="140" t="str">
        <f t="shared" ref="AP34" si="425">IF(S34&gt;T34,", "&amp;T34,IF(T34&gt;S34,", "&amp;-S34,""))</f>
        <v/>
      </c>
      <c r="AQ34" s="140" t="str">
        <f t="shared" ref="AQ34" si="426">IF(U34&gt;V34,", "&amp;V34,IF(V34&gt;U34,", "&amp;-U34,""))</f>
        <v/>
      </c>
      <c r="AR34" s="140" t="str">
        <f t="shared" ref="AR34" si="427">IF(W34&gt;X34,", "&amp;X34,IF(X34&gt;W34,", "&amp;-W34,""))</f>
        <v/>
      </c>
      <c r="AS34" s="140" t="str">
        <f t="shared" ref="AS34" si="428">IF(Y34&gt;Z34,", "&amp;Z34,IF(Z34&gt;Y34,", "&amp;-Y34,""))</f>
        <v/>
      </c>
      <c r="AU34" s="155">
        <f>1+AU32</f>
        <v>14</v>
      </c>
      <c r="AV34" s="180">
        <f>VLOOKUP(AV33,$A$8:$L$87,8,FALSE)</f>
        <v>4674</v>
      </c>
      <c r="AW34" s="181" t="s">
        <v>34</v>
      </c>
      <c r="AX34" s="182" t="s">
        <v>8</v>
      </c>
      <c r="AY34" s="152"/>
      <c r="AZ34" s="151"/>
      <c r="BA34" s="170"/>
      <c r="BB34" s="152"/>
      <c r="BC34" s="151"/>
      <c r="BD34" s="186"/>
      <c r="BE34" s="152"/>
      <c r="BF34" s="154"/>
      <c r="BG34" s="150"/>
      <c r="BH34" s="152"/>
      <c r="BI34" s="154"/>
      <c r="BJ34" s="170"/>
      <c r="BL34" s="194">
        <f t="shared" si="35"/>
        <v>26</v>
      </c>
      <c r="BM34" s="195" t="str">
        <f>C58</f>
        <v>4 Julio</v>
      </c>
      <c r="BN34" s="195">
        <f>D58</f>
        <v>0</v>
      </c>
      <c r="BO34" s="196">
        <f>E58</f>
        <v>0</v>
      </c>
      <c r="BP34" s="197" t="s">
        <v>409</v>
      </c>
      <c r="BQ34" s="194"/>
      <c r="BR34" s="194">
        <v>50</v>
      </c>
      <c r="BS34" s="198" t="e">
        <v>#REF!</v>
      </c>
      <c r="BT34" s="194"/>
      <c r="BU34" s="198" t="e">
        <v>#REF!</v>
      </c>
      <c r="BV34" s="194"/>
      <c r="BW34" s="194"/>
      <c r="BY34" s="178">
        <f>G58</f>
        <v>4128</v>
      </c>
      <c r="BZ34" s="179">
        <f>H58</f>
        <v>4058</v>
      </c>
      <c r="CA34" s="166" t="s">
        <v>410</v>
      </c>
      <c r="CB34" s="167" t="s">
        <v>436</v>
      </c>
    </row>
    <row r="35" spans="1:80" s="143" customFormat="1" ht="12.75" x14ac:dyDescent="0.25">
      <c r="A35" s="305"/>
      <c r="B35" s="395"/>
      <c r="C35" s="397"/>
      <c r="D35" s="397"/>
      <c r="E35" s="383"/>
      <c r="F35" s="389"/>
      <c r="G35" s="383"/>
      <c r="H35" s="383"/>
      <c r="I35" s="383">
        <v>0</v>
      </c>
      <c r="J35" s="383">
        <v>0</v>
      </c>
      <c r="K35" s="383">
        <v>0</v>
      </c>
      <c r="L35" s="383">
        <v>0</v>
      </c>
      <c r="M35" s="387"/>
      <c r="N35" s="383"/>
      <c r="O35" s="383"/>
      <c r="P35" s="383"/>
      <c r="Q35" s="383"/>
      <c r="R35" s="383"/>
      <c r="S35" s="383"/>
      <c r="T35" s="383"/>
      <c r="U35" s="383"/>
      <c r="V35" s="383"/>
      <c r="W35" s="383"/>
      <c r="X35" s="383"/>
      <c r="Y35" s="383"/>
      <c r="Z35" s="385"/>
      <c r="AA35" s="318"/>
      <c r="AB35" s="318"/>
      <c r="AC35" s="318"/>
      <c r="AD35" s="140" t="str">
        <f t="shared" ref="AD35" si="429">IF(AA34&gt;AB34,AD34&amp;"  "&amp;AE34,IF(AB34&gt;AA34,AD34&amp;"  "&amp;AE35,""))</f>
        <v>2 - 0  (7, 1)</v>
      </c>
      <c r="AE35" s="140" t="str">
        <f t="shared" si="0"/>
        <v>(7, 1)</v>
      </c>
      <c r="AF35" s="140">
        <f t="shared" ref="AF35" si="430">IF(N34&gt;M34,1,0)</f>
        <v>1</v>
      </c>
      <c r="AG35" s="140">
        <f t="shared" ref="AG35" si="431">IF(P34&gt;O34,1,0)</f>
        <v>1</v>
      </c>
      <c r="AH35" s="140">
        <f t="shared" ref="AH35" si="432">IF(R34&gt;Q34,1,0)</f>
        <v>0</v>
      </c>
      <c r="AI35" s="140">
        <f t="shared" ref="AI35" si="433">IF(T34&gt;S34,1,0)</f>
        <v>0</v>
      </c>
      <c r="AJ35" s="140">
        <f t="shared" ref="AJ35" si="434">IF(V34&gt;U34,1,0)</f>
        <v>0</v>
      </c>
      <c r="AK35" s="140">
        <f t="shared" ref="AK35" si="435">IF(X34&gt;W34,1,0)</f>
        <v>0</v>
      </c>
      <c r="AL35" s="140">
        <f t="shared" ref="AL35" si="436">IF(Z34&gt;Y34,1,0)</f>
        <v>0</v>
      </c>
      <c r="AM35" s="140">
        <f t="shared" ref="AM35" si="437">IF(N34&gt;M34,M34,IF(M34&gt;N34,-N34,""))</f>
        <v>7</v>
      </c>
      <c r="AN35" s="140" t="str">
        <f t="shared" ref="AN35" si="438">IF(P34&gt;O34,", "&amp;O34,IF(O34&gt;P34,", "&amp;-P34,""))</f>
        <v>, 1</v>
      </c>
      <c r="AO35" s="140" t="str">
        <f t="shared" ref="AO35" si="439">IF(R34&gt;Q34,", "&amp;Q34,IF(Q34&gt;R34,", "&amp;-R34,""))</f>
        <v/>
      </c>
      <c r="AP35" s="140" t="str">
        <f t="shared" ref="AP35" si="440">IF(T34&gt;S34,", "&amp;S34,IF(S34&gt;T34,", "&amp;-T34,""))</f>
        <v/>
      </c>
      <c r="AQ35" s="140" t="str">
        <f t="shared" ref="AQ35" si="441">IF(V34&gt;U34,", "&amp;U34,IF(U34&gt;V34,", "&amp;-V34,""))</f>
        <v/>
      </c>
      <c r="AR35" s="140" t="str">
        <f t="shared" ref="AR35" si="442">IF(X34&gt;W34,", "&amp;W34,IF(W34&gt;X34,", "&amp;-X34,""))</f>
        <v/>
      </c>
      <c r="AS35" s="140" t="str">
        <f t="shared" ref="AS35" si="443">IF(Z34&gt;Y34,", "&amp;Y34,IF(Y34&gt;Z34,", "&amp;-Z34,""))</f>
        <v/>
      </c>
      <c r="AU35" s="144"/>
      <c r="AV35" s="145"/>
      <c r="AW35" s="151"/>
      <c r="AX35" s="150"/>
      <c r="AY35" s="168">
        <v>20</v>
      </c>
      <c r="AZ35" s="169" t="str">
        <f>VLOOKUP(AY35,$A$8:$L$87,6,FALSE)</f>
        <v>4 Julio-- Table</v>
      </c>
      <c r="BA35" s="183"/>
      <c r="BB35" s="187">
        <f>VLOOKUP(BB31,$A$8:$L$91,8,FALSE)</f>
        <v>4058</v>
      </c>
      <c r="BC35" s="181" t="s">
        <v>7</v>
      </c>
      <c r="BD35" s="188" t="s">
        <v>8</v>
      </c>
      <c r="BE35" s="152"/>
      <c r="BF35" s="154"/>
      <c r="BG35" s="150"/>
      <c r="BH35" s="152"/>
      <c r="BI35" s="154"/>
      <c r="BJ35" s="170"/>
      <c r="BL35" s="194">
        <f t="shared" si="35"/>
        <v>27</v>
      </c>
      <c r="BM35" s="195" t="str">
        <f>C60</f>
        <v>4 Julio</v>
      </c>
      <c r="BN35" s="195">
        <f>D60</f>
        <v>0</v>
      </c>
      <c r="BO35" s="196">
        <f>E60</f>
        <v>0</v>
      </c>
      <c r="BP35" s="197" t="s">
        <v>409</v>
      </c>
      <c r="BQ35" s="194"/>
      <c r="BR35" s="194">
        <v>51</v>
      </c>
      <c r="BS35" s="198" t="e">
        <v>#REF!</v>
      </c>
      <c r="BT35" s="194"/>
      <c r="BU35" s="198" t="e">
        <v>#REF!</v>
      </c>
      <c r="BV35" s="194"/>
      <c r="BW35" s="194"/>
      <c r="BY35" s="178">
        <f>G60</f>
        <v>3450</v>
      </c>
      <c r="BZ35" s="179">
        <f>H60</f>
        <v>3504</v>
      </c>
      <c r="CA35" s="166" t="s">
        <v>410</v>
      </c>
      <c r="CB35" s="167" t="s">
        <v>436</v>
      </c>
    </row>
    <row r="36" spans="1:80" s="143" customFormat="1" ht="12.75" x14ac:dyDescent="0.25">
      <c r="A36" s="305">
        <v>15</v>
      </c>
      <c r="B36" s="400" t="s">
        <v>414</v>
      </c>
      <c r="C36" s="402" t="s">
        <v>391</v>
      </c>
      <c r="D36" s="402"/>
      <c r="E36" s="390"/>
      <c r="F36" s="404" t="str">
        <f t="shared" ref="F36" si="444">C36&amp;"-"&amp;D36&amp;"- Table"&amp;E36</f>
        <v>4 Julio-- Table</v>
      </c>
      <c r="G36" s="390">
        <v>3933</v>
      </c>
      <c r="H36" s="390">
        <v>4541</v>
      </c>
      <c r="I36" s="390" t="s">
        <v>16</v>
      </c>
      <c r="J36" s="390" t="s">
        <v>17</v>
      </c>
      <c r="K36" s="390" t="s">
        <v>38</v>
      </c>
      <c r="L36" s="390" t="s">
        <v>14</v>
      </c>
      <c r="M36" s="398">
        <v>12</v>
      </c>
      <c r="N36" s="390">
        <v>10</v>
      </c>
      <c r="O36" s="390">
        <v>7</v>
      </c>
      <c r="P36" s="390">
        <v>11</v>
      </c>
      <c r="Q36" s="390">
        <v>11</v>
      </c>
      <c r="R36" s="390">
        <v>8</v>
      </c>
      <c r="S36" s="390"/>
      <c r="T36" s="390"/>
      <c r="U36" s="390"/>
      <c r="V36" s="390"/>
      <c r="W36" s="390"/>
      <c r="X36" s="390"/>
      <c r="Y36" s="390"/>
      <c r="Z36" s="392"/>
      <c r="AA36" s="318">
        <f t="shared" ref="AA36" si="445">IF(M36+N36&lt;&gt;0,SUM(AF36:AL36),"")</f>
        <v>2</v>
      </c>
      <c r="AB36" s="318">
        <f t="shared" ref="AB36" si="446">IF(M36+N36&lt;&gt;0,SUM(AF37:AL37),"")</f>
        <v>1</v>
      </c>
      <c r="AC36" s="318" t="str">
        <f t="shared" ref="AC36" si="447">IF(AA36&gt;AB36,AD36&amp;"  "&amp;AE36,IF(AB36&gt;AA36,AD36&amp;"  "&amp;AE37,""))</f>
        <v>2 - 1  (10, -7, 8)</v>
      </c>
      <c r="AD36" s="140" t="str">
        <f t="shared" ref="AD36" si="448">IF(AA36&gt;AB36,AA36&amp;" - "&amp;AB36,IF(AB36&gt;AA36,AB36&amp;" - "&amp;AA36,""))</f>
        <v>2 - 1</v>
      </c>
      <c r="AE36" s="140" t="str">
        <f t="shared" si="0"/>
        <v>(10, -7, 8)</v>
      </c>
      <c r="AF36" s="140">
        <f t="shared" ref="AF36" si="449">IF(M36&gt;N36,1,0)</f>
        <v>1</v>
      </c>
      <c r="AG36" s="140">
        <f t="shared" ref="AG36" si="450">IF(O36&gt;P36,1,0)</f>
        <v>0</v>
      </c>
      <c r="AH36" s="140">
        <f t="shared" ref="AH36" si="451">IF(Q36&gt;R36,1,0)</f>
        <v>1</v>
      </c>
      <c r="AI36" s="140">
        <f t="shared" ref="AI36" si="452">IF(S36&gt;T36,1,0)</f>
        <v>0</v>
      </c>
      <c r="AJ36" s="140">
        <f t="shared" ref="AJ36" si="453">IF(U36&gt;V36,1,0)</f>
        <v>0</v>
      </c>
      <c r="AK36" s="140">
        <f t="shared" ref="AK36" si="454">IF(W36&gt;X36,1,0)</f>
        <v>0</v>
      </c>
      <c r="AL36" s="140">
        <f t="shared" ref="AL36" si="455">IF(Y36&gt;Z36,1,0)</f>
        <v>0</v>
      </c>
      <c r="AM36" s="140">
        <f t="shared" ref="AM36" si="456">IF(M36&gt;N36,N36,IF(N36&gt;M36,-M36,""))</f>
        <v>10</v>
      </c>
      <c r="AN36" s="140" t="str">
        <f t="shared" ref="AN36" si="457">IF(O36&gt;P36,", "&amp;P36,IF(P36&gt;O36,", "&amp;-O36,""))</f>
        <v>, -7</v>
      </c>
      <c r="AO36" s="140" t="str">
        <f t="shared" ref="AO36" si="458">IF(Q36&gt;R36,", "&amp;R36,IF(R36&gt;Q36,", "&amp;-Q36,""))</f>
        <v>, 8</v>
      </c>
      <c r="AP36" s="140" t="str">
        <f t="shared" ref="AP36" si="459">IF(S36&gt;T36,", "&amp;T36,IF(T36&gt;S36,", "&amp;-S36,""))</f>
        <v/>
      </c>
      <c r="AQ36" s="140" t="str">
        <f t="shared" ref="AQ36" si="460">IF(U36&gt;V36,", "&amp;V36,IF(V36&gt;U36,", "&amp;-U36,""))</f>
        <v/>
      </c>
      <c r="AR36" s="140" t="str">
        <f t="shared" ref="AR36" si="461">IF(W36&gt;X36,", "&amp;X36,IF(X36&gt;W36,", "&amp;-W36,""))</f>
        <v/>
      </c>
      <c r="AS36" s="140" t="str">
        <f t="shared" ref="AS36" si="462">IF(Y36&gt;Z36,", "&amp;Z36,IF(Z36&gt;Y36,", "&amp;-Y36,""))</f>
        <v/>
      </c>
      <c r="AU36" s="155">
        <f>1+AU34</f>
        <v>15</v>
      </c>
      <c r="AV36" s="156">
        <f>VLOOKUP(AV37,$A$8:$L$87,7,FALSE)</f>
        <v>3696</v>
      </c>
      <c r="AW36" s="157" t="s">
        <v>26</v>
      </c>
      <c r="AX36" s="158" t="s">
        <v>17</v>
      </c>
      <c r="AY36" s="185"/>
      <c r="AZ36" s="151"/>
      <c r="BA36" s="170"/>
      <c r="BB36" s="159"/>
      <c r="BC36" s="160" t="str">
        <f>VLOOKUP(AY35,$A$8:$AD$91,29,FALSE)</f>
        <v>2 - 0  (6, 5)</v>
      </c>
      <c r="BD36" s="160"/>
      <c r="BE36" s="152"/>
      <c r="BF36" s="154"/>
      <c r="BG36" s="150"/>
      <c r="BH36" s="152"/>
      <c r="BI36" s="154"/>
      <c r="BJ36" s="170"/>
      <c r="BL36" s="194">
        <f t="shared" si="35"/>
        <v>28</v>
      </c>
      <c r="BM36" s="195" t="str">
        <f>C62</f>
        <v>4 Julio</v>
      </c>
      <c r="BN36" s="195">
        <f>D62</f>
        <v>0</v>
      </c>
      <c r="BO36" s="196">
        <f>E62</f>
        <v>0</v>
      </c>
      <c r="BP36" s="197" t="s">
        <v>409</v>
      </c>
      <c r="BQ36" s="194"/>
      <c r="BR36" s="194">
        <v>52</v>
      </c>
      <c r="BS36" s="198" t="e">
        <v>#REF!</v>
      </c>
      <c r="BT36" s="194"/>
      <c r="BU36" s="198" t="e">
        <v>#REF!</v>
      </c>
      <c r="BV36" s="194"/>
      <c r="BW36" s="194"/>
      <c r="BY36" s="178">
        <f>G62</f>
        <v>3787</v>
      </c>
      <c r="BZ36" s="179">
        <f>H62</f>
        <v>3836</v>
      </c>
      <c r="CA36" s="166" t="s">
        <v>410</v>
      </c>
      <c r="CB36" s="167" t="s">
        <v>436</v>
      </c>
    </row>
    <row r="37" spans="1:80" s="143" customFormat="1" ht="12.75" x14ac:dyDescent="0.25">
      <c r="A37" s="305"/>
      <c r="B37" s="401"/>
      <c r="C37" s="403"/>
      <c r="D37" s="403"/>
      <c r="E37" s="391"/>
      <c r="F37" s="405"/>
      <c r="G37" s="391"/>
      <c r="H37" s="391"/>
      <c r="I37" s="391">
        <v>0</v>
      </c>
      <c r="J37" s="391">
        <v>0</v>
      </c>
      <c r="K37" s="391">
        <v>0</v>
      </c>
      <c r="L37" s="391">
        <v>0</v>
      </c>
      <c r="M37" s="399"/>
      <c r="N37" s="391"/>
      <c r="O37" s="391"/>
      <c r="P37" s="391"/>
      <c r="Q37" s="391"/>
      <c r="R37" s="391"/>
      <c r="S37" s="391"/>
      <c r="T37" s="391"/>
      <c r="U37" s="391"/>
      <c r="V37" s="391"/>
      <c r="W37" s="391"/>
      <c r="X37" s="391"/>
      <c r="Y37" s="391"/>
      <c r="Z37" s="393"/>
      <c r="AA37" s="318"/>
      <c r="AB37" s="318"/>
      <c r="AC37" s="318"/>
      <c r="AD37" s="140" t="str">
        <f t="shared" ref="AD37" si="463">IF(AA36&gt;AB36,AD36&amp;"  "&amp;AE36,IF(AB36&gt;AA36,AD36&amp;"  "&amp;AE37,""))</f>
        <v>2 - 1  (10, -7, 8)</v>
      </c>
      <c r="AE37" s="140" t="str">
        <f t="shared" si="0"/>
        <v>(-10, 7, -8)</v>
      </c>
      <c r="AF37" s="140">
        <f t="shared" ref="AF37" si="464">IF(N36&gt;M36,1,0)</f>
        <v>0</v>
      </c>
      <c r="AG37" s="140">
        <f t="shared" ref="AG37" si="465">IF(P36&gt;O36,1,0)</f>
        <v>1</v>
      </c>
      <c r="AH37" s="140">
        <f t="shared" ref="AH37" si="466">IF(R36&gt;Q36,1,0)</f>
        <v>0</v>
      </c>
      <c r="AI37" s="140">
        <f t="shared" ref="AI37" si="467">IF(T36&gt;S36,1,0)</f>
        <v>0</v>
      </c>
      <c r="AJ37" s="140">
        <f t="shared" ref="AJ37" si="468">IF(V36&gt;U36,1,0)</f>
        <v>0</v>
      </c>
      <c r="AK37" s="140">
        <f t="shared" ref="AK37" si="469">IF(X36&gt;W36,1,0)</f>
        <v>0</v>
      </c>
      <c r="AL37" s="140">
        <f t="shared" ref="AL37" si="470">IF(Z36&gt;Y36,1,0)</f>
        <v>0</v>
      </c>
      <c r="AM37" s="140">
        <f t="shared" ref="AM37" si="471">IF(N36&gt;M36,M36,IF(M36&gt;N36,-N36,""))</f>
        <v>-10</v>
      </c>
      <c r="AN37" s="140" t="str">
        <f t="shared" ref="AN37" si="472">IF(P36&gt;O36,", "&amp;O36,IF(O36&gt;P36,", "&amp;-P36,""))</f>
        <v>, 7</v>
      </c>
      <c r="AO37" s="140" t="str">
        <f t="shared" ref="AO37" si="473">IF(R36&gt;Q36,", "&amp;Q36,IF(Q36&gt;R36,", "&amp;-R36,""))</f>
        <v>, -8</v>
      </c>
      <c r="AP37" s="140" t="str">
        <f t="shared" ref="AP37" si="474">IF(T36&gt;S36,", "&amp;S36,IF(S36&gt;T36,", "&amp;-T36,""))</f>
        <v/>
      </c>
      <c r="AQ37" s="140" t="str">
        <f t="shared" ref="AQ37" si="475">IF(V36&gt;U36,", "&amp;U36,IF(U36&gt;V36,", "&amp;-V36,""))</f>
        <v/>
      </c>
      <c r="AR37" s="140" t="str">
        <f t="shared" ref="AR37" si="476">IF(X36&gt;W36,", "&amp;W36,IF(W36&gt;X36,", "&amp;-X36,""))</f>
        <v/>
      </c>
      <c r="AS37" s="140" t="str">
        <f t="shared" ref="AS37" si="477">IF(Z36&gt;Y36,", "&amp;Y36,IF(Y36&gt;Z36,", "&amp;-Z36,""))</f>
        <v/>
      </c>
      <c r="AU37" s="144"/>
      <c r="AV37" s="168">
        <v>8</v>
      </c>
      <c r="AW37" s="169" t="str">
        <f>VLOOKUP(AV37,$A$8:$L$87,6,FALSE)</f>
        <v>4 Julio-- Table</v>
      </c>
      <c r="AX37" s="170"/>
      <c r="AY37" s="187">
        <f>VLOOKUP(AY35,$A$8:$L$91,8,FALSE)</f>
        <v>4058</v>
      </c>
      <c r="AZ37" s="181" t="s">
        <v>7</v>
      </c>
      <c r="BA37" s="182" t="s">
        <v>8</v>
      </c>
      <c r="BB37" s="152"/>
      <c r="BC37" s="151"/>
      <c r="BD37" s="153"/>
      <c r="BE37" s="152"/>
      <c r="BF37" s="154"/>
      <c r="BG37" s="150"/>
      <c r="BH37" s="152"/>
      <c r="BI37" s="154"/>
      <c r="BJ37" s="170"/>
      <c r="BL37" s="199">
        <f t="shared" si="35"/>
        <v>29</v>
      </c>
      <c r="BM37" s="200" t="str">
        <f>C64</f>
        <v>4 Julio</v>
      </c>
      <c r="BN37" s="200">
        <f>D64</f>
        <v>0</v>
      </c>
      <c r="BO37" s="201">
        <f>E64</f>
        <v>0</v>
      </c>
      <c r="BP37" s="202" t="s">
        <v>409</v>
      </c>
      <c r="BQ37" s="199"/>
      <c r="BR37" s="199">
        <v>57</v>
      </c>
      <c r="BS37" s="203" t="e">
        <v>#REF!</v>
      </c>
      <c r="BT37" s="199"/>
      <c r="BU37" s="203" t="e">
        <v>#REF!</v>
      </c>
      <c r="BV37" s="199"/>
      <c r="BW37" s="199"/>
      <c r="BY37" s="178">
        <f>G64</f>
        <v>3671</v>
      </c>
      <c r="BZ37" s="179">
        <f>H64</f>
        <v>4058</v>
      </c>
      <c r="CA37" s="166" t="s">
        <v>410</v>
      </c>
      <c r="CB37" s="167" t="s">
        <v>437</v>
      </c>
    </row>
    <row r="38" spans="1:80" s="143" customFormat="1" ht="12.75" x14ac:dyDescent="0.25">
      <c r="A38" s="305">
        <v>16</v>
      </c>
      <c r="B38" s="394" t="s">
        <v>414</v>
      </c>
      <c r="C38" s="396" t="s">
        <v>391</v>
      </c>
      <c r="D38" s="396"/>
      <c r="E38" s="382"/>
      <c r="F38" s="388" t="str">
        <f t="shared" ref="F38" si="478">C38&amp;"-"&amp;D38&amp;"- Table"&amp;E38</f>
        <v>4 Julio-- Table</v>
      </c>
      <c r="G38" s="382">
        <v>4681</v>
      </c>
      <c r="H38" s="382">
        <v>3836</v>
      </c>
      <c r="I38" s="382" t="s">
        <v>46</v>
      </c>
      <c r="J38" s="382" t="s">
        <v>24</v>
      </c>
      <c r="K38" s="382" t="s">
        <v>5</v>
      </c>
      <c r="L38" s="382" t="s">
        <v>6</v>
      </c>
      <c r="M38" s="386">
        <v>3</v>
      </c>
      <c r="N38" s="382">
        <v>11</v>
      </c>
      <c r="O38" s="382">
        <v>5</v>
      </c>
      <c r="P38" s="382">
        <v>11</v>
      </c>
      <c r="Q38" s="382"/>
      <c r="R38" s="382"/>
      <c r="S38" s="382"/>
      <c r="T38" s="382"/>
      <c r="U38" s="382"/>
      <c r="V38" s="382"/>
      <c r="W38" s="382"/>
      <c r="X38" s="382"/>
      <c r="Y38" s="382"/>
      <c r="Z38" s="384"/>
      <c r="AA38" s="318">
        <f t="shared" ref="AA38" si="479">IF(M38+N38&lt;&gt;0,SUM(AF38:AL38),"")</f>
        <v>0</v>
      </c>
      <c r="AB38" s="318">
        <f t="shared" ref="AB38" si="480">IF(M38+N38&lt;&gt;0,SUM(AF39:AL39),"")</f>
        <v>2</v>
      </c>
      <c r="AC38" s="318" t="str">
        <f t="shared" ref="AC38" si="481">IF(AA38&gt;AB38,AD38&amp;"  "&amp;AE38,IF(AB38&gt;AA38,AD38&amp;"  "&amp;AE39,""))</f>
        <v>2 - 0  (3, 5)</v>
      </c>
      <c r="AD38" s="140" t="str">
        <f t="shared" ref="AD38" si="482">IF(AA38&gt;AB38,AA38&amp;" - "&amp;AB38,IF(AB38&gt;AA38,AB38&amp;" - "&amp;AA38,""))</f>
        <v>2 - 0</v>
      </c>
      <c r="AE38" s="140" t="str">
        <f t="shared" si="0"/>
        <v>(-3, -5)</v>
      </c>
      <c r="AF38" s="140">
        <f t="shared" ref="AF38" si="483">IF(M38&gt;N38,1,0)</f>
        <v>0</v>
      </c>
      <c r="AG38" s="140">
        <f t="shared" ref="AG38" si="484">IF(O38&gt;P38,1,0)</f>
        <v>0</v>
      </c>
      <c r="AH38" s="140">
        <f t="shared" ref="AH38" si="485">IF(Q38&gt;R38,1,0)</f>
        <v>0</v>
      </c>
      <c r="AI38" s="140">
        <f t="shared" ref="AI38" si="486">IF(S38&gt;T38,1,0)</f>
        <v>0</v>
      </c>
      <c r="AJ38" s="140">
        <f t="shared" ref="AJ38" si="487">IF(U38&gt;V38,1,0)</f>
        <v>0</v>
      </c>
      <c r="AK38" s="140">
        <f t="shared" ref="AK38" si="488">IF(W38&gt;X38,1,0)</f>
        <v>0</v>
      </c>
      <c r="AL38" s="140">
        <f t="shared" ref="AL38" si="489">IF(Y38&gt;Z38,1,0)</f>
        <v>0</v>
      </c>
      <c r="AM38" s="140">
        <f t="shared" ref="AM38" si="490">IF(M38&gt;N38,N38,IF(N38&gt;M38,-M38,""))</f>
        <v>-3</v>
      </c>
      <c r="AN38" s="140" t="str">
        <f t="shared" ref="AN38" si="491">IF(O38&gt;P38,", "&amp;P38,IF(P38&gt;O38,", "&amp;-O38,""))</f>
        <v>, -5</v>
      </c>
      <c r="AO38" s="140" t="str">
        <f t="shared" ref="AO38" si="492">IF(Q38&gt;R38,", "&amp;R38,IF(R38&gt;Q38,", "&amp;-Q38,""))</f>
        <v/>
      </c>
      <c r="AP38" s="140" t="str">
        <f t="shared" ref="AP38" si="493">IF(S38&gt;T38,", "&amp;T38,IF(T38&gt;S38,", "&amp;-S38,""))</f>
        <v/>
      </c>
      <c r="AQ38" s="140" t="str">
        <f t="shared" ref="AQ38" si="494">IF(U38&gt;V38,", "&amp;V38,IF(V38&gt;U38,", "&amp;-U38,""))</f>
        <v/>
      </c>
      <c r="AR38" s="140" t="str">
        <f t="shared" ref="AR38" si="495">IF(W38&gt;X38,", "&amp;X38,IF(X38&gt;W38,", "&amp;-W38,""))</f>
        <v/>
      </c>
      <c r="AS38" s="140" t="str">
        <f t="shared" ref="AS38" si="496">IF(Y38&gt;Z38,", "&amp;Z38,IF(Z38&gt;Y38,", "&amp;-Y38,""))</f>
        <v/>
      </c>
      <c r="AU38" s="155">
        <f>1+AU36</f>
        <v>16</v>
      </c>
      <c r="AV38" s="180">
        <f>VLOOKUP(AV37,$A$8:$L$87,8,FALSE)</f>
        <v>4058</v>
      </c>
      <c r="AW38" s="181" t="s">
        <v>7</v>
      </c>
      <c r="AX38" s="182" t="s">
        <v>8</v>
      </c>
      <c r="AY38" s="159"/>
      <c r="AZ38" s="160" t="str">
        <f>VLOOKUP(AV37,$A$8:$AD$91,29,FALSE)</f>
        <v>2 - 0  (6, 9)</v>
      </c>
      <c r="BA38" s="161"/>
      <c r="BB38" s="152"/>
      <c r="BC38" s="151"/>
      <c r="BD38" s="153"/>
      <c r="BE38" s="152"/>
      <c r="BF38" s="154"/>
      <c r="BG38" s="150"/>
      <c r="BH38" s="168">
        <v>32</v>
      </c>
      <c r="BI38" s="169" t="str">
        <f>VLOOKUP(BH38,$A$8:$L$87,6,FALSE)</f>
        <v>4 Julio-- Table</v>
      </c>
      <c r="BJ38" s="170"/>
      <c r="BL38" s="199">
        <f t="shared" si="35"/>
        <v>30</v>
      </c>
      <c r="BM38" s="200" t="str">
        <f>C66</f>
        <v>4 Julio</v>
      </c>
      <c r="BN38" s="200">
        <f>D66</f>
        <v>0</v>
      </c>
      <c r="BO38" s="201">
        <f>E66</f>
        <v>0</v>
      </c>
      <c r="BP38" s="202" t="s">
        <v>409</v>
      </c>
      <c r="BQ38" s="199"/>
      <c r="BR38" s="199">
        <v>58</v>
      </c>
      <c r="BS38" s="203" t="e">
        <v>#REF!</v>
      </c>
      <c r="BT38" s="199"/>
      <c r="BU38" s="203" t="e">
        <v>#REF!</v>
      </c>
      <c r="BV38" s="199"/>
      <c r="BW38" s="199"/>
      <c r="BY38" s="178">
        <f>G66</f>
        <v>3504</v>
      </c>
      <c r="BZ38" s="179">
        <f>H66</f>
        <v>3787</v>
      </c>
      <c r="CA38" s="166" t="s">
        <v>410</v>
      </c>
      <c r="CB38" s="167" t="s">
        <v>437</v>
      </c>
    </row>
    <row r="39" spans="1:80" s="143" customFormat="1" ht="12.75" x14ac:dyDescent="0.25">
      <c r="A39" s="305"/>
      <c r="B39" s="395"/>
      <c r="C39" s="397"/>
      <c r="D39" s="397"/>
      <c r="E39" s="383"/>
      <c r="F39" s="389"/>
      <c r="G39" s="383"/>
      <c r="H39" s="383"/>
      <c r="I39" s="383">
        <v>0</v>
      </c>
      <c r="J39" s="383">
        <v>0</v>
      </c>
      <c r="K39" s="383">
        <v>0</v>
      </c>
      <c r="L39" s="383">
        <v>0</v>
      </c>
      <c r="M39" s="387"/>
      <c r="N39" s="383"/>
      <c r="O39" s="383"/>
      <c r="P39" s="383"/>
      <c r="Q39" s="383"/>
      <c r="R39" s="383"/>
      <c r="S39" s="383"/>
      <c r="T39" s="383"/>
      <c r="U39" s="383"/>
      <c r="V39" s="383"/>
      <c r="W39" s="383"/>
      <c r="X39" s="383"/>
      <c r="Y39" s="383"/>
      <c r="Z39" s="385"/>
      <c r="AA39" s="318"/>
      <c r="AB39" s="318"/>
      <c r="AC39" s="318"/>
      <c r="AD39" s="140" t="str">
        <f t="shared" ref="AD39" si="497">IF(AA38&gt;AB38,AD38&amp;"  "&amp;AE38,IF(AB38&gt;AA38,AD38&amp;"  "&amp;AE39,""))</f>
        <v>2 - 0  (3, 5)</v>
      </c>
      <c r="AE39" s="140" t="str">
        <f t="shared" si="0"/>
        <v>(3, 5)</v>
      </c>
      <c r="AF39" s="140">
        <f t="shared" ref="AF39" si="498">IF(N38&gt;M38,1,0)</f>
        <v>1</v>
      </c>
      <c r="AG39" s="140">
        <f t="shared" ref="AG39" si="499">IF(P38&gt;O38,1,0)</f>
        <v>1</v>
      </c>
      <c r="AH39" s="140">
        <f t="shared" ref="AH39" si="500">IF(R38&gt;Q38,1,0)</f>
        <v>0</v>
      </c>
      <c r="AI39" s="140">
        <f t="shared" ref="AI39" si="501">IF(T38&gt;S38,1,0)</f>
        <v>0</v>
      </c>
      <c r="AJ39" s="140">
        <f t="shared" ref="AJ39" si="502">IF(V38&gt;U38,1,0)</f>
        <v>0</v>
      </c>
      <c r="AK39" s="140">
        <f t="shared" ref="AK39" si="503">IF(X38&gt;W38,1,0)</f>
        <v>0</v>
      </c>
      <c r="AL39" s="140">
        <f t="shared" ref="AL39" si="504">IF(Z38&gt;Y38,1,0)</f>
        <v>0</v>
      </c>
      <c r="AM39" s="140">
        <f t="shared" ref="AM39" si="505">IF(N38&gt;M38,M38,IF(M38&gt;N38,-N38,""))</f>
        <v>3</v>
      </c>
      <c r="AN39" s="140" t="str">
        <f t="shared" ref="AN39" si="506">IF(P38&gt;O38,", "&amp;O38,IF(O38&gt;P38,", "&amp;-P38,""))</f>
        <v>, 5</v>
      </c>
      <c r="AO39" s="140" t="str">
        <f t="shared" ref="AO39" si="507">IF(R38&gt;Q38,", "&amp;Q38,IF(Q38&gt;R38,", "&amp;-R38,""))</f>
        <v/>
      </c>
      <c r="AP39" s="140" t="str">
        <f t="shared" ref="AP39" si="508">IF(T38&gt;S38,", "&amp;S38,IF(S38&gt;T38,", "&amp;-T38,""))</f>
        <v/>
      </c>
      <c r="AQ39" s="140" t="str">
        <f t="shared" ref="AQ39" si="509">IF(V38&gt;U38,", "&amp;U38,IF(U38&gt;V38,", "&amp;-V38,""))</f>
        <v/>
      </c>
      <c r="AR39" s="140" t="str">
        <f t="shared" ref="AR39" si="510">IF(X38&gt;W38,", "&amp;W38,IF(W38&gt;X38,", "&amp;-X38,""))</f>
        <v/>
      </c>
      <c r="AS39" s="140" t="str">
        <f t="shared" ref="AS39" si="511">IF(Z38&gt;Y38,", "&amp;Y38,IF(Y38&gt;Z38,", "&amp;-Z38,""))</f>
        <v/>
      </c>
      <c r="AU39" s="155"/>
      <c r="AV39" s="145"/>
      <c r="AW39" s="151"/>
      <c r="AX39" s="150"/>
      <c r="AY39" s="152"/>
      <c r="AZ39" s="151"/>
      <c r="BA39" s="150"/>
      <c r="BB39" s="152"/>
      <c r="BC39" s="151"/>
      <c r="BD39" s="153"/>
      <c r="BE39" s="152"/>
      <c r="BF39" s="154"/>
      <c r="BG39" s="145" t="s">
        <v>438</v>
      </c>
      <c r="BH39" s="204">
        <f>G74</f>
        <v>3504</v>
      </c>
      <c r="BI39" s="205" t="s">
        <v>30</v>
      </c>
      <c r="BJ39" s="206" t="s">
        <v>14</v>
      </c>
      <c r="BL39" s="207">
        <f t="shared" si="35"/>
        <v>31</v>
      </c>
      <c r="BM39" s="208" t="str">
        <f>C68</f>
        <v>4 Julio</v>
      </c>
      <c r="BN39" s="208">
        <f>D68</f>
        <v>0</v>
      </c>
      <c r="BO39" s="209">
        <f>E68</f>
        <v>0</v>
      </c>
      <c r="BP39" s="210" t="s">
        <v>409</v>
      </c>
      <c r="BQ39" s="207"/>
      <c r="BR39" s="207">
        <v>63</v>
      </c>
      <c r="BS39" s="211" t="e">
        <v>#REF!</v>
      </c>
      <c r="BT39" s="207"/>
      <c r="BU39" s="211" t="e">
        <v>#REF!</v>
      </c>
      <c r="BV39" s="207"/>
      <c r="BW39" s="207"/>
      <c r="BY39" s="178">
        <f>G68</f>
        <v>4058</v>
      </c>
      <c r="BZ39" s="179">
        <f>H68</f>
        <v>3787</v>
      </c>
      <c r="CA39" s="166" t="s">
        <v>410</v>
      </c>
      <c r="CB39" s="167" t="s">
        <v>439</v>
      </c>
    </row>
    <row r="40" spans="1:80" s="143" customFormat="1" ht="12.75" x14ac:dyDescent="0.25">
      <c r="A40" s="305">
        <v>17</v>
      </c>
      <c r="B40" s="376" t="s">
        <v>440</v>
      </c>
      <c r="C40" s="378" t="s">
        <v>391</v>
      </c>
      <c r="D40" s="378"/>
      <c r="E40" s="369"/>
      <c r="F40" s="380" t="str">
        <f t="shared" ref="F40:F52" si="512">C40&amp;"-"&amp;D40&amp;"- Table"&amp;E40</f>
        <v>4 Julio-- Table</v>
      </c>
      <c r="G40" s="369">
        <f>IF(M8="",0,IF(AA8&gt;AB8,G8,H8))</f>
        <v>4002</v>
      </c>
      <c r="H40" s="369">
        <f>IF(M10="",0,IF(AA10&gt;AB10,G10,H10))</f>
        <v>4025</v>
      </c>
      <c r="I40" s="369" t="s">
        <v>11</v>
      </c>
      <c r="J40" s="369" t="s">
        <v>12</v>
      </c>
      <c r="K40" s="369" t="s">
        <v>18</v>
      </c>
      <c r="L40" s="369" t="s">
        <v>14</v>
      </c>
      <c r="M40" s="374">
        <v>2</v>
      </c>
      <c r="N40" s="369">
        <v>11</v>
      </c>
      <c r="O40" s="369">
        <v>13</v>
      </c>
      <c r="P40" s="369">
        <v>15</v>
      </c>
      <c r="Q40" s="369"/>
      <c r="R40" s="369"/>
      <c r="S40" s="369"/>
      <c r="T40" s="369"/>
      <c r="U40" s="369"/>
      <c r="V40" s="369"/>
      <c r="W40" s="369"/>
      <c r="X40" s="369"/>
      <c r="Y40" s="369"/>
      <c r="Z40" s="371"/>
      <c r="AA40" s="318">
        <f t="shared" ref="AA40" si="513">IF(M40+N40&lt;&gt;0,SUM(AF40:AL40),"")</f>
        <v>0</v>
      </c>
      <c r="AB40" s="318">
        <f t="shared" ref="AB40" si="514">IF(M40+N40&lt;&gt;0,SUM(AF41:AL41),"")</f>
        <v>2</v>
      </c>
      <c r="AC40" s="140" t="str">
        <f t="shared" ref="AC40" si="515">IF(AA40&gt;AB40,AD40&amp;"  "&amp;AE40,IF(AB40&gt;AA40,AD40&amp;"  "&amp;AE41,""))</f>
        <v>2 - 0  (2, 13)</v>
      </c>
      <c r="AD40" s="140" t="str">
        <f t="shared" ref="AD40" si="516">IF(AA40&gt;AB40,AA40&amp;" - "&amp;AB40,IF(AB40&gt;AA40,AB40&amp;" - "&amp;AA40,""))</f>
        <v>2 - 0</v>
      </c>
      <c r="AE40" s="140" t="str">
        <f t="shared" si="0"/>
        <v>(-2, -13)</v>
      </c>
      <c r="AF40" s="140">
        <f t="shared" ref="AF40" si="517">IF(M40&gt;N40,1,0)</f>
        <v>0</v>
      </c>
      <c r="AG40" s="140">
        <f t="shared" ref="AG40" si="518">IF(O40&gt;P40,1,0)</f>
        <v>0</v>
      </c>
      <c r="AH40" s="140">
        <f t="shared" ref="AH40" si="519">IF(Q40&gt;R40,1,0)</f>
        <v>0</v>
      </c>
      <c r="AI40" s="140">
        <f t="shared" ref="AI40" si="520">IF(S40&gt;T40,1,0)</f>
        <v>0</v>
      </c>
      <c r="AJ40" s="140">
        <f t="shared" ref="AJ40" si="521">IF(U40&gt;V40,1,0)</f>
        <v>0</v>
      </c>
      <c r="AK40" s="140">
        <f t="shared" ref="AK40" si="522">IF(W40&gt;X40,1,0)</f>
        <v>0</v>
      </c>
      <c r="AL40" s="140">
        <f t="shared" ref="AL40" si="523">IF(Y40&gt;Z40,1,0)</f>
        <v>0</v>
      </c>
      <c r="AM40" s="140">
        <f t="shared" ref="AM40" si="524">IF(M40&gt;N40,N40,IF(N40&gt;M40,-M40,""))</f>
        <v>-2</v>
      </c>
      <c r="AN40" s="140" t="str">
        <f t="shared" ref="AN40" si="525">IF(O40&gt;P40,", "&amp;P40,IF(P40&gt;O40,", "&amp;-O40,""))</f>
        <v>, -13</v>
      </c>
      <c r="AO40" s="140" t="str">
        <f t="shared" ref="AO40" si="526">IF(Q40&gt;R40,", "&amp;R40,IF(R40&gt;Q40,", "&amp;-Q40,""))</f>
        <v/>
      </c>
      <c r="AP40" s="140" t="str">
        <f t="shared" ref="AP40" si="527">IF(S40&gt;T40,", "&amp;T40,IF(T40&gt;S40,", "&amp;-S40,""))</f>
        <v/>
      </c>
      <c r="AQ40" s="140" t="str">
        <f t="shared" ref="AQ40" si="528">IF(U40&gt;V40,", "&amp;V40,IF(V40&gt;U40,", "&amp;-U40,""))</f>
        <v/>
      </c>
      <c r="AR40" s="140" t="str">
        <f t="shared" ref="AR40" si="529">IF(W40&gt;X40,", "&amp;X40,IF(X40&gt;W40,", "&amp;-W40,""))</f>
        <v/>
      </c>
      <c r="AS40" s="140" t="str">
        <f t="shared" ref="AS40" si="530">IF(Y40&gt;Z40,", "&amp;Z40,IF(Z40&gt;Y40,", "&amp;-Y40,""))</f>
        <v/>
      </c>
      <c r="AU40" s="155">
        <f>1+AU38</f>
        <v>17</v>
      </c>
      <c r="AV40" s="156">
        <f>VLOOKUP(AV41,$A$8:$L$87,7,FALSE)</f>
        <v>4297</v>
      </c>
      <c r="AW40" s="157" t="s">
        <v>13</v>
      </c>
      <c r="AX40" s="158" t="s">
        <v>14</v>
      </c>
      <c r="AY40" s="159"/>
      <c r="AZ40" s="160" t="str">
        <f>VLOOKUP(AV41,$A$8:$AD$87,29,FALSE)</f>
        <v>2 - 0  (10, 3)</v>
      </c>
      <c r="BA40" s="161"/>
      <c r="BB40" s="152"/>
      <c r="BC40" s="151"/>
      <c r="BD40" s="153"/>
      <c r="BE40" s="152"/>
      <c r="BF40" s="154"/>
      <c r="BG40" s="150"/>
      <c r="BH40" s="159"/>
      <c r="BI40" s="160" t="str">
        <f>VLOOKUP(BH38,$A$8:$AD$91,29,FALSE)</f>
        <v>3 - 1  (-9, 8, 6, 9)</v>
      </c>
      <c r="BJ40" s="212"/>
      <c r="BL40" s="207">
        <f t="shared" si="35"/>
        <v>32</v>
      </c>
      <c r="BM40" s="208" t="str">
        <f>C70</f>
        <v>4 Julio</v>
      </c>
      <c r="BN40" s="208">
        <f>D70</f>
        <v>0</v>
      </c>
      <c r="BO40" s="209">
        <f>E70</f>
        <v>0</v>
      </c>
      <c r="BP40" s="210" t="s">
        <v>409</v>
      </c>
      <c r="BQ40" s="207"/>
      <c r="BR40" s="207">
        <v>64</v>
      </c>
      <c r="BS40" s="211" t="e">
        <v>#REF!</v>
      </c>
      <c r="BT40" s="207"/>
      <c r="BU40" s="211" t="e">
        <v>#REF!</v>
      </c>
      <c r="BV40" s="207"/>
      <c r="BW40" s="207"/>
      <c r="BY40" s="178">
        <f>G70</f>
        <v>3671</v>
      </c>
      <c r="BZ40" s="179">
        <f>H70</f>
        <v>3504</v>
      </c>
      <c r="CA40" s="166" t="s">
        <v>410</v>
      </c>
      <c r="CB40" s="167" t="s">
        <v>441</v>
      </c>
    </row>
    <row r="41" spans="1:80" s="143" customFormat="1" ht="12.75" x14ac:dyDescent="0.25">
      <c r="A41" s="305"/>
      <c r="B41" s="377"/>
      <c r="C41" s="379"/>
      <c r="D41" s="379"/>
      <c r="E41" s="370"/>
      <c r="F41" s="381"/>
      <c r="G41" s="370" t="s">
        <v>442</v>
      </c>
      <c r="H41" s="370" t="s">
        <v>442</v>
      </c>
      <c r="I41" s="370"/>
      <c r="J41" s="370"/>
      <c r="K41" s="370">
        <v>0</v>
      </c>
      <c r="L41" s="370">
        <v>0</v>
      </c>
      <c r="M41" s="375"/>
      <c r="N41" s="370"/>
      <c r="O41" s="370"/>
      <c r="P41" s="370"/>
      <c r="Q41" s="370"/>
      <c r="R41" s="370"/>
      <c r="S41" s="370"/>
      <c r="T41" s="370"/>
      <c r="U41" s="370"/>
      <c r="V41" s="370"/>
      <c r="W41" s="370"/>
      <c r="X41" s="370"/>
      <c r="Y41" s="370"/>
      <c r="Z41" s="372"/>
      <c r="AA41" s="318"/>
      <c r="AB41" s="318"/>
      <c r="AC41" s="140"/>
      <c r="AD41" s="140" t="str">
        <f t="shared" ref="AD41" si="531">IF(AA40&gt;AB40,AD40&amp;"  "&amp;AE40,IF(AB40&gt;AA40,AD40&amp;"  "&amp;AE41,""))</f>
        <v>2 - 0  (2, 13)</v>
      </c>
      <c r="AE41" s="140" t="str">
        <f t="shared" si="0"/>
        <v>(2, 13)</v>
      </c>
      <c r="AF41" s="140">
        <f t="shared" ref="AF41" si="532">IF(N40&gt;M40,1,0)</f>
        <v>1</v>
      </c>
      <c r="AG41" s="140">
        <f t="shared" ref="AG41" si="533">IF(P40&gt;O40,1,0)</f>
        <v>1</v>
      </c>
      <c r="AH41" s="140">
        <f t="shared" ref="AH41" si="534">IF(R40&gt;Q40,1,0)</f>
        <v>0</v>
      </c>
      <c r="AI41" s="140">
        <f t="shared" ref="AI41" si="535">IF(T40&gt;S40,1,0)</f>
        <v>0</v>
      </c>
      <c r="AJ41" s="140">
        <f t="shared" ref="AJ41" si="536">IF(V40&gt;U40,1,0)</f>
        <v>0</v>
      </c>
      <c r="AK41" s="140">
        <f t="shared" ref="AK41" si="537">IF(X40&gt;W40,1,0)</f>
        <v>0</v>
      </c>
      <c r="AL41" s="140">
        <f t="shared" ref="AL41" si="538">IF(Z40&gt;Y40,1,0)</f>
        <v>0</v>
      </c>
      <c r="AM41" s="140">
        <f t="shared" ref="AM41" si="539">IF(N40&gt;M40,M40,IF(M40&gt;N40,-N40,""))</f>
        <v>2</v>
      </c>
      <c r="AN41" s="140" t="str">
        <f t="shared" ref="AN41" si="540">IF(P40&gt;O40,", "&amp;O40,IF(O40&gt;P40,", "&amp;-P40,""))</f>
        <v>, 13</v>
      </c>
      <c r="AO41" s="140" t="str">
        <f t="shared" ref="AO41" si="541">IF(R40&gt;Q40,", "&amp;Q40,IF(Q40&gt;R40,", "&amp;-R40,""))</f>
        <v/>
      </c>
      <c r="AP41" s="140" t="str">
        <f t="shared" ref="AP41" si="542">IF(T40&gt;S40,", "&amp;S40,IF(S40&gt;T40,", "&amp;-T40,""))</f>
        <v/>
      </c>
      <c r="AQ41" s="140" t="str">
        <f t="shared" ref="AQ41" si="543">IF(V40&gt;U40,", "&amp;U40,IF(U40&gt;V40,", "&amp;-V40,""))</f>
        <v/>
      </c>
      <c r="AR41" s="140" t="str">
        <f t="shared" ref="AR41" si="544">IF(X40&gt;W40,", "&amp;W40,IF(W40&gt;X40,", "&amp;-X40,""))</f>
        <v/>
      </c>
      <c r="AS41" s="140" t="str">
        <f t="shared" ref="AS41" si="545">IF(Z40&gt;Y40,", "&amp;Y40,IF(Y40&gt;Z40,", "&amp;-Z40,""))</f>
        <v/>
      </c>
      <c r="AU41" s="144"/>
      <c r="AV41" s="168">
        <v>9</v>
      </c>
      <c r="AW41" s="169" t="str">
        <f>VLOOKUP(AV41,$A$8:$L$87,6,FALSE)</f>
        <v>4 Julio-- Table</v>
      </c>
      <c r="AX41" s="170"/>
      <c r="AY41" s="171">
        <f>VLOOKUP(AY43,$A$8:$L$91,7,FALSE)</f>
        <v>4297</v>
      </c>
      <c r="AZ41" s="157" t="s">
        <v>13</v>
      </c>
      <c r="BA41" s="158" t="s">
        <v>14</v>
      </c>
      <c r="BB41" s="152"/>
      <c r="BC41" s="151"/>
      <c r="BD41" s="153"/>
      <c r="BE41" s="152"/>
      <c r="BF41" s="154"/>
      <c r="BG41" s="150"/>
      <c r="BH41" s="152"/>
      <c r="BI41" s="154"/>
      <c r="BJ41" s="170"/>
    </row>
    <row r="42" spans="1:80" s="143" customFormat="1" ht="12.75" x14ac:dyDescent="0.25">
      <c r="A42" s="305">
        <v>18</v>
      </c>
      <c r="B42" s="373" t="s">
        <v>440</v>
      </c>
      <c r="C42" s="333" t="s">
        <v>391</v>
      </c>
      <c r="D42" s="333"/>
      <c r="E42" s="314"/>
      <c r="F42" s="335" t="str">
        <f t="shared" ref="F42:F54" si="546">C42&amp;"-"&amp;D42&amp;"- Table"&amp;E42</f>
        <v>4 Julio-- Table</v>
      </c>
      <c r="G42" s="314">
        <f>IF(M12="",0,IF(AA12&gt;AB12,G12,H12))</f>
        <v>4511</v>
      </c>
      <c r="H42" s="314">
        <f>IF(M14="",0,IF(AA14&gt;AB14,G14,H14))</f>
        <v>3671</v>
      </c>
      <c r="I42" s="314" t="s">
        <v>22</v>
      </c>
      <c r="J42" s="314" t="s">
        <v>12</v>
      </c>
      <c r="K42" s="314" t="s">
        <v>9</v>
      </c>
      <c r="L42" s="314" t="s">
        <v>10</v>
      </c>
      <c r="M42" s="325">
        <v>7</v>
      </c>
      <c r="N42" s="314">
        <v>11</v>
      </c>
      <c r="O42" s="314">
        <v>8</v>
      </c>
      <c r="P42" s="314">
        <v>11</v>
      </c>
      <c r="Q42" s="314"/>
      <c r="R42" s="314"/>
      <c r="S42" s="314"/>
      <c r="T42" s="314"/>
      <c r="U42" s="314"/>
      <c r="V42" s="314"/>
      <c r="W42" s="314"/>
      <c r="X42" s="314"/>
      <c r="Y42" s="314"/>
      <c r="Z42" s="316"/>
      <c r="AA42" s="318">
        <f t="shared" ref="AA42" si="547">IF(M42+N42&lt;&gt;0,SUM(AF42:AL42),"")</f>
        <v>0</v>
      </c>
      <c r="AB42" s="318">
        <f t="shared" ref="AB42" si="548">IF(M42+N42&lt;&gt;0,SUM(AF43:AL43),"")</f>
        <v>2</v>
      </c>
      <c r="AC42" s="140" t="str">
        <f t="shared" ref="AC42" si="549">IF(AA42&gt;AB42,AD42&amp;"  "&amp;AE42,IF(AB42&gt;AA42,AD42&amp;"  "&amp;AE43,""))</f>
        <v>2 - 0  (7, 8)</v>
      </c>
      <c r="AD42" s="140" t="str">
        <f t="shared" ref="AD42" si="550">IF(AA42&gt;AB42,AA42&amp;" - "&amp;AB42,IF(AB42&gt;AA42,AB42&amp;" - "&amp;AA42,""))</f>
        <v>2 - 0</v>
      </c>
      <c r="AE42" s="140" t="str">
        <f t="shared" si="0"/>
        <v>(-7, -8)</v>
      </c>
      <c r="AF42" s="140">
        <f t="shared" ref="AF42" si="551">IF(M42&gt;N42,1,0)</f>
        <v>0</v>
      </c>
      <c r="AG42" s="140">
        <f t="shared" ref="AG42" si="552">IF(O42&gt;P42,1,0)</f>
        <v>0</v>
      </c>
      <c r="AH42" s="140">
        <f t="shared" ref="AH42" si="553">IF(Q42&gt;R42,1,0)</f>
        <v>0</v>
      </c>
      <c r="AI42" s="140">
        <f t="shared" ref="AI42" si="554">IF(S42&gt;T42,1,0)</f>
        <v>0</v>
      </c>
      <c r="AJ42" s="140">
        <f t="shared" ref="AJ42" si="555">IF(U42&gt;V42,1,0)</f>
        <v>0</v>
      </c>
      <c r="AK42" s="140">
        <f t="shared" ref="AK42" si="556">IF(W42&gt;X42,1,0)</f>
        <v>0</v>
      </c>
      <c r="AL42" s="140">
        <f t="shared" ref="AL42" si="557">IF(Y42&gt;Z42,1,0)</f>
        <v>0</v>
      </c>
      <c r="AM42" s="140">
        <f t="shared" ref="AM42" si="558">IF(M42&gt;N42,N42,IF(N42&gt;M42,-M42,""))</f>
        <v>-7</v>
      </c>
      <c r="AN42" s="140" t="str">
        <f t="shared" ref="AN42" si="559">IF(O42&gt;P42,", "&amp;P42,IF(P42&gt;O42,", "&amp;-O42,""))</f>
        <v>, -8</v>
      </c>
      <c r="AO42" s="140" t="str">
        <f t="shared" ref="AO42" si="560">IF(Q42&gt;R42,", "&amp;R42,IF(R42&gt;Q42,", "&amp;-Q42,""))</f>
        <v/>
      </c>
      <c r="AP42" s="140" t="str">
        <f t="shared" ref="AP42" si="561">IF(S42&gt;T42,", "&amp;T42,IF(T42&gt;S42,", "&amp;-S42,""))</f>
        <v/>
      </c>
      <c r="AQ42" s="140" t="str">
        <f t="shared" ref="AQ42" si="562">IF(U42&gt;V42,", "&amp;V42,IF(V42&gt;U42,", "&amp;-U42,""))</f>
        <v/>
      </c>
      <c r="AR42" s="140" t="str">
        <f t="shared" ref="AR42" si="563">IF(W42&gt;X42,", "&amp;X42,IF(X42&gt;W42,", "&amp;-W42,""))</f>
        <v/>
      </c>
      <c r="AS42" s="140" t="str">
        <f t="shared" ref="AS42" si="564">IF(Y42&gt;Z42,", "&amp;Z42,IF(Z42&gt;Y42,", "&amp;-Y42,""))</f>
        <v/>
      </c>
      <c r="AU42" s="155">
        <f>1+AU40</f>
        <v>18</v>
      </c>
      <c r="AV42" s="180">
        <f>VLOOKUP(AV41,$A$8:$L$87,8,FALSE)</f>
        <v>4527</v>
      </c>
      <c r="AW42" s="181" t="s">
        <v>47</v>
      </c>
      <c r="AX42" s="182" t="s">
        <v>6</v>
      </c>
      <c r="AY42" s="152"/>
      <c r="AZ42" s="151"/>
      <c r="BA42" s="170"/>
      <c r="BB42" s="159"/>
      <c r="BC42" s="160" t="str">
        <f>VLOOKUP(AY43,$A$8:$AD$87,29,FALSE)</f>
        <v>2 - 0  (5, 9)</v>
      </c>
      <c r="BD42" s="160"/>
      <c r="BE42" s="152"/>
      <c r="BF42" s="154"/>
      <c r="BG42" s="150"/>
      <c r="BH42" s="152"/>
      <c r="BI42" s="154"/>
      <c r="BJ42" s="170"/>
    </row>
    <row r="43" spans="1:80" s="143" customFormat="1" ht="12.75" x14ac:dyDescent="0.25">
      <c r="A43" s="305"/>
      <c r="B43" s="332"/>
      <c r="C43" s="334"/>
      <c r="D43" s="334"/>
      <c r="E43" s="315"/>
      <c r="F43" s="336"/>
      <c r="G43" s="315" t="s">
        <v>442</v>
      </c>
      <c r="H43" s="315" t="s">
        <v>442</v>
      </c>
      <c r="I43" s="315"/>
      <c r="J43" s="315"/>
      <c r="K43" s="315">
        <v>0</v>
      </c>
      <c r="L43" s="315">
        <v>0</v>
      </c>
      <c r="M43" s="326"/>
      <c r="N43" s="315"/>
      <c r="O43" s="315"/>
      <c r="P43" s="315"/>
      <c r="Q43" s="315"/>
      <c r="R43" s="315"/>
      <c r="S43" s="315"/>
      <c r="T43" s="315"/>
      <c r="U43" s="315"/>
      <c r="V43" s="315"/>
      <c r="W43" s="315"/>
      <c r="X43" s="315"/>
      <c r="Y43" s="315"/>
      <c r="Z43" s="317"/>
      <c r="AA43" s="318"/>
      <c r="AB43" s="318"/>
      <c r="AC43" s="140"/>
      <c r="AD43" s="140" t="str">
        <f t="shared" ref="AD43" si="565">IF(AA42&gt;AB42,AD42&amp;"  "&amp;AE42,IF(AB42&gt;AA42,AD42&amp;"  "&amp;AE43,""))</f>
        <v>2 - 0  (7, 8)</v>
      </c>
      <c r="AE43" s="140" t="str">
        <f t="shared" si="0"/>
        <v>(7, 8)</v>
      </c>
      <c r="AF43" s="140">
        <f t="shared" ref="AF43" si="566">IF(N42&gt;M42,1,0)</f>
        <v>1</v>
      </c>
      <c r="AG43" s="140">
        <f t="shared" ref="AG43" si="567">IF(P42&gt;O42,1,0)</f>
        <v>1</v>
      </c>
      <c r="AH43" s="140">
        <f t="shared" ref="AH43" si="568">IF(R42&gt;Q42,1,0)</f>
        <v>0</v>
      </c>
      <c r="AI43" s="140">
        <f t="shared" ref="AI43" si="569">IF(T42&gt;S42,1,0)</f>
        <v>0</v>
      </c>
      <c r="AJ43" s="140">
        <f t="shared" ref="AJ43" si="570">IF(V42&gt;U42,1,0)</f>
        <v>0</v>
      </c>
      <c r="AK43" s="140">
        <f t="shared" ref="AK43" si="571">IF(X42&gt;W42,1,0)</f>
        <v>0</v>
      </c>
      <c r="AL43" s="140">
        <f t="shared" ref="AL43" si="572">IF(Z42&gt;Y42,1,0)</f>
        <v>0</v>
      </c>
      <c r="AM43" s="140">
        <f t="shared" ref="AM43" si="573">IF(N42&gt;M42,M42,IF(M42&gt;N42,-N42,""))</f>
        <v>7</v>
      </c>
      <c r="AN43" s="140" t="str">
        <f t="shared" ref="AN43" si="574">IF(P42&gt;O42,", "&amp;O42,IF(O42&gt;P42,", "&amp;-P42,""))</f>
        <v>, 8</v>
      </c>
      <c r="AO43" s="140" t="str">
        <f t="shared" ref="AO43" si="575">IF(R42&gt;Q42,", "&amp;Q42,IF(Q42&gt;R42,", "&amp;-R42,""))</f>
        <v/>
      </c>
      <c r="AP43" s="140" t="str">
        <f t="shared" ref="AP43" si="576">IF(T42&gt;S42,", "&amp;S42,IF(S42&gt;T42,", "&amp;-T42,""))</f>
        <v/>
      </c>
      <c r="AQ43" s="140" t="str">
        <f t="shared" ref="AQ43" si="577">IF(V42&gt;U42,", "&amp;U42,IF(U42&gt;V42,", "&amp;-V42,""))</f>
        <v/>
      </c>
      <c r="AR43" s="140" t="str">
        <f t="shared" ref="AR43" si="578">IF(X42&gt;W42,", "&amp;W42,IF(W42&gt;X42,", "&amp;-X42,""))</f>
        <v/>
      </c>
      <c r="AS43" s="140" t="str">
        <f t="shared" ref="AS43" si="579">IF(Z42&gt;Y42,", "&amp;Y42,IF(Y42&gt;Z42,", "&amp;-Z42,""))</f>
        <v/>
      </c>
      <c r="AU43" s="155"/>
      <c r="AV43" s="145"/>
      <c r="AW43" s="151"/>
      <c r="AX43" s="150"/>
      <c r="AY43" s="168">
        <v>21</v>
      </c>
      <c r="AZ43" s="169" t="str">
        <f>VLOOKUP(AY43,$A$8:$L$87,6,FALSE)</f>
        <v>4 Julio-- Table</v>
      </c>
      <c r="BA43" s="183"/>
      <c r="BB43" s="171">
        <f>VLOOKUP(BB47,$A$8:$L$91,7,FALSE)</f>
        <v>3450</v>
      </c>
      <c r="BC43" s="157" t="s">
        <v>19</v>
      </c>
      <c r="BD43" s="184" t="s">
        <v>10</v>
      </c>
      <c r="BE43" s="152"/>
      <c r="BF43" s="154"/>
      <c r="BG43" s="150"/>
      <c r="BH43" s="152"/>
      <c r="BI43" s="154"/>
      <c r="BJ43" s="170"/>
    </row>
    <row r="44" spans="1:80" s="143" customFormat="1" ht="12.75" x14ac:dyDescent="0.25">
      <c r="A44" s="305">
        <v>19</v>
      </c>
      <c r="B44" s="376" t="s">
        <v>443</v>
      </c>
      <c r="C44" s="378" t="s">
        <v>391</v>
      </c>
      <c r="D44" s="378"/>
      <c r="E44" s="369"/>
      <c r="F44" s="380" t="str">
        <f t="shared" si="512"/>
        <v>4 Julio-- Table</v>
      </c>
      <c r="G44" s="369">
        <f>IF(M16="",0,IF(AA16&gt;AB16,G16,H16))</f>
        <v>4177</v>
      </c>
      <c r="H44" s="369">
        <f>IF(M18="",0,IF(AA18&gt;AB18,G18,H18))</f>
        <v>4128</v>
      </c>
      <c r="I44" s="369" t="s">
        <v>15</v>
      </c>
      <c r="J44" s="369" t="s">
        <v>14</v>
      </c>
      <c r="K44" s="369" t="s">
        <v>23</v>
      </c>
      <c r="L44" s="369" t="s">
        <v>24</v>
      </c>
      <c r="M44" s="374">
        <v>11</v>
      </c>
      <c r="N44" s="369">
        <v>7</v>
      </c>
      <c r="O44" s="369">
        <v>9</v>
      </c>
      <c r="P44" s="369">
        <v>11</v>
      </c>
      <c r="Q44" s="369">
        <v>11</v>
      </c>
      <c r="R44" s="369">
        <v>13</v>
      </c>
      <c r="S44" s="369"/>
      <c r="T44" s="369"/>
      <c r="U44" s="369"/>
      <c r="V44" s="369"/>
      <c r="W44" s="369"/>
      <c r="X44" s="369"/>
      <c r="Y44" s="369"/>
      <c r="Z44" s="371"/>
      <c r="AA44" s="318">
        <f t="shared" ref="AA44" si="580">IF(M44+N44&lt;&gt;0,SUM(AF44:AL44),"")</f>
        <v>1</v>
      </c>
      <c r="AB44" s="318">
        <f t="shared" ref="AB44" si="581">IF(M44+N44&lt;&gt;0,SUM(AF45:AL45),"")</f>
        <v>2</v>
      </c>
      <c r="AC44" s="140" t="str">
        <f t="shared" ref="AC44" si="582">IF(AA44&gt;AB44,AD44&amp;"  "&amp;AE44,IF(AB44&gt;AA44,AD44&amp;"  "&amp;AE45,""))</f>
        <v>2 - 1  (-7, 9, 11)</v>
      </c>
      <c r="AD44" s="140" t="str">
        <f t="shared" ref="AD44" si="583">IF(AA44&gt;AB44,AA44&amp;" - "&amp;AB44,IF(AB44&gt;AA44,AB44&amp;" - "&amp;AA44,""))</f>
        <v>2 - 1</v>
      </c>
      <c r="AE44" s="140" t="str">
        <f t="shared" si="0"/>
        <v>(7, -9, -11)</v>
      </c>
      <c r="AF44" s="140">
        <f t="shared" ref="AF44" si="584">IF(M44&gt;N44,1,0)</f>
        <v>1</v>
      </c>
      <c r="AG44" s="140">
        <f t="shared" ref="AG44" si="585">IF(O44&gt;P44,1,0)</f>
        <v>0</v>
      </c>
      <c r="AH44" s="140">
        <f t="shared" ref="AH44" si="586">IF(Q44&gt;R44,1,0)</f>
        <v>0</v>
      </c>
      <c r="AI44" s="140">
        <f t="shared" ref="AI44" si="587">IF(S44&gt;T44,1,0)</f>
        <v>0</v>
      </c>
      <c r="AJ44" s="140">
        <f t="shared" ref="AJ44" si="588">IF(U44&gt;V44,1,0)</f>
        <v>0</v>
      </c>
      <c r="AK44" s="140">
        <f t="shared" ref="AK44" si="589">IF(W44&gt;X44,1,0)</f>
        <v>0</v>
      </c>
      <c r="AL44" s="140">
        <f t="shared" ref="AL44" si="590">IF(Y44&gt;Z44,1,0)</f>
        <v>0</v>
      </c>
      <c r="AM44" s="140">
        <f t="shared" ref="AM44" si="591">IF(M44&gt;N44,N44,IF(N44&gt;M44,-M44,""))</f>
        <v>7</v>
      </c>
      <c r="AN44" s="140" t="str">
        <f t="shared" ref="AN44" si="592">IF(O44&gt;P44,", "&amp;P44,IF(P44&gt;O44,", "&amp;-O44,""))</f>
        <v>, -9</v>
      </c>
      <c r="AO44" s="140" t="str">
        <f t="shared" ref="AO44" si="593">IF(Q44&gt;R44,", "&amp;R44,IF(R44&gt;Q44,", "&amp;-Q44,""))</f>
        <v>, -11</v>
      </c>
      <c r="AP44" s="140" t="str">
        <f t="shared" ref="AP44" si="594">IF(S44&gt;T44,", "&amp;T44,IF(T44&gt;S44,", "&amp;-S44,""))</f>
        <v/>
      </c>
      <c r="AQ44" s="140" t="str">
        <f t="shared" ref="AQ44" si="595">IF(U44&gt;V44,", "&amp;V44,IF(V44&gt;U44,", "&amp;-U44,""))</f>
        <v/>
      </c>
      <c r="AR44" s="140" t="str">
        <f t="shared" ref="AR44" si="596">IF(W44&gt;X44,", "&amp;X44,IF(X44&gt;W44,", "&amp;-W44,""))</f>
        <v/>
      </c>
      <c r="AS44" s="140" t="str">
        <f t="shared" ref="AS44" si="597">IF(Y44&gt;Z44,", "&amp;Z44,IF(Z44&gt;Y44,", "&amp;-Y44,""))</f>
        <v/>
      </c>
      <c r="AU44" s="155">
        <f>1+AU42</f>
        <v>19</v>
      </c>
      <c r="AV44" s="156">
        <f>VLOOKUP(AV45,$A$8:$L$87,7,FALSE)</f>
        <v>4182</v>
      </c>
      <c r="AW44" s="157" t="s">
        <v>36</v>
      </c>
      <c r="AX44" s="158" t="s">
        <v>8</v>
      </c>
      <c r="AY44" s="185"/>
      <c r="AZ44" s="151"/>
      <c r="BA44" s="170"/>
      <c r="BB44" s="152"/>
      <c r="BC44" s="151"/>
      <c r="BD44" s="186"/>
      <c r="BE44" s="152"/>
      <c r="BF44" s="154"/>
      <c r="BG44" s="150"/>
      <c r="BH44" s="152"/>
      <c r="BI44" s="154"/>
      <c r="BJ44" s="170"/>
    </row>
    <row r="45" spans="1:80" s="143" customFormat="1" ht="12.75" x14ac:dyDescent="0.25">
      <c r="A45" s="305"/>
      <c r="B45" s="377"/>
      <c r="C45" s="379"/>
      <c r="D45" s="379"/>
      <c r="E45" s="370"/>
      <c r="F45" s="381"/>
      <c r="G45" s="370" t="s">
        <v>442</v>
      </c>
      <c r="H45" s="370" t="s">
        <v>442</v>
      </c>
      <c r="I45" s="370"/>
      <c r="J45" s="370"/>
      <c r="K45" s="370">
        <v>0</v>
      </c>
      <c r="L45" s="370">
        <v>0</v>
      </c>
      <c r="M45" s="375"/>
      <c r="N45" s="370"/>
      <c r="O45" s="370"/>
      <c r="P45" s="370"/>
      <c r="Q45" s="370"/>
      <c r="R45" s="370"/>
      <c r="S45" s="370"/>
      <c r="T45" s="370"/>
      <c r="U45" s="370"/>
      <c r="V45" s="370"/>
      <c r="W45" s="370"/>
      <c r="X45" s="370"/>
      <c r="Y45" s="370"/>
      <c r="Z45" s="372"/>
      <c r="AA45" s="318"/>
      <c r="AB45" s="318"/>
      <c r="AC45" s="140"/>
      <c r="AD45" s="140" t="str">
        <f t="shared" ref="AD45" si="598">IF(AA44&gt;AB44,AD44&amp;"  "&amp;AE44,IF(AB44&gt;AA44,AD44&amp;"  "&amp;AE45,""))</f>
        <v>2 - 1  (-7, 9, 11)</v>
      </c>
      <c r="AE45" s="140" t="str">
        <f t="shared" si="0"/>
        <v>(-7, 9, 11)</v>
      </c>
      <c r="AF45" s="140">
        <f t="shared" ref="AF45" si="599">IF(N44&gt;M44,1,0)</f>
        <v>0</v>
      </c>
      <c r="AG45" s="140">
        <f t="shared" ref="AG45" si="600">IF(P44&gt;O44,1,0)</f>
        <v>1</v>
      </c>
      <c r="AH45" s="140">
        <f t="shared" ref="AH45" si="601">IF(R44&gt;Q44,1,0)</f>
        <v>1</v>
      </c>
      <c r="AI45" s="140">
        <f t="shared" ref="AI45" si="602">IF(T44&gt;S44,1,0)</f>
        <v>0</v>
      </c>
      <c r="AJ45" s="140">
        <f t="shared" ref="AJ45" si="603">IF(V44&gt;U44,1,0)</f>
        <v>0</v>
      </c>
      <c r="AK45" s="140">
        <f t="shared" ref="AK45" si="604">IF(X44&gt;W44,1,0)</f>
        <v>0</v>
      </c>
      <c r="AL45" s="140">
        <f t="shared" ref="AL45" si="605">IF(Z44&gt;Y44,1,0)</f>
        <v>0</v>
      </c>
      <c r="AM45" s="140">
        <f t="shared" ref="AM45" si="606">IF(N44&gt;M44,M44,IF(M44&gt;N44,-N44,""))</f>
        <v>-7</v>
      </c>
      <c r="AN45" s="140" t="str">
        <f t="shared" ref="AN45" si="607">IF(P44&gt;O44,", "&amp;O44,IF(O44&gt;P44,", "&amp;-P44,""))</f>
        <v>, 9</v>
      </c>
      <c r="AO45" s="140" t="str">
        <f t="shared" ref="AO45" si="608">IF(R44&gt;Q44,", "&amp;Q44,IF(Q44&gt;R44,", "&amp;-R44,""))</f>
        <v>, 11</v>
      </c>
      <c r="AP45" s="140" t="str">
        <f t="shared" ref="AP45" si="609">IF(T44&gt;S44,", "&amp;S44,IF(S44&gt;T44,", "&amp;-T44,""))</f>
        <v/>
      </c>
      <c r="AQ45" s="140" t="str">
        <f t="shared" ref="AQ45" si="610">IF(V44&gt;U44,", "&amp;U44,IF(U44&gt;V44,", "&amp;-V44,""))</f>
        <v/>
      </c>
      <c r="AR45" s="140" t="str">
        <f t="shared" ref="AR45" si="611">IF(X44&gt;W44,", "&amp;W44,IF(W44&gt;X44,", "&amp;-X44,""))</f>
        <v/>
      </c>
      <c r="AS45" s="140" t="str">
        <f t="shared" ref="AS45" si="612">IF(Z44&gt;Y44,", "&amp;Y44,IF(Y44&gt;Z44,", "&amp;-Z44,""))</f>
        <v/>
      </c>
      <c r="AU45" s="144"/>
      <c r="AV45" s="168">
        <v>10</v>
      </c>
      <c r="AW45" s="169" t="str">
        <f>VLOOKUP(AV45,$A$8:$L$87,6,FALSE)</f>
        <v>4 Julio-- Table</v>
      </c>
      <c r="AX45" s="170"/>
      <c r="AY45" s="187">
        <f>VLOOKUP(AY43,$A$8:$L$91,8,FALSE)</f>
        <v>3450</v>
      </c>
      <c r="AZ45" s="181" t="s">
        <v>19</v>
      </c>
      <c r="BA45" s="182" t="s">
        <v>10</v>
      </c>
      <c r="BB45" s="152"/>
      <c r="BC45" s="151"/>
      <c r="BD45" s="186"/>
      <c r="BE45" s="152"/>
      <c r="BF45" s="154"/>
      <c r="BG45" s="150"/>
      <c r="BH45" s="152"/>
      <c r="BI45" s="154"/>
      <c r="BJ45" s="170"/>
    </row>
    <row r="46" spans="1:80" s="143" customFormat="1" ht="12.75" x14ac:dyDescent="0.25">
      <c r="A46" s="305">
        <v>20</v>
      </c>
      <c r="B46" s="373" t="s">
        <v>443</v>
      </c>
      <c r="C46" s="333" t="s">
        <v>391</v>
      </c>
      <c r="D46" s="333"/>
      <c r="E46" s="314"/>
      <c r="F46" s="335" t="str">
        <f t="shared" si="546"/>
        <v>4 Julio-- Table</v>
      </c>
      <c r="G46" s="314">
        <f>IF(M20="",0,IF(AA20&gt;AB20,G20,H20))</f>
        <v>4674</v>
      </c>
      <c r="H46" s="314">
        <f>IF(M22="",0,IF(AA22&gt;AB22,G22,H22))</f>
        <v>4058</v>
      </c>
      <c r="I46" s="314" t="s">
        <v>34</v>
      </c>
      <c r="J46" s="314" t="s">
        <v>8</v>
      </c>
      <c r="K46" s="314" t="s">
        <v>7</v>
      </c>
      <c r="L46" s="314" t="s">
        <v>8</v>
      </c>
      <c r="M46" s="325">
        <v>6</v>
      </c>
      <c r="N46" s="314">
        <v>11</v>
      </c>
      <c r="O46" s="314">
        <v>5</v>
      </c>
      <c r="P46" s="314">
        <v>11</v>
      </c>
      <c r="Q46" s="314"/>
      <c r="R46" s="314"/>
      <c r="S46" s="314"/>
      <c r="T46" s="314"/>
      <c r="U46" s="314"/>
      <c r="V46" s="314"/>
      <c r="W46" s="314"/>
      <c r="X46" s="314"/>
      <c r="Y46" s="314"/>
      <c r="Z46" s="316"/>
      <c r="AA46" s="318">
        <f t="shared" ref="AA46" si="613">IF(M46+N46&lt;&gt;0,SUM(AF46:AL46),"")</f>
        <v>0</v>
      </c>
      <c r="AB46" s="318">
        <f t="shared" ref="AB46" si="614">IF(M46+N46&lt;&gt;0,SUM(AF47:AL47),"")</f>
        <v>2</v>
      </c>
      <c r="AC46" s="140" t="str">
        <f t="shared" ref="AC46" si="615">IF(AA46&gt;AB46,AD46&amp;"  "&amp;AE46,IF(AB46&gt;AA46,AD46&amp;"  "&amp;AE47,""))</f>
        <v>2 - 0  (6, 5)</v>
      </c>
      <c r="AD46" s="140" t="str">
        <f t="shared" ref="AD46" si="616">IF(AA46&gt;AB46,AA46&amp;" - "&amp;AB46,IF(AB46&gt;AA46,AB46&amp;" - "&amp;AA46,""))</f>
        <v>2 - 0</v>
      </c>
      <c r="AE46" s="140" t="str">
        <f t="shared" si="0"/>
        <v>(-6, -5)</v>
      </c>
      <c r="AF46" s="140">
        <f t="shared" ref="AF46" si="617">IF(M46&gt;N46,1,0)</f>
        <v>0</v>
      </c>
      <c r="AG46" s="140">
        <f t="shared" ref="AG46" si="618">IF(O46&gt;P46,1,0)</f>
        <v>0</v>
      </c>
      <c r="AH46" s="140">
        <f t="shared" ref="AH46" si="619">IF(Q46&gt;R46,1,0)</f>
        <v>0</v>
      </c>
      <c r="AI46" s="140">
        <f t="shared" ref="AI46" si="620">IF(S46&gt;T46,1,0)</f>
        <v>0</v>
      </c>
      <c r="AJ46" s="140">
        <f t="shared" ref="AJ46" si="621">IF(U46&gt;V46,1,0)</f>
        <v>0</v>
      </c>
      <c r="AK46" s="140">
        <f t="shared" ref="AK46" si="622">IF(W46&gt;X46,1,0)</f>
        <v>0</v>
      </c>
      <c r="AL46" s="140">
        <f t="shared" ref="AL46" si="623">IF(Y46&gt;Z46,1,0)</f>
        <v>0</v>
      </c>
      <c r="AM46" s="140">
        <f t="shared" ref="AM46" si="624">IF(M46&gt;N46,N46,IF(N46&gt;M46,-M46,""))</f>
        <v>-6</v>
      </c>
      <c r="AN46" s="140" t="str">
        <f t="shared" ref="AN46" si="625">IF(O46&gt;P46,", "&amp;P46,IF(P46&gt;O46,", "&amp;-O46,""))</f>
        <v>, -5</v>
      </c>
      <c r="AO46" s="140" t="str">
        <f t="shared" ref="AO46" si="626">IF(Q46&gt;R46,", "&amp;R46,IF(R46&gt;Q46,", "&amp;-Q46,""))</f>
        <v/>
      </c>
      <c r="AP46" s="140" t="str">
        <f t="shared" ref="AP46" si="627">IF(S46&gt;T46,", "&amp;T46,IF(T46&gt;S46,", "&amp;-S46,""))</f>
        <v/>
      </c>
      <c r="AQ46" s="140" t="str">
        <f t="shared" ref="AQ46" si="628">IF(U46&gt;V46,", "&amp;V46,IF(V46&gt;U46,", "&amp;-U46,""))</f>
        <v/>
      </c>
      <c r="AR46" s="140" t="str">
        <f t="shared" ref="AR46" si="629">IF(W46&gt;X46,", "&amp;X46,IF(X46&gt;W46,", "&amp;-W46,""))</f>
        <v/>
      </c>
      <c r="AS46" s="140" t="str">
        <f t="shared" ref="AS46" si="630">IF(Y46&gt;Z46,", "&amp;Z46,IF(Z46&gt;Y46,", "&amp;-Y46,""))</f>
        <v/>
      </c>
      <c r="AU46" s="155">
        <f>1+AU44</f>
        <v>20</v>
      </c>
      <c r="AV46" s="180">
        <f>VLOOKUP(AV45,$A$8:$L$87,8,FALSE)</f>
        <v>3450</v>
      </c>
      <c r="AW46" s="181" t="s">
        <v>19</v>
      </c>
      <c r="AX46" s="182" t="s">
        <v>10</v>
      </c>
      <c r="AY46" s="159"/>
      <c r="AZ46" s="160" t="str">
        <f>VLOOKUP(AV45,$A$8:$AD$91,29,FALSE)</f>
        <v>2 - 0  (8, 8)</v>
      </c>
      <c r="BA46" s="161"/>
      <c r="BB46" s="152"/>
      <c r="BC46" s="151"/>
      <c r="BD46" s="186"/>
      <c r="BE46" s="159"/>
      <c r="BF46" s="160" t="str">
        <f>VLOOKUP(BB47,$A$8:$AD$87,29,FALSE)</f>
        <v>2 - 0  (7, 8)</v>
      </c>
      <c r="BG46" s="160"/>
      <c r="BH46" s="152"/>
      <c r="BI46" s="154"/>
      <c r="BJ46" s="170"/>
    </row>
    <row r="47" spans="1:80" s="143" customFormat="1" ht="12.75" x14ac:dyDescent="0.25">
      <c r="A47" s="305"/>
      <c r="B47" s="332"/>
      <c r="C47" s="334"/>
      <c r="D47" s="334"/>
      <c r="E47" s="315"/>
      <c r="F47" s="336"/>
      <c r="G47" s="315" t="s">
        <v>442</v>
      </c>
      <c r="H47" s="315" t="s">
        <v>442</v>
      </c>
      <c r="I47" s="315"/>
      <c r="J47" s="315"/>
      <c r="K47" s="315">
        <v>0</v>
      </c>
      <c r="L47" s="315">
        <v>0</v>
      </c>
      <c r="M47" s="326"/>
      <c r="N47" s="315"/>
      <c r="O47" s="315"/>
      <c r="P47" s="315"/>
      <c r="Q47" s="315"/>
      <c r="R47" s="315"/>
      <c r="S47" s="315"/>
      <c r="T47" s="315"/>
      <c r="U47" s="315"/>
      <c r="V47" s="315"/>
      <c r="W47" s="315"/>
      <c r="X47" s="315"/>
      <c r="Y47" s="315"/>
      <c r="Z47" s="317"/>
      <c r="AA47" s="318"/>
      <c r="AB47" s="318"/>
      <c r="AC47" s="140"/>
      <c r="AD47" s="140" t="str">
        <f t="shared" ref="AD47" si="631">IF(AA46&gt;AB46,AD46&amp;"  "&amp;AE46,IF(AB46&gt;AA46,AD46&amp;"  "&amp;AE47,""))</f>
        <v>2 - 0  (6, 5)</v>
      </c>
      <c r="AE47" s="140" t="str">
        <f t="shared" si="0"/>
        <v>(6, 5)</v>
      </c>
      <c r="AF47" s="140">
        <f t="shared" ref="AF47" si="632">IF(N46&gt;M46,1,0)</f>
        <v>1</v>
      </c>
      <c r="AG47" s="140">
        <f t="shared" ref="AG47" si="633">IF(P46&gt;O46,1,0)</f>
        <v>1</v>
      </c>
      <c r="AH47" s="140">
        <f t="shared" ref="AH47" si="634">IF(R46&gt;Q46,1,0)</f>
        <v>0</v>
      </c>
      <c r="AI47" s="140">
        <f t="shared" ref="AI47" si="635">IF(T46&gt;S46,1,0)</f>
        <v>0</v>
      </c>
      <c r="AJ47" s="140">
        <f t="shared" ref="AJ47" si="636">IF(V46&gt;U46,1,0)</f>
        <v>0</v>
      </c>
      <c r="AK47" s="140">
        <f t="shared" ref="AK47" si="637">IF(X46&gt;W46,1,0)</f>
        <v>0</v>
      </c>
      <c r="AL47" s="140">
        <f t="shared" ref="AL47" si="638">IF(Z46&gt;Y46,1,0)</f>
        <v>0</v>
      </c>
      <c r="AM47" s="140">
        <f t="shared" ref="AM47" si="639">IF(N46&gt;M46,M46,IF(M46&gt;N46,-N46,""))</f>
        <v>6</v>
      </c>
      <c r="AN47" s="140" t="str">
        <f t="shared" ref="AN47" si="640">IF(P46&gt;O46,", "&amp;O46,IF(O46&gt;P46,", "&amp;-P46,""))</f>
        <v>, 5</v>
      </c>
      <c r="AO47" s="140" t="str">
        <f t="shared" ref="AO47" si="641">IF(R46&gt;Q46,", "&amp;Q46,IF(Q46&gt;R46,", "&amp;-R46,""))</f>
        <v/>
      </c>
      <c r="AP47" s="140" t="str">
        <f t="shared" ref="AP47" si="642">IF(T46&gt;S46,", "&amp;S46,IF(S46&gt;T46,", "&amp;-T46,""))</f>
        <v/>
      </c>
      <c r="AQ47" s="140" t="str">
        <f t="shared" ref="AQ47" si="643">IF(V46&gt;U46,", "&amp;U46,IF(U46&gt;V46,", "&amp;-V46,""))</f>
        <v/>
      </c>
      <c r="AR47" s="140" t="str">
        <f t="shared" ref="AR47" si="644">IF(X46&gt;W46,", "&amp;W46,IF(W46&gt;X46,", "&amp;-X46,""))</f>
        <v/>
      </c>
      <c r="AS47" s="140" t="str">
        <f t="shared" ref="AS47" si="645">IF(Z46&gt;Y46,", "&amp;Y46,IF(Y46&gt;Z46,", "&amp;-Z46,""))</f>
        <v/>
      </c>
      <c r="AU47" s="144"/>
      <c r="AV47" s="145"/>
      <c r="AW47" s="151"/>
      <c r="AX47" s="150"/>
      <c r="AY47" s="152"/>
      <c r="AZ47" s="151"/>
      <c r="BA47" s="150"/>
      <c r="BB47" s="168">
        <v>27</v>
      </c>
      <c r="BC47" s="169" t="str">
        <f>VLOOKUP(BB47,$A$8:$L$87,6,FALSE)</f>
        <v>4 Julio-- Table</v>
      </c>
      <c r="BD47" s="186"/>
      <c r="BE47" s="171">
        <f>VLOOKUP(BE55,$A$8:$L$91,7,FALSE)</f>
        <v>3504</v>
      </c>
      <c r="BF47" s="157" t="s">
        <v>30</v>
      </c>
      <c r="BG47" s="184" t="s">
        <v>14</v>
      </c>
      <c r="BH47" s="152"/>
      <c r="BI47" s="154"/>
      <c r="BJ47" s="170"/>
    </row>
    <row r="48" spans="1:80" s="143" customFormat="1" ht="12.75" x14ac:dyDescent="0.25">
      <c r="A48" s="305">
        <v>21</v>
      </c>
      <c r="B48" s="376" t="s">
        <v>443</v>
      </c>
      <c r="C48" s="378" t="s">
        <v>391</v>
      </c>
      <c r="D48" s="378"/>
      <c r="E48" s="369"/>
      <c r="F48" s="380" t="str">
        <f t="shared" si="512"/>
        <v>4 Julio-- Table</v>
      </c>
      <c r="G48" s="369">
        <f>IF(M24="",0,IF(AA24&gt;AB24,G24,H24))</f>
        <v>4297</v>
      </c>
      <c r="H48" s="369">
        <f>IF(M26="",0,IF(AA26&gt;AB26,G26,H26))</f>
        <v>3450</v>
      </c>
      <c r="I48" s="369" t="s">
        <v>13</v>
      </c>
      <c r="J48" s="369" t="s">
        <v>14</v>
      </c>
      <c r="K48" s="369" t="s">
        <v>19</v>
      </c>
      <c r="L48" s="369" t="s">
        <v>10</v>
      </c>
      <c r="M48" s="374">
        <v>5</v>
      </c>
      <c r="N48" s="369">
        <v>11</v>
      </c>
      <c r="O48" s="369">
        <v>9</v>
      </c>
      <c r="P48" s="369">
        <v>11</v>
      </c>
      <c r="Q48" s="369"/>
      <c r="R48" s="369"/>
      <c r="S48" s="369"/>
      <c r="T48" s="369"/>
      <c r="U48" s="369"/>
      <c r="V48" s="369"/>
      <c r="W48" s="369"/>
      <c r="X48" s="369"/>
      <c r="Y48" s="369"/>
      <c r="Z48" s="371"/>
      <c r="AA48" s="318">
        <f t="shared" ref="AA48" si="646">IF(M48+N48&lt;&gt;0,SUM(AF48:AL48),"")</f>
        <v>0</v>
      </c>
      <c r="AB48" s="318">
        <f t="shared" ref="AB48" si="647">IF(M48+N48&lt;&gt;0,SUM(AF49:AL49),"")</f>
        <v>2</v>
      </c>
      <c r="AC48" s="140" t="str">
        <f t="shared" ref="AC48" si="648">IF(AA48&gt;AB48,AD48&amp;"  "&amp;AE48,IF(AB48&gt;AA48,AD48&amp;"  "&amp;AE49,""))</f>
        <v>2 - 0  (5, 9)</v>
      </c>
      <c r="AD48" s="140" t="str">
        <f t="shared" ref="AD48" si="649">IF(AA48&gt;AB48,AA48&amp;" - "&amp;AB48,IF(AB48&gt;AA48,AB48&amp;" - "&amp;AA48,""))</f>
        <v>2 - 0</v>
      </c>
      <c r="AE48" s="140" t="str">
        <f t="shared" si="0"/>
        <v>(-5, -9)</v>
      </c>
      <c r="AF48" s="140">
        <f t="shared" ref="AF48" si="650">IF(M48&gt;N48,1,0)</f>
        <v>0</v>
      </c>
      <c r="AG48" s="140">
        <f t="shared" ref="AG48" si="651">IF(O48&gt;P48,1,0)</f>
        <v>0</v>
      </c>
      <c r="AH48" s="140">
        <f t="shared" ref="AH48" si="652">IF(Q48&gt;R48,1,0)</f>
        <v>0</v>
      </c>
      <c r="AI48" s="140">
        <f t="shared" ref="AI48" si="653">IF(S48&gt;T48,1,0)</f>
        <v>0</v>
      </c>
      <c r="AJ48" s="140">
        <f t="shared" ref="AJ48" si="654">IF(U48&gt;V48,1,0)</f>
        <v>0</v>
      </c>
      <c r="AK48" s="140">
        <f t="shared" ref="AK48" si="655">IF(W48&gt;X48,1,0)</f>
        <v>0</v>
      </c>
      <c r="AL48" s="140">
        <f t="shared" ref="AL48" si="656">IF(Y48&gt;Z48,1,0)</f>
        <v>0</v>
      </c>
      <c r="AM48" s="140">
        <f t="shared" ref="AM48" si="657">IF(M48&gt;N48,N48,IF(N48&gt;M48,-M48,""))</f>
        <v>-5</v>
      </c>
      <c r="AN48" s="140" t="str">
        <f t="shared" ref="AN48" si="658">IF(O48&gt;P48,", "&amp;P48,IF(P48&gt;O48,", "&amp;-O48,""))</f>
        <v>, -9</v>
      </c>
      <c r="AO48" s="140" t="str">
        <f t="shared" ref="AO48" si="659">IF(Q48&gt;R48,", "&amp;R48,IF(R48&gt;Q48,", "&amp;-Q48,""))</f>
        <v/>
      </c>
      <c r="AP48" s="140" t="str">
        <f t="shared" ref="AP48" si="660">IF(S48&gt;T48,", "&amp;T48,IF(T48&gt;S48,", "&amp;-S48,""))</f>
        <v/>
      </c>
      <c r="AQ48" s="140" t="str">
        <f t="shared" ref="AQ48" si="661">IF(U48&gt;V48,", "&amp;V48,IF(V48&gt;U48,", "&amp;-U48,""))</f>
        <v/>
      </c>
      <c r="AR48" s="140" t="str">
        <f t="shared" ref="AR48" si="662">IF(W48&gt;X48,", "&amp;X48,IF(X48&gt;W48,", "&amp;-W48,""))</f>
        <v/>
      </c>
      <c r="AS48" s="140" t="str">
        <f t="shared" ref="AS48" si="663">IF(Y48&gt;Z48,", "&amp;Z48,IF(Z48&gt;Y48,", "&amp;-Y48,""))</f>
        <v/>
      </c>
      <c r="AU48" s="155">
        <f>1+AU46</f>
        <v>21</v>
      </c>
      <c r="AV48" s="156">
        <f>VLOOKUP(AV49,$A$8:$L$87,7,FALSE)</f>
        <v>3504</v>
      </c>
      <c r="AW48" s="157" t="s">
        <v>30</v>
      </c>
      <c r="AX48" s="158" t="s">
        <v>14</v>
      </c>
      <c r="AY48" s="159"/>
      <c r="AZ48" s="160" t="str">
        <f>VLOOKUP(AV49,$A$8:$AD$87,29,FALSE)</f>
        <v>2 - 0  (4, 4)</v>
      </c>
      <c r="BA48" s="161"/>
      <c r="BB48" s="152"/>
      <c r="BC48" s="151"/>
      <c r="BD48" s="186"/>
      <c r="BE48" s="152"/>
      <c r="BF48" s="154"/>
      <c r="BG48" s="170"/>
      <c r="BH48" s="152"/>
      <c r="BI48" s="154"/>
      <c r="BJ48" s="170"/>
    </row>
    <row r="49" spans="1:62" s="143" customFormat="1" ht="12.75" x14ac:dyDescent="0.25">
      <c r="A49" s="305"/>
      <c r="B49" s="377"/>
      <c r="C49" s="379"/>
      <c r="D49" s="379"/>
      <c r="E49" s="370"/>
      <c r="F49" s="381"/>
      <c r="G49" s="370" t="s">
        <v>442</v>
      </c>
      <c r="H49" s="370" t="s">
        <v>442</v>
      </c>
      <c r="I49" s="370"/>
      <c r="J49" s="370"/>
      <c r="K49" s="370">
        <v>0</v>
      </c>
      <c r="L49" s="370">
        <v>0</v>
      </c>
      <c r="M49" s="375"/>
      <c r="N49" s="370"/>
      <c r="O49" s="370"/>
      <c r="P49" s="370"/>
      <c r="Q49" s="370"/>
      <c r="R49" s="370"/>
      <c r="S49" s="370"/>
      <c r="T49" s="370"/>
      <c r="U49" s="370"/>
      <c r="V49" s="370"/>
      <c r="W49" s="370"/>
      <c r="X49" s="370"/>
      <c r="Y49" s="370"/>
      <c r="Z49" s="372"/>
      <c r="AA49" s="318"/>
      <c r="AB49" s="318"/>
      <c r="AC49" s="140"/>
      <c r="AD49" s="140" t="str">
        <f t="shared" ref="AD49" si="664">IF(AA48&gt;AB48,AD48&amp;"  "&amp;AE48,IF(AB48&gt;AA48,AD48&amp;"  "&amp;AE49,""))</f>
        <v>2 - 0  (5, 9)</v>
      </c>
      <c r="AE49" s="140" t="str">
        <f t="shared" si="0"/>
        <v>(5, 9)</v>
      </c>
      <c r="AF49" s="140">
        <f t="shared" ref="AF49" si="665">IF(N48&gt;M48,1,0)</f>
        <v>1</v>
      </c>
      <c r="AG49" s="140">
        <f t="shared" ref="AG49" si="666">IF(P48&gt;O48,1,0)</f>
        <v>1</v>
      </c>
      <c r="AH49" s="140">
        <f t="shared" ref="AH49" si="667">IF(R48&gt;Q48,1,0)</f>
        <v>0</v>
      </c>
      <c r="AI49" s="140">
        <f t="shared" ref="AI49" si="668">IF(T48&gt;S48,1,0)</f>
        <v>0</v>
      </c>
      <c r="AJ49" s="140">
        <f t="shared" ref="AJ49" si="669">IF(V48&gt;U48,1,0)</f>
        <v>0</v>
      </c>
      <c r="AK49" s="140">
        <f t="shared" ref="AK49" si="670">IF(X48&gt;W48,1,0)</f>
        <v>0</v>
      </c>
      <c r="AL49" s="140">
        <f t="shared" ref="AL49" si="671">IF(Z48&gt;Y48,1,0)</f>
        <v>0</v>
      </c>
      <c r="AM49" s="140">
        <f t="shared" ref="AM49" si="672">IF(N48&gt;M48,M48,IF(M48&gt;N48,-N48,""))</f>
        <v>5</v>
      </c>
      <c r="AN49" s="140" t="str">
        <f t="shared" ref="AN49" si="673">IF(P48&gt;O48,", "&amp;O48,IF(O48&gt;P48,", "&amp;-P48,""))</f>
        <v>, 9</v>
      </c>
      <c r="AO49" s="140" t="str">
        <f t="shared" ref="AO49" si="674">IF(R48&gt;Q48,", "&amp;Q48,IF(Q48&gt;R48,", "&amp;-R48,""))</f>
        <v/>
      </c>
      <c r="AP49" s="140" t="str">
        <f t="shared" ref="AP49" si="675">IF(T48&gt;S48,", "&amp;S48,IF(S48&gt;T48,", "&amp;-T48,""))</f>
        <v/>
      </c>
      <c r="AQ49" s="140" t="str">
        <f t="shared" ref="AQ49" si="676">IF(V48&gt;U48,", "&amp;U48,IF(U48&gt;V48,", "&amp;-V48,""))</f>
        <v/>
      </c>
      <c r="AR49" s="140" t="str">
        <f t="shared" ref="AR49" si="677">IF(X48&gt;W48,", "&amp;W48,IF(W48&gt;X48,", "&amp;-X48,""))</f>
        <v/>
      </c>
      <c r="AS49" s="140" t="str">
        <f t="shared" ref="AS49" si="678">IF(Z48&gt;Y48,", "&amp;Y48,IF(Y48&gt;Z48,", "&amp;-Z48,""))</f>
        <v/>
      </c>
      <c r="AU49" s="144"/>
      <c r="AV49" s="168">
        <v>11</v>
      </c>
      <c r="AW49" s="169" t="str">
        <f>VLOOKUP(AV49,$A$8:$L$87,6,FALSE)</f>
        <v>4 Julio-- Table</v>
      </c>
      <c r="AX49" s="170"/>
      <c r="AY49" s="171">
        <f>VLOOKUP(AY51,$A$8:$L$91,7,FALSE)</f>
        <v>3504</v>
      </c>
      <c r="AZ49" s="157" t="s">
        <v>30</v>
      </c>
      <c r="BA49" s="158" t="s">
        <v>14</v>
      </c>
      <c r="BB49" s="152"/>
      <c r="BC49" s="151"/>
      <c r="BD49" s="186"/>
      <c r="BE49" s="152"/>
      <c r="BF49" s="154"/>
      <c r="BG49" s="170"/>
      <c r="BH49" s="152"/>
      <c r="BI49" s="154"/>
      <c r="BJ49" s="170"/>
    </row>
    <row r="50" spans="1:62" s="143" customFormat="1" ht="12.75" x14ac:dyDescent="0.25">
      <c r="A50" s="305">
        <v>22</v>
      </c>
      <c r="B50" s="373" t="s">
        <v>443</v>
      </c>
      <c r="C50" s="333" t="s">
        <v>391</v>
      </c>
      <c r="D50" s="333"/>
      <c r="E50" s="314"/>
      <c r="F50" s="335" t="str">
        <f t="shared" si="546"/>
        <v>4 Julio-- Table</v>
      </c>
      <c r="G50" s="314">
        <f>IF(M28="",0,IF(AA28&gt;AB28,G28,H28))</f>
        <v>3504</v>
      </c>
      <c r="H50" s="314">
        <f>IF(M30="",0,IF(AA30&gt;AB30,G30,H30))</f>
        <v>3458</v>
      </c>
      <c r="I50" s="314" t="s">
        <v>30</v>
      </c>
      <c r="J50" s="314" t="s">
        <v>14</v>
      </c>
      <c r="K50" s="314" t="s">
        <v>28</v>
      </c>
      <c r="L50" s="314" t="s">
        <v>29</v>
      </c>
      <c r="M50" s="325">
        <v>11</v>
      </c>
      <c r="N50" s="314">
        <v>0</v>
      </c>
      <c r="O50" s="314">
        <v>11</v>
      </c>
      <c r="P50" s="314">
        <v>9</v>
      </c>
      <c r="Q50" s="314"/>
      <c r="R50" s="314"/>
      <c r="S50" s="314"/>
      <c r="T50" s="314"/>
      <c r="U50" s="314"/>
      <c r="V50" s="314"/>
      <c r="W50" s="314"/>
      <c r="X50" s="314"/>
      <c r="Y50" s="314"/>
      <c r="Z50" s="316"/>
      <c r="AA50" s="318">
        <f t="shared" ref="AA50" si="679">IF(M50+N50&lt;&gt;0,SUM(AF50:AL50),"")</f>
        <v>2</v>
      </c>
      <c r="AB50" s="318">
        <f t="shared" ref="AB50" si="680">IF(M50+N50&lt;&gt;0,SUM(AF51:AL51),"")</f>
        <v>0</v>
      </c>
      <c r="AC50" s="140" t="str">
        <f t="shared" ref="AC50" si="681">IF(AA50&gt;AB50,AD50&amp;"  "&amp;AE50,IF(AB50&gt;AA50,AD50&amp;"  "&amp;AE51,""))</f>
        <v>2 - 0  (0, 9)</v>
      </c>
      <c r="AD50" s="140" t="str">
        <f t="shared" ref="AD50" si="682">IF(AA50&gt;AB50,AA50&amp;" - "&amp;AB50,IF(AB50&gt;AA50,AB50&amp;" - "&amp;AA50,""))</f>
        <v>2 - 0</v>
      </c>
      <c r="AE50" s="140" t="str">
        <f t="shared" si="0"/>
        <v>(0, 9)</v>
      </c>
      <c r="AF50" s="140">
        <f t="shared" ref="AF50" si="683">IF(M50&gt;N50,1,0)</f>
        <v>1</v>
      </c>
      <c r="AG50" s="140">
        <f t="shared" ref="AG50" si="684">IF(O50&gt;P50,1,0)</f>
        <v>1</v>
      </c>
      <c r="AH50" s="140">
        <f t="shared" ref="AH50" si="685">IF(Q50&gt;R50,1,0)</f>
        <v>0</v>
      </c>
      <c r="AI50" s="140">
        <f t="shared" ref="AI50" si="686">IF(S50&gt;T50,1,0)</f>
        <v>0</v>
      </c>
      <c r="AJ50" s="140">
        <f t="shared" ref="AJ50" si="687">IF(U50&gt;V50,1,0)</f>
        <v>0</v>
      </c>
      <c r="AK50" s="140">
        <f t="shared" ref="AK50" si="688">IF(W50&gt;X50,1,0)</f>
        <v>0</v>
      </c>
      <c r="AL50" s="140">
        <f t="shared" ref="AL50" si="689">IF(Y50&gt;Z50,1,0)</f>
        <v>0</v>
      </c>
      <c r="AM50" s="140">
        <f t="shared" ref="AM50" si="690">IF(M50&gt;N50,N50,IF(N50&gt;M50,-M50,""))</f>
        <v>0</v>
      </c>
      <c r="AN50" s="140" t="str">
        <f t="shared" ref="AN50" si="691">IF(O50&gt;P50,", "&amp;P50,IF(P50&gt;O50,", "&amp;-O50,""))</f>
        <v>, 9</v>
      </c>
      <c r="AO50" s="140" t="str">
        <f t="shared" ref="AO50" si="692">IF(Q50&gt;R50,", "&amp;R50,IF(R50&gt;Q50,", "&amp;-Q50,""))</f>
        <v/>
      </c>
      <c r="AP50" s="140" t="str">
        <f t="shared" ref="AP50" si="693">IF(S50&gt;T50,", "&amp;T50,IF(T50&gt;S50,", "&amp;-S50,""))</f>
        <v/>
      </c>
      <c r="AQ50" s="140" t="str">
        <f t="shared" ref="AQ50" si="694">IF(U50&gt;V50,", "&amp;V50,IF(V50&gt;U50,", "&amp;-U50,""))</f>
        <v/>
      </c>
      <c r="AR50" s="140" t="str">
        <f t="shared" ref="AR50" si="695">IF(W50&gt;X50,", "&amp;X50,IF(X50&gt;W50,", "&amp;-W50,""))</f>
        <v/>
      </c>
      <c r="AS50" s="140" t="str">
        <f t="shared" ref="AS50" si="696">IF(Y50&gt;Z50,", "&amp;Z50,IF(Z50&gt;Y50,", "&amp;-Y50,""))</f>
        <v/>
      </c>
      <c r="AU50" s="155">
        <f>1+AU48</f>
        <v>22</v>
      </c>
      <c r="AV50" s="180">
        <f>VLOOKUP(AV49,$A$8:$L$87,8,FALSE)</f>
        <v>4066</v>
      </c>
      <c r="AW50" s="181" t="s">
        <v>42</v>
      </c>
      <c r="AX50" s="182" t="s">
        <v>24</v>
      </c>
      <c r="AY50" s="152"/>
      <c r="AZ50" s="151"/>
      <c r="BA50" s="170"/>
      <c r="BB50" s="152"/>
      <c r="BC50" s="151"/>
      <c r="BD50" s="186"/>
      <c r="BE50" s="152"/>
      <c r="BF50" s="154"/>
      <c r="BG50" s="170"/>
      <c r="BH50" s="152"/>
      <c r="BI50" s="154"/>
      <c r="BJ50" s="170"/>
    </row>
    <row r="51" spans="1:62" s="143" customFormat="1" ht="12.75" x14ac:dyDescent="0.25">
      <c r="A51" s="305"/>
      <c r="B51" s="332"/>
      <c r="C51" s="334"/>
      <c r="D51" s="334"/>
      <c r="E51" s="315"/>
      <c r="F51" s="336"/>
      <c r="G51" s="315" t="s">
        <v>442</v>
      </c>
      <c r="H51" s="315" t="s">
        <v>442</v>
      </c>
      <c r="I51" s="315"/>
      <c r="J51" s="315"/>
      <c r="K51" s="315">
        <v>0</v>
      </c>
      <c r="L51" s="315">
        <v>0</v>
      </c>
      <c r="M51" s="326"/>
      <c r="N51" s="315"/>
      <c r="O51" s="315"/>
      <c r="P51" s="315"/>
      <c r="Q51" s="315"/>
      <c r="R51" s="315"/>
      <c r="S51" s="315"/>
      <c r="T51" s="315"/>
      <c r="U51" s="315"/>
      <c r="V51" s="315"/>
      <c r="W51" s="315"/>
      <c r="X51" s="315"/>
      <c r="Y51" s="315"/>
      <c r="Z51" s="317"/>
      <c r="AA51" s="318"/>
      <c r="AB51" s="318"/>
      <c r="AC51" s="140"/>
      <c r="AD51" s="140" t="str">
        <f t="shared" ref="AD51" si="697">IF(AA50&gt;AB50,AD50&amp;"  "&amp;AE50,IF(AB50&gt;AA50,AD50&amp;"  "&amp;AE51,""))</f>
        <v>2 - 0  (0, 9)</v>
      </c>
      <c r="AE51" s="140" t="str">
        <f t="shared" si="0"/>
        <v>(0, -9)</v>
      </c>
      <c r="AF51" s="140">
        <f t="shared" ref="AF51" si="698">IF(N50&gt;M50,1,0)</f>
        <v>0</v>
      </c>
      <c r="AG51" s="140">
        <f t="shared" ref="AG51" si="699">IF(P50&gt;O50,1,0)</f>
        <v>0</v>
      </c>
      <c r="AH51" s="140">
        <f t="shared" ref="AH51" si="700">IF(R50&gt;Q50,1,0)</f>
        <v>0</v>
      </c>
      <c r="AI51" s="140">
        <f t="shared" ref="AI51" si="701">IF(T50&gt;S50,1,0)</f>
        <v>0</v>
      </c>
      <c r="AJ51" s="140">
        <f t="shared" ref="AJ51" si="702">IF(V50&gt;U50,1,0)</f>
        <v>0</v>
      </c>
      <c r="AK51" s="140">
        <f t="shared" ref="AK51" si="703">IF(X50&gt;W50,1,0)</f>
        <v>0</v>
      </c>
      <c r="AL51" s="140">
        <f t="shared" ref="AL51" si="704">IF(Z50&gt;Y50,1,0)</f>
        <v>0</v>
      </c>
      <c r="AM51" s="140">
        <f t="shared" ref="AM51" si="705">IF(N50&gt;M50,M50,IF(M50&gt;N50,-N50,""))</f>
        <v>0</v>
      </c>
      <c r="AN51" s="140" t="str">
        <f t="shared" ref="AN51" si="706">IF(P50&gt;O50,", "&amp;O50,IF(O50&gt;P50,", "&amp;-P50,""))</f>
        <v>, -9</v>
      </c>
      <c r="AO51" s="140" t="str">
        <f t="shared" ref="AO51" si="707">IF(R50&gt;Q50,", "&amp;Q50,IF(Q50&gt;R50,", "&amp;-R50,""))</f>
        <v/>
      </c>
      <c r="AP51" s="140" t="str">
        <f t="shared" ref="AP51" si="708">IF(T50&gt;S50,", "&amp;S50,IF(S50&gt;T50,", "&amp;-T50,""))</f>
        <v/>
      </c>
      <c r="AQ51" s="140" t="str">
        <f t="shared" ref="AQ51" si="709">IF(V50&gt;U50,", "&amp;U50,IF(U50&gt;V50,", "&amp;-V50,""))</f>
        <v/>
      </c>
      <c r="AR51" s="140" t="str">
        <f t="shared" ref="AR51" si="710">IF(X50&gt;W50,", "&amp;W50,IF(W50&gt;X50,", "&amp;-X50,""))</f>
        <v/>
      </c>
      <c r="AS51" s="140" t="str">
        <f t="shared" ref="AS51" si="711">IF(Z50&gt;Y50,", "&amp;Y50,IF(Y50&gt;Z50,", "&amp;-Z50,""))</f>
        <v/>
      </c>
      <c r="AU51" s="144"/>
      <c r="AV51" s="145"/>
      <c r="AW51" s="151"/>
      <c r="AX51" s="150"/>
      <c r="AY51" s="168">
        <v>22</v>
      </c>
      <c r="AZ51" s="169" t="str">
        <f>VLOOKUP(AY51,$A$8:$L$87,6,FALSE)</f>
        <v>4 Julio-- Table</v>
      </c>
      <c r="BA51" s="183"/>
      <c r="BB51" s="187">
        <f>VLOOKUP(BB47,$A$8:$L$91,8,FALSE)</f>
        <v>3504</v>
      </c>
      <c r="BC51" s="181" t="s">
        <v>30</v>
      </c>
      <c r="BD51" s="188" t="s">
        <v>14</v>
      </c>
      <c r="BE51" s="152"/>
      <c r="BF51" s="154"/>
      <c r="BG51" s="170"/>
      <c r="BH51" s="152"/>
      <c r="BI51" s="154"/>
      <c r="BJ51" s="170"/>
    </row>
    <row r="52" spans="1:62" s="143" customFormat="1" ht="12.75" x14ac:dyDescent="0.25">
      <c r="A52" s="305">
        <v>23</v>
      </c>
      <c r="B52" s="376" t="s">
        <v>443</v>
      </c>
      <c r="C52" s="378" t="s">
        <v>391</v>
      </c>
      <c r="D52" s="378"/>
      <c r="E52" s="369"/>
      <c r="F52" s="380" t="str">
        <f t="shared" si="512"/>
        <v>4 Julio-- Table</v>
      </c>
      <c r="G52" s="369">
        <f>IF(M32="",0,IF(AA32&gt;AB32,G32,H32))</f>
        <v>4458</v>
      </c>
      <c r="H52" s="369">
        <f>IF(M34="",0,IF(AA34&gt;AB34,G34,H34))</f>
        <v>3787</v>
      </c>
      <c r="I52" s="369" t="s">
        <v>21</v>
      </c>
      <c r="J52" s="369" t="s">
        <v>14</v>
      </c>
      <c r="K52" s="369" t="s">
        <v>25</v>
      </c>
      <c r="L52" s="369" t="s">
        <v>24</v>
      </c>
      <c r="M52" s="374">
        <v>7</v>
      </c>
      <c r="N52" s="369">
        <v>11</v>
      </c>
      <c r="O52" s="369">
        <v>5</v>
      </c>
      <c r="P52" s="369">
        <v>11</v>
      </c>
      <c r="Q52" s="369"/>
      <c r="R52" s="369"/>
      <c r="S52" s="369"/>
      <c r="T52" s="369"/>
      <c r="U52" s="369"/>
      <c r="V52" s="369"/>
      <c r="W52" s="369"/>
      <c r="X52" s="369"/>
      <c r="Y52" s="369"/>
      <c r="Z52" s="371"/>
      <c r="AA52" s="318">
        <f t="shared" ref="AA52" si="712">IF(M52+N52&lt;&gt;0,SUM(AF52:AL52),"")</f>
        <v>0</v>
      </c>
      <c r="AB52" s="318">
        <f t="shared" ref="AB52" si="713">IF(M52+N52&lt;&gt;0,SUM(AF53:AL53),"")</f>
        <v>2</v>
      </c>
      <c r="AC52" s="140" t="str">
        <f t="shared" ref="AC52" si="714">IF(AA52&gt;AB52,AD52&amp;"  "&amp;AE52,IF(AB52&gt;AA52,AD52&amp;"  "&amp;AE53,""))</f>
        <v>2 - 0  (7, 5)</v>
      </c>
      <c r="AD52" s="140" t="str">
        <f t="shared" ref="AD52" si="715">IF(AA52&gt;AB52,AA52&amp;" - "&amp;AB52,IF(AB52&gt;AA52,AB52&amp;" - "&amp;AA52,""))</f>
        <v>2 - 0</v>
      </c>
      <c r="AE52" s="140" t="str">
        <f t="shared" si="0"/>
        <v>(-7, -5)</v>
      </c>
      <c r="AF52" s="140">
        <f t="shared" ref="AF52" si="716">IF(M52&gt;N52,1,0)</f>
        <v>0</v>
      </c>
      <c r="AG52" s="140">
        <f t="shared" ref="AG52" si="717">IF(O52&gt;P52,1,0)</f>
        <v>0</v>
      </c>
      <c r="AH52" s="140">
        <f t="shared" ref="AH52" si="718">IF(Q52&gt;R52,1,0)</f>
        <v>0</v>
      </c>
      <c r="AI52" s="140">
        <f t="shared" ref="AI52" si="719">IF(S52&gt;T52,1,0)</f>
        <v>0</v>
      </c>
      <c r="AJ52" s="140">
        <f t="shared" ref="AJ52" si="720">IF(U52&gt;V52,1,0)</f>
        <v>0</v>
      </c>
      <c r="AK52" s="140">
        <f t="shared" ref="AK52" si="721">IF(W52&gt;X52,1,0)</f>
        <v>0</v>
      </c>
      <c r="AL52" s="140">
        <f t="shared" ref="AL52" si="722">IF(Y52&gt;Z52,1,0)</f>
        <v>0</v>
      </c>
      <c r="AM52" s="140">
        <f t="shared" ref="AM52" si="723">IF(M52&gt;N52,N52,IF(N52&gt;M52,-M52,""))</f>
        <v>-7</v>
      </c>
      <c r="AN52" s="140" t="str">
        <f t="shared" ref="AN52" si="724">IF(O52&gt;P52,", "&amp;P52,IF(P52&gt;O52,", "&amp;-O52,""))</f>
        <v>, -5</v>
      </c>
      <c r="AO52" s="140" t="str">
        <f t="shared" ref="AO52" si="725">IF(Q52&gt;R52,", "&amp;R52,IF(R52&gt;Q52,", "&amp;-Q52,""))</f>
        <v/>
      </c>
      <c r="AP52" s="140" t="str">
        <f t="shared" ref="AP52" si="726">IF(S52&gt;T52,", "&amp;T52,IF(T52&gt;S52,", "&amp;-S52,""))</f>
        <v/>
      </c>
      <c r="AQ52" s="140" t="str">
        <f t="shared" ref="AQ52" si="727">IF(U52&gt;V52,", "&amp;V52,IF(V52&gt;U52,", "&amp;-U52,""))</f>
        <v/>
      </c>
      <c r="AR52" s="140" t="str">
        <f t="shared" ref="AR52" si="728">IF(W52&gt;X52,", "&amp;X52,IF(X52&gt;W52,", "&amp;-W52,""))</f>
        <v/>
      </c>
      <c r="AS52" s="140" t="str">
        <f t="shared" ref="AS52" si="729">IF(Y52&gt;Z52,", "&amp;Z52,IF(Z52&gt;Y52,", "&amp;-Y52,""))</f>
        <v/>
      </c>
      <c r="AU52" s="155">
        <f>1+AU50</f>
        <v>23</v>
      </c>
      <c r="AV52" s="156">
        <f>VLOOKUP(AV53,$A$8:$L$87,7,FALSE)</f>
        <v>4727</v>
      </c>
      <c r="AW52" s="157" t="s">
        <v>41</v>
      </c>
      <c r="AX52" s="158" t="s">
        <v>6</v>
      </c>
      <c r="AY52" s="185"/>
      <c r="AZ52" s="151"/>
      <c r="BA52" s="170"/>
      <c r="BB52" s="159"/>
      <c r="BC52" s="160" t="str">
        <f>VLOOKUP(AY51,$A$8:$AD$91,29,FALSE)</f>
        <v>2 - 0  (0, 9)</v>
      </c>
      <c r="BD52" s="160"/>
      <c r="BE52" s="152"/>
      <c r="BF52" s="154"/>
      <c r="BG52" s="170"/>
      <c r="BH52" s="152"/>
      <c r="BI52" s="154"/>
      <c r="BJ52" s="170"/>
    </row>
    <row r="53" spans="1:62" s="143" customFormat="1" ht="12.75" x14ac:dyDescent="0.25">
      <c r="A53" s="305"/>
      <c r="B53" s="377"/>
      <c r="C53" s="379"/>
      <c r="D53" s="379"/>
      <c r="E53" s="370"/>
      <c r="F53" s="381"/>
      <c r="G53" s="370" t="s">
        <v>442</v>
      </c>
      <c r="H53" s="370" t="s">
        <v>442</v>
      </c>
      <c r="I53" s="370"/>
      <c r="J53" s="370"/>
      <c r="K53" s="370">
        <v>0</v>
      </c>
      <c r="L53" s="370">
        <v>0</v>
      </c>
      <c r="M53" s="375"/>
      <c r="N53" s="370"/>
      <c r="O53" s="370"/>
      <c r="P53" s="370"/>
      <c r="Q53" s="370"/>
      <c r="R53" s="370"/>
      <c r="S53" s="370"/>
      <c r="T53" s="370"/>
      <c r="U53" s="370"/>
      <c r="V53" s="370"/>
      <c r="W53" s="370"/>
      <c r="X53" s="370"/>
      <c r="Y53" s="370"/>
      <c r="Z53" s="372"/>
      <c r="AA53" s="318"/>
      <c r="AB53" s="318"/>
      <c r="AC53" s="140"/>
      <c r="AD53" s="140" t="str">
        <f t="shared" ref="AD53" si="730">IF(AA52&gt;AB52,AD52&amp;"  "&amp;AE52,IF(AB52&gt;AA52,AD52&amp;"  "&amp;AE53,""))</f>
        <v>2 - 0  (7, 5)</v>
      </c>
      <c r="AE53" s="140" t="str">
        <f t="shared" si="0"/>
        <v>(7, 5)</v>
      </c>
      <c r="AF53" s="140">
        <f t="shared" ref="AF53" si="731">IF(N52&gt;M52,1,0)</f>
        <v>1</v>
      </c>
      <c r="AG53" s="140">
        <f t="shared" ref="AG53" si="732">IF(P52&gt;O52,1,0)</f>
        <v>1</v>
      </c>
      <c r="AH53" s="140">
        <f t="shared" ref="AH53" si="733">IF(R52&gt;Q52,1,0)</f>
        <v>0</v>
      </c>
      <c r="AI53" s="140">
        <f t="shared" ref="AI53" si="734">IF(T52&gt;S52,1,0)</f>
        <v>0</v>
      </c>
      <c r="AJ53" s="140">
        <f t="shared" ref="AJ53" si="735">IF(V52&gt;U52,1,0)</f>
        <v>0</v>
      </c>
      <c r="AK53" s="140">
        <f t="shared" ref="AK53" si="736">IF(X52&gt;W52,1,0)</f>
        <v>0</v>
      </c>
      <c r="AL53" s="140">
        <f t="shared" ref="AL53" si="737">IF(Z52&gt;Y52,1,0)</f>
        <v>0</v>
      </c>
      <c r="AM53" s="140">
        <f t="shared" ref="AM53" si="738">IF(N52&gt;M52,M52,IF(M52&gt;N52,-N52,""))</f>
        <v>7</v>
      </c>
      <c r="AN53" s="140" t="str">
        <f t="shared" ref="AN53" si="739">IF(P52&gt;O52,", "&amp;O52,IF(O52&gt;P52,", "&amp;-P52,""))</f>
        <v>, 5</v>
      </c>
      <c r="AO53" s="140" t="str">
        <f t="shared" ref="AO53" si="740">IF(R52&gt;Q52,", "&amp;Q52,IF(Q52&gt;R52,", "&amp;-R52,""))</f>
        <v/>
      </c>
      <c r="AP53" s="140" t="str">
        <f t="shared" ref="AP53" si="741">IF(T52&gt;S52,", "&amp;S52,IF(S52&gt;T52,", "&amp;-T52,""))</f>
        <v/>
      </c>
      <c r="AQ53" s="140" t="str">
        <f t="shared" ref="AQ53" si="742">IF(V52&gt;U52,", "&amp;U52,IF(U52&gt;V52,", "&amp;-V52,""))</f>
        <v/>
      </c>
      <c r="AR53" s="140" t="str">
        <f t="shared" ref="AR53" si="743">IF(X52&gt;W52,", "&amp;W52,IF(W52&gt;X52,", "&amp;-X52,""))</f>
        <v/>
      </c>
      <c r="AS53" s="140" t="str">
        <f t="shared" ref="AS53" si="744">IF(Z52&gt;Y52,", "&amp;Y52,IF(Y52&gt;Z52,", "&amp;-Z52,""))</f>
        <v/>
      </c>
      <c r="AU53" s="144"/>
      <c r="AV53" s="168">
        <v>12</v>
      </c>
      <c r="AW53" s="169" t="str">
        <f>VLOOKUP(AV53,$A$8:$L$87,6,FALSE)</f>
        <v>4 Julio-- Table</v>
      </c>
      <c r="AX53" s="170"/>
      <c r="AY53" s="187">
        <f>VLOOKUP(AY51,$A$8:$L$91,8,FALSE)</f>
        <v>3458</v>
      </c>
      <c r="AZ53" s="181" t="s">
        <v>28</v>
      </c>
      <c r="BA53" s="182" t="s">
        <v>29</v>
      </c>
      <c r="BB53" s="152"/>
      <c r="BC53" s="151"/>
      <c r="BD53" s="153"/>
      <c r="BE53" s="152"/>
      <c r="BF53" s="154"/>
      <c r="BG53" s="170"/>
      <c r="BH53" s="152"/>
      <c r="BI53" s="154"/>
      <c r="BJ53" s="170"/>
    </row>
    <row r="54" spans="1:62" s="143" customFormat="1" ht="12.75" x14ac:dyDescent="0.25">
      <c r="A54" s="305">
        <v>24</v>
      </c>
      <c r="B54" s="373" t="s">
        <v>443</v>
      </c>
      <c r="C54" s="333" t="s">
        <v>391</v>
      </c>
      <c r="D54" s="333"/>
      <c r="E54" s="314"/>
      <c r="F54" s="335" t="str">
        <f t="shared" si="546"/>
        <v>4 Julio-- Table</v>
      </c>
      <c r="G54" s="314">
        <f>IF(M36="",0,IF(AA36&gt;AB36,G36,H36))</f>
        <v>3933</v>
      </c>
      <c r="H54" s="314">
        <f>IF(M38="",0,IF(AA38&gt;AB38,G38,H38))</f>
        <v>3836</v>
      </c>
      <c r="I54" s="314" t="s">
        <v>16</v>
      </c>
      <c r="J54" s="314" t="s">
        <v>17</v>
      </c>
      <c r="K54" s="314" t="s">
        <v>5</v>
      </c>
      <c r="L54" s="314" t="s">
        <v>6</v>
      </c>
      <c r="M54" s="325">
        <v>11</v>
      </c>
      <c r="N54" s="314">
        <v>7</v>
      </c>
      <c r="O54" s="314">
        <v>4</v>
      </c>
      <c r="P54" s="314">
        <v>11</v>
      </c>
      <c r="Q54" s="314">
        <v>4</v>
      </c>
      <c r="R54" s="314">
        <v>11</v>
      </c>
      <c r="S54" s="314"/>
      <c r="T54" s="314"/>
      <c r="U54" s="314"/>
      <c r="V54" s="314"/>
      <c r="W54" s="314"/>
      <c r="X54" s="314"/>
      <c r="Y54" s="314"/>
      <c r="Z54" s="316"/>
      <c r="AA54" s="318">
        <f t="shared" ref="AA54" si="745">IF(M54+N54&lt;&gt;0,SUM(AF54:AL54),"")</f>
        <v>1</v>
      </c>
      <c r="AB54" s="318">
        <f t="shared" ref="AB54" si="746">IF(M54+N54&lt;&gt;0,SUM(AF55:AL55),"")</f>
        <v>2</v>
      </c>
      <c r="AC54" s="140" t="str">
        <f t="shared" ref="AC54" si="747">IF(AA54&gt;AB54,AD54&amp;"  "&amp;AE54,IF(AB54&gt;AA54,AD54&amp;"  "&amp;AE55,""))</f>
        <v>2 - 1  (-7, 4, 4)</v>
      </c>
      <c r="AD54" s="140" t="str">
        <f t="shared" ref="AD54" si="748">IF(AA54&gt;AB54,AA54&amp;" - "&amp;AB54,IF(AB54&gt;AA54,AB54&amp;" - "&amp;AA54,""))</f>
        <v>2 - 1</v>
      </c>
      <c r="AE54" s="140" t="str">
        <f t="shared" si="0"/>
        <v>(7, -4, -4)</v>
      </c>
      <c r="AF54" s="140">
        <f t="shared" ref="AF54" si="749">IF(M54&gt;N54,1,0)</f>
        <v>1</v>
      </c>
      <c r="AG54" s="140">
        <f t="shared" ref="AG54" si="750">IF(O54&gt;P54,1,0)</f>
        <v>0</v>
      </c>
      <c r="AH54" s="140">
        <f t="shared" ref="AH54" si="751">IF(Q54&gt;R54,1,0)</f>
        <v>0</v>
      </c>
      <c r="AI54" s="140">
        <f t="shared" ref="AI54" si="752">IF(S54&gt;T54,1,0)</f>
        <v>0</v>
      </c>
      <c r="AJ54" s="140">
        <f t="shared" ref="AJ54" si="753">IF(U54&gt;V54,1,0)</f>
        <v>0</v>
      </c>
      <c r="AK54" s="140">
        <f t="shared" ref="AK54" si="754">IF(W54&gt;X54,1,0)</f>
        <v>0</v>
      </c>
      <c r="AL54" s="140">
        <f t="shared" ref="AL54" si="755">IF(Y54&gt;Z54,1,0)</f>
        <v>0</v>
      </c>
      <c r="AM54" s="140">
        <f t="shared" ref="AM54" si="756">IF(M54&gt;N54,N54,IF(N54&gt;M54,-M54,""))</f>
        <v>7</v>
      </c>
      <c r="AN54" s="140" t="str">
        <f t="shared" ref="AN54" si="757">IF(O54&gt;P54,", "&amp;P54,IF(P54&gt;O54,", "&amp;-O54,""))</f>
        <v>, -4</v>
      </c>
      <c r="AO54" s="140" t="str">
        <f t="shared" ref="AO54" si="758">IF(Q54&gt;R54,", "&amp;R54,IF(R54&gt;Q54,", "&amp;-Q54,""))</f>
        <v>, -4</v>
      </c>
      <c r="AP54" s="140" t="str">
        <f t="shared" ref="AP54" si="759">IF(S54&gt;T54,", "&amp;T54,IF(T54&gt;S54,", "&amp;-S54,""))</f>
        <v/>
      </c>
      <c r="AQ54" s="140" t="str">
        <f t="shared" ref="AQ54" si="760">IF(U54&gt;V54,", "&amp;V54,IF(V54&gt;U54,", "&amp;-U54,""))</f>
        <v/>
      </c>
      <c r="AR54" s="140" t="str">
        <f t="shared" ref="AR54" si="761">IF(W54&gt;X54,", "&amp;X54,IF(X54&gt;W54,", "&amp;-W54,""))</f>
        <v/>
      </c>
      <c r="AS54" s="140" t="str">
        <f t="shared" ref="AS54" si="762">IF(Y54&gt;Z54,", "&amp;Z54,IF(Z54&gt;Y54,", "&amp;-Y54,""))</f>
        <v/>
      </c>
      <c r="AU54" s="155">
        <f>1+AU52</f>
        <v>24</v>
      </c>
      <c r="AV54" s="180">
        <f>VLOOKUP(AV53,$A$8:$L$87,8,FALSE)</f>
        <v>3458</v>
      </c>
      <c r="AW54" s="181" t="s">
        <v>28</v>
      </c>
      <c r="AX54" s="182" t="s">
        <v>29</v>
      </c>
      <c r="AY54" s="159"/>
      <c r="AZ54" s="160" t="str">
        <f>VLOOKUP(AV53,$A$8:$AD$91,29,FALSE)</f>
        <v>2 - 0  (2, 6)</v>
      </c>
      <c r="BA54" s="161"/>
      <c r="BB54" s="152"/>
      <c r="BC54" s="151"/>
      <c r="BD54" s="153"/>
      <c r="BE54" s="152"/>
      <c r="BF54" s="151"/>
      <c r="BG54" s="186"/>
      <c r="BH54" s="152"/>
      <c r="BI54" s="154"/>
      <c r="BJ54" s="170"/>
    </row>
    <row r="55" spans="1:62" s="143" customFormat="1" ht="12.75" x14ac:dyDescent="0.25">
      <c r="A55" s="305"/>
      <c r="B55" s="332"/>
      <c r="C55" s="334"/>
      <c r="D55" s="334"/>
      <c r="E55" s="315"/>
      <c r="F55" s="336"/>
      <c r="G55" s="315" t="s">
        <v>442</v>
      </c>
      <c r="H55" s="315" t="s">
        <v>442</v>
      </c>
      <c r="I55" s="315"/>
      <c r="J55" s="315"/>
      <c r="K55" s="315">
        <v>0</v>
      </c>
      <c r="L55" s="315">
        <v>0</v>
      </c>
      <c r="M55" s="326"/>
      <c r="N55" s="315"/>
      <c r="O55" s="315"/>
      <c r="P55" s="315"/>
      <c r="Q55" s="315"/>
      <c r="R55" s="315"/>
      <c r="S55" s="315"/>
      <c r="T55" s="315"/>
      <c r="U55" s="315"/>
      <c r="V55" s="315"/>
      <c r="W55" s="315"/>
      <c r="X55" s="315"/>
      <c r="Y55" s="315"/>
      <c r="Z55" s="317"/>
      <c r="AA55" s="318"/>
      <c r="AB55" s="318"/>
      <c r="AC55" s="140"/>
      <c r="AD55" s="140" t="str">
        <f t="shared" ref="AD55" si="763">IF(AA54&gt;AB54,AD54&amp;"  "&amp;AE54,IF(AB54&gt;AA54,AD54&amp;"  "&amp;AE55,""))</f>
        <v>2 - 1  (-7, 4, 4)</v>
      </c>
      <c r="AE55" s="140" t="str">
        <f t="shared" si="0"/>
        <v>(-7, 4, 4)</v>
      </c>
      <c r="AF55" s="140">
        <f t="shared" ref="AF55" si="764">IF(N54&gt;M54,1,0)</f>
        <v>0</v>
      </c>
      <c r="AG55" s="140">
        <f t="shared" ref="AG55" si="765">IF(P54&gt;O54,1,0)</f>
        <v>1</v>
      </c>
      <c r="AH55" s="140">
        <f t="shared" ref="AH55" si="766">IF(R54&gt;Q54,1,0)</f>
        <v>1</v>
      </c>
      <c r="AI55" s="140">
        <f t="shared" ref="AI55" si="767">IF(T54&gt;S54,1,0)</f>
        <v>0</v>
      </c>
      <c r="AJ55" s="140">
        <f t="shared" ref="AJ55" si="768">IF(V54&gt;U54,1,0)</f>
        <v>0</v>
      </c>
      <c r="AK55" s="140">
        <f t="shared" ref="AK55" si="769">IF(X54&gt;W54,1,0)</f>
        <v>0</v>
      </c>
      <c r="AL55" s="140">
        <f t="shared" ref="AL55" si="770">IF(Z54&gt;Y54,1,0)</f>
        <v>0</v>
      </c>
      <c r="AM55" s="140">
        <f t="shared" ref="AM55" si="771">IF(N54&gt;M54,M54,IF(M54&gt;N54,-N54,""))</f>
        <v>-7</v>
      </c>
      <c r="AN55" s="140" t="str">
        <f t="shared" ref="AN55" si="772">IF(P54&gt;O54,", "&amp;O54,IF(O54&gt;P54,", "&amp;-P54,""))</f>
        <v>, 4</v>
      </c>
      <c r="AO55" s="140" t="str">
        <f t="shared" ref="AO55" si="773">IF(R54&gt;Q54,", "&amp;Q54,IF(Q54&gt;R54,", "&amp;-R54,""))</f>
        <v>, 4</v>
      </c>
      <c r="AP55" s="140" t="str">
        <f t="shared" ref="AP55" si="774">IF(T54&gt;S54,", "&amp;S54,IF(S54&gt;T54,", "&amp;-T54,""))</f>
        <v/>
      </c>
      <c r="AQ55" s="140" t="str">
        <f t="shared" ref="AQ55" si="775">IF(V54&gt;U54,", "&amp;U54,IF(U54&gt;V54,", "&amp;-V54,""))</f>
        <v/>
      </c>
      <c r="AR55" s="140" t="str">
        <f t="shared" ref="AR55" si="776">IF(X54&gt;W54,", "&amp;W54,IF(W54&gt;X54,", "&amp;-X54,""))</f>
        <v/>
      </c>
      <c r="AS55" s="140" t="str">
        <f t="shared" ref="AS55" si="777">IF(Z54&gt;Y54,", "&amp;Y54,IF(Y54&gt;Z54,", "&amp;-Z54,""))</f>
        <v/>
      </c>
      <c r="AU55" s="144"/>
      <c r="AV55" s="145"/>
      <c r="AW55" s="151"/>
      <c r="AX55" s="150"/>
      <c r="AY55" s="152"/>
      <c r="AZ55" s="151"/>
      <c r="BA55" s="150"/>
      <c r="BB55" s="152"/>
      <c r="BC55" s="151"/>
      <c r="BD55" s="153"/>
      <c r="BE55" s="168">
        <v>30</v>
      </c>
      <c r="BF55" s="169" t="str">
        <f>VLOOKUP(BE55,$A$8:$L$87,6,FALSE)</f>
        <v>4 Julio-- Table</v>
      </c>
      <c r="BG55" s="186"/>
      <c r="BH55" s="187">
        <f>VLOOKUP(BH38,$A$8:$L$91,8,FALSE)</f>
        <v>3504</v>
      </c>
      <c r="BI55" s="181" t="s">
        <v>30</v>
      </c>
      <c r="BJ55" s="188" t="s">
        <v>14</v>
      </c>
    </row>
    <row r="56" spans="1:62" s="143" customFormat="1" ht="12.75" x14ac:dyDescent="0.25">
      <c r="A56" s="305">
        <v>25</v>
      </c>
      <c r="B56" s="363" t="s">
        <v>444</v>
      </c>
      <c r="C56" s="365" t="s">
        <v>391</v>
      </c>
      <c r="D56" s="365"/>
      <c r="E56" s="351"/>
      <c r="F56" s="367" t="str">
        <f t="shared" ref="F56:F68" si="778">C56&amp;"-"&amp;D56&amp;"- Table"&amp;E56</f>
        <v>4 Julio-- Table</v>
      </c>
      <c r="G56" s="351">
        <f>IF(M40="",0,IF(AA40&gt;AB40,G40,H40))</f>
        <v>4025</v>
      </c>
      <c r="H56" s="351">
        <f>IF(M42="",0,IF(AA42&gt;AB42,G42,H42))</f>
        <v>3671</v>
      </c>
      <c r="I56" s="351" t="s">
        <v>18</v>
      </c>
      <c r="J56" s="351" t="s">
        <v>14</v>
      </c>
      <c r="K56" s="351" t="s">
        <v>9</v>
      </c>
      <c r="L56" s="351" t="s">
        <v>10</v>
      </c>
      <c r="M56" s="361">
        <v>3</v>
      </c>
      <c r="N56" s="351">
        <v>11</v>
      </c>
      <c r="O56" s="351">
        <v>6</v>
      </c>
      <c r="P56" s="351">
        <v>11</v>
      </c>
      <c r="Q56" s="351"/>
      <c r="R56" s="351"/>
      <c r="S56" s="351"/>
      <c r="T56" s="351"/>
      <c r="U56" s="351"/>
      <c r="V56" s="351"/>
      <c r="W56" s="351"/>
      <c r="X56" s="351"/>
      <c r="Y56" s="351"/>
      <c r="Z56" s="353"/>
      <c r="AA56" s="318">
        <f t="shared" ref="AA56" si="779">IF(M56+N56&lt;&gt;0,SUM(AF56:AL56),"")</f>
        <v>0</v>
      </c>
      <c r="AB56" s="318">
        <f t="shared" ref="AB56" si="780">IF(M56+N56&lt;&gt;0,SUM(AF57:AL57),"")</f>
        <v>2</v>
      </c>
      <c r="AC56" s="140" t="str">
        <f t="shared" ref="AC56" si="781">IF(AA56&gt;AB56,AD56&amp;"  "&amp;AE56,IF(AB56&gt;AA56,AD56&amp;"  "&amp;AE57,""))</f>
        <v>2 - 0  (3, 6)</v>
      </c>
      <c r="AD56" s="140" t="str">
        <f t="shared" ref="AD56" si="782">IF(AA56&gt;AB56,AA56&amp;" - "&amp;AB56,IF(AB56&gt;AA56,AB56&amp;" - "&amp;AA56,""))</f>
        <v>2 - 0</v>
      </c>
      <c r="AE56" s="140" t="str">
        <f t="shared" si="0"/>
        <v>(-3, -6)</v>
      </c>
      <c r="AF56" s="140">
        <f t="shared" ref="AF56" si="783">IF(M56&gt;N56,1,0)</f>
        <v>0</v>
      </c>
      <c r="AG56" s="140">
        <f t="shared" ref="AG56" si="784">IF(O56&gt;P56,1,0)</f>
        <v>0</v>
      </c>
      <c r="AH56" s="140">
        <f t="shared" ref="AH56" si="785">IF(Q56&gt;R56,1,0)</f>
        <v>0</v>
      </c>
      <c r="AI56" s="140">
        <f t="shared" ref="AI56" si="786">IF(S56&gt;T56,1,0)</f>
        <v>0</v>
      </c>
      <c r="AJ56" s="140">
        <f t="shared" ref="AJ56" si="787">IF(U56&gt;V56,1,0)</f>
        <v>0</v>
      </c>
      <c r="AK56" s="140">
        <f t="shared" ref="AK56" si="788">IF(W56&gt;X56,1,0)</f>
        <v>0</v>
      </c>
      <c r="AL56" s="140">
        <f t="shared" ref="AL56" si="789">IF(Y56&gt;Z56,1,0)</f>
        <v>0</v>
      </c>
      <c r="AM56" s="140">
        <f t="shared" ref="AM56" si="790">IF(M56&gt;N56,N56,IF(N56&gt;M56,-M56,""))</f>
        <v>-3</v>
      </c>
      <c r="AN56" s="140" t="str">
        <f t="shared" ref="AN56" si="791">IF(O56&gt;P56,", "&amp;P56,IF(P56&gt;O56,", "&amp;-O56,""))</f>
        <v>, -6</v>
      </c>
      <c r="AO56" s="140" t="str">
        <f t="shared" ref="AO56" si="792">IF(Q56&gt;R56,", "&amp;R56,IF(R56&gt;Q56,", "&amp;-Q56,""))</f>
        <v/>
      </c>
      <c r="AP56" s="140" t="str">
        <f t="shared" ref="AP56" si="793">IF(S56&gt;T56,", "&amp;T56,IF(T56&gt;S56,", "&amp;-S56,""))</f>
        <v/>
      </c>
      <c r="AQ56" s="140" t="str">
        <f t="shared" ref="AQ56" si="794">IF(U56&gt;V56,", "&amp;V56,IF(V56&gt;U56,", "&amp;-U56,""))</f>
        <v/>
      </c>
      <c r="AR56" s="140" t="str">
        <f t="shared" ref="AR56" si="795">IF(W56&gt;X56,", "&amp;X56,IF(X56&gt;W56,", "&amp;-W56,""))</f>
        <v/>
      </c>
      <c r="AS56" s="140" t="str">
        <f t="shared" ref="AS56" si="796">IF(Y56&gt;Z56,", "&amp;Z56,IF(Z56&gt;Y56,", "&amp;-Y56,""))</f>
        <v/>
      </c>
      <c r="AU56" s="155">
        <f>1+AU54</f>
        <v>25</v>
      </c>
      <c r="AV56" s="156">
        <f>VLOOKUP(AV57,$A$8:$L$87,7,FALSE)</f>
        <v>4458</v>
      </c>
      <c r="AW56" s="157" t="s">
        <v>21</v>
      </c>
      <c r="AX56" s="158" t="s">
        <v>14</v>
      </c>
      <c r="AY56" s="159"/>
      <c r="AZ56" s="160" t="str">
        <f>VLOOKUP(AV57,$A$8:$AD$87,29,FALSE)</f>
        <v>2 - 1  (-8, 6, 7)</v>
      </c>
      <c r="BA56" s="161"/>
      <c r="BB56" s="152"/>
      <c r="BC56" s="151"/>
      <c r="BD56" s="153"/>
      <c r="BE56" s="152"/>
      <c r="BF56" s="151"/>
      <c r="BG56" s="186"/>
      <c r="BH56" s="159"/>
      <c r="BI56" s="160" t="str">
        <f>VLOOKUP(BE55,$A$8:$AD$91,29,FALSE)</f>
        <v>3 - 0  (8, 14, 4)</v>
      </c>
      <c r="BJ56" s="160"/>
    </row>
    <row r="57" spans="1:62" s="143" customFormat="1" ht="12.75" x14ac:dyDescent="0.25">
      <c r="A57" s="305"/>
      <c r="B57" s="364"/>
      <c r="C57" s="366"/>
      <c r="D57" s="366"/>
      <c r="E57" s="352"/>
      <c r="F57" s="368"/>
      <c r="G57" s="352" t="s">
        <v>442</v>
      </c>
      <c r="H57" s="352" t="s">
        <v>442</v>
      </c>
      <c r="I57" s="352"/>
      <c r="J57" s="352"/>
      <c r="K57" s="352">
        <v>0</v>
      </c>
      <c r="L57" s="352">
        <v>0</v>
      </c>
      <c r="M57" s="362"/>
      <c r="N57" s="352"/>
      <c r="O57" s="352"/>
      <c r="P57" s="352"/>
      <c r="Q57" s="352"/>
      <c r="R57" s="352"/>
      <c r="S57" s="352"/>
      <c r="T57" s="352"/>
      <c r="U57" s="352"/>
      <c r="V57" s="352"/>
      <c r="W57" s="352"/>
      <c r="X57" s="352"/>
      <c r="Y57" s="352"/>
      <c r="Z57" s="354"/>
      <c r="AA57" s="318"/>
      <c r="AB57" s="318"/>
      <c r="AC57" s="140"/>
      <c r="AD57" s="140" t="str">
        <f t="shared" ref="AD57" si="797">IF(AA56&gt;AB56,AD56&amp;"  "&amp;AE56,IF(AB56&gt;AA56,AD56&amp;"  "&amp;AE57,""))</f>
        <v>2 - 0  (3, 6)</v>
      </c>
      <c r="AE57" s="140" t="str">
        <f t="shared" si="0"/>
        <v>(3, 6)</v>
      </c>
      <c r="AF57" s="140">
        <f t="shared" ref="AF57" si="798">IF(N56&gt;M56,1,0)</f>
        <v>1</v>
      </c>
      <c r="AG57" s="140">
        <f t="shared" ref="AG57" si="799">IF(P56&gt;O56,1,0)</f>
        <v>1</v>
      </c>
      <c r="AH57" s="140">
        <f t="shared" ref="AH57" si="800">IF(R56&gt;Q56,1,0)</f>
        <v>0</v>
      </c>
      <c r="AI57" s="140">
        <f t="shared" ref="AI57" si="801">IF(T56&gt;S56,1,0)</f>
        <v>0</v>
      </c>
      <c r="AJ57" s="140">
        <f t="shared" ref="AJ57" si="802">IF(V56&gt;U56,1,0)</f>
        <v>0</v>
      </c>
      <c r="AK57" s="140">
        <f t="shared" ref="AK57" si="803">IF(X56&gt;W56,1,0)</f>
        <v>0</v>
      </c>
      <c r="AL57" s="140">
        <f t="shared" ref="AL57" si="804">IF(Z56&gt;Y56,1,0)</f>
        <v>0</v>
      </c>
      <c r="AM57" s="140">
        <f t="shared" ref="AM57" si="805">IF(N56&gt;M56,M56,IF(M56&gt;N56,-N56,""))</f>
        <v>3</v>
      </c>
      <c r="AN57" s="140" t="str">
        <f t="shared" ref="AN57" si="806">IF(P56&gt;O56,", "&amp;O56,IF(O56&gt;P56,", "&amp;-P56,""))</f>
        <v>, 6</v>
      </c>
      <c r="AO57" s="140" t="str">
        <f t="shared" ref="AO57" si="807">IF(R56&gt;Q56,", "&amp;Q56,IF(Q56&gt;R56,", "&amp;-R56,""))</f>
        <v/>
      </c>
      <c r="AP57" s="140" t="str">
        <f t="shared" ref="AP57" si="808">IF(T56&gt;S56,", "&amp;S56,IF(S56&gt;T56,", "&amp;-T56,""))</f>
        <v/>
      </c>
      <c r="AQ57" s="140" t="str">
        <f t="shared" ref="AQ57" si="809">IF(V56&gt;U56,", "&amp;U56,IF(U56&gt;V56,", "&amp;-V56,""))</f>
        <v/>
      </c>
      <c r="AR57" s="140" t="str">
        <f t="shared" ref="AR57" si="810">IF(X56&gt;W56,", "&amp;W56,IF(W56&gt;X56,", "&amp;-X56,""))</f>
        <v/>
      </c>
      <c r="AS57" s="140" t="str">
        <f t="shared" ref="AS57" si="811">IF(Z56&gt;Y56,", "&amp;Y56,IF(Y56&gt;Z56,", "&amp;-Z56,""))</f>
        <v/>
      </c>
      <c r="AU57" s="144"/>
      <c r="AV57" s="168">
        <v>13</v>
      </c>
      <c r="AW57" s="169" t="str">
        <f>VLOOKUP(AV57,$A$8:$L$87,6,FALSE)</f>
        <v>4 Julio-- Table</v>
      </c>
      <c r="AX57" s="170"/>
      <c r="AY57" s="171">
        <f>VLOOKUP(AY59,$A$8:$L$91,7,FALSE)</f>
        <v>4458</v>
      </c>
      <c r="AZ57" s="157" t="s">
        <v>21</v>
      </c>
      <c r="BA57" s="158" t="s">
        <v>14</v>
      </c>
      <c r="BB57" s="152"/>
      <c r="BC57" s="151"/>
      <c r="BD57" s="153"/>
      <c r="BE57" s="152"/>
      <c r="BF57" s="154"/>
      <c r="BG57" s="170"/>
      <c r="BH57" s="152"/>
      <c r="BI57" s="154"/>
      <c r="BJ57" s="150"/>
    </row>
    <row r="58" spans="1:62" s="143" customFormat="1" ht="12.75" x14ac:dyDescent="0.25">
      <c r="A58" s="305">
        <v>26</v>
      </c>
      <c r="B58" s="355" t="s">
        <v>444</v>
      </c>
      <c r="C58" s="357" t="s">
        <v>391</v>
      </c>
      <c r="D58" s="357"/>
      <c r="E58" s="339"/>
      <c r="F58" s="359" t="str">
        <f t="shared" ref="F58:F70" si="812">C58&amp;"-"&amp;D58&amp;"- Table"&amp;E58</f>
        <v>4 Julio-- Table</v>
      </c>
      <c r="G58" s="339">
        <f>IF(M44="",0,IF(AA44&gt;AB44,G44,H44))</f>
        <v>4128</v>
      </c>
      <c r="H58" s="339">
        <f>IF(M46="",0,IF(AA46&gt;AB46,G46,H46))</f>
        <v>4058</v>
      </c>
      <c r="I58" s="339" t="s">
        <v>23</v>
      </c>
      <c r="J58" s="339" t="s">
        <v>24</v>
      </c>
      <c r="K58" s="339" t="s">
        <v>7</v>
      </c>
      <c r="L58" s="339" t="s">
        <v>8</v>
      </c>
      <c r="M58" s="349">
        <v>9</v>
      </c>
      <c r="N58" s="339">
        <v>11</v>
      </c>
      <c r="O58" s="339">
        <v>11</v>
      </c>
      <c r="P58" s="339">
        <v>9</v>
      </c>
      <c r="Q58" s="339">
        <v>10</v>
      </c>
      <c r="R58" s="339">
        <v>12</v>
      </c>
      <c r="S58" s="339"/>
      <c r="T58" s="339"/>
      <c r="U58" s="339"/>
      <c r="V58" s="339"/>
      <c r="W58" s="339"/>
      <c r="X58" s="339"/>
      <c r="Y58" s="339"/>
      <c r="Z58" s="341"/>
      <c r="AA58" s="318">
        <f t="shared" ref="AA58" si="813">IF(M58+N58&lt;&gt;0,SUM(AF58:AL58),"")</f>
        <v>1</v>
      </c>
      <c r="AB58" s="318">
        <f t="shared" ref="AB58" si="814">IF(M58+N58&lt;&gt;0,SUM(AF59:AL59),"")</f>
        <v>2</v>
      </c>
      <c r="AC58" s="140" t="str">
        <f t="shared" ref="AC58" si="815">IF(AA58&gt;AB58,AD58&amp;"  "&amp;AE58,IF(AB58&gt;AA58,AD58&amp;"  "&amp;AE59,""))</f>
        <v>2 - 1  (9, -9, 10)</v>
      </c>
      <c r="AD58" s="140" t="str">
        <f t="shared" ref="AD58" si="816">IF(AA58&gt;AB58,AA58&amp;" - "&amp;AB58,IF(AB58&gt;AA58,AB58&amp;" - "&amp;AA58,""))</f>
        <v>2 - 1</v>
      </c>
      <c r="AE58" s="140" t="str">
        <f t="shared" si="0"/>
        <v>(-9, 9, -10)</v>
      </c>
      <c r="AF58" s="140">
        <f t="shared" ref="AF58" si="817">IF(M58&gt;N58,1,0)</f>
        <v>0</v>
      </c>
      <c r="AG58" s="140">
        <f t="shared" ref="AG58" si="818">IF(O58&gt;P58,1,0)</f>
        <v>1</v>
      </c>
      <c r="AH58" s="140">
        <f t="shared" ref="AH58" si="819">IF(Q58&gt;R58,1,0)</f>
        <v>0</v>
      </c>
      <c r="AI58" s="140">
        <f t="shared" ref="AI58" si="820">IF(S58&gt;T58,1,0)</f>
        <v>0</v>
      </c>
      <c r="AJ58" s="140">
        <f t="shared" ref="AJ58" si="821">IF(U58&gt;V58,1,0)</f>
        <v>0</v>
      </c>
      <c r="AK58" s="140">
        <f t="shared" ref="AK58" si="822">IF(W58&gt;X58,1,0)</f>
        <v>0</v>
      </c>
      <c r="AL58" s="140">
        <f t="shared" ref="AL58" si="823">IF(Y58&gt;Z58,1,0)</f>
        <v>0</v>
      </c>
      <c r="AM58" s="140">
        <f t="shared" ref="AM58" si="824">IF(M58&gt;N58,N58,IF(N58&gt;M58,-M58,""))</f>
        <v>-9</v>
      </c>
      <c r="AN58" s="140" t="str">
        <f t="shared" ref="AN58" si="825">IF(O58&gt;P58,", "&amp;P58,IF(P58&gt;O58,", "&amp;-O58,""))</f>
        <v>, 9</v>
      </c>
      <c r="AO58" s="140" t="str">
        <f t="shared" ref="AO58" si="826">IF(Q58&gt;R58,", "&amp;R58,IF(R58&gt;Q58,", "&amp;-Q58,""))</f>
        <v>, -10</v>
      </c>
      <c r="AP58" s="140" t="str">
        <f t="shared" ref="AP58" si="827">IF(S58&gt;T58,", "&amp;T58,IF(T58&gt;S58,", "&amp;-S58,""))</f>
        <v/>
      </c>
      <c r="AQ58" s="140" t="str">
        <f t="shared" ref="AQ58" si="828">IF(U58&gt;V58,", "&amp;V58,IF(V58&gt;U58,", "&amp;-U58,""))</f>
        <v/>
      </c>
      <c r="AR58" s="140" t="str">
        <f t="shared" ref="AR58" si="829">IF(W58&gt;X58,", "&amp;X58,IF(X58&gt;W58,", "&amp;-W58,""))</f>
        <v/>
      </c>
      <c r="AS58" s="140" t="str">
        <f t="shared" ref="AS58" si="830">IF(Y58&gt;Z58,", "&amp;Z58,IF(Z58&gt;Y58,", "&amp;-Y58,""))</f>
        <v/>
      </c>
      <c r="AU58" s="155">
        <f>1+AU56</f>
        <v>26</v>
      </c>
      <c r="AV58" s="180">
        <f>VLOOKUP(AV57,$A$8:$L$87,8,FALSE)</f>
        <v>4682</v>
      </c>
      <c r="AW58" s="181" t="s">
        <v>32</v>
      </c>
      <c r="AX58" s="182" t="s">
        <v>24</v>
      </c>
      <c r="AY58" s="152"/>
      <c r="AZ58" s="151"/>
      <c r="BA58" s="170"/>
      <c r="BB58" s="159"/>
      <c r="BC58" s="160" t="str">
        <f>VLOOKUP(AY59,$A$8:$AD$87,29,FALSE)</f>
        <v>2 - 0  (7, 5)</v>
      </c>
      <c r="BD58" s="160"/>
      <c r="BE58" s="152"/>
      <c r="BF58" s="154"/>
      <c r="BG58" s="170"/>
      <c r="BH58" s="152"/>
      <c r="BI58" s="154"/>
      <c r="BJ58" s="150"/>
    </row>
    <row r="59" spans="1:62" s="143" customFormat="1" ht="12.75" x14ac:dyDescent="0.25">
      <c r="A59" s="305"/>
      <c r="B59" s="356"/>
      <c r="C59" s="358"/>
      <c r="D59" s="358"/>
      <c r="E59" s="340"/>
      <c r="F59" s="360"/>
      <c r="G59" s="340" t="s">
        <v>442</v>
      </c>
      <c r="H59" s="340" t="s">
        <v>442</v>
      </c>
      <c r="I59" s="340"/>
      <c r="J59" s="340"/>
      <c r="K59" s="340">
        <v>0</v>
      </c>
      <c r="L59" s="340">
        <v>0</v>
      </c>
      <c r="M59" s="350"/>
      <c r="N59" s="340"/>
      <c r="O59" s="340"/>
      <c r="P59" s="340"/>
      <c r="Q59" s="340"/>
      <c r="R59" s="340"/>
      <c r="S59" s="340"/>
      <c r="T59" s="340"/>
      <c r="U59" s="340"/>
      <c r="V59" s="340"/>
      <c r="W59" s="340"/>
      <c r="X59" s="340"/>
      <c r="Y59" s="340"/>
      <c r="Z59" s="342"/>
      <c r="AA59" s="318"/>
      <c r="AB59" s="318"/>
      <c r="AC59" s="140"/>
      <c r="AD59" s="140" t="str">
        <f t="shared" ref="AD59" si="831">IF(AA58&gt;AB58,AD58&amp;"  "&amp;AE58,IF(AB58&gt;AA58,AD58&amp;"  "&amp;AE59,""))</f>
        <v>2 - 1  (9, -9, 10)</v>
      </c>
      <c r="AE59" s="140" t="str">
        <f t="shared" si="0"/>
        <v>(9, -9, 10)</v>
      </c>
      <c r="AF59" s="140">
        <f t="shared" ref="AF59" si="832">IF(N58&gt;M58,1,0)</f>
        <v>1</v>
      </c>
      <c r="AG59" s="140">
        <f t="shared" ref="AG59" si="833">IF(P58&gt;O58,1,0)</f>
        <v>0</v>
      </c>
      <c r="AH59" s="140">
        <f t="shared" ref="AH59" si="834">IF(R58&gt;Q58,1,0)</f>
        <v>1</v>
      </c>
      <c r="AI59" s="140">
        <f t="shared" ref="AI59" si="835">IF(T58&gt;S58,1,0)</f>
        <v>0</v>
      </c>
      <c r="AJ59" s="140">
        <f t="shared" ref="AJ59" si="836">IF(V58&gt;U58,1,0)</f>
        <v>0</v>
      </c>
      <c r="AK59" s="140">
        <f t="shared" ref="AK59" si="837">IF(X58&gt;W58,1,0)</f>
        <v>0</v>
      </c>
      <c r="AL59" s="140">
        <f t="shared" ref="AL59" si="838">IF(Z58&gt;Y58,1,0)</f>
        <v>0</v>
      </c>
      <c r="AM59" s="140">
        <f t="shared" ref="AM59" si="839">IF(N58&gt;M58,M58,IF(M58&gt;N58,-N58,""))</f>
        <v>9</v>
      </c>
      <c r="AN59" s="140" t="str">
        <f t="shared" ref="AN59" si="840">IF(P58&gt;O58,", "&amp;O58,IF(O58&gt;P58,", "&amp;-P58,""))</f>
        <v>, -9</v>
      </c>
      <c r="AO59" s="140" t="str">
        <f t="shared" ref="AO59" si="841">IF(R58&gt;Q58,", "&amp;Q58,IF(Q58&gt;R58,", "&amp;-R58,""))</f>
        <v>, 10</v>
      </c>
      <c r="AP59" s="140" t="str">
        <f t="shared" ref="AP59" si="842">IF(T58&gt;S58,", "&amp;S58,IF(S58&gt;T58,", "&amp;-T58,""))</f>
        <v/>
      </c>
      <c r="AQ59" s="140" t="str">
        <f t="shared" ref="AQ59" si="843">IF(V58&gt;U58,", "&amp;U58,IF(U58&gt;V58,", "&amp;-V58,""))</f>
        <v/>
      </c>
      <c r="AR59" s="140" t="str">
        <f t="shared" ref="AR59" si="844">IF(X58&gt;W58,", "&amp;W58,IF(W58&gt;X58,", "&amp;-X58,""))</f>
        <v/>
      </c>
      <c r="AS59" s="140" t="str">
        <f t="shared" ref="AS59" si="845">IF(Z58&gt;Y58,", "&amp;Y58,IF(Y58&gt;Z58,", "&amp;-Z58,""))</f>
        <v/>
      </c>
      <c r="AU59" s="144"/>
      <c r="AV59" s="145"/>
      <c r="AW59" s="151"/>
      <c r="AX59" s="150"/>
      <c r="AY59" s="168">
        <v>23</v>
      </c>
      <c r="AZ59" s="169" t="str">
        <f>VLOOKUP(AY59,$A$8:$L$87,6,FALSE)</f>
        <v>4 Julio-- Table</v>
      </c>
      <c r="BA59" s="183"/>
      <c r="BB59" s="171">
        <f>VLOOKUP(BB63,$A$8:$L$91,7,FALSE)</f>
        <v>3787</v>
      </c>
      <c r="BC59" s="157" t="s">
        <v>25</v>
      </c>
      <c r="BD59" s="184" t="s">
        <v>24</v>
      </c>
      <c r="BE59" s="152"/>
      <c r="BF59" s="154"/>
      <c r="BG59" s="170"/>
      <c r="BH59" s="152"/>
      <c r="BI59" s="154"/>
      <c r="BJ59" s="150"/>
    </row>
    <row r="60" spans="1:62" s="143" customFormat="1" ht="12.75" x14ac:dyDescent="0.25">
      <c r="A60" s="305">
        <v>27</v>
      </c>
      <c r="B60" s="363" t="s">
        <v>444</v>
      </c>
      <c r="C60" s="365" t="s">
        <v>391</v>
      </c>
      <c r="D60" s="365"/>
      <c r="E60" s="351"/>
      <c r="F60" s="367" t="str">
        <f t="shared" si="778"/>
        <v>4 Julio-- Table</v>
      </c>
      <c r="G60" s="351">
        <f>IF(M48="",0,IF(AA48&gt;AB48,G48,H48))</f>
        <v>3450</v>
      </c>
      <c r="H60" s="351">
        <f>IF(M50="",0,IF(AA50&gt;AB50,G50,H50))</f>
        <v>3504</v>
      </c>
      <c r="I60" s="351" t="s">
        <v>19</v>
      </c>
      <c r="J60" s="351" t="s">
        <v>10</v>
      </c>
      <c r="K60" s="351" t="s">
        <v>30</v>
      </c>
      <c r="L60" s="351" t="s">
        <v>14</v>
      </c>
      <c r="M60" s="361">
        <v>7</v>
      </c>
      <c r="N60" s="351">
        <v>11</v>
      </c>
      <c r="O60" s="351">
        <v>8</v>
      </c>
      <c r="P60" s="351">
        <v>11</v>
      </c>
      <c r="Q60" s="351"/>
      <c r="R60" s="351"/>
      <c r="S60" s="351"/>
      <c r="T60" s="351"/>
      <c r="U60" s="351"/>
      <c r="V60" s="351"/>
      <c r="W60" s="351"/>
      <c r="X60" s="351"/>
      <c r="Y60" s="351"/>
      <c r="Z60" s="353"/>
      <c r="AA60" s="318">
        <f t="shared" ref="AA60" si="846">IF(M60+N60&lt;&gt;0,SUM(AF60:AL60),"")</f>
        <v>0</v>
      </c>
      <c r="AB60" s="318">
        <f t="shared" ref="AB60" si="847">IF(M60+N60&lt;&gt;0,SUM(AF61:AL61),"")</f>
        <v>2</v>
      </c>
      <c r="AC60" s="140" t="str">
        <f t="shared" ref="AC60" si="848">IF(AA60&gt;AB60,AD60&amp;"  "&amp;AE60,IF(AB60&gt;AA60,AD60&amp;"  "&amp;AE61,""))</f>
        <v>2 - 0  (7, 8)</v>
      </c>
      <c r="AD60" s="140" t="str">
        <f t="shared" ref="AD60" si="849">IF(AA60&gt;AB60,AA60&amp;" - "&amp;AB60,IF(AB60&gt;AA60,AB60&amp;" - "&amp;AA60,""))</f>
        <v>2 - 0</v>
      </c>
      <c r="AE60" s="140" t="str">
        <f t="shared" si="0"/>
        <v>(-7, -8)</v>
      </c>
      <c r="AF60" s="140">
        <f t="shared" ref="AF60" si="850">IF(M60&gt;N60,1,0)</f>
        <v>0</v>
      </c>
      <c r="AG60" s="140">
        <f t="shared" ref="AG60" si="851">IF(O60&gt;P60,1,0)</f>
        <v>0</v>
      </c>
      <c r="AH60" s="140">
        <f t="shared" ref="AH60" si="852">IF(Q60&gt;R60,1,0)</f>
        <v>0</v>
      </c>
      <c r="AI60" s="140">
        <f t="shared" ref="AI60" si="853">IF(S60&gt;T60,1,0)</f>
        <v>0</v>
      </c>
      <c r="AJ60" s="140">
        <f t="shared" ref="AJ60" si="854">IF(U60&gt;V60,1,0)</f>
        <v>0</v>
      </c>
      <c r="AK60" s="140">
        <f t="shared" ref="AK60" si="855">IF(W60&gt;X60,1,0)</f>
        <v>0</v>
      </c>
      <c r="AL60" s="140">
        <f t="shared" ref="AL60" si="856">IF(Y60&gt;Z60,1,0)</f>
        <v>0</v>
      </c>
      <c r="AM60" s="140">
        <f t="shared" ref="AM60" si="857">IF(M60&gt;N60,N60,IF(N60&gt;M60,-M60,""))</f>
        <v>-7</v>
      </c>
      <c r="AN60" s="140" t="str">
        <f t="shared" ref="AN60" si="858">IF(O60&gt;P60,", "&amp;P60,IF(P60&gt;O60,", "&amp;-O60,""))</f>
        <v>, -8</v>
      </c>
      <c r="AO60" s="140" t="str">
        <f t="shared" ref="AO60" si="859">IF(Q60&gt;R60,", "&amp;R60,IF(R60&gt;Q60,", "&amp;-Q60,""))</f>
        <v/>
      </c>
      <c r="AP60" s="140" t="str">
        <f t="shared" ref="AP60" si="860">IF(S60&gt;T60,", "&amp;T60,IF(T60&gt;S60,", "&amp;-S60,""))</f>
        <v/>
      </c>
      <c r="AQ60" s="140" t="str">
        <f t="shared" ref="AQ60" si="861">IF(U60&gt;V60,", "&amp;V60,IF(V60&gt;U60,", "&amp;-U60,""))</f>
        <v/>
      </c>
      <c r="AR60" s="140" t="str">
        <f t="shared" ref="AR60" si="862">IF(W60&gt;X60,", "&amp;X60,IF(X60&gt;W60,", "&amp;-W60,""))</f>
        <v/>
      </c>
      <c r="AS60" s="140" t="str">
        <f t="shared" ref="AS60" si="863">IF(Y60&gt;Z60,", "&amp;Z60,IF(Z60&gt;Y60,", "&amp;-Y60,""))</f>
        <v/>
      </c>
      <c r="AU60" s="155">
        <f>1+AU58</f>
        <v>27</v>
      </c>
      <c r="AV60" s="156">
        <f>VLOOKUP(AV61,$A$8:$L$87,7,FALSE)</f>
        <v>4288</v>
      </c>
      <c r="AW60" s="157" t="s">
        <v>35</v>
      </c>
      <c r="AX60" s="158" t="s">
        <v>6</v>
      </c>
      <c r="AY60" s="185"/>
      <c r="AZ60" s="151"/>
      <c r="BA60" s="170"/>
      <c r="BB60" s="152"/>
      <c r="BC60" s="151"/>
      <c r="BD60" s="186"/>
      <c r="BE60" s="152"/>
      <c r="BF60" s="154"/>
      <c r="BG60" s="170"/>
      <c r="BH60" s="152"/>
      <c r="BI60" s="154"/>
      <c r="BJ60" s="150"/>
    </row>
    <row r="61" spans="1:62" s="143" customFormat="1" ht="12.75" x14ac:dyDescent="0.25">
      <c r="A61" s="305"/>
      <c r="B61" s="364"/>
      <c r="C61" s="366"/>
      <c r="D61" s="366"/>
      <c r="E61" s="352"/>
      <c r="F61" s="368"/>
      <c r="G61" s="352" t="s">
        <v>442</v>
      </c>
      <c r="H61" s="352" t="s">
        <v>442</v>
      </c>
      <c r="I61" s="352"/>
      <c r="J61" s="352"/>
      <c r="K61" s="352">
        <v>0</v>
      </c>
      <c r="L61" s="352">
        <v>0</v>
      </c>
      <c r="M61" s="362"/>
      <c r="N61" s="352"/>
      <c r="O61" s="352"/>
      <c r="P61" s="352"/>
      <c r="Q61" s="352"/>
      <c r="R61" s="352"/>
      <c r="S61" s="352"/>
      <c r="T61" s="352"/>
      <c r="U61" s="352"/>
      <c r="V61" s="352"/>
      <c r="W61" s="352"/>
      <c r="X61" s="352"/>
      <c r="Y61" s="352"/>
      <c r="Z61" s="354"/>
      <c r="AA61" s="318"/>
      <c r="AB61" s="318"/>
      <c r="AC61" s="140"/>
      <c r="AD61" s="140" t="str">
        <f t="shared" ref="AD61" si="864">IF(AA60&gt;AB60,AD60&amp;"  "&amp;AE60,IF(AB60&gt;AA60,AD60&amp;"  "&amp;AE61,""))</f>
        <v>2 - 0  (7, 8)</v>
      </c>
      <c r="AE61" s="140" t="str">
        <f t="shared" si="0"/>
        <v>(7, 8)</v>
      </c>
      <c r="AF61" s="140">
        <f t="shared" ref="AF61" si="865">IF(N60&gt;M60,1,0)</f>
        <v>1</v>
      </c>
      <c r="AG61" s="140">
        <f t="shared" ref="AG61" si="866">IF(P60&gt;O60,1,0)</f>
        <v>1</v>
      </c>
      <c r="AH61" s="140">
        <f t="shared" ref="AH61" si="867">IF(R60&gt;Q60,1,0)</f>
        <v>0</v>
      </c>
      <c r="AI61" s="140">
        <f t="shared" ref="AI61" si="868">IF(T60&gt;S60,1,0)</f>
        <v>0</v>
      </c>
      <c r="AJ61" s="140">
        <f t="shared" ref="AJ61" si="869">IF(V60&gt;U60,1,0)</f>
        <v>0</v>
      </c>
      <c r="AK61" s="140">
        <f t="shared" ref="AK61" si="870">IF(X60&gt;W60,1,0)</f>
        <v>0</v>
      </c>
      <c r="AL61" s="140">
        <f t="shared" ref="AL61" si="871">IF(Z60&gt;Y60,1,0)</f>
        <v>0</v>
      </c>
      <c r="AM61" s="140">
        <f t="shared" ref="AM61" si="872">IF(N60&gt;M60,M60,IF(M60&gt;N60,-N60,""))</f>
        <v>7</v>
      </c>
      <c r="AN61" s="140" t="str">
        <f t="shared" ref="AN61" si="873">IF(P60&gt;O60,", "&amp;O60,IF(O60&gt;P60,", "&amp;-P60,""))</f>
        <v>, 8</v>
      </c>
      <c r="AO61" s="140" t="str">
        <f t="shared" ref="AO61" si="874">IF(R60&gt;Q60,", "&amp;Q60,IF(Q60&gt;R60,", "&amp;-R60,""))</f>
        <v/>
      </c>
      <c r="AP61" s="140" t="str">
        <f t="shared" ref="AP61" si="875">IF(T60&gt;S60,", "&amp;S60,IF(S60&gt;T60,", "&amp;-T60,""))</f>
        <v/>
      </c>
      <c r="AQ61" s="140" t="str">
        <f t="shared" ref="AQ61" si="876">IF(V60&gt;U60,", "&amp;U60,IF(U60&gt;V60,", "&amp;-V60,""))</f>
        <v/>
      </c>
      <c r="AR61" s="140" t="str">
        <f t="shared" ref="AR61" si="877">IF(X60&gt;W60,", "&amp;W60,IF(W60&gt;X60,", "&amp;-X60,""))</f>
        <v/>
      </c>
      <c r="AS61" s="140" t="str">
        <f t="shared" ref="AS61" si="878">IF(Z60&gt;Y60,", "&amp;Y60,IF(Y60&gt;Z60,", "&amp;-Z60,""))</f>
        <v/>
      </c>
      <c r="AU61" s="144"/>
      <c r="AV61" s="168">
        <v>14</v>
      </c>
      <c r="AW61" s="169" t="str">
        <f>VLOOKUP(AV61,$A$8:$L$87,6,FALSE)</f>
        <v>4 Julio-- Table</v>
      </c>
      <c r="AX61" s="170"/>
      <c r="AY61" s="187">
        <f>VLOOKUP(AY59,$A$8:$L$91,8,FALSE)</f>
        <v>3787</v>
      </c>
      <c r="AZ61" s="181" t="s">
        <v>25</v>
      </c>
      <c r="BA61" s="182" t="s">
        <v>24</v>
      </c>
      <c r="BB61" s="152"/>
      <c r="BC61" s="151"/>
      <c r="BD61" s="186"/>
      <c r="BE61" s="152"/>
      <c r="BF61" s="154"/>
      <c r="BG61" s="170"/>
      <c r="BH61" s="152"/>
      <c r="BI61" s="154"/>
      <c r="BJ61" s="150"/>
    </row>
    <row r="62" spans="1:62" s="143" customFormat="1" ht="12.75" x14ac:dyDescent="0.25">
      <c r="A62" s="305">
        <v>28</v>
      </c>
      <c r="B62" s="355" t="s">
        <v>444</v>
      </c>
      <c r="C62" s="357" t="s">
        <v>391</v>
      </c>
      <c r="D62" s="357"/>
      <c r="E62" s="339"/>
      <c r="F62" s="359" t="str">
        <f t="shared" si="812"/>
        <v>4 Julio-- Table</v>
      </c>
      <c r="G62" s="339">
        <f>IF(M52="",0,IF(AA52&gt;AB52,G52,H52))</f>
        <v>3787</v>
      </c>
      <c r="H62" s="339">
        <f>IF(M54="",0,IF(AA54&gt;AB54,G54,H54))</f>
        <v>3836</v>
      </c>
      <c r="I62" s="339" t="s">
        <v>25</v>
      </c>
      <c r="J62" s="339" t="s">
        <v>24</v>
      </c>
      <c r="K62" s="339" t="s">
        <v>5</v>
      </c>
      <c r="L62" s="339" t="s">
        <v>6</v>
      </c>
      <c r="M62" s="349">
        <v>11</v>
      </c>
      <c r="N62" s="339">
        <v>8</v>
      </c>
      <c r="O62" s="339">
        <v>11</v>
      </c>
      <c r="P62" s="339">
        <v>6</v>
      </c>
      <c r="Q62" s="339"/>
      <c r="R62" s="339"/>
      <c r="S62" s="339"/>
      <c r="T62" s="339"/>
      <c r="U62" s="339"/>
      <c r="V62" s="339"/>
      <c r="W62" s="339"/>
      <c r="X62" s="339"/>
      <c r="Y62" s="339"/>
      <c r="Z62" s="341"/>
      <c r="AA62" s="318">
        <f t="shared" ref="AA62" si="879">IF(M62+N62&lt;&gt;0,SUM(AF62:AL62),"")</f>
        <v>2</v>
      </c>
      <c r="AB62" s="318">
        <f t="shared" ref="AB62" si="880">IF(M62+N62&lt;&gt;0,SUM(AF63:AL63),"")</f>
        <v>0</v>
      </c>
      <c r="AC62" s="140" t="str">
        <f t="shared" ref="AC62" si="881">IF(AA62&gt;AB62,AD62&amp;"  "&amp;AE62,IF(AB62&gt;AA62,AD62&amp;"  "&amp;AE63,""))</f>
        <v>2 - 0  (8, 6)</v>
      </c>
      <c r="AD62" s="140" t="str">
        <f t="shared" ref="AD62" si="882">IF(AA62&gt;AB62,AA62&amp;" - "&amp;AB62,IF(AB62&gt;AA62,AB62&amp;" - "&amp;AA62,""))</f>
        <v>2 - 0</v>
      </c>
      <c r="AE62" s="140" t="str">
        <f t="shared" si="0"/>
        <v>(8, 6)</v>
      </c>
      <c r="AF62" s="140">
        <f t="shared" ref="AF62" si="883">IF(M62&gt;N62,1,0)</f>
        <v>1</v>
      </c>
      <c r="AG62" s="140">
        <f t="shared" ref="AG62" si="884">IF(O62&gt;P62,1,0)</f>
        <v>1</v>
      </c>
      <c r="AH62" s="140">
        <f t="shared" ref="AH62" si="885">IF(Q62&gt;R62,1,0)</f>
        <v>0</v>
      </c>
      <c r="AI62" s="140">
        <f t="shared" ref="AI62" si="886">IF(S62&gt;T62,1,0)</f>
        <v>0</v>
      </c>
      <c r="AJ62" s="140">
        <f t="shared" ref="AJ62" si="887">IF(U62&gt;V62,1,0)</f>
        <v>0</v>
      </c>
      <c r="AK62" s="140">
        <f t="shared" ref="AK62" si="888">IF(W62&gt;X62,1,0)</f>
        <v>0</v>
      </c>
      <c r="AL62" s="140">
        <f t="shared" ref="AL62" si="889">IF(Y62&gt;Z62,1,0)</f>
        <v>0</v>
      </c>
      <c r="AM62" s="140">
        <f t="shared" ref="AM62" si="890">IF(M62&gt;N62,N62,IF(N62&gt;M62,-M62,""))</f>
        <v>8</v>
      </c>
      <c r="AN62" s="140" t="str">
        <f t="shared" ref="AN62" si="891">IF(O62&gt;P62,", "&amp;P62,IF(P62&gt;O62,", "&amp;-O62,""))</f>
        <v>, 6</v>
      </c>
      <c r="AO62" s="140" t="str">
        <f t="shared" ref="AO62" si="892">IF(Q62&gt;R62,", "&amp;R62,IF(R62&gt;Q62,", "&amp;-Q62,""))</f>
        <v/>
      </c>
      <c r="AP62" s="140" t="str">
        <f t="shared" ref="AP62" si="893">IF(S62&gt;T62,", "&amp;T62,IF(T62&gt;S62,", "&amp;-S62,""))</f>
        <v/>
      </c>
      <c r="AQ62" s="140" t="str">
        <f t="shared" ref="AQ62" si="894">IF(U62&gt;V62,", "&amp;V62,IF(V62&gt;U62,", "&amp;-U62,""))</f>
        <v/>
      </c>
      <c r="AR62" s="140" t="str">
        <f t="shared" ref="AR62" si="895">IF(W62&gt;X62,", "&amp;X62,IF(X62&gt;W62,", "&amp;-W62,""))</f>
        <v/>
      </c>
      <c r="AS62" s="140" t="str">
        <f t="shared" ref="AS62" si="896">IF(Y62&gt;Z62,", "&amp;Z62,IF(Z62&gt;Y62,", "&amp;-Y62,""))</f>
        <v/>
      </c>
      <c r="AU62" s="155">
        <f>1+AU60</f>
        <v>28</v>
      </c>
      <c r="AV62" s="180">
        <f>VLOOKUP(AV61,$A$8:$L$87,8,FALSE)</f>
        <v>3787</v>
      </c>
      <c r="AW62" s="181" t="s">
        <v>25</v>
      </c>
      <c r="AX62" s="182" t="s">
        <v>24</v>
      </c>
      <c r="AY62" s="159"/>
      <c r="AZ62" s="160" t="str">
        <f>VLOOKUP(AV61,$A$8:$AD$91,29,FALSE)</f>
        <v>2 - 0  (7, 1)</v>
      </c>
      <c r="BA62" s="161"/>
      <c r="BB62" s="152"/>
      <c r="BC62" s="151"/>
      <c r="BD62" s="186"/>
      <c r="BE62" s="152"/>
      <c r="BF62" s="154"/>
      <c r="BG62" s="170"/>
      <c r="BH62" s="152"/>
      <c r="BI62" s="154"/>
      <c r="BJ62" s="150"/>
    </row>
    <row r="63" spans="1:62" s="143" customFormat="1" ht="12.75" x14ac:dyDescent="0.25">
      <c r="A63" s="305"/>
      <c r="B63" s="356"/>
      <c r="C63" s="358"/>
      <c r="D63" s="358"/>
      <c r="E63" s="340"/>
      <c r="F63" s="360"/>
      <c r="G63" s="340" t="s">
        <v>442</v>
      </c>
      <c r="H63" s="340" t="s">
        <v>442</v>
      </c>
      <c r="I63" s="340"/>
      <c r="J63" s="340"/>
      <c r="K63" s="340">
        <v>0</v>
      </c>
      <c r="L63" s="340">
        <v>0</v>
      </c>
      <c r="M63" s="350"/>
      <c r="N63" s="340"/>
      <c r="O63" s="340"/>
      <c r="P63" s="340"/>
      <c r="Q63" s="340"/>
      <c r="R63" s="340"/>
      <c r="S63" s="340"/>
      <c r="T63" s="340"/>
      <c r="U63" s="340"/>
      <c r="V63" s="340"/>
      <c r="W63" s="340"/>
      <c r="X63" s="340"/>
      <c r="Y63" s="340"/>
      <c r="Z63" s="342"/>
      <c r="AA63" s="318"/>
      <c r="AB63" s="318"/>
      <c r="AC63" s="140"/>
      <c r="AD63" s="140" t="str">
        <f t="shared" ref="AD63" si="897">IF(AA62&gt;AB62,AD62&amp;"  "&amp;AE62,IF(AB62&gt;AA62,AD62&amp;"  "&amp;AE63,""))</f>
        <v>2 - 0  (8, 6)</v>
      </c>
      <c r="AE63" s="140" t="str">
        <f t="shared" si="0"/>
        <v>(-8, -6)</v>
      </c>
      <c r="AF63" s="140">
        <f t="shared" ref="AF63" si="898">IF(N62&gt;M62,1,0)</f>
        <v>0</v>
      </c>
      <c r="AG63" s="140">
        <f t="shared" ref="AG63" si="899">IF(P62&gt;O62,1,0)</f>
        <v>0</v>
      </c>
      <c r="AH63" s="140">
        <f t="shared" ref="AH63" si="900">IF(R62&gt;Q62,1,0)</f>
        <v>0</v>
      </c>
      <c r="AI63" s="140">
        <f t="shared" ref="AI63" si="901">IF(T62&gt;S62,1,0)</f>
        <v>0</v>
      </c>
      <c r="AJ63" s="140">
        <f t="shared" ref="AJ63" si="902">IF(V62&gt;U62,1,0)</f>
        <v>0</v>
      </c>
      <c r="AK63" s="140">
        <f t="shared" ref="AK63" si="903">IF(X62&gt;W62,1,0)</f>
        <v>0</v>
      </c>
      <c r="AL63" s="140">
        <f t="shared" ref="AL63" si="904">IF(Z62&gt;Y62,1,0)</f>
        <v>0</v>
      </c>
      <c r="AM63" s="140">
        <f t="shared" ref="AM63" si="905">IF(N62&gt;M62,M62,IF(M62&gt;N62,-N62,""))</f>
        <v>-8</v>
      </c>
      <c r="AN63" s="140" t="str">
        <f t="shared" ref="AN63" si="906">IF(P62&gt;O62,", "&amp;O62,IF(O62&gt;P62,", "&amp;-P62,""))</f>
        <v>, -6</v>
      </c>
      <c r="AO63" s="140" t="str">
        <f t="shared" ref="AO63" si="907">IF(R62&gt;Q62,", "&amp;Q62,IF(Q62&gt;R62,", "&amp;-R62,""))</f>
        <v/>
      </c>
      <c r="AP63" s="140" t="str">
        <f t="shared" ref="AP63" si="908">IF(T62&gt;S62,", "&amp;S62,IF(S62&gt;T62,", "&amp;-T62,""))</f>
        <v/>
      </c>
      <c r="AQ63" s="140" t="str">
        <f t="shared" ref="AQ63" si="909">IF(V62&gt;U62,", "&amp;U62,IF(U62&gt;V62,", "&amp;-V62,""))</f>
        <v/>
      </c>
      <c r="AR63" s="140" t="str">
        <f t="shared" ref="AR63" si="910">IF(X62&gt;W62,", "&amp;W62,IF(W62&gt;X62,", "&amp;-X62,""))</f>
        <v/>
      </c>
      <c r="AS63" s="140" t="str">
        <f t="shared" ref="AS63" si="911">IF(Z62&gt;Y62,", "&amp;Y62,IF(Y62&gt;Z62,", "&amp;-Z62,""))</f>
        <v/>
      </c>
      <c r="AU63" s="144"/>
      <c r="AV63" s="145"/>
      <c r="AW63" s="151"/>
      <c r="AX63" s="150"/>
      <c r="AY63" s="152"/>
      <c r="AZ63" s="151"/>
      <c r="BA63" s="150"/>
      <c r="BB63" s="168">
        <v>28</v>
      </c>
      <c r="BC63" s="169" t="str">
        <f>VLOOKUP(BB63,$A$8:$L$87,6,FALSE)</f>
        <v>4 Julio-- Table</v>
      </c>
      <c r="BD63" s="186"/>
      <c r="BE63" s="187">
        <f>VLOOKUP(BE55,$A$8:$L$91,8,FALSE)</f>
        <v>3787</v>
      </c>
      <c r="BF63" s="181" t="s">
        <v>25</v>
      </c>
      <c r="BG63" s="188" t="s">
        <v>24</v>
      </c>
      <c r="BH63" s="152"/>
      <c r="BI63" s="154"/>
      <c r="BJ63" s="150"/>
    </row>
    <row r="64" spans="1:62" s="143" customFormat="1" ht="12.75" x14ac:dyDescent="0.25">
      <c r="A64" s="305">
        <v>29</v>
      </c>
      <c r="B64" s="343" t="s">
        <v>445</v>
      </c>
      <c r="C64" s="345" t="s">
        <v>391</v>
      </c>
      <c r="D64" s="345"/>
      <c r="E64" s="327"/>
      <c r="F64" s="347" t="str">
        <f t="shared" si="778"/>
        <v>4 Julio-- Table</v>
      </c>
      <c r="G64" s="327">
        <f>IF(M56="",0,IF(AA56&gt;AB56,G56,H56))</f>
        <v>3671</v>
      </c>
      <c r="H64" s="327">
        <f>IF(M58="",0,IF(AA58&gt;AB58,G58,H58))</f>
        <v>4058</v>
      </c>
      <c r="I64" s="327" t="s">
        <v>9</v>
      </c>
      <c r="J64" s="327" t="s">
        <v>10</v>
      </c>
      <c r="K64" s="327" t="s">
        <v>7</v>
      </c>
      <c r="L64" s="327" t="s">
        <v>8</v>
      </c>
      <c r="M64" s="337">
        <v>11</v>
      </c>
      <c r="N64" s="327">
        <v>7</v>
      </c>
      <c r="O64" s="327">
        <v>11</v>
      </c>
      <c r="P64" s="327">
        <v>7</v>
      </c>
      <c r="Q64" s="327">
        <v>8</v>
      </c>
      <c r="R64" s="327">
        <v>11</v>
      </c>
      <c r="S64" s="327">
        <v>11</v>
      </c>
      <c r="T64" s="327">
        <v>7</v>
      </c>
      <c r="U64" s="327"/>
      <c r="V64" s="327"/>
      <c r="W64" s="327"/>
      <c r="X64" s="327"/>
      <c r="Y64" s="327"/>
      <c r="Z64" s="329"/>
      <c r="AA64" s="318">
        <f t="shared" ref="AA64" si="912">IF(M64+N64&lt;&gt;0,SUM(AF64:AL64),"")</f>
        <v>3</v>
      </c>
      <c r="AB64" s="318">
        <f t="shared" ref="AB64" si="913">IF(M64+N64&lt;&gt;0,SUM(AF65:AL65),"")</f>
        <v>1</v>
      </c>
      <c r="AC64" s="140" t="str">
        <f t="shared" ref="AC64" si="914">IF(AA64&gt;AB64,AD64&amp;"  "&amp;AE64,IF(AB64&gt;AA64,AD64&amp;"  "&amp;AE65,""))</f>
        <v>3 - 1  (7, 7, -8, 7)</v>
      </c>
      <c r="AD64" s="140" t="str">
        <f t="shared" ref="AD64" si="915">IF(AA64&gt;AB64,AA64&amp;" - "&amp;AB64,IF(AB64&gt;AA64,AB64&amp;" - "&amp;AA64,""))</f>
        <v>3 - 1</v>
      </c>
      <c r="AE64" s="140" t="str">
        <f t="shared" si="0"/>
        <v>(7, 7, -8, 7)</v>
      </c>
      <c r="AF64" s="140">
        <f t="shared" ref="AF64" si="916">IF(M64&gt;N64,1,0)</f>
        <v>1</v>
      </c>
      <c r="AG64" s="140">
        <f t="shared" ref="AG64" si="917">IF(O64&gt;P64,1,0)</f>
        <v>1</v>
      </c>
      <c r="AH64" s="140">
        <f t="shared" ref="AH64" si="918">IF(Q64&gt;R64,1,0)</f>
        <v>0</v>
      </c>
      <c r="AI64" s="140">
        <f t="shared" ref="AI64" si="919">IF(S64&gt;T64,1,0)</f>
        <v>1</v>
      </c>
      <c r="AJ64" s="140">
        <f t="shared" ref="AJ64" si="920">IF(U64&gt;V64,1,0)</f>
        <v>0</v>
      </c>
      <c r="AK64" s="140">
        <f t="shared" ref="AK64" si="921">IF(W64&gt;X64,1,0)</f>
        <v>0</v>
      </c>
      <c r="AL64" s="140">
        <f t="shared" ref="AL64" si="922">IF(Y64&gt;Z64,1,0)</f>
        <v>0</v>
      </c>
      <c r="AM64" s="140">
        <f t="shared" ref="AM64" si="923">IF(M64&gt;N64,N64,IF(N64&gt;M64,-M64,""))</f>
        <v>7</v>
      </c>
      <c r="AN64" s="140" t="str">
        <f t="shared" ref="AN64" si="924">IF(O64&gt;P64,", "&amp;P64,IF(P64&gt;O64,", "&amp;-O64,""))</f>
        <v>, 7</v>
      </c>
      <c r="AO64" s="140" t="str">
        <f t="shared" ref="AO64" si="925">IF(Q64&gt;R64,", "&amp;R64,IF(R64&gt;Q64,", "&amp;-Q64,""))</f>
        <v>, -8</v>
      </c>
      <c r="AP64" s="140" t="str">
        <f t="shared" ref="AP64" si="926">IF(S64&gt;T64,", "&amp;T64,IF(T64&gt;S64,", "&amp;-S64,""))</f>
        <v>, 7</v>
      </c>
      <c r="AQ64" s="140" t="str">
        <f t="shared" ref="AQ64" si="927">IF(U64&gt;V64,", "&amp;V64,IF(V64&gt;U64,", "&amp;-U64,""))</f>
        <v/>
      </c>
      <c r="AR64" s="140" t="str">
        <f t="shared" ref="AR64" si="928">IF(W64&gt;X64,", "&amp;X64,IF(X64&gt;W64,", "&amp;-W64,""))</f>
        <v/>
      </c>
      <c r="AS64" s="140" t="str">
        <f t="shared" ref="AS64" si="929">IF(Y64&gt;Z64,", "&amp;Z64,IF(Z64&gt;Y64,", "&amp;-Y64,""))</f>
        <v/>
      </c>
      <c r="AU64" s="155">
        <f>1+AU62</f>
        <v>29</v>
      </c>
      <c r="AV64" s="156">
        <f>VLOOKUP(AV65,$A$8:$L$87,7,FALSE)</f>
        <v>3933</v>
      </c>
      <c r="AW64" s="157" t="s">
        <v>16</v>
      </c>
      <c r="AX64" s="158" t="s">
        <v>17</v>
      </c>
      <c r="AY64" s="159"/>
      <c r="AZ64" s="160" t="str">
        <f>VLOOKUP(AV65,$A$8:$AD$87,29,FALSE)</f>
        <v>2 - 1  (10, -7, 8)</v>
      </c>
      <c r="BA64" s="161"/>
      <c r="BB64" s="152"/>
      <c r="BC64" s="151"/>
      <c r="BD64" s="186"/>
      <c r="BE64" s="159"/>
      <c r="BF64" s="160" t="str">
        <f>VLOOKUP(BB63,$A$8:$AD$91,29,FALSE)</f>
        <v>2 - 0  (8, 6)</v>
      </c>
      <c r="BG64" s="160"/>
      <c r="BH64" s="152"/>
      <c r="BI64" s="154"/>
      <c r="BJ64" s="150"/>
    </row>
    <row r="65" spans="1:62" s="143" customFormat="1" ht="12.75" x14ac:dyDescent="0.25">
      <c r="A65" s="305"/>
      <c r="B65" s="344"/>
      <c r="C65" s="346"/>
      <c r="D65" s="346"/>
      <c r="E65" s="328"/>
      <c r="F65" s="348"/>
      <c r="G65" s="328" t="s">
        <v>442</v>
      </c>
      <c r="H65" s="328" t="s">
        <v>442</v>
      </c>
      <c r="I65" s="328"/>
      <c r="J65" s="328"/>
      <c r="K65" s="328">
        <v>0</v>
      </c>
      <c r="L65" s="328">
        <v>0</v>
      </c>
      <c r="M65" s="338"/>
      <c r="N65" s="328"/>
      <c r="O65" s="328"/>
      <c r="P65" s="328"/>
      <c r="Q65" s="328"/>
      <c r="R65" s="328"/>
      <c r="S65" s="328"/>
      <c r="T65" s="328"/>
      <c r="U65" s="328"/>
      <c r="V65" s="328"/>
      <c r="W65" s="328"/>
      <c r="X65" s="328"/>
      <c r="Y65" s="328"/>
      <c r="Z65" s="330"/>
      <c r="AA65" s="318"/>
      <c r="AB65" s="318"/>
      <c r="AC65" s="140"/>
      <c r="AD65" s="140" t="str">
        <f t="shared" ref="AD65" si="930">IF(AA64&gt;AB64,AD64&amp;"  "&amp;AE64,IF(AB64&gt;AA64,AD64&amp;"  "&amp;AE65,""))</f>
        <v>3 - 1  (7, 7, -8, 7)</v>
      </c>
      <c r="AE65" s="140" t="str">
        <f t="shared" si="0"/>
        <v>(-7, -7, 8, -7)</v>
      </c>
      <c r="AF65" s="140">
        <f t="shared" ref="AF65" si="931">IF(N64&gt;M64,1,0)</f>
        <v>0</v>
      </c>
      <c r="AG65" s="140">
        <f t="shared" ref="AG65" si="932">IF(P64&gt;O64,1,0)</f>
        <v>0</v>
      </c>
      <c r="AH65" s="140">
        <f t="shared" ref="AH65" si="933">IF(R64&gt;Q64,1,0)</f>
        <v>1</v>
      </c>
      <c r="AI65" s="140">
        <f t="shared" ref="AI65" si="934">IF(T64&gt;S64,1,0)</f>
        <v>0</v>
      </c>
      <c r="AJ65" s="140">
        <f t="shared" ref="AJ65" si="935">IF(V64&gt;U64,1,0)</f>
        <v>0</v>
      </c>
      <c r="AK65" s="140">
        <f t="shared" ref="AK65" si="936">IF(X64&gt;W64,1,0)</f>
        <v>0</v>
      </c>
      <c r="AL65" s="140">
        <f t="shared" ref="AL65" si="937">IF(Z64&gt;Y64,1,0)</f>
        <v>0</v>
      </c>
      <c r="AM65" s="140">
        <f t="shared" ref="AM65" si="938">IF(N64&gt;M64,M64,IF(M64&gt;N64,-N64,""))</f>
        <v>-7</v>
      </c>
      <c r="AN65" s="140" t="str">
        <f t="shared" ref="AN65" si="939">IF(P64&gt;O64,", "&amp;O64,IF(O64&gt;P64,", "&amp;-P64,""))</f>
        <v>, -7</v>
      </c>
      <c r="AO65" s="140" t="str">
        <f t="shared" ref="AO65" si="940">IF(R64&gt;Q64,", "&amp;Q64,IF(Q64&gt;R64,", "&amp;-R64,""))</f>
        <v>, 8</v>
      </c>
      <c r="AP65" s="140" t="str">
        <f t="shared" ref="AP65" si="941">IF(T64&gt;S64,", "&amp;S64,IF(S64&gt;T64,", "&amp;-T64,""))</f>
        <v>, -7</v>
      </c>
      <c r="AQ65" s="140" t="str">
        <f t="shared" ref="AQ65" si="942">IF(V64&gt;U64,", "&amp;U64,IF(U64&gt;V64,", "&amp;-V64,""))</f>
        <v/>
      </c>
      <c r="AR65" s="140" t="str">
        <f t="shared" ref="AR65" si="943">IF(X64&gt;W64,", "&amp;W64,IF(W64&gt;X64,", "&amp;-X64,""))</f>
        <v/>
      </c>
      <c r="AS65" s="140" t="str">
        <f t="shared" ref="AS65" si="944">IF(Z64&gt;Y64,", "&amp;Y64,IF(Y64&gt;Z64,", "&amp;-Z64,""))</f>
        <v/>
      </c>
      <c r="AU65" s="144"/>
      <c r="AV65" s="168">
        <v>15</v>
      </c>
      <c r="AW65" s="169" t="str">
        <f>VLOOKUP(AV65,$A$8:$L$87,6,FALSE)</f>
        <v>4 Julio-- Table</v>
      </c>
      <c r="AX65" s="170"/>
      <c r="AY65" s="171">
        <f>VLOOKUP(AY67,$A$8:$L$91,7,FALSE)</f>
        <v>3933</v>
      </c>
      <c r="AZ65" s="157" t="s">
        <v>16</v>
      </c>
      <c r="BA65" s="158" t="s">
        <v>17</v>
      </c>
      <c r="BB65" s="152"/>
      <c r="BC65" s="151"/>
      <c r="BD65" s="186"/>
      <c r="BE65" s="152"/>
      <c r="BF65" s="154"/>
      <c r="BG65" s="150"/>
      <c r="BH65" s="152"/>
      <c r="BI65" s="154"/>
      <c r="BJ65" s="150"/>
    </row>
    <row r="66" spans="1:62" s="143" customFormat="1" ht="12.75" x14ac:dyDescent="0.25">
      <c r="A66" s="305">
        <v>30</v>
      </c>
      <c r="B66" s="331" t="s">
        <v>445</v>
      </c>
      <c r="C66" s="333" t="s">
        <v>391</v>
      </c>
      <c r="D66" s="333"/>
      <c r="E66" s="314"/>
      <c r="F66" s="335" t="str">
        <f t="shared" si="812"/>
        <v>4 Julio-- Table</v>
      </c>
      <c r="G66" s="314">
        <f>IF(M60="",0,IF(AA60&gt;AB60,G60,H60))</f>
        <v>3504</v>
      </c>
      <c r="H66" s="314">
        <f>IF(M62="",0,IF(AA62&gt;AB62,G62,H62))</f>
        <v>3787</v>
      </c>
      <c r="I66" s="314" t="s">
        <v>30</v>
      </c>
      <c r="J66" s="314" t="s">
        <v>14</v>
      </c>
      <c r="K66" s="314" t="s">
        <v>25</v>
      </c>
      <c r="L66" s="314" t="s">
        <v>24</v>
      </c>
      <c r="M66" s="325">
        <v>11</v>
      </c>
      <c r="N66" s="314">
        <v>8</v>
      </c>
      <c r="O66" s="314">
        <v>16</v>
      </c>
      <c r="P66" s="314">
        <v>14</v>
      </c>
      <c r="Q66" s="314">
        <v>11</v>
      </c>
      <c r="R66" s="314">
        <v>4</v>
      </c>
      <c r="S66" s="314"/>
      <c r="T66" s="314"/>
      <c r="U66" s="314"/>
      <c r="V66" s="314"/>
      <c r="W66" s="314"/>
      <c r="X66" s="314"/>
      <c r="Y66" s="314"/>
      <c r="Z66" s="316"/>
      <c r="AA66" s="318">
        <f t="shared" ref="AA66" si="945">IF(M66+N66&lt;&gt;0,SUM(AF66:AL66),"")</f>
        <v>3</v>
      </c>
      <c r="AB66" s="318">
        <f t="shared" ref="AB66" si="946">IF(M66+N66&lt;&gt;0,SUM(AF67:AL67),"")</f>
        <v>0</v>
      </c>
      <c r="AC66" s="140" t="str">
        <f t="shared" ref="AC66" si="947">IF(AA66&gt;AB66,AD66&amp;"  "&amp;AE66,IF(AB66&gt;AA66,AD66&amp;"  "&amp;AE67,""))</f>
        <v>3 - 0  (8, 14, 4)</v>
      </c>
      <c r="AD66" s="140" t="str">
        <f t="shared" ref="AD66" si="948">IF(AA66&gt;AB66,AA66&amp;" - "&amp;AB66,IF(AB66&gt;AA66,AB66&amp;" - "&amp;AA66,""))</f>
        <v>3 - 0</v>
      </c>
      <c r="AE66" s="140" t="str">
        <f t="shared" si="0"/>
        <v>(8, 14, 4)</v>
      </c>
      <c r="AF66" s="140">
        <f t="shared" ref="AF66" si="949">IF(M66&gt;N66,1,0)</f>
        <v>1</v>
      </c>
      <c r="AG66" s="140">
        <f t="shared" ref="AG66" si="950">IF(O66&gt;P66,1,0)</f>
        <v>1</v>
      </c>
      <c r="AH66" s="140">
        <f t="shared" ref="AH66" si="951">IF(Q66&gt;R66,1,0)</f>
        <v>1</v>
      </c>
      <c r="AI66" s="140">
        <f t="shared" ref="AI66" si="952">IF(S66&gt;T66,1,0)</f>
        <v>0</v>
      </c>
      <c r="AJ66" s="140">
        <f t="shared" ref="AJ66" si="953">IF(U66&gt;V66,1,0)</f>
        <v>0</v>
      </c>
      <c r="AK66" s="140">
        <f t="shared" ref="AK66" si="954">IF(W66&gt;X66,1,0)</f>
        <v>0</v>
      </c>
      <c r="AL66" s="140">
        <f t="shared" ref="AL66" si="955">IF(Y66&gt;Z66,1,0)</f>
        <v>0</v>
      </c>
      <c r="AM66" s="140">
        <f t="shared" ref="AM66" si="956">IF(M66&gt;N66,N66,IF(N66&gt;M66,-M66,""))</f>
        <v>8</v>
      </c>
      <c r="AN66" s="140" t="str">
        <f t="shared" ref="AN66" si="957">IF(O66&gt;P66,", "&amp;P66,IF(P66&gt;O66,", "&amp;-O66,""))</f>
        <v>, 14</v>
      </c>
      <c r="AO66" s="140" t="str">
        <f t="shared" ref="AO66" si="958">IF(Q66&gt;R66,", "&amp;R66,IF(R66&gt;Q66,", "&amp;-Q66,""))</f>
        <v>, 4</v>
      </c>
      <c r="AP66" s="140" t="str">
        <f t="shared" ref="AP66" si="959">IF(S66&gt;T66,", "&amp;T66,IF(T66&gt;S66,", "&amp;-S66,""))</f>
        <v/>
      </c>
      <c r="AQ66" s="140" t="str">
        <f t="shared" ref="AQ66" si="960">IF(U66&gt;V66,", "&amp;V66,IF(V66&gt;U66,", "&amp;-U66,""))</f>
        <v/>
      </c>
      <c r="AR66" s="140" t="str">
        <f t="shared" ref="AR66" si="961">IF(W66&gt;X66,", "&amp;X66,IF(X66&gt;W66,", "&amp;-W66,""))</f>
        <v/>
      </c>
      <c r="AS66" s="140" t="str">
        <f t="shared" ref="AS66" si="962">IF(Y66&gt;Z66,", "&amp;Z66,IF(Z66&gt;Y66,", "&amp;-Y66,""))</f>
        <v/>
      </c>
      <c r="AU66" s="155">
        <f>1+AU64</f>
        <v>30</v>
      </c>
      <c r="AV66" s="180">
        <f>VLOOKUP(AV65,$A$8:$L$87,8,FALSE)</f>
        <v>4541</v>
      </c>
      <c r="AW66" s="181" t="s">
        <v>38</v>
      </c>
      <c r="AX66" s="182" t="s">
        <v>14</v>
      </c>
      <c r="AY66" s="152"/>
      <c r="AZ66" s="151"/>
      <c r="BA66" s="170"/>
      <c r="BB66" s="152"/>
      <c r="BC66" s="151"/>
      <c r="BD66" s="186"/>
      <c r="BE66" s="152"/>
      <c r="BF66" s="154"/>
      <c r="BG66" s="150"/>
      <c r="BH66" s="152"/>
      <c r="BI66" s="154"/>
      <c r="BJ66" s="150"/>
    </row>
    <row r="67" spans="1:62" s="143" customFormat="1" ht="12.75" x14ac:dyDescent="0.25">
      <c r="A67" s="305"/>
      <c r="B67" s="332"/>
      <c r="C67" s="334"/>
      <c r="D67" s="334"/>
      <c r="E67" s="315"/>
      <c r="F67" s="336"/>
      <c r="G67" s="315" t="s">
        <v>442</v>
      </c>
      <c r="H67" s="315" t="s">
        <v>442</v>
      </c>
      <c r="I67" s="315"/>
      <c r="J67" s="315"/>
      <c r="K67" s="315">
        <v>0</v>
      </c>
      <c r="L67" s="315">
        <v>0</v>
      </c>
      <c r="M67" s="326"/>
      <c r="N67" s="315"/>
      <c r="O67" s="315"/>
      <c r="P67" s="315"/>
      <c r="Q67" s="315"/>
      <c r="R67" s="315"/>
      <c r="S67" s="315"/>
      <c r="T67" s="315"/>
      <c r="U67" s="315"/>
      <c r="V67" s="315"/>
      <c r="W67" s="315"/>
      <c r="X67" s="315"/>
      <c r="Y67" s="315"/>
      <c r="Z67" s="317"/>
      <c r="AA67" s="318"/>
      <c r="AB67" s="318"/>
      <c r="AC67" s="140"/>
      <c r="AD67" s="140" t="str">
        <f t="shared" ref="AD67" si="963">IF(AA66&gt;AB66,AD66&amp;"  "&amp;AE66,IF(AB66&gt;AA66,AD66&amp;"  "&amp;AE67,""))</f>
        <v>3 - 0  (8, 14, 4)</v>
      </c>
      <c r="AE67" s="140" t="str">
        <f t="shared" si="0"/>
        <v>(-8, -14, -4)</v>
      </c>
      <c r="AF67" s="140">
        <f t="shared" ref="AF67" si="964">IF(N66&gt;M66,1,0)</f>
        <v>0</v>
      </c>
      <c r="AG67" s="140">
        <f t="shared" ref="AG67" si="965">IF(P66&gt;O66,1,0)</f>
        <v>0</v>
      </c>
      <c r="AH67" s="140">
        <f t="shared" ref="AH67" si="966">IF(R66&gt;Q66,1,0)</f>
        <v>0</v>
      </c>
      <c r="AI67" s="140">
        <f t="shared" ref="AI67" si="967">IF(T66&gt;S66,1,0)</f>
        <v>0</v>
      </c>
      <c r="AJ67" s="140">
        <f t="shared" ref="AJ67" si="968">IF(V66&gt;U66,1,0)</f>
        <v>0</v>
      </c>
      <c r="AK67" s="140">
        <f t="shared" ref="AK67" si="969">IF(X66&gt;W66,1,0)</f>
        <v>0</v>
      </c>
      <c r="AL67" s="140">
        <f t="shared" ref="AL67" si="970">IF(Z66&gt;Y66,1,0)</f>
        <v>0</v>
      </c>
      <c r="AM67" s="140">
        <f t="shared" ref="AM67" si="971">IF(N66&gt;M66,M66,IF(M66&gt;N66,-N66,""))</f>
        <v>-8</v>
      </c>
      <c r="AN67" s="140" t="str">
        <f t="shared" ref="AN67" si="972">IF(P66&gt;O66,", "&amp;O66,IF(O66&gt;P66,", "&amp;-P66,""))</f>
        <v>, -14</v>
      </c>
      <c r="AO67" s="140" t="str">
        <f t="shared" ref="AO67" si="973">IF(R66&gt;Q66,", "&amp;Q66,IF(Q66&gt;R66,", "&amp;-R66,""))</f>
        <v>, -4</v>
      </c>
      <c r="AP67" s="140" t="str">
        <f t="shared" ref="AP67" si="974">IF(T66&gt;S66,", "&amp;S66,IF(S66&gt;T66,", "&amp;-T66,""))</f>
        <v/>
      </c>
      <c r="AQ67" s="140" t="str">
        <f t="shared" ref="AQ67" si="975">IF(V66&gt;U66,", "&amp;U66,IF(U66&gt;V66,", "&amp;-V66,""))</f>
        <v/>
      </c>
      <c r="AR67" s="140" t="str">
        <f t="shared" ref="AR67" si="976">IF(X66&gt;W66,", "&amp;W66,IF(W66&gt;X66,", "&amp;-X66,""))</f>
        <v/>
      </c>
      <c r="AS67" s="140" t="str">
        <f t="shared" ref="AS67" si="977">IF(Z66&gt;Y66,", "&amp;Y66,IF(Y66&gt;Z66,", "&amp;-Z66,""))</f>
        <v/>
      </c>
      <c r="AU67" s="144"/>
      <c r="AV67" s="145"/>
      <c r="AW67" s="151"/>
      <c r="AX67" s="150"/>
      <c r="AY67" s="168">
        <v>24</v>
      </c>
      <c r="AZ67" s="169" t="str">
        <f>VLOOKUP(AY67,$A$8:$L$87,6,FALSE)</f>
        <v>4 Julio-- Table</v>
      </c>
      <c r="BA67" s="183"/>
      <c r="BB67" s="187">
        <f>VLOOKUP(BB63,$A$8:$L$91,8,FALSE)</f>
        <v>3836</v>
      </c>
      <c r="BC67" s="181" t="s">
        <v>5</v>
      </c>
      <c r="BD67" s="188" t="s">
        <v>6</v>
      </c>
      <c r="BE67" s="152"/>
      <c r="BF67" s="154"/>
      <c r="BG67" s="150"/>
      <c r="BH67" s="152"/>
      <c r="BI67" s="154"/>
      <c r="BJ67" s="150"/>
    </row>
    <row r="68" spans="1:62" s="143" customFormat="1" ht="12.75" x14ac:dyDescent="0.25">
      <c r="A68" s="305">
        <v>31</v>
      </c>
      <c r="B68" s="319" t="s">
        <v>446</v>
      </c>
      <c r="C68" s="321" t="s">
        <v>391</v>
      </c>
      <c r="D68" s="321"/>
      <c r="E68" s="300"/>
      <c r="F68" s="323" t="str">
        <f t="shared" si="778"/>
        <v>4 Julio-- Table</v>
      </c>
      <c r="G68" s="300">
        <f>IF(M64="",0,IF(AA64&lt;AB64,G64,H64))</f>
        <v>4058</v>
      </c>
      <c r="H68" s="300">
        <f>IF(M66="",0,IF(AA66&lt;AB66,G66,H66))</f>
        <v>3787</v>
      </c>
      <c r="I68" s="300" t="s">
        <v>7</v>
      </c>
      <c r="J68" s="300" t="s">
        <v>8</v>
      </c>
      <c r="K68" s="300" t="s">
        <v>25</v>
      </c>
      <c r="L68" s="300" t="s">
        <v>24</v>
      </c>
      <c r="M68" s="312"/>
      <c r="N68" s="300"/>
      <c r="O68" s="300"/>
      <c r="P68" s="300"/>
      <c r="Q68" s="300"/>
      <c r="R68" s="300"/>
      <c r="S68" s="300"/>
      <c r="T68" s="300"/>
      <c r="U68" s="300"/>
      <c r="V68" s="300"/>
      <c r="W68" s="300"/>
      <c r="X68" s="300"/>
      <c r="Y68" s="300"/>
      <c r="Z68" s="302"/>
      <c r="AA68" s="304" t="str">
        <f t="shared" ref="AA68" si="978">IF(M68+N68&lt;&gt;0,SUM(AF68:AL68),"")</f>
        <v/>
      </c>
      <c r="AB68" s="304" t="str">
        <f t="shared" ref="AB68" si="979">IF(M68+N68&lt;&gt;0,SUM(AF69:AL69),"")</f>
        <v/>
      </c>
      <c r="AC68" s="213" t="str">
        <f t="shared" ref="AC68" si="980">IF(AA68&gt;AB68,AD68&amp;"  "&amp;AE68,IF(AB68&gt;AA68,AD68&amp;"  "&amp;AE69,""))</f>
        <v/>
      </c>
      <c r="AD68" s="213" t="str">
        <f t="shared" ref="AD68" si="981">IF(AA68&gt;AB68,AA68&amp;" - "&amp;AB68,IF(AB68&gt;AA68,AB68&amp;" - "&amp;AA68,""))</f>
        <v/>
      </c>
      <c r="AE68" s="213" t="str">
        <f t="shared" si="0"/>
        <v>()</v>
      </c>
      <c r="AF68" s="213">
        <f t="shared" ref="AF68" si="982">IF(M68&gt;N68,1,0)</f>
        <v>0</v>
      </c>
      <c r="AG68" s="213">
        <f t="shared" ref="AG68" si="983">IF(O68&gt;P68,1,0)</f>
        <v>0</v>
      </c>
      <c r="AH68" s="213">
        <f t="shared" ref="AH68" si="984">IF(Q68&gt;R68,1,0)</f>
        <v>0</v>
      </c>
      <c r="AI68" s="213">
        <f t="shared" ref="AI68" si="985">IF(S68&gt;T68,1,0)</f>
        <v>0</v>
      </c>
      <c r="AJ68" s="213">
        <f t="shared" ref="AJ68" si="986">IF(U68&gt;V68,1,0)</f>
        <v>0</v>
      </c>
      <c r="AK68" s="213">
        <f t="shared" ref="AK68" si="987">IF(W68&gt;X68,1,0)</f>
        <v>0</v>
      </c>
      <c r="AL68" s="213">
        <f t="shared" ref="AL68" si="988">IF(Y68&gt;Z68,1,0)</f>
        <v>0</v>
      </c>
      <c r="AM68" s="140" t="str">
        <f t="shared" ref="AM68" si="989">IF(M68&gt;N68,N68,IF(N68&gt;M68,-M68,""))</f>
        <v/>
      </c>
      <c r="AN68" s="140" t="str">
        <f t="shared" ref="AN68" si="990">IF(O68&gt;P68,", "&amp;P68,IF(P68&gt;O68,", "&amp;-O68,""))</f>
        <v/>
      </c>
      <c r="AO68" s="140" t="str">
        <f t="shared" ref="AO68" si="991">IF(Q68&gt;R68,", "&amp;R68,IF(R68&gt;Q68,", "&amp;-Q68,""))</f>
        <v/>
      </c>
      <c r="AP68" s="140" t="str">
        <f t="shared" ref="AP68" si="992">IF(S68&gt;T68,", "&amp;T68,IF(T68&gt;S68,", "&amp;-S68,""))</f>
        <v/>
      </c>
      <c r="AQ68" s="140" t="str">
        <f t="shared" ref="AQ68" si="993">IF(U68&gt;V68,", "&amp;V68,IF(V68&gt;U68,", "&amp;-U68,""))</f>
        <v/>
      </c>
      <c r="AR68" s="140" t="str">
        <f t="shared" ref="AR68" si="994">IF(W68&gt;X68,", "&amp;X68,IF(X68&gt;W68,", "&amp;-W68,""))</f>
        <v/>
      </c>
      <c r="AS68" s="140" t="str">
        <f t="shared" ref="AS68" si="995">IF(Y68&gt;Z68,", "&amp;Z68,IF(Z68&gt;Y68,", "&amp;-Y68,""))</f>
        <v/>
      </c>
      <c r="AT68" s="214"/>
      <c r="AU68" s="155">
        <f>1+AU66</f>
        <v>31</v>
      </c>
      <c r="AV68" s="156">
        <f>VLOOKUP(AV69,$A$8:$L$87,7,FALSE)</f>
        <v>4681</v>
      </c>
      <c r="AW68" s="157" t="s">
        <v>46</v>
      </c>
      <c r="AX68" s="158" t="s">
        <v>24</v>
      </c>
      <c r="AY68" s="185"/>
      <c r="AZ68" s="151"/>
      <c r="BA68" s="170"/>
      <c r="BB68" s="159"/>
      <c r="BC68" s="160" t="str">
        <f>VLOOKUP(AY67,$A$8:$AD$91,29,FALSE)</f>
        <v>2 - 1  (-7, 4, 4)</v>
      </c>
      <c r="BD68" s="160"/>
      <c r="BE68" s="152"/>
      <c r="BF68" s="154"/>
      <c r="BG68" s="150"/>
      <c r="BH68" s="152"/>
      <c r="BI68" s="154"/>
      <c r="BJ68" s="150"/>
    </row>
    <row r="69" spans="1:62" s="143" customFormat="1" ht="12.75" x14ac:dyDescent="0.25">
      <c r="A69" s="305"/>
      <c r="B69" s="320"/>
      <c r="C69" s="322"/>
      <c r="D69" s="322"/>
      <c r="E69" s="301"/>
      <c r="F69" s="324"/>
      <c r="G69" s="301" t="s">
        <v>442</v>
      </c>
      <c r="H69" s="301" t="s">
        <v>442</v>
      </c>
      <c r="I69" s="301"/>
      <c r="J69" s="301"/>
      <c r="K69" s="301">
        <v>0</v>
      </c>
      <c r="L69" s="301">
        <v>0</v>
      </c>
      <c r="M69" s="313"/>
      <c r="N69" s="301"/>
      <c r="O69" s="301"/>
      <c r="P69" s="301"/>
      <c r="Q69" s="301"/>
      <c r="R69" s="301"/>
      <c r="S69" s="301"/>
      <c r="T69" s="301"/>
      <c r="U69" s="301"/>
      <c r="V69" s="301"/>
      <c r="W69" s="301"/>
      <c r="X69" s="301"/>
      <c r="Y69" s="301"/>
      <c r="Z69" s="303"/>
      <c r="AA69" s="304"/>
      <c r="AB69" s="304"/>
      <c r="AC69" s="213"/>
      <c r="AD69" s="213" t="str">
        <f t="shared" ref="AD69" si="996">IF(AA68&gt;AB68,AD68&amp;"  "&amp;AE68,IF(AB68&gt;AA68,AD68&amp;"  "&amp;AE69,""))</f>
        <v/>
      </c>
      <c r="AE69" s="213" t="str">
        <f t="shared" si="0"/>
        <v>()</v>
      </c>
      <c r="AF69" s="213">
        <f t="shared" ref="AF69" si="997">IF(N68&gt;M68,1,0)</f>
        <v>0</v>
      </c>
      <c r="AG69" s="213">
        <f t="shared" ref="AG69" si="998">IF(P68&gt;O68,1,0)</f>
        <v>0</v>
      </c>
      <c r="AH69" s="213">
        <f t="shared" ref="AH69" si="999">IF(R68&gt;Q68,1,0)</f>
        <v>0</v>
      </c>
      <c r="AI69" s="213">
        <f t="shared" ref="AI69" si="1000">IF(T68&gt;S68,1,0)</f>
        <v>0</v>
      </c>
      <c r="AJ69" s="213">
        <f t="shared" ref="AJ69" si="1001">IF(V68&gt;U68,1,0)</f>
        <v>0</v>
      </c>
      <c r="AK69" s="213">
        <f t="shared" ref="AK69" si="1002">IF(X68&gt;W68,1,0)</f>
        <v>0</v>
      </c>
      <c r="AL69" s="213">
        <f t="shared" ref="AL69" si="1003">IF(Z68&gt;Y68,1,0)</f>
        <v>0</v>
      </c>
      <c r="AM69" s="140" t="str">
        <f t="shared" ref="AM69" si="1004">IF(N68&gt;M68,M68,IF(M68&gt;N68,-N68,""))</f>
        <v/>
      </c>
      <c r="AN69" s="140" t="str">
        <f t="shared" ref="AN69" si="1005">IF(P68&gt;O68,", "&amp;O68,IF(O68&gt;P68,", "&amp;-P68,""))</f>
        <v/>
      </c>
      <c r="AO69" s="140" t="str">
        <f t="shared" ref="AO69" si="1006">IF(R68&gt;Q68,", "&amp;Q68,IF(Q68&gt;R68,", "&amp;-R68,""))</f>
        <v/>
      </c>
      <c r="AP69" s="140" t="str">
        <f t="shared" ref="AP69" si="1007">IF(T68&gt;S68,", "&amp;S68,IF(S68&gt;T68,", "&amp;-T68,""))</f>
        <v/>
      </c>
      <c r="AQ69" s="140" t="str">
        <f t="shared" ref="AQ69" si="1008">IF(V68&gt;U68,", "&amp;U68,IF(U68&gt;V68,", "&amp;-V68,""))</f>
        <v/>
      </c>
      <c r="AR69" s="140" t="str">
        <f t="shared" ref="AR69" si="1009">IF(X68&gt;W68,", "&amp;W68,IF(W68&gt;X68,", "&amp;-X68,""))</f>
        <v/>
      </c>
      <c r="AS69" s="140" t="str">
        <f t="shared" ref="AS69" si="1010">IF(Z68&gt;Y68,", "&amp;Y68,IF(Y68&gt;Z68,", "&amp;-Z68,""))</f>
        <v/>
      </c>
      <c r="AT69" s="214"/>
      <c r="AU69" s="144"/>
      <c r="AV69" s="168">
        <v>16</v>
      </c>
      <c r="AW69" s="169" t="str">
        <f>VLOOKUP(AV69,$A$8:$L$87,6,FALSE)</f>
        <v>4 Julio-- Table</v>
      </c>
      <c r="AX69" s="170"/>
      <c r="AY69" s="187">
        <f>VLOOKUP(AY67,$A$8:$L$91,8,FALSE)</f>
        <v>3836</v>
      </c>
      <c r="AZ69" s="181" t="s">
        <v>5</v>
      </c>
      <c r="BA69" s="182" t="s">
        <v>6</v>
      </c>
      <c r="BB69" s="152"/>
      <c r="BC69" s="151"/>
      <c r="BD69" s="153"/>
      <c r="BE69" s="152"/>
      <c r="BF69" s="154"/>
      <c r="BG69" s="150"/>
      <c r="BH69" s="152"/>
      <c r="BI69" s="154"/>
      <c r="BJ69" s="150"/>
    </row>
    <row r="70" spans="1:62" s="143" customFormat="1" ht="12.75" x14ac:dyDescent="0.25">
      <c r="A70" s="305">
        <v>32</v>
      </c>
      <c r="B70" s="306" t="s">
        <v>447</v>
      </c>
      <c r="C70" s="308" t="s">
        <v>391</v>
      </c>
      <c r="D70" s="308"/>
      <c r="E70" s="285"/>
      <c r="F70" s="310" t="str">
        <f t="shared" si="812"/>
        <v>4 Julio-- Table</v>
      </c>
      <c r="G70" s="285">
        <f>IF(M64="",0,IF(AA64&gt;AB64,G64,H64))</f>
        <v>3671</v>
      </c>
      <c r="H70" s="285">
        <f>IF(M66="",0,IF(AA66&gt;AB66,G66,H66))</f>
        <v>3504</v>
      </c>
      <c r="I70" s="285" t="s">
        <v>9</v>
      </c>
      <c r="J70" s="285" t="s">
        <v>10</v>
      </c>
      <c r="K70" s="285" t="s">
        <v>30</v>
      </c>
      <c r="L70" s="285" t="s">
        <v>14</v>
      </c>
      <c r="M70" s="298">
        <v>11</v>
      </c>
      <c r="N70" s="285">
        <v>9</v>
      </c>
      <c r="O70" s="285">
        <v>8</v>
      </c>
      <c r="P70" s="285">
        <v>11</v>
      </c>
      <c r="Q70" s="285">
        <v>6</v>
      </c>
      <c r="R70" s="285">
        <v>11</v>
      </c>
      <c r="S70" s="285">
        <v>9</v>
      </c>
      <c r="T70" s="285">
        <v>11</v>
      </c>
      <c r="U70" s="285"/>
      <c r="V70" s="285"/>
      <c r="W70" s="285"/>
      <c r="X70" s="285"/>
      <c r="Y70" s="285"/>
      <c r="Z70" s="287"/>
      <c r="AA70" s="140">
        <f t="shared" ref="AA70" si="1011">IF(M70+N70&lt;&gt;0,SUM(AF70:AL70),"")</f>
        <v>1</v>
      </c>
      <c r="AB70" s="140">
        <f t="shared" ref="AB70" si="1012">IF(M70+N70&lt;&gt;0,SUM(AF71:AL71),"")</f>
        <v>3</v>
      </c>
      <c r="AC70" s="140" t="str">
        <f t="shared" ref="AC70" si="1013">IF(AA70&gt;AB70,AD70&amp;"  "&amp;AE70,IF(AB70&gt;AA70,AD70&amp;"  "&amp;AE71,""))</f>
        <v>3 - 1  (-9, 8, 6, 9)</v>
      </c>
      <c r="AD70" s="140" t="str">
        <f t="shared" ref="AD70" si="1014">IF(AA70&gt;AB70,AA70&amp;" - "&amp;AB70,IF(AB70&gt;AA70,AB70&amp;" - "&amp;AA70,""))</f>
        <v>3 - 1</v>
      </c>
      <c r="AE70" s="140" t="str">
        <f t="shared" si="0"/>
        <v>(9, -8, -6, -9)</v>
      </c>
      <c r="AF70" s="140">
        <f t="shared" ref="AF70" si="1015">IF(M70&gt;N70,1,0)</f>
        <v>1</v>
      </c>
      <c r="AG70" s="140">
        <f t="shared" ref="AG70" si="1016">IF(O70&gt;P70,1,0)</f>
        <v>0</v>
      </c>
      <c r="AH70" s="140">
        <f t="shared" ref="AH70" si="1017">IF(Q70&gt;R70,1,0)</f>
        <v>0</v>
      </c>
      <c r="AI70" s="140">
        <f t="shared" ref="AI70" si="1018">IF(S70&gt;T70,1,0)</f>
        <v>0</v>
      </c>
      <c r="AJ70" s="140">
        <f t="shared" ref="AJ70" si="1019">IF(U70&gt;V70,1,0)</f>
        <v>0</v>
      </c>
      <c r="AK70" s="140">
        <f t="shared" ref="AK70" si="1020">IF(W70&gt;X70,1,0)</f>
        <v>0</v>
      </c>
      <c r="AL70" s="140">
        <f t="shared" ref="AL70" si="1021">IF(Y70&gt;Z70,1,0)</f>
        <v>0</v>
      </c>
      <c r="AM70" s="140">
        <f t="shared" ref="AM70" si="1022">IF(M70&gt;N70,N70,IF(N70&gt;M70,-M70,""))</f>
        <v>9</v>
      </c>
      <c r="AN70" s="140" t="str">
        <f t="shared" ref="AN70" si="1023">IF(O70&gt;P70,", "&amp;P70,IF(P70&gt;O70,", "&amp;-O70,""))</f>
        <v>, -8</v>
      </c>
      <c r="AO70" s="140" t="str">
        <f t="shared" ref="AO70" si="1024">IF(Q70&gt;R70,", "&amp;R70,IF(R70&gt;Q70,", "&amp;-Q70,""))</f>
        <v>, -6</v>
      </c>
      <c r="AP70" s="140" t="str">
        <f t="shared" ref="AP70" si="1025">IF(S70&gt;T70,", "&amp;T70,IF(T70&gt;S70,", "&amp;-S70,""))</f>
        <v>, -9</v>
      </c>
      <c r="AQ70" s="140" t="str">
        <f t="shared" ref="AQ70" si="1026">IF(U70&gt;V70,", "&amp;V70,IF(V70&gt;U70,", "&amp;-U70,""))</f>
        <v/>
      </c>
      <c r="AR70" s="140" t="str">
        <f t="shared" ref="AR70" si="1027">IF(W70&gt;X70,", "&amp;X70,IF(X70&gt;W70,", "&amp;-W70,""))</f>
        <v/>
      </c>
      <c r="AS70" s="140" t="str">
        <f t="shared" ref="AS70" si="1028">IF(Y70&gt;Z70,", "&amp;Z70,IF(Z70&gt;Y70,", "&amp;-Y70,""))</f>
        <v/>
      </c>
      <c r="AU70" s="155">
        <f>1+AU68</f>
        <v>32</v>
      </c>
      <c r="AV70" s="180">
        <f>VLOOKUP(AV69,$A$8:$L$87,8,FALSE)</f>
        <v>3836</v>
      </c>
      <c r="AW70" s="181" t="s">
        <v>5</v>
      </c>
      <c r="AX70" s="182" t="s">
        <v>6</v>
      </c>
      <c r="AY70" s="159"/>
      <c r="AZ70" s="160" t="str">
        <f>VLOOKUP(AV69,$A$8:$AD$91,29,FALSE)</f>
        <v>2 - 0  (3, 5)</v>
      </c>
      <c r="BA70" s="161"/>
      <c r="BB70" s="152"/>
      <c r="BC70" s="151"/>
      <c r="BD70" s="153"/>
      <c r="BE70" s="152"/>
      <c r="BF70" s="154"/>
      <c r="BG70" s="150"/>
      <c r="BH70" s="152"/>
      <c r="BI70" s="154"/>
      <c r="BJ70" s="150"/>
    </row>
    <row r="71" spans="1:62" s="143" customFormat="1" ht="13.5" thickBot="1" x14ac:dyDescent="0.3">
      <c r="A71" s="305"/>
      <c r="B71" s="307"/>
      <c r="C71" s="309"/>
      <c r="D71" s="309"/>
      <c r="E71" s="286"/>
      <c r="F71" s="311"/>
      <c r="G71" s="286" t="s">
        <v>442</v>
      </c>
      <c r="H71" s="286" t="s">
        <v>442</v>
      </c>
      <c r="I71" s="286"/>
      <c r="J71" s="286"/>
      <c r="K71" s="286">
        <v>0</v>
      </c>
      <c r="L71" s="286">
        <v>0</v>
      </c>
      <c r="M71" s="299"/>
      <c r="N71" s="286"/>
      <c r="O71" s="286"/>
      <c r="P71" s="286"/>
      <c r="Q71" s="286"/>
      <c r="R71" s="286"/>
      <c r="S71" s="286"/>
      <c r="T71" s="286"/>
      <c r="U71" s="286"/>
      <c r="V71" s="286"/>
      <c r="W71" s="286"/>
      <c r="X71" s="286"/>
      <c r="Y71" s="286"/>
      <c r="Z71" s="288"/>
      <c r="AA71" s="140"/>
      <c r="AB71" s="140"/>
      <c r="AC71" s="140"/>
      <c r="AD71" s="140" t="str">
        <f t="shared" ref="AD71" si="1029">IF(AA70&gt;AB70,AD70&amp;"  "&amp;AE70,IF(AB70&gt;AA70,AD70&amp;"  "&amp;AE71,""))</f>
        <v>3 - 1  (-9, 8, 6, 9)</v>
      </c>
      <c r="AE71" s="140" t="str">
        <f t="shared" si="0"/>
        <v>(-9, 8, 6, 9)</v>
      </c>
      <c r="AF71" s="140">
        <f t="shared" ref="AF71" si="1030">IF(N70&gt;M70,1,0)</f>
        <v>0</v>
      </c>
      <c r="AG71" s="140">
        <f t="shared" ref="AG71" si="1031">IF(P70&gt;O70,1,0)</f>
        <v>1</v>
      </c>
      <c r="AH71" s="140">
        <f t="shared" ref="AH71" si="1032">IF(R70&gt;Q70,1,0)</f>
        <v>1</v>
      </c>
      <c r="AI71" s="140">
        <f t="shared" ref="AI71" si="1033">IF(T70&gt;S70,1,0)</f>
        <v>1</v>
      </c>
      <c r="AJ71" s="140">
        <f t="shared" ref="AJ71" si="1034">IF(V70&gt;U70,1,0)</f>
        <v>0</v>
      </c>
      <c r="AK71" s="140">
        <f t="shared" ref="AK71" si="1035">IF(X70&gt;W70,1,0)</f>
        <v>0</v>
      </c>
      <c r="AL71" s="140">
        <f t="shared" ref="AL71" si="1036">IF(Z70&gt;Y70,1,0)</f>
        <v>0</v>
      </c>
      <c r="AM71" s="140">
        <f t="shared" ref="AM71" si="1037">IF(N70&gt;M70,M70,IF(M70&gt;N70,-N70,""))</f>
        <v>-9</v>
      </c>
      <c r="AN71" s="140" t="str">
        <f t="shared" ref="AN71" si="1038">IF(P70&gt;O70,", "&amp;O70,IF(O70&gt;P70,", "&amp;-P70,""))</f>
        <v>, 8</v>
      </c>
      <c r="AO71" s="140" t="str">
        <f t="shared" ref="AO71" si="1039">IF(R70&gt;Q70,", "&amp;Q70,IF(Q70&gt;R70,", "&amp;-R70,""))</f>
        <v>, 6</v>
      </c>
      <c r="AP71" s="140" t="str">
        <f t="shared" ref="AP71" si="1040">IF(T70&gt;S70,", "&amp;S70,IF(S70&gt;T70,", "&amp;-T70,""))</f>
        <v>, 9</v>
      </c>
      <c r="AQ71" s="140" t="str">
        <f t="shared" ref="AQ71" si="1041">IF(V70&gt;U70,", "&amp;U70,IF(U70&gt;V70,", "&amp;-V70,""))</f>
        <v/>
      </c>
      <c r="AR71" s="140" t="str">
        <f t="shared" ref="AR71" si="1042">IF(X70&gt;W70,", "&amp;W70,IF(W70&gt;X70,", "&amp;-X70,""))</f>
        <v/>
      </c>
      <c r="AS71" s="140" t="str">
        <f t="shared" ref="AS71" si="1043">IF(Z70&gt;Y70,", "&amp;Y70,IF(Y70&gt;Z70,", "&amp;-Z70,""))</f>
        <v/>
      </c>
      <c r="AU71" s="155"/>
      <c r="AV71" s="145"/>
      <c r="AW71" s="154"/>
      <c r="AX71" s="150"/>
      <c r="AY71" s="152"/>
      <c r="AZ71" s="154"/>
      <c r="BA71" s="150"/>
      <c r="BB71" s="152"/>
      <c r="BC71" s="154"/>
      <c r="BD71" s="150"/>
      <c r="BE71" s="152"/>
      <c r="BF71" s="154"/>
      <c r="BG71" s="150"/>
      <c r="BH71" s="152"/>
      <c r="BI71" s="154"/>
      <c r="BJ71" s="150"/>
    </row>
    <row r="72" spans="1:62" s="143" customFormat="1" ht="12.75" x14ac:dyDescent="0.25">
      <c r="A72" s="140"/>
      <c r="B72" s="289" t="s">
        <v>448</v>
      </c>
      <c r="C72" s="290"/>
      <c r="D72" s="290"/>
      <c r="E72" s="295"/>
      <c r="F72" s="140"/>
      <c r="G72" s="285">
        <f>IF(M68="",0,IF(AA68&gt;AB68,G68,H68))</f>
        <v>0</v>
      </c>
      <c r="H72" s="140"/>
      <c r="I72" s="285">
        <v>0</v>
      </c>
      <c r="J72" s="285">
        <v>0</v>
      </c>
      <c r="K72" s="140"/>
      <c r="L72" s="140"/>
      <c r="M72" s="140"/>
      <c r="N72" s="140"/>
      <c r="O72" s="140"/>
      <c r="P72" s="140"/>
      <c r="Q72" s="140"/>
      <c r="R72" s="140"/>
      <c r="S72" s="140"/>
      <c r="T72" s="140"/>
      <c r="U72" s="140"/>
      <c r="V72" s="140"/>
      <c r="W72" s="140"/>
      <c r="X72" s="140"/>
      <c r="Y72" s="140"/>
      <c r="Z72" s="140"/>
      <c r="AA72" s="140"/>
      <c r="AB72" s="140"/>
      <c r="AC72" s="140"/>
      <c r="AD72" s="140"/>
      <c r="AE72" s="140"/>
      <c r="AF72" s="140"/>
      <c r="AG72" s="140"/>
      <c r="AH72" s="140"/>
      <c r="AI72" s="140"/>
      <c r="AJ72" s="140"/>
      <c r="AK72" s="140"/>
      <c r="AL72" s="140"/>
      <c r="AM72" s="140"/>
      <c r="AN72" s="140"/>
      <c r="AO72" s="140"/>
      <c r="AP72" s="140"/>
      <c r="AQ72" s="140"/>
      <c r="AR72" s="140"/>
      <c r="AS72" s="140"/>
      <c r="AU72" s="155"/>
      <c r="AV72" s="145"/>
      <c r="AW72" s="151"/>
      <c r="AX72" s="150"/>
      <c r="AY72" s="152"/>
      <c r="AZ72" s="154"/>
      <c r="BA72" s="150"/>
      <c r="BB72" s="152"/>
      <c r="BC72" s="154"/>
      <c r="BD72" s="150"/>
      <c r="BE72" s="152"/>
      <c r="BF72" s="154"/>
      <c r="BG72" s="150"/>
      <c r="BH72" s="152"/>
      <c r="BI72" s="154"/>
      <c r="BJ72" s="150"/>
    </row>
    <row r="73" spans="1:62" s="143" customFormat="1" ht="12.75" x14ac:dyDescent="0.25">
      <c r="A73" s="140"/>
      <c r="B73" s="291"/>
      <c r="C73" s="292"/>
      <c r="D73" s="292"/>
      <c r="E73" s="296"/>
      <c r="F73" s="140"/>
      <c r="G73" s="286" t="s">
        <v>442</v>
      </c>
      <c r="H73" s="140"/>
      <c r="I73" s="286"/>
      <c r="J73" s="286"/>
      <c r="K73" s="140"/>
      <c r="L73" s="140"/>
      <c r="M73" s="140"/>
      <c r="N73" s="140"/>
      <c r="O73" s="140"/>
      <c r="P73" s="140"/>
      <c r="Q73" s="140"/>
      <c r="R73" s="140"/>
      <c r="S73" s="140"/>
      <c r="T73" s="140"/>
      <c r="U73" s="140"/>
      <c r="V73" s="140"/>
      <c r="W73" s="140"/>
      <c r="X73" s="140"/>
      <c r="Y73" s="140"/>
      <c r="Z73" s="140"/>
      <c r="AA73" s="140"/>
      <c r="AB73" s="140"/>
      <c r="AC73" s="140"/>
      <c r="AD73" s="140"/>
      <c r="AE73" s="140"/>
      <c r="AF73" s="140"/>
      <c r="AG73" s="140"/>
      <c r="AH73" s="140"/>
      <c r="AI73" s="140"/>
      <c r="AJ73" s="140"/>
      <c r="AK73" s="140"/>
      <c r="AL73" s="140"/>
      <c r="AM73" s="140"/>
      <c r="AN73" s="140"/>
      <c r="AO73" s="140"/>
      <c r="AP73" s="140"/>
      <c r="AQ73" s="140"/>
      <c r="AR73" s="140"/>
      <c r="AS73" s="140"/>
      <c r="AU73" s="155"/>
      <c r="AV73" s="145"/>
      <c r="AW73" s="151"/>
      <c r="AX73" s="150"/>
      <c r="AY73" s="152"/>
      <c r="AZ73" s="154"/>
      <c r="BA73" s="150"/>
      <c r="BB73" s="152"/>
      <c r="BC73" s="154"/>
      <c r="BD73" s="150"/>
      <c r="BE73" s="152"/>
      <c r="BF73" s="154"/>
      <c r="BG73" s="150"/>
      <c r="BH73" s="152"/>
      <c r="BI73" s="154"/>
      <c r="BJ73" s="150"/>
    </row>
    <row r="74" spans="1:62" s="143" customFormat="1" ht="12.75" x14ac:dyDescent="0.25">
      <c r="A74" s="140"/>
      <c r="B74" s="291"/>
      <c r="C74" s="292"/>
      <c r="D74" s="292"/>
      <c r="E74" s="296"/>
      <c r="F74" s="140"/>
      <c r="G74" s="285">
        <f>IF(M70="",0,IF(AA70&gt;AB70,G70,H70))</f>
        <v>3504</v>
      </c>
      <c r="H74" s="140"/>
      <c r="I74" s="285" t="s">
        <v>30</v>
      </c>
      <c r="J74" s="285" t="s">
        <v>14</v>
      </c>
      <c r="K74" s="140"/>
      <c r="L74" s="140"/>
      <c r="M74" s="140"/>
      <c r="N74" s="140"/>
      <c r="O74" s="140"/>
      <c r="P74" s="140"/>
      <c r="Q74" s="140"/>
      <c r="R74" s="140"/>
      <c r="S74" s="140"/>
      <c r="T74" s="140"/>
      <c r="U74" s="140"/>
      <c r="V74" s="140"/>
      <c r="W74" s="140"/>
      <c r="X74" s="140"/>
      <c r="Y74" s="140"/>
      <c r="Z74" s="140"/>
      <c r="AA74" s="140"/>
      <c r="AB74" s="140"/>
      <c r="AC74" s="140"/>
      <c r="AD74" s="140"/>
      <c r="AE74" s="140"/>
      <c r="AF74" s="140"/>
      <c r="AG74" s="140"/>
      <c r="AH74" s="140"/>
      <c r="AI74" s="140"/>
      <c r="AJ74" s="140"/>
      <c r="AK74" s="140"/>
      <c r="AL74" s="140"/>
      <c r="AM74" s="140"/>
      <c r="AN74" s="140"/>
      <c r="AO74" s="140"/>
      <c r="AP74" s="140"/>
      <c r="AQ74" s="140"/>
      <c r="AR74" s="140"/>
      <c r="AS74" s="140"/>
      <c r="AV74" s="145"/>
      <c r="AW74" s="154"/>
      <c r="AX74" s="150"/>
      <c r="AY74" s="152"/>
      <c r="AZ74" s="154"/>
      <c r="BA74" s="150"/>
      <c r="BB74" s="152"/>
      <c r="BC74" s="154"/>
      <c r="BD74" s="150"/>
      <c r="BE74" s="152"/>
      <c r="BF74" s="154"/>
      <c r="BG74" s="150"/>
      <c r="BH74" s="152"/>
      <c r="BI74" s="154"/>
      <c r="BJ74" s="150"/>
    </row>
    <row r="75" spans="1:62" s="143" customFormat="1" ht="13.5" thickBot="1" x14ac:dyDescent="0.3">
      <c r="A75" s="140"/>
      <c r="B75" s="293"/>
      <c r="C75" s="294"/>
      <c r="D75" s="294"/>
      <c r="E75" s="297"/>
      <c r="F75" s="140"/>
      <c r="G75" s="286" t="s">
        <v>442</v>
      </c>
      <c r="H75" s="140"/>
      <c r="I75" s="286"/>
      <c r="J75" s="286"/>
      <c r="K75" s="140"/>
      <c r="L75" s="140"/>
      <c r="M75" s="140"/>
      <c r="N75" s="140"/>
      <c r="O75" s="140"/>
      <c r="P75" s="140"/>
      <c r="Q75" s="140"/>
      <c r="R75" s="140"/>
      <c r="S75" s="140"/>
      <c r="T75" s="140"/>
      <c r="U75" s="140"/>
      <c r="V75" s="140"/>
      <c r="W75" s="140"/>
      <c r="X75" s="140"/>
      <c r="Y75" s="140"/>
      <c r="Z75" s="140"/>
      <c r="AA75" s="140"/>
      <c r="AB75" s="140"/>
      <c r="AC75" s="140"/>
      <c r="AD75" s="140"/>
      <c r="AE75" s="140"/>
      <c r="AF75" s="140"/>
      <c r="AG75" s="140"/>
      <c r="AH75" s="140"/>
      <c r="AI75" s="140"/>
      <c r="AJ75" s="140"/>
      <c r="AK75" s="140"/>
      <c r="AL75" s="140"/>
      <c r="AM75" s="140"/>
      <c r="AN75" s="140"/>
      <c r="AO75" s="140"/>
      <c r="AP75" s="140"/>
      <c r="AQ75" s="140"/>
      <c r="AR75" s="140"/>
      <c r="AS75" s="140"/>
      <c r="AV75" s="145"/>
      <c r="AW75" s="154"/>
      <c r="AX75" s="150"/>
      <c r="AY75" s="152"/>
      <c r="AZ75" s="154"/>
      <c r="BA75" s="150"/>
      <c r="BB75" s="152"/>
      <c r="BC75" s="154"/>
      <c r="BD75" s="150"/>
      <c r="BE75" s="171">
        <f>VLOOKUP(BE76,$A$8:$L$91,7,FALSE)</f>
        <v>4058</v>
      </c>
      <c r="BF75" s="157" t="s">
        <v>7</v>
      </c>
      <c r="BG75" s="184" t="s">
        <v>8</v>
      </c>
      <c r="BH75" s="185"/>
      <c r="BI75" s="153" t="s">
        <v>449</v>
      </c>
      <c r="BJ75" s="153"/>
    </row>
    <row r="76" spans="1:62" s="143" customFormat="1" ht="12.75" x14ac:dyDescent="0.25">
      <c r="A76" s="140"/>
      <c r="B76" s="140"/>
      <c r="C76" s="140"/>
      <c r="D76" s="141"/>
      <c r="E76" s="140"/>
      <c r="F76" s="140"/>
      <c r="G76" s="140"/>
      <c r="H76" s="140"/>
      <c r="I76" s="140"/>
      <c r="J76" s="140"/>
      <c r="K76" s="140"/>
      <c r="L76" s="140"/>
      <c r="M76" s="140"/>
      <c r="N76" s="140"/>
      <c r="O76" s="140"/>
      <c r="P76" s="140"/>
      <c r="Q76" s="140"/>
      <c r="R76" s="140"/>
      <c r="S76" s="140"/>
      <c r="T76" s="140"/>
      <c r="U76" s="140"/>
      <c r="V76" s="140"/>
      <c r="W76" s="140"/>
      <c r="X76" s="140"/>
      <c r="Y76" s="140"/>
      <c r="Z76" s="140"/>
      <c r="AA76" s="140"/>
      <c r="AB76" s="140"/>
      <c r="AC76" s="140"/>
      <c r="AD76" s="140"/>
      <c r="AE76" s="140"/>
      <c r="AF76" s="140"/>
      <c r="AG76" s="140"/>
      <c r="AH76" s="140"/>
      <c r="AI76" s="140"/>
      <c r="AJ76" s="140"/>
      <c r="AK76" s="140"/>
      <c r="AL76" s="140"/>
      <c r="AM76" s="140"/>
      <c r="AN76" s="140"/>
      <c r="AO76" s="140"/>
      <c r="AP76" s="140"/>
      <c r="AQ76" s="140"/>
      <c r="AR76" s="140"/>
      <c r="AS76" s="140"/>
      <c r="AV76" s="145"/>
      <c r="AW76" s="154"/>
      <c r="AX76" s="150"/>
      <c r="AY76" s="152"/>
      <c r="AZ76" s="154"/>
      <c r="BA76" s="150"/>
      <c r="BB76" s="152"/>
      <c r="BC76" s="154"/>
      <c r="BD76" s="150"/>
      <c r="BE76" s="168">
        <v>31</v>
      </c>
      <c r="BF76" s="169" t="str">
        <f>VLOOKUP(BE76,$A$8:$L$87,6,FALSE)</f>
        <v>4 Julio-- Table</v>
      </c>
      <c r="BG76" s="215"/>
      <c r="BH76" s="204">
        <f>G72</f>
        <v>0</v>
      </c>
      <c r="BI76" s="216">
        <v>0</v>
      </c>
      <c r="BJ76" s="206">
        <v>0</v>
      </c>
    </row>
    <row r="77" spans="1:62" s="143" customFormat="1" ht="12.75" hidden="1" x14ac:dyDescent="0.25">
      <c r="A77" s="140"/>
      <c r="B77" s="140"/>
      <c r="C77" s="140"/>
      <c r="D77" s="141"/>
      <c r="E77" s="140"/>
      <c r="F77" s="140"/>
      <c r="G77" s="140"/>
      <c r="H77" s="140"/>
      <c r="I77" s="140"/>
      <c r="J77" s="140"/>
      <c r="K77" s="140"/>
      <c r="L77" s="140"/>
      <c r="M77" s="140"/>
      <c r="N77" s="140"/>
      <c r="O77" s="140"/>
      <c r="P77" s="140"/>
      <c r="Q77" s="140"/>
      <c r="R77" s="140"/>
      <c r="S77" s="140"/>
      <c r="T77" s="140"/>
      <c r="U77" s="140"/>
      <c r="V77" s="140"/>
      <c r="W77" s="140"/>
      <c r="X77" s="140"/>
      <c r="Y77" s="140"/>
      <c r="Z77" s="140"/>
      <c r="AA77" s="140"/>
      <c r="AB77" s="140"/>
      <c r="AC77" s="140"/>
      <c r="AD77" s="140"/>
      <c r="AE77" s="140"/>
      <c r="AF77" s="140"/>
      <c r="AG77" s="140"/>
      <c r="AH77" s="140"/>
      <c r="AI77" s="140"/>
      <c r="AJ77" s="140"/>
      <c r="AK77" s="140"/>
      <c r="AL77" s="140"/>
      <c r="AM77" s="140"/>
      <c r="AN77" s="140"/>
      <c r="AO77" s="140"/>
      <c r="AP77" s="140"/>
      <c r="AQ77" s="140"/>
      <c r="AR77" s="140"/>
      <c r="AS77" s="140"/>
      <c r="AV77" s="145"/>
      <c r="AW77" s="154"/>
      <c r="AX77" s="150"/>
      <c r="AY77" s="152"/>
      <c r="AZ77" s="154"/>
      <c r="BA77" s="150"/>
      <c r="BB77" s="152"/>
      <c r="BC77" s="154"/>
      <c r="BD77" s="150"/>
      <c r="BE77" s="187">
        <f>VLOOKUP(BE76,$A$8:$L$1449,8,FALSE)</f>
        <v>3787</v>
      </c>
      <c r="BF77" s="217" t="s">
        <v>25</v>
      </c>
      <c r="BG77" s="188" t="s">
        <v>24</v>
      </c>
      <c r="BH77" s="159"/>
      <c r="BI77" s="160" t="str">
        <f>VLOOKUP(BE76,$A$8:$AD$91,29,FALSE)</f>
        <v/>
      </c>
      <c r="BJ77" s="160"/>
    </row>
    <row r="78" spans="1:62" s="143" customFormat="1" ht="12.75" hidden="1" x14ac:dyDescent="0.25">
      <c r="A78" s="140"/>
      <c r="B78" s="140"/>
      <c r="C78" s="140"/>
      <c r="D78" s="141"/>
      <c r="E78" s="140"/>
      <c r="F78" s="140"/>
      <c r="G78" s="140"/>
      <c r="H78" s="140"/>
      <c r="I78" s="140"/>
      <c r="J78" s="140"/>
      <c r="K78" s="140"/>
      <c r="L78" s="140"/>
      <c r="M78" s="140"/>
      <c r="N78" s="140"/>
      <c r="O78" s="140"/>
      <c r="P78" s="140"/>
      <c r="Q78" s="140"/>
      <c r="R78" s="140"/>
      <c r="S78" s="140"/>
      <c r="T78" s="140"/>
      <c r="U78" s="140"/>
      <c r="V78" s="140"/>
      <c r="W78" s="140"/>
      <c r="X78" s="140"/>
      <c r="Y78" s="140"/>
      <c r="Z78" s="140"/>
      <c r="AA78" s="140"/>
      <c r="AB78" s="140"/>
      <c r="AC78" s="140"/>
      <c r="AD78" s="140"/>
      <c r="AE78" s="140"/>
      <c r="AF78" s="140"/>
      <c r="AG78" s="140"/>
      <c r="AH78" s="140"/>
      <c r="AI78" s="140"/>
      <c r="AJ78" s="140"/>
      <c r="AK78" s="140"/>
      <c r="AL78" s="140"/>
      <c r="AM78" s="140"/>
      <c r="AN78" s="140"/>
      <c r="AO78" s="140"/>
      <c r="AP78" s="140"/>
      <c r="AQ78" s="140"/>
      <c r="AR78" s="140"/>
      <c r="AS78" s="140"/>
      <c r="AV78" s="145"/>
      <c r="AW78" s="154"/>
      <c r="AX78" s="150"/>
      <c r="AY78" s="152"/>
      <c r="AZ78" s="154"/>
      <c r="BA78" s="150"/>
      <c r="BB78" s="152"/>
      <c r="BC78" s="154"/>
      <c r="BD78" s="150"/>
      <c r="BE78" s="152"/>
      <c r="BF78" s="154"/>
      <c r="BG78" s="150"/>
      <c r="BH78" s="152"/>
      <c r="BI78" s="154"/>
      <c r="BJ78" s="150"/>
    </row>
    <row r="79" spans="1:62" s="143" customFormat="1" ht="12.75" hidden="1" x14ac:dyDescent="0.25">
      <c r="A79" s="140"/>
      <c r="B79" s="140"/>
      <c r="C79" s="140"/>
      <c r="D79" s="141"/>
      <c r="E79" s="140"/>
      <c r="F79" s="140"/>
      <c r="G79" s="140"/>
      <c r="H79" s="140"/>
      <c r="I79" s="140"/>
      <c r="J79" s="140"/>
      <c r="K79" s="140"/>
      <c r="L79" s="140"/>
      <c r="M79" s="140"/>
      <c r="N79" s="140"/>
      <c r="O79" s="140"/>
      <c r="P79" s="140"/>
      <c r="Q79" s="140"/>
      <c r="R79" s="140"/>
      <c r="S79" s="140"/>
      <c r="T79" s="140"/>
      <c r="U79" s="140"/>
      <c r="V79" s="140"/>
      <c r="W79" s="140"/>
      <c r="X79" s="140"/>
      <c r="Y79" s="140"/>
      <c r="Z79" s="140"/>
      <c r="AA79" s="140"/>
      <c r="AB79" s="140"/>
      <c r="AC79" s="140"/>
      <c r="AD79" s="140"/>
      <c r="AE79" s="140"/>
      <c r="AF79" s="140"/>
      <c r="AG79" s="140"/>
      <c r="AH79" s="140"/>
      <c r="AI79" s="140"/>
      <c r="AJ79" s="140"/>
      <c r="AK79" s="140"/>
      <c r="AL79" s="140"/>
      <c r="AM79" s="140"/>
      <c r="AN79" s="140"/>
      <c r="AO79" s="140"/>
      <c r="AP79" s="140"/>
      <c r="AQ79" s="140"/>
      <c r="AR79" s="140"/>
      <c r="AS79" s="140"/>
      <c r="AV79" s="145"/>
      <c r="AW79" s="154"/>
      <c r="AX79" s="150"/>
      <c r="AY79" s="152"/>
      <c r="AZ79" s="154"/>
      <c r="BA79" s="150"/>
      <c r="BB79" s="152"/>
      <c r="BC79" s="154"/>
      <c r="BD79" s="150"/>
      <c r="BE79" s="152"/>
      <c r="BF79" s="154"/>
      <c r="BG79" s="150"/>
      <c r="BH79" s="152"/>
      <c r="BI79" s="154"/>
      <c r="BJ79" s="150"/>
    </row>
    <row r="80" spans="1:62" s="143" customFormat="1" ht="12.75" hidden="1" x14ac:dyDescent="0.25">
      <c r="A80" s="140"/>
      <c r="B80" s="140"/>
      <c r="C80" s="140"/>
      <c r="D80" s="141" t="s">
        <v>450</v>
      </c>
      <c r="E80" s="140">
        <v>1</v>
      </c>
      <c r="F80" s="140"/>
      <c r="G80" s="213">
        <f>G74</f>
        <v>3504</v>
      </c>
      <c r="H80" s="140"/>
      <c r="I80" s="140" t="s">
        <v>30</v>
      </c>
      <c r="J80" s="140" t="s">
        <v>14</v>
      </c>
      <c r="K80" s="218">
        <f>G64</f>
        <v>3671</v>
      </c>
      <c r="L80" s="219">
        <f>H64</f>
        <v>4058</v>
      </c>
      <c r="M80" s="277" t="s">
        <v>451</v>
      </c>
      <c r="N80" s="140"/>
      <c r="O80" s="140"/>
      <c r="P80" s="140"/>
      <c r="Q80" s="140"/>
      <c r="R80" s="140"/>
      <c r="S80" s="140"/>
      <c r="T80" s="140"/>
      <c r="U80" s="140"/>
      <c r="V80" s="140"/>
      <c r="W80" s="140"/>
      <c r="X80" s="140"/>
      <c r="Y80" s="140"/>
      <c r="Z80" s="140"/>
      <c r="AA80" s="140"/>
      <c r="AB80" s="140"/>
      <c r="AC80" s="140"/>
      <c r="AD80" s="140"/>
      <c r="AE80" s="140"/>
      <c r="AF80" s="140"/>
      <c r="AG80" s="140"/>
      <c r="AH80" s="140"/>
      <c r="AI80" s="140"/>
      <c r="AJ80" s="140"/>
      <c r="AK80" s="140"/>
      <c r="AL80" s="140"/>
      <c r="AM80" s="140"/>
      <c r="AN80" s="140"/>
      <c r="AO80" s="140"/>
      <c r="AP80" s="140"/>
      <c r="AQ80" s="140"/>
      <c r="AR80" s="140"/>
      <c r="AS80" s="140"/>
      <c r="AV80" s="145"/>
      <c r="AW80" s="154"/>
      <c r="AX80" s="150"/>
      <c r="AY80" s="152"/>
      <c r="AZ80" s="154"/>
      <c r="BA80" s="150"/>
      <c r="BB80" s="152"/>
      <c r="BC80" s="154"/>
      <c r="BD80" s="150"/>
      <c r="BE80" s="152"/>
      <c r="BF80" s="154"/>
      <c r="BG80" s="150"/>
      <c r="BH80" s="152"/>
      <c r="BI80" s="154"/>
      <c r="BJ80" s="150"/>
    </row>
    <row r="81" spans="1:62" s="143" customFormat="1" ht="12.75" hidden="1" x14ac:dyDescent="0.25">
      <c r="A81" s="140"/>
      <c r="B81" s="140"/>
      <c r="C81" s="140"/>
      <c r="D81" s="141" t="s">
        <v>452</v>
      </c>
      <c r="E81" s="140">
        <v>2</v>
      </c>
      <c r="F81" s="140"/>
      <c r="G81" s="213">
        <f>IF(G80=G70,H70,G70)</f>
        <v>3671</v>
      </c>
      <c r="H81" s="140"/>
      <c r="I81" s="140" t="s">
        <v>9</v>
      </c>
      <c r="J81" s="140" t="s">
        <v>10</v>
      </c>
      <c r="K81" s="220">
        <f>H64</f>
        <v>4058</v>
      </c>
      <c r="L81" s="221">
        <f>G64</f>
        <v>3671</v>
      </c>
      <c r="M81" s="278"/>
      <c r="N81" s="140"/>
      <c r="O81" s="140"/>
      <c r="P81" s="140"/>
      <c r="Q81" s="140"/>
      <c r="R81" s="140"/>
      <c r="S81" s="140"/>
      <c r="T81" s="140"/>
      <c r="U81" s="140"/>
      <c r="V81" s="140"/>
      <c r="W81" s="140"/>
      <c r="X81" s="140"/>
      <c r="Y81" s="140"/>
      <c r="Z81" s="140"/>
      <c r="AA81" s="140"/>
      <c r="AB81" s="140"/>
      <c r="AC81" s="140"/>
      <c r="AD81" s="140"/>
      <c r="AE81" s="140"/>
      <c r="AF81" s="140"/>
      <c r="AG81" s="140"/>
      <c r="AH81" s="140"/>
      <c r="AI81" s="140"/>
      <c r="AJ81" s="140"/>
      <c r="AK81" s="140"/>
      <c r="AL81" s="140"/>
      <c r="AM81" s="140"/>
      <c r="AN81" s="140"/>
      <c r="AO81" s="140"/>
      <c r="AP81" s="140"/>
      <c r="AQ81" s="140"/>
      <c r="AR81" s="140"/>
      <c r="AS81" s="140"/>
      <c r="AV81" s="145"/>
      <c r="AW81" s="154"/>
      <c r="AX81" s="150"/>
      <c r="AY81" s="152"/>
      <c r="AZ81" s="154"/>
      <c r="BA81" s="150"/>
      <c r="BB81" s="152"/>
      <c r="BC81" s="154"/>
      <c r="BD81" s="150"/>
      <c r="BE81" s="152"/>
      <c r="BF81" s="154"/>
      <c r="BG81" s="150"/>
      <c r="BH81" s="152"/>
      <c r="BI81" s="154"/>
      <c r="BJ81" s="150"/>
    </row>
    <row r="82" spans="1:62" s="143" customFormat="1" ht="12.75" hidden="1" x14ac:dyDescent="0.25">
      <c r="A82" s="140"/>
      <c r="B82" s="140"/>
      <c r="C82" s="140"/>
      <c r="D82" s="141" t="s">
        <v>453</v>
      </c>
      <c r="E82" s="140">
        <v>3</v>
      </c>
      <c r="F82" s="140"/>
      <c r="G82" s="213">
        <f>IF(E72=1,G72,VLOOKUP(G80,K80:L83,2,FALSE))</f>
        <v>3787</v>
      </c>
      <c r="H82" s="140"/>
      <c r="I82" s="140" t="s">
        <v>25</v>
      </c>
      <c r="J82" s="140" t="s">
        <v>24</v>
      </c>
      <c r="K82" s="220">
        <f>G66</f>
        <v>3504</v>
      </c>
      <c r="L82" s="221">
        <f>H66</f>
        <v>3787</v>
      </c>
      <c r="M82" s="278"/>
      <c r="N82" s="140"/>
      <c r="O82" s="140"/>
      <c r="P82" s="140"/>
      <c r="Q82" s="140"/>
      <c r="R82" s="140"/>
      <c r="S82" s="140"/>
      <c r="T82" s="140"/>
      <c r="U82" s="140"/>
      <c r="V82" s="140"/>
      <c r="W82" s="140"/>
      <c r="X82" s="140"/>
      <c r="Y82" s="140"/>
      <c r="Z82" s="140"/>
      <c r="AA82" s="140"/>
      <c r="AB82" s="140"/>
      <c r="AC82" s="140"/>
      <c r="AD82" s="140"/>
      <c r="AE82" s="140"/>
      <c r="AF82" s="140"/>
      <c r="AG82" s="140"/>
      <c r="AH82" s="140"/>
      <c r="AI82" s="140"/>
      <c r="AJ82" s="140"/>
      <c r="AK82" s="140"/>
      <c r="AL82" s="140"/>
      <c r="AM82" s="140"/>
      <c r="AN82" s="140"/>
      <c r="AO82" s="140"/>
      <c r="AP82" s="140"/>
      <c r="AQ82" s="140"/>
      <c r="AR82" s="140"/>
      <c r="AS82" s="140"/>
      <c r="AV82" s="145"/>
      <c r="AW82" s="154"/>
      <c r="AX82" s="150"/>
      <c r="AY82" s="152"/>
      <c r="AZ82" s="154"/>
      <c r="BA82" s="150"/>
      <c r="BB82" s="152"/>
      <c r="BC82" s="154"/>
      <c r="BD82" s="150"/>
      <c r="BE82" s="152"/>
      <c r="BF82" s="154"/>
      <c r="BG82" s="150"/>
      <c r="BH82" s="152"/>
      <c r="BI82" s="154"/>
      <c r="BJ82" s="150"/>
    </row>
    <row r="83" spans="1:62" s="143" customFormat="1" ht="12.75" hidden="1" x14ac:dyDescent="0.25">
      <c r="A83" s="140"/>
      <c r="B83" s="140"/>
      <c r="C83" s="140"/>
      <c r="D83" s="141" t="s">
        <v>454</v>
      </c>
      <c r="E83" s="140">
        <v>4</v>
      </c>
      <c r="F83" s="140"/>
      <c r="G83" s="213">
        <f>IF(G82=G68,H68,G68)</f>
        <v>4058</v>
      </c>
      <c r="H83" s="140"/>
      <c r="I83" s="140" t="s">
        <v>7</v>
      </c>
      <c r="J83" s="140" t="s">
        <v>8</v>
      </c>
      <c r="K83" s="222">
        <f>H66</f>
        <v>3787</v>
      </c>
      <c r="L83" s="223">
        <f>G66</f>
        <v>3504</v>
      </c>
      <c r="M83" s="279"/>
      <c r="N83" s="140"/>
      <c r="O83" s="140"/>
      <c r="P83" s="140"/>
      <c r="Q83" s="140"/>
      <c r="R83" s="140"/>
      <c r="S83" s="140"/>
      <c r="T83" s="140"/>
      <c r="U83" s="140"/>
      <c r="V83" s="140"/>
      <c r="W83" s="140"/>
      <c r="X83" s="140"/>
      <c r="Y83" s="140"/>
      <c r="Z83" s="140"/>
      <c r="AA83" s="140"/>
      <c r="AB83" s="140"/>
      <c r="AC83" s="140"/>
      <c r="AD83" s="140"/>
      <c r="AE83" s="140"/>
      <c r="AF83" s="140"/>
      <c r="AG83" s="140"/>
      <c r="AH83" s="140"/>
      <c r="AI83" s="140"/>
      <c r="AJ83" s="140"/>
      <c r="AK83" s="140"/>
      <c r="AL83" s="140"/>
      <c r="AM83" s="140"/>
      <c r="AN83" s="140"/>
      <c r="AO83" s="140"/>
      <c r="AP83" s="140"/>
      <c r="AQ83" s="140"/>
      <c r="AR83" s="140"/>
      <c r="AS83" s="140"/>
      <c r="AV83" s="145"/>
      <c r="AW83" s="154"/>
      <c r="AX83" s="150"/>
      <c r="AY83" s="152"/>
      <c r="AZ83" s="154"/>
      <c r="BA83" s="150"/>
      <c r="BB83" s="152"/>
      <c r="BC83" s="154"/>
      <c r="BD83" s="150"/>
      <c r="BE83" s="152"/>
      <c r="BF83" s="154"/>
      <c r="BG83" s="150"/>
      <c r="BH83" s="152"/>
      <c r="BI83" s="154"/>
      <c r="BJ83" s="150"/>
    </row>
    <row r="84" spans="1:62" s="143" customFormat="1" ht="12.75" hidden="1" x14ac:dyDescent="0.25">
      <c r="A84" s="140"/>
      <c r="B84" s="140"/>
      <c r="C84" s="140"/>
      <c r="D84" s="141"/>
      <c r="E84" s="140"/>
      <c r="F84" s="140"/>
      <c r="G84" s="140"/>
      <c r="H84" s="140"/>
      <c r="I84" s="140"/>
      <c r="J84" s="140"/>
      <c r="K84" s="218">
        <f>G56</f>
        <v>4025</v>
      </c>
      <c r="L84" s="219">
        <f>H56</f>
        <v>3671</v>
      </c>
      <c r="M84" s="280" t="s">
        <v>455</v>
      </c>
      <c r="N84" s="140"/>
      <c r="O84" s="140"/>
      <c r="P84" s="140"/>
      <c r="Q84" s="140"/>
      <c r="R84" s="140"/>
      <c r="S84" s="140"/>
      <c r="T84" s="140"/>
      <c r="U84" s="140"/>
      <c r="V84" s="140"/>
      <c r="W84" s="140"/>
      <c r="X84" s="140"/>
      <c r="Y84" s="140"/>
      <c r="Z84" s="140"/>
      <c r="AA84" s="140"/>
      <c r="AB84" s="140"/>
      <c r="AC84" s="140"/>
      <c r="AD84" s="140"/>
      <c r="AE84" s="140"/>
      <c r="AF84" s="140"/>
      <c r="AG84" s="140"/>
      <c r="AH84" s="140"/>
      <c r="AI84" s="140"/>
      <c r="AJ84" s="140"/>
      <c r="AK84" s="140"/>
      <c r="AL84" s="140"/>
      <c r="AM84" s="140"/>
      <c r="AN84" s="140"/>
      <c r="AO84" s="140"/>
      <c r="AP84" s="140"/>
      <c r="AQ84" s="140"/>
      <c r="AR84" s="140"/>
      <c r="AS84" s="140"/>
      <c r="AV84" s="145"/>
      <c r="AW84" s="154"/>
      <c r="AX84" s="150"/>
      <c r="AY84" s="152"/>
      <c r="AZ84" s="154"/>
      <c r="BA84" s="150"/>
      <c r="BB84" s="152"/>
      <c r="BC84" s="154"/>
      <c r="BD84" s="150"/>
      <c r="BE84" s="152"/>
      <c r="BF84" s="154"/>
      <c r="BG84" s="150"/>
      <c r="BH84" s="152"/>
      <c r="BI84" s="154"/>
      <c r="BJ84" s="150"/>
    </row>
    <row r="85" spans="1:62" s="143" customFormat="1" ht="12.75" hidden="1" x14ac:dyDescent="0.25">
      <c r="A85" s="140"/>
      <c r="B85" s="140"/>
      <c r="C85" s="140"/>
      <c r="D85" s="141"/>
      <c r="E85" s="140"/>
      <c r="F85" s="140"/>
      <c r="G85" s="140"/>
      <c r="H85" s="140"/>
      <c r="I85" s="140"/>
      <c r="J85" s="140"/>
      <c r="K85" s="220">
        <f>H56</f>
        <v>3671</v>
      </c>
      <c r="L85" s="221">
        <f>G56</f>
        <v>4025</v>
      </c>
      <c r="M85" s="281"/>
      <c r="N85" s="140"/>
      <c r="O85" s="140"/>
      <c r="P85" s="140"/>
      <c r="Q85" s="140"/>
      <c r="R85" s="140"/>
      <c r="S85" s="140"/>
      <c r="T85" s="140"/>
      <c r="U85" s="140"/>
      <c r="V85" s="140"/>
      <c r="W85" s="140"/>
      <c r="X85" s="140"/>
      <c r="Y85" s="140"/>
      <c r="Z85" s="140"/>
      <c r="AA85" s="140"/>
      <c r="AB85" s="140"/>
      <c r="AC85" s="140"/>
      <c r="AD85" s="140"/>
      <c r="AE85" s="140"/>
      <c r="AF85" s="140"/>
      <c r="AG85" s="140"/>
      <c r="AH85" s="140"/>
      <c r="AI85" s="140"/>
      <c r="AJ85" s="140"/>
      <c r="AK85" s="140"/>
      <c r="AL85" s="140"/>
      <c r="AM85" s="140"/>
      <c r="AN85" s="140"/>
      <c r="AO85" s="140"/>
      <c r="AP85" s="140"/>
      <c r="AQ85" s="140"/>
      <c r="AR85" s="140"/>
      <c r="AS85" s="140"/>
      <c r="AV85" s="145"/>
      <c r="AW85" s="154"/>
      <c r="AX85" s="150"/>
      <c r="AY85" s="152"/>
      <c r="AZ85" s="154"/>
      <c r="BA85" s="150"/>
      <c r="BB85" s="152"/>
      <c r="BC85" s="154"/>
      <c r="BD85" s="150"/>
      <c r="BE85" s="152"/>
      <c r="BF85" s="154"/>
      <c r="BG85" s="150"/>
      <c r="BH85" s="152"/>
      <c r="BI85" s="154"/>
      <c r="BJ85" s="150"/>
    </row>
    <row r="86" spans="1:62" s="143" customFormat="1" ht="10.7" hidden="1" customHeight="1" x14ac:dyDescent="0.25">
      <c r="A86" s="140"/>
      <c r="B86" s="140"/>
      <c r="C86" s="140"/>
      <c r="D86" s="141"/>
      <c r="E86" s="140"/>
      <c r="F86" s="140"/>
      <c r="G86" s="140"/>
      <c r="H86" s="140"/>
      <c r="I86" s="140"/>
      <c r="J86" s="140"/>
      <c r="K86" s="220">
        <f>G58</f>
        <v>4128</v>
      </c>
      <c r="L86" s="221">
        <f>H58</f>
        <v>4058</v>
      </c>
      <c r="M86" s="281"/>
      <c r="N86" s="140"/>
      <c r="O86" s="140"/>
      <c r="P86" s="140"/>
      <c r="Q86" s="140"/>
      <c r="R86" s="140"/>
      <c r="S86" s="140"/>
      <c r="T86" s="140"/>
      <c r="U86" s="140"/>
      <c r="V86" s="140"/>
      <c r="W86" s="140"/>
      <c r="X86" s="140"/>
      <c r="Y86" s="140"/>
      <c r="Z86" s="140"/>
      <c r="AA86" s="140"/>
      <c r="AB86" s="140"/>
      <c r="AC86" s="140"/>
      <c r="AD86" s="140"/>
      <c r="AE86" s="140"/>
      <c r="AF86" s="140"/>
      <c r="AG86" s="140"/>
      <c r="AH86" s="140"/>
      <c r="AI86" s="140"/>
      <c r="AJ86" s="140"/>
      <c r="AK86" s="140"/>
      <c r="AL86" s="140"/>
      <c r="AM86" s="140"/>
      <c r="AN86" s="140"/>
      <c r="AO86" s="140"/>
      <c r="AP86" s="140"/>
      <c r="AQ86" s="140"/>
      <c r="AR86" s="140"/>
      <c r="AS86" s="140"/>
      <c r="AV86" s="145"/>
      <c r="AW86" s="154"/>
      <c r="AX86" s="150"/>
      <c r="AY86" s="152"/>
      <c r="AZ86" s="154"/>
      <c r="BA86" s="150"/>
      <c r="BB86" s="152"/>
      <c r="BC86" s="154"/>
      <c r="BD86" s="150"/>
      <c r="BE86" s="152"/>
      <c r="BF86" s="154"/>
      <c r="BG86" s="150"/>
      <c r="BH86" s="152"/>
      <c r="BI86" s="154"/>
      <c r="BJ86" s="150"/>
    </row>
    <row r="87" spans="1:62" s="143" customFormat="1" ht="10.7" hidden="1" customHeight="1" x14ac:dyDescent="0.25">
      <c r="A87" s="140"/>
      <c r="B87" s="140"/>
      <c r="C87" s="140"/>
      <c r="D87" s="141"/>
      <c r="E87" s="140"/>
      <c r="F87" s="140"/>
      <c r="G87" s="140"/>
      <c r="H87" s="140"/>
      <c r="I87" s="140"/>
      <c r="J87" s="140"/>
      <c r="K87" s="220">
        <f>H58</f>
        <v>4058</v>
      </c>
      <c r="L87" s="221">
        <f>G58</f>
        <v>4128</v>
      </c>
      <c r="M87" s="281"/>
      <c r="N87" s="140"/>
      <c r="O87" s="140"/>
      <c r="P87" s="140"/>
      <c r="Q87" s="140"/>
      <c r="R87" s="140"/>
      <c r="S87" s="140"/>
      <c r="T87" s="140"/>
      <c r="U87" s="140"/>
      <c r="V87" s="140"/>
      <c r="W87" s="140"/>
      <c r="X87" s="140"/>
      <c r="Y87" s="140"/>
      <c r="Z87" s="140"/>
      <c r="AA87" s="140"/>
      <c r="AB87" s="140"/>
      <c r="AC87" s="140"/>
      <c r="AD87" s="140"/>
      <c r="AE87" s="140"/>
      <c r="AF87" s="140"/>
      <c r="AG87" s="140"/>
      <c r="AH87" s="140"/>
      <c r="AI87" s="140"/>
      <c r="AJ87" s="140"/>
      <c r="AK87" s="140"/>
      <c r="AL87" s="140"/>
      <c r="AM87" s="140"/>
      <c r="AN87" s="140"/>
      <c r="AO87" s="140"/>
      <c r="AP87" s="140"/>
      <c r="AQ87" s="140"/>
      <c r="AR87" s="140"/>
      <c r="AS87" s="140"/>
      <c r="AV87" s="145"/>
      <c r="AW87" s="154"/>
      <c r="AX87" s="150"/>
      <c r="AY87" s="152"/>
      <c r="AZ87" s="154"/>
      <c r="BA87" s="150"/>
      <c r="BB87" s="152"/>
      <c r="BC87" s="154"/>
      <c r="BD87" s="150"/>
      <c r="BE87" s="152"/>
      <c r="BF87" s="154"/>
      <c r="BG87" s="150"/>
      <c r="BH87" s="152"/>
      <c r="BI87" s="154"/>
      <c r="BJ87" s="150"/>
    </row>
    <row r="88" spans="1:62" s="143" customFormat="1" ht="10.7" hidden="1" customHeight="1" x14ac:dyDescent="0.25">
      <c r="A88" s="140"/>
      <c r="B88" s="140"/>
      <c r="C88" s="140"/>
      <c r="D88" s="141" t="s">
        <v>456</v>
      </c>
      <c r="E88" s="140"/>
      <c r="F88" s="140"/>
      <c r="G88" s="213">
        <f>VLOOKUP(G80,K84:L91,2,FALSE)</f>
        <v>3450</v>
      </c>
      <c r="H88" s="140"/>
      <c r="I88" s="140" t="s">
        <v>19</v>
      </c>
      <c r="J88" s="140" t="s">
        <v>10</v>
      </c>
      <c r="K88" s="220">
        <f>G60</f>
        <v>3450</v>
      </c>
      <c r="L88" s="221">
        <f>H60</f>
        <v>3504</v>
      </c>
      <c r="M88" s="281"/>
      <c r="N88" s="140"/>
      <c r="O88" s="140"/>
      <c r="P88" s="140"/>
      <c r="Q88" s="140"/>
      <c r="R88" s="140"/>
      <c r="S88" s="140"/>
      <c r="T88" s="140"/>
      <c r="U88" s="140"/>
      <c r="V88" s="140"/>
      <c r="W88" s="140"/>
      <c r="X88" s="140"/>
      <c r="Y88" s="140"/>
      <c r="Z88" s="140"/>
      <c r="AA88" s="140"/>
      <c r="AB88" s="140"/>
      <c r="AC88" s="140"/>
      <c r="AD88" s="140"/>
      <c r="AE88" s="140"/>
      <c r="AF88" s="140"/>
      <c r="AG88" s="140"/>
      <c r="AH88" s="140"/>
      <c r="AI88" s="140"/>
      <c r="AJ88" s="140"/>
      <c r="AK88" s="140"/>
      <c r="AL88" s="140"/>
      <c r="AM88" s="140"/>
      <c r="AN88" s="140"/>
      <c r="AO88" s="140"/>
      <c r="AP88" s="140"/>
      <c r="AQ88" s="140"/>
      <c r="AR88" s="140"/>
      <c r="AS88" s="140"/>
      <c r="AV88" s="145"/>
      <c r="AW88" s="154"/>
      <c r="AX88" s="150"/>
      <c r="AY88" s="152"/>
      <c r="AZ88" s="154"/>
      <c r="BA88" s="150"/>
      <c r="BB88" s="152"/>
      <c r="BC88" s="154"/>
      <c r="BD88" s="150"/>
      <c r="BE88" s="152"/>
      <c r="BF88" s="154"/>
      <c r="BG88" s="150"/>
      <c r="BH88" s="152"/>
      <c r="BI88" s="154"/>
      <c r="BJ88" s="150"/>
    </row>
    <row r="89" spans="1:62" s="143" customFormat="1" ht="10.7" hidden="1" customHeight="1" x14ac:dyDescent="0.25">
      <c r="A89" s="140"/>
      <c r="B89" s="140"/>
      <c r="C89" s="140"/>
      <c r="D89" s="141" t="s">
        <v>457</v>
      </c>
      <c r="E89" s="140"/>
      <c r="F89" s="140"/>
      <c r="G89" s="213">
        <f>VLOOKUP(G81,K84:L91,2,FALSE)</f>
        <v>4025</v>
      </c>
      <c r="H89" s="140"/>
      <c r="I89" s="140" t="s">
        <v>18</v>
      </c>
      <c r="J89" s="140" t="s">
        <v>14</v>
      </c>
      <c r="K89" s="220">
        <f>H60</f>
        <v>3504</v>
      </c>
      <c r="L89" s="221">
        <f>G60</f>
        <v>3450</v>
      </c>
      <c r="M89" s="281"/>
      <c r="N89" s="140"/>
      <c r="O89" s="140"/>
      <c r="P89" s="140"/>
      <c r="Q89" s="140"/>
      <c r="R89" s="140"/>
      <c r="S89" s="140"/>
      <c r="T89" s="140"/>
      <c r="U89" s="140"/>
      <c r="V89" s="140"/>
      <c r="W89" s="140"/>
      <c r="X89" s="140"/>
      <c r="Y89" s="140"/>
      <c r="Z89" s="140"/>
      <c r="AA89" s="140"/>
      <c r="AB89" s="140"/>
      <c r="AC89" s="140"/>
      <c r="AD89" s="140"/>
      <c r="AE89" s="140"/>
      <c r="AF89" s="140"/>
      <c r="AG89" s="140"/>
      <c r="AH89" s="140"/>
      <c r="AI89" s="140"/>
      <c r="AJ89" s="140"/>
      <c r="AK89" s="140"/>
      <c r="AL89" s="140"/>
      <c r="AM89" s="140"/>
      <c r="AN89" s="140"/>
      <c r="AO89" s="140"/>
      <c r="AP89" s="140"/>
      <c r="AQ89" s="140"/>
      <c r="AR89" s="140"/>
      <c r="AS89" s="140"/>
      <c r="AV89" s="145"/>
      <c r="AW89" s="154"/>
      <c r="AX89" s="150"/>
      <c r="AY89" s="152"/>
      <c r="AZ89" s="154"/>
      <c r="BA89" s="150"/>
      <c r="BB89" s="152"/>
      <c r="BC89" s="154"/>
      <c r="BD89" s="150"/>
      <c r="BE89" s="152"/>
      <c r="BF89" s="154"/>
      <c r="BG89" s="150"/>
      <c r="BH89" s="152"/>
      <c r="BI89" s="154"/>
      <c r="BJ89" s="150"/>
    </row>
    <row r="90" spans="1:62" s="143" customFormat="1" ht="10.7" hidden="1" customHeight="1" x14ac:dyDescent="0.25">
      <c r="A90" s="140"/>
      <c r="B90" s="140"/>
      <c r="C90" s="140"/>
      <c r="D90" s="141" t="s">
        <v>458</v>
      </c>
      <c r="E90" s="140"/>
      <c r="F90" s="140"/>
      <c r="G90" s="213">
        <f>VLOOKUP(G82,K84:L91,2,FALSE)</f>
        <v>3836</v>
      </c>
      <c r="H90" s="140"/>
      <c r="I90" s="140" t="s">
        <v>5</v>
      </c>
      <c r="J90" s="140" t="s">
        <v>6</v>
      </c>
      <c r="K90" s="220">
        <f>G62</f>
        <v>3787</v>
      </c>
      <c r="L90" s="221">
        <f>H62</f>
        <v>3836</v>
      </c>
      <c r="M90" s="281"/>
      <c r="N90" s="140"/>
      <c r="O90" s="140"/>
      <c r="P90" s="140"/>
      <c r="Q90" s="140"/>
      <c r="R90" s="140"/>
      <c r="S90" s="140"/>
      <c r="T90" s="140"/>
      <c r="U90" s="140"/>
      <c r="V90" s="140"/>
      <c r="W90" s="140"/>
      <c r="X90" s="140"/>
      <c r="Y90" s="140"/>
      <c r="Z90" s="140"/>
      <c r="AA90" s="140"/>
      <c r="AB90" s="140"/>
      <c r="AC90" s="140"/>
      <c r="AD90" s="140"/>
      <c r="AE90" s="140"/>
      <c r="AF90" s="140"/>
      <c r="AG90" s="140"/>
      <c r="AH90" s="140"/>
      <c r="AI90" s="140"/>
      <c r="AJ90" s="140"/>
      <c r="AK90" s="140"/>
      <c r="AL90" s="140"/>
      <c r="AM90" s="140"/>
      <c r="AN90" s="140"/>
      <c r="AO90" s="140"/>
      <c r="AP90" s="140"/>
      <c r="AQ90" s="140"/>
      <c r="AR90" s="140"/>
      <c r="AS90" s="140"/>
      <c r="AV90" s="145"/>
      <c r="AW90" s="154"/>
      <c r="AX90" s="150"/>
      <c r="AY90" s="152"/>
      <c r="AZ90" s="154"/>
      <c r="BA90" s="150"/>
      <c r="BB90" s="152"/>
      <c r="BC90" s="154"/>
      <c r="BD90" s="150"/>
      <c r="BE90" s="152"/>
      <c r="BF90" s="154"/>
      <c r="BG90" s="150"/>
      <c r="BH90" s="152"/>
      <c r="BI90" s="154"/>
      <c r="BJ90" s="150"/>
    </row>
    <row r="91" spans="1:62" s="143" customFormat="1" ht="10.7" hidden="1" customHeight="1" x14ac:dyDescent="0.25">
      <c r="A91" s="140"/>
      <c r="B91" s="140"/>
      <c r="C91" s="140"/>
      <c r="D91" s="141" t="s">
        <v>459</v>
      </c>
      <c r="E91" s="140"/>
      <c r="F91" s="140"/>
      <c r="G91" s="213">
        <f>VLOOKUP(G83,K84:L91,2,FALSE)</f>
        <v>4128</v>
      </c>
      <c r="H91" s="140"/>
      <c r="I91" s="140" t="s">
        <v>23</v>
      </c>
      <c r="J91" s="140" t="s">
        <v>24</v>
      </c>
      <c r="K91" s="222">
        <f>H62</f>
        <v>3836</v>
      </c>
      <c r="L91" s="223">
        <f>G62</f>
        <v>3787</v>
      </c>
      <c r="M91" s="282"/>
      <c r="N91" s="140"/>
      <c r="O91" s="140"/>
      <c r="P91" s="140"/>
      <c r="Q91" s="140"/>
      <c r="R91" s="140"/>
      <c r="S91" s="140"/>
      <c r="T91" s="140"/>
      <c r="U91" s="140"/>
      <c r="V91" s="140"/>
      <c r="W91" s="140"/>
      <c r="X91" s="140"/>
      <c r="Y91" s="140"/>
      <c r="Z91" s="140"/>
      <c r="AA91" s="140"/>
      <c r="AB91" s="140"/>
      <c r="AC91" s="140"/>
      <c r="AD91" s="140"/>
      <c r="AE91" s="140"/>
      <c r="AF91" s="140"/>
      <c r="AG91" s="140"/>
      <c r="AH91" s="140"/>
      <c r="AI91" s="140"/>
      <c r="AJ91" s="140"/>
      <c r="AK91" s="140"/>
      <c r="AL91" s="140"/>
      <c r="AM91" s="140"/>
      <c r="AN91" s="140"/>
      <c r="AO91" s="140"/>
      <c r="AP91" s="140"/>
      <c r="AQ91" s="140"/>
      <c r="AR91" s="140"/>
      <c r="AS91" s="140"/>
      <c r="AV91" s="145"/>
      <c r="AW91" s="154"/>
      <c r="AX91" s="150"/>
      <c r="AY91" s="152"/>
      <c r="AZ91" s="154"/>
      <c r="BA91" s="150"/>
      <c r="BB91" s="152"/>
      <c r="BC91" s="154"/>
      <c r="BD91" s="150"/>
      <c r="BE91" s="152"/>
      <c r="BF91" s="154"/>
      <c r="BG91" s="150"/>
      <c r="BH91" s="152"/>
      <c r="BI91" s="154"/>
      <c r="BJ91" s="150"/>
    </row>
    <row r="92" spans="1:62" s="143" customFormat="1" ht="10.7" hidden="1" customHeight="1" x14ac:dyDescent="0.25">
      <c r="A92" s="140"/>
      <c r="B92" s="140"/>
      <c r="C92" s="140"/>
      <c r="D92" s="141"/>
      <c r="E92" s="140"/>
      <c r="F92" s="140"/>
      <c r="G92" s="140"/>
      <c r="H92" s="140"/>
      <c r="I92" s="140"/>
      <c r="J92" s="140"/>
      <c r="K92" s="218">
        <f>G40</f>
        <v>4002</v>
      </c>
      <c r="L92" s="219">
        <f>H40</f>
        <v>4025</v>
      </c>
      <c r="M92" s="281" t="s">
        <v>460</v>
      </c>
      <c r="N92" s="140"/>
      <c r="O92" s="140"/>
      <c r="P92" s="140"/>
      <c r="Q92" s="140"/>
      <c r="R92" s="140"/>
      <c r="S92" s="140"/>
      <c r="T92" s="140"/>
      <c r="U92" s="140"/>
      <c r="V92" s="140"/>
      <c r="W92" s="140"/>
      <c r="X92" s="140"/>
      <c r="Y92" s="140"/>
      <c r="Z92" s="140"/>
      <c r="AA92" s="140"/>
      <c r="AB92" s="140"/>
      <c r="AC92" s="140"/>
      <c r="AD92" s="140"/>
      <c r="AE92" s="140"/>
      <c r="AF92" s="140"/>
      <c r="AG92" s="140"/>
      <c r="AH92" s="140"/>
      <c r="AI92" s="140"/>
      <c r="AJ92" s="140"/>
      <c r="AK92" s="140"/>
      <c r="AL92" s="140"/>
      <c r="AM92" s="140"/>
      <c r="AN92" s="140"/>
      <c r="AO92" s="140"/>
      <c r="AP92" s="140"/>
      <c r="AQ92" s="140"/>
      <c r="AR92" s="140"/>
      <c r="AS92" s="140"/>
      <c r="AV92" s="145"/>
      <c r="AW92" s="154"/>
      <c r="AX92" s="150"/>
      <c r="AY92" s="152"/>
      <c r="AZ92" s="154"/>
      <c r="BA92" s="150"/>
      <c r="BB92" s="152"/>
      <c r="BC92" s="154"/>
      <c r="BD92" s="150"/>
      <c r="BE92" s="152"/>
      <c r="BF92" s="154"/>
      <c r="BG92" s="150"/>
      <c r="BH92" s="152"/>
      <c r="BI92" s="154"/>
      <c r="BJ92" s="150"/>
    </row>
    <row r="93" spans="1:62" s="143" customFormat="1" ht="10.7" hidden="1" customHeight="1" x14ac:dyDescent="0.25">
      <c r="A93" s="140"/>
      <c r="B93" s="140"/>
      <c r="C93" s="140"/>
      <c r="D93" s="141"/>
      <c r="E93" s="140"/>
      <c r="F93" s="140"/>
      <c r="G93" s="140"/>
      <c r="H93" s="140"/>
      <c r="I93" s="140"/>
      <c r="J93" s="140"/>
      <c r="K93" s="220">
        <f>H40</f>
        <v>4025</v>
      </c>
      <c r="L93" s="221">
        <f>G40</f>
        <v>4002</v>
      </c>
      <c r="M93" s="281"/>
      <c r="N93" s="140"/>
      <c r="O93" s="140"/>
      <c r="P93" s="140"/>
      <c r="Q93" s="140"/>
      <c r="R93" s="140"/>
      <c r="S93" s="140"/>
      <c r="T93" s="140"/>
      <c r="U93" s="140"/>
      <c r="V93" s="140"/>
      <c r="W93" s="140"/>
      <c r="X93" s="140"/>
      <c r="Y93" s="140"/>
      <c r="Z93" s="140"/>
      <c r="AA93" s="140"/>
      <c r="AB93" s="140"/>
      <c r="AC93" s="140"/>
      <c r="AD93" s="140"/>
      <c r="AE93" s="140"/>
      <c r="AF93" s="140"/>
      <c r="AG93" s="140"/>
      <c r="AH93" s="140"/>
      <c r="AI93" s="140"/>
      <c r="AJ93" s="140"/>
      <c r="AK93" s="140"/>
      <c r="AL93" s="140"/>
      <c r="AM93" s="140"/>
      <c r="AN93" s="140"/>
      <c r="AO93" s="140"/>
      <c r="AP93" s="140"/>
      <c r="AQ93" s="140"/>
      <c r="AR93" s="140"/>
      <c r="AS93" s="140"/>
      <c r="AV93" s="145"/>
      <c r="AW93" s="154"/>
      <c r="AX93" s="150"/>
      <c r="AY93" s="152"/>
      <c r="AZ93" s="154"/>
      <c r="BA93" s="150"/>
      <c r="BB93" s="152"/>
      <c r="BC93" s="154"/>
      <c r="BD93" s="150"/>
      <c r="BE93" s="152"/>
      <c r="BF93" s="154"/>
      <c r="BG93" s="150"/>
      <c r="BH93" s="152"/>
      <c r="BI93" s="154"/>
      <c r="BJ93" s="150"/>
    </row>
    <row r="94" spans="1:62" s="143" customFormat="1" ht="10.7" hidden="1" customHeight="1" x14ac:dyDescent="0.25">
      <c r="A94" s="140"/>
      <c r="B94" s="140"/>
      <c r="C94" s="140"/>
      <c r="D94" s="141"/>
      <c r="E94" s="140"/>
      <c r="F94" s="140"/>
      <c r="G94" s="140"/>
      <c r="H94" s="140"/>
      <c r="I94" s="140"/>
      <c r="J94" s="140"/>
      <c r="K94" s="220">
        <f>G42</f>
        <v>4511</v>
      </c>
      <c r="L94" s="221">
        <f>H42</f>
        <v>3671</v>
      </c>
      <c r="M94" s="281"/>
      <c r="N94" s="140"/>
      <c r="O94" s="140"/>
      <c r="P94" s="140"/>
      <c r="Q94" s="140"/>
      <c r="R94" s="140"/>
      <c r="S94" s="140"/>
      <c r="T94" s="140"/>
      <c r="U94" s="140"/>
      <c r="V94" s="140"/>
      <c r="W94" s="140"/>
      <c r="X94" s="140"/>
      <c r="Y94" s="140"/>
      <c r="Z94" s="140"/>
      <c r="AA94" s="140"/>
      <c r="AB94" s="140"/>
      <c r="AC94" s="140"/>
      <c r="AD94" s="140"/>
      <c r="AE94" s="140"/>
      <c r="AF94" s="140"/>
      <c r="AG94" s="140"/>
      <c r="AH94" s="140"/>
      <c r="AI94" s="140"/>
      <c r="AJ94" s="140"/>
      <c r="AK94" s="140"/>
      <c r="AL94" s="140"/>
      <c r="AM94" s="140"/>
      <c r="AN94" s="140"/>
      <c r="AO94" s="140"/>
      <c r="AP94" s="140"/>
      <c r="AQ94" s="140"/>
      <c r="AR94" s="140"/>
      <c r="AS94" s="140"/>
      <c r="AV94" s="145"/>
      <c r="AW94" s="154"/>
      <c r="AX94" s="150"/>
      <c r="AY94" s="152"/>
      <c r="AZ94" s="154"/>
      <c r="BA94" s="150"/>
      <c r="BB94" s="152"/>
      <c r="BC94" s="154"/>
      <c r="BD94" s="150"/>
      <c r="BE94" s="152"/>
      <c r="BF94" s="154"/>
      <c r="BG94" s="150"/>
      <c r="BH94" s="152"/>
      <c r="BI94" s="154"/>
      <c r="BJ94" s="150"/>
    </row>
    <row r="95" spans="1:62" s="143" customFormat="1" ht="10.7" hidden="1" customHeight="1" x14ac:dyDescent="0.25">
      <c r="A95" s="140"/>
      <c r="B95" s="140"/>
      <c r="C95" s="140"/>
      <c r="D95" s="141"/>
      <c r="E95" s="140"/>
      <c r="F95" s="140"/>
      <c r="G95" s="140"/>
      <c r="H95" s="140"/>
      <c r="I95" s="140"/>
      <c r="J95" s="140"/>
      <c r="K95" s="220">
        <f>H42</f>
        <v>3671</v>
      </c>
      <c r="L95" s="221">
        <f>G42</f>
        <v>4511</v>
      </c>
      <c r="M95" s="281"/>
      <c r="N95" s="140"/>
      <c r="O95" s="140"/>
      <c r="P95" s="140"/>
      <c r="Q95" s="140"/>
      <c r="R95" s="140"/>
      <c r="S95" s="140"/>
      <c r="T95" s="140"/>
      <c r="U95" s="140"/>
      <c r="V95" s="140"/>
      <c r="W95" s="140"/>
      <c r="X95" s="140"/>
      <c r="Y95" s="140"/>
      <c r="Z95" s="140"/>
      <c r="AA95" s="140"/>
      <c r="AB95" s="140"/>
      <c r="AC95" s="140"/>
      <c r="AD95" s="140"/>
      <c r="AE95" s="140"/>
      <c r="AF95" s="140"/>
      <c r="AG95" s="140"/>
      <c r="AH95" s="140"/>
      <c r="AI95" s="140"/>
      <c r="AJ95" s="140"/>
      <c r="AK95" s="140"/>
      <c r="AL95" s="140"/>
      <c r="AM95" s="140"/>
      <c r="AN95" s="140"/>
      <c r="AO95" s="140"/>
      <c r="AP95" s="140"/>
      <c r="AQ95" s="140"/>
      <c r="AR95" s="140"/>
      <c r="AS95" s="140"/>
      <c r="AV95" s="145"/>
      <c r="AW95" s="154"/>
      <c r="AX95" s="150"/>
      <c r="AY95" s="152"/>
      <c r="AZ95" s="154"/>
      <c r="BA95" s="150"/>
      <c r="BB95" s="152"/>
      <c r="BC95" s="154"/>
      <c r="BD95" s="150"/>
      <c r="BE95" s="152"/>
      <c r="BF95" s="154"/>
      <c r="BG95" s="150"/>
      <c r="BH95" s="152"/>
      <c r="BI95" s="154"/>
      <c r="BJ95" s="150"/>
    </row>
    <row r="96" spans="1:62" s="143" customFormat="1" ht="10.7" hidden="1" customHeight="1" x14ac:dyDescent="0.25">
      <c r="A96" s="140"/>
      <c r="B96" s="140"/>
      <c r="C96" s="140"/>
      <c r="D96" s="141"/>
      <c r="E96" s="140"/>
      <c r="F96" s="140"/>
      <c r="G96" s="140"/>
      <c r="H96" s="140"/>
      <c r="I96" s="140"/>
      <c r="J96" s="140"/>
      <c r="K96" s="220">
        <f>G44</f>
        <v>4177</v>
      </c>
      <c r="L96" s="221">
        <f>H44</f>
        <v>4128</v>
      </c>
      <c r="M96" s="281"/>
      <c r="N96" s="140"/>
      <c r="O96" s="140"/>
      <c r="P96" s="140"/>
      <c r="Q96" s="140"/>
      <c r="R96" s="140"/>
      <c r="S96" s="140"/>
      <c r="T96" s="140"/>
      <c r="U96" s="140"/>
      <c r="V96" s="140"/>
      <c r="W96" s="140"/>
      <c r="X96" s="140"/>
      <c r="Y96" s="140"/>
      <c r="Z96" s="140"/>
      <c r="AA96" s="140"/>
      <c r="AB96" s="140"/>
      <c r="AC96" s="140"/>
      <c r="AD96" s="140"/>
      <c r="AE96" s="140"/>
      <c r="AF96" s="140"/>
      <c r="AG96" s="140"/>
      <c r="AH96" s="140"/>
      <c r="AI96" s="140"/>
      <c r="AJ96" s="140"/>
      <c r="AK96" s="140"/>
      <c r="AL96" s="140"/>
      <c r="AM96" s="140"/>
      <c r="AN96" s="140"/>
      <c r="AO96" s="140"/>
      <c r="AP96" s="140"/>
      <c r="AQ96" s="140"/>
      <c r="AR96" s="140"/>
      <c r="AS96" s="140"/>
      <c r="AV96" s="145"/>
      <c r="AW96" s="154"/>
      <c r="AX96" s="150"/>
      <c r="AY96" s="152"/>
      <c r="AZ96" s="154"/>
      <c r="BA96" s="150"/>
      <c r="BB96" s="152"/>
      <c r="BC96" s="154"/>
      <c r="BD96" s="150"/>
      <c r="BE96" s="152"/>
      <c r="BF96" s="154"/>
      <c r="BG96" s="150"/>
      <c r="BH96" s="152"/>
      <c r="BI96" s="154"/>
      <c r="BJ96" s="150"/>
    </row>
    <row r="97" spans="1:62" s="143" customFormat="1" ht="10.7" hidden="1" customHeight="1" x14ac:dyDescent="0.25">
      <c r="A97" s="140"/>
      <c r="B97" s="140"/>
      <c r="C97" s="140"/>
      <c r="D97" s="141"/>
      <c r="E97" s="140"/>
      <c r="F97" s="140"/>
      <c r="G97" s="140"/>
      <c r="H97" s="140"/>
      <c r="I97" s="140"/>
      <c r="J97" s="140"/>
      <c r="K97" s="220">
        <f>H44</f>
        <v>4128</v>
      </c>
      <c r="L97" s="221">
        <f>G44</f>
        <v>4177</v>
      </c>
      <c r="M97" s="281"/>
      <c r="N97" s="140"/>
      <c r="O97" s="140"/>
      <c r="P97" s="140"/>
      <c r="Q97" s="140"/>
      <c r="R97" s="140"/>
      <c r="S97" s="140"/>
      <c r="T97" s="140"/>
      <c r="U97" s="140"/>
      <c r="V97" s="140"/>
      <c r="W97" s="140"/>
      <c r="X97" s="140"/>
      <c r="Y97" s="140"/>
      <c r="Z97" s="140"/>
      <c r="AA97" s="140"/>
      <c r="AB97" s="140"/>
      <c r="AC97" s="140"/>
      <c r="AD97" s="140"/>
      <c r="AE97" s="140"/>
      <c r="AF97" s="140"/>
      <c r="AG97" s="140"/>
      <c r="AH97" s="140"/>
      <c r="AI97" s="140"/>
      <c r="AJ97" s="140"/>
      <c r="AK97" s="140"/>
      <c r="AL97" s="140"/>
      <c r="AM97" s="140"/>
      <c r="AN97" s="140"/>
      <c r="AO97" s="140"/>
      <c r="AP97" s="140"/>
      <c r="AQ97" s="140"/>
      <c r="AR97" s="140"/>
      <c r="AS97" s="140"/>
      <c r="AV97" s="145"/>
      <c r="AW97" s="154"/>
      <c r="AX97" s="150"/>
      <c r="AY97" s="152"/>
      <c r="AZ97" s="154"/>
      <c r="BA97" s="150"/>
      <c r="BB97" s="152"/>
      <c r="BC97" s="154"/>
      <c r="BD97" s="150"/>
      <c r="BE97" s="152"/>
      <c r="BF97" s="154"/>
      <c r="BG97" s="150"/>
      <c r="BH97" s="152"/>
      <c r="BI97" s="154"/>
      <c r="BJ97" s="150"/>
    </row>
    <row r="98" spans="1:62" s="143" customFormat="1" ht="10.7" hidden="1" customHeight="1" x14ac:dyDescent="0.25">
      <c r="A98" s="140"/>
      <c r="B98" s="140"/>
      <c r="C98" s="140"/>
      <c r="D98" s="141"/>
      <c r="E98" s="140"/>
      <c r="F98" s="140"/>
      <c r="G98" s="140"/>
      <c r="H98" s="140"/>
      <c r="I98" s="140"/>
      <c r="J98" s="140"/>
      <c r="K98" s="220">
        <f>G46</f>
        <v>4674</v>
      </c>
      <c r="L98" s="221">
        <f>H46</f>
        <v>4058</v>
      </c>
      <c r="M98" s="281"/>
      <c r="N98" s="140"/>
      <c r="O98" s="140"/>
      <c r="P98" s="140"/>
      <c r="Q98" s="140"/>
      <c r="R98" s="140"/>
      <c r="S98" s="140"/>
      <c r="T98" s="140"/>
      <c r="U98" s="140"/>
      <c r="V98" s="140"/>
      <c r="W98" s="140"/>
      <c r="X98" s="140"/>
      <c r="Y98" s="140"/>
      <c r="Z98" s="140"/>
      <c r="AA98" s="140"/>
      <c r="AB98" s="140"/>
      <c r="AC98" s="140"/>
      <c r="AD98" s="140"/>
      <c r="AE98" s="140"/>
      <c r="AF98" s="140"/>
      <c r="AG98" s="140"/>
      <c r="AH98" s="140"/>
      <c r="AI98" s="140"/>
      <c r="AJ98" s="140"/>
      <c r="AK98" s="140"/>
      <c r="AL98" s="140"/>
      <c r="AM98" s="140"/>
      <c r="AN98" s="140"/>
      <c r="AO98" s="140"/>
      <c r="AP98" s="140"/>
      <c r="AQ98" s="140"/>
      <c r="AR98" s="140"/>
      <c r="AS98" s="140"/>
      <c r="AV98" s="145"/>
      <c r="AW98" s="154"/>
      <c r="AX98" s="150"/>
      <c r="AY98" s="152"/>
      <c r="AZ98" s="154"/>
      <c r="BA98" s="150"/>
      <c r="BB98" s="152"/>
      <c r="BC98" s="154"/>
      <c r="BD98" s="150"/>
      <c r="BE98" s="152"/>
      <c r="BF98" s="154"/>
      <c r="BG98" s="150"/>
      <c r="BH98" s="152"/>
      <c r="BI98" s="154"/>
      <c r="BJ98" s="150"/>
    </row>
    <row r="99" spans="1:62" s="143" customFormat="1" ht="10.7" hidden="1" customHeight="1" x14ac:dyDescent="0.25">
      <c r="A99" s="140"/>
      <c r="B99" s="140"/>
      <c r="C99" s="140"/>
      <c r="D99" s="141"/>
      <c r="E99" s="140"/>
      <c r="F99" s="140"/>
      <c r="G99" s="140"/>
      <c r="H99" s="140"/>
      <c r="I99" s="140"/>
      <c r="J99" s="140"/>
      <c r="K99" s="220">
        <f>H46</f>
        <v>4058</v>
      </c>
      <c r="L99" s="221">
        <f>G46</f>
        <v>4674</v>
      </c>
      <c r="M99" s="281"/>
      <c r="N99" s="140"/>
      <c r="O99" s="140"/>
      <c r="P99" s="140"/>
      <c r="Q99" s="140"/>
      <c r="R99" s="140"/>
      <c r="S99" s="140"/>
      <c r="T99" s="140"/>
      <c r="U99" s="140"/>
      <c r="V99" s="140"/>
      <c r="W99" s="140"/>
      <c r="X99" s="140"/>
      <c r="Y99" s="140"/>
      <c r="Z99" s="140"/>
      <c r="AA99" s="140"/>
      <c r="AB99" s="140"/>
      <c r="AC99" s="140"/>
      <c r="AD99" s="140"/>
      <c r="AE99" s="140"/>
      <c r="AF99" s="140"/>
      <c r="AG99" s="140"/>
      <c r="AH99" s="140"/>
      <c r="AI99" s="140"/>
      <c r="AJ99" s="140"/>
      <c r="AK99" s="140"/>
      <c r="AL99" s="140"/>
      <c r="AM99" s="140"/>
      <c r="AN99" s="140"/>
      <c r="AO99" s="140"/>
      <c r="AP99" s="140"/>
      <c r="AQ99" s="140"/>
      <c r="AR99" s="140"/>
      <c r="AS99" s="140"/>
      <c r="AV99" s="145"/>
      <c r="AW99" s="154"/>
      <c r="AX99" s="150"/>
      <c r="AY99" s="152"/>
      <c r="AZ99" s="154"/>
      <c r="BA99" s="150"/>
      <c r="BB99" s="152"/>
      <c r="BC99" s="154"/>
      <c r="BD99" s="150"/>
      <c r="BE99" s="152"/>
      <c r="BF99" s="154"/>
      <c r="BG99" s="150"/>
      <c r="BH99" s="152"/>
      <c r="BI99" s="154"/>
      <c r="BJ99" s="150"/>
    </row>
    <row r="100" spans="1:62" s="143" customFormat="1" ht="10.7" hidden="1" customHeight="1" x14ac:dyDescent="0.25">
      <c r="A100" s="140"/>
      <c r="B100" s="140"/>
      <c r="C100" s="140"/>
      <c r="D100" s="141" t="s">
        <v>461</v>
      </c>
      <c r="E100" s="140"/>
      <c r="F100" s="140"/>
      <c r="G100" s="213">
        <f>VLOOKUP(G80,$K$92:$L$107,2,FALSE)</f>
        <v>3458</v>
      </c>
      <c r="H100" s="140"/>
      <c r="I100" s="140" t="s">
        <v>28</v>
      </c>
      <c r="J100" s="140" t="s">
        <v>29</v>
      </c>
      <c r="K100" s="220">
        <f>G48</f>
        <v>4297</v>
      </c>
      <c r="L100" s="221">
        <f>H48</f>
        <v>3450</v>
      </c>
      <c r="M100" s="281"/>
      <c r="N100" s="140"/>
      <c r="O100" s="140"/>
      <c r="P100" s="140"/>
      <c r="Q100" s="140"/>
      <c r="R100" s="140"/>
      <c r="S100" s="140"/>
      <c r="T100" s="140"/>
      <c r="U100" s="140"/>
      <c r="V100" s="140"/>
      <c r="W100" s="140"/>
      <c r="X100" s="140"/>
      <c r="Y100" s="140"/>
      <c r="Z100" s="140"/>
      <c r="AA100" s="140"/>
      <c r="AB100" s="140"/>
      <c r="AC100" s="140"/>
      <c r="AD100" s="140"/>
      <c r="AE100" s="140"/>
      <c r="AF100" s="140"/>
      <c r="AG100" s="140"/>
      <c r="AH100" s="140"/>
      <c r="AI100" s="140"/>
      <c r="AJ100" s="140"/>
      <c r="AK100" s="140"/>
      <c r="AL100" s="140"/>
      <c r="AM100" s="140"/>
      <c r="AN100" s="140"/>
      <c r="AO100" s="140"/>
      <c r="AP100" s="140"/>
      <c r="AQ100" s="140"/>
      <c r="AR100" s="140"/>
      <c r="AS100" s="140"/>
      <c r="AV100" s="145"/>
      <c r="AW100" s="154"/>
      <c r="AX100" s="150"/>
      <c r="AY100" s="152"/>
      <c r="AZ100" s="154"/>
      <c r="BA100" s="150"/>
      <c r="BB100" s="152"/>
      <c r="BC100" s="154"/>
      <c r="BD100" s="150"/>
      <c r="BE100" s="152"/>
      <c r="BF100" s="154"/>
      <c r="BG100" s="150"/>
      <c r="BH100" s="152"/>
      <c r="BI100" s="154"/>
      <c r="BJ100" s="150"/>
    </row>
    <row r="101" spans="1:62" s="143" customFormat="1" ht="10.7" hidden="1" customHeight="1" x14ac:dyDescent="0.25">
      <c r="A101" s="140"/>
      <c r="B101" s="140"/>
      <c r="C101" s="140"/>
      <c r="D101" s="141" t="s">
        <v>462</v>
      </c>
      <c r="E101" s="140"/>
      <c r="F101" s="140"/>
      <c r="G101" s="213">
        <f t="shared" ref="G101:G103" si="1044">VLOOKUP(G81,$K$92:$L$107,2,FALSE)</f>
        <v>4511</v>
      </c>
      <c r="H101" s="140"/>
      <c r="I101" s="140" t="s">
        <v>22</v>
      </c>
      <c r="J101" s="140" t="s">
        <v>12</v>
      </c>
      <c r="K101" s="220">
        <f>H48</f>
        <v>3450</v>
      </c>
      <c r="L101" s="221">
        <f>G48</f>
        <v>4297</v>
      </c>
      <c r="M101" s="281"/>
      <c r="N101" s="140"/>
      <c r="O101" s="140"/>
      <c r="P101" s="140"/>
      <c r="Q101" s="140"/>
      <c r="R101" s="140"/>
      <c r="S101" s="140"/>
      <c r="T101" s="140"/>
      <c r="U101" s="140"/>
      <c r="V101" s="140"/>
      <c r="W101" s="140"/>
      <c r="X101" s="140"/>
      <c r="Y101" s="140"/>
      <c r="Z101" s="140"/>
      <c r="AA101" s="140"/>
      <c r="AB101" s="140"/>
      <c r="AC101" s="140"/>
      <c r="AD101" s="140"/>
      <c r="AE101" s="140"/>
      <c r="AF101" s="140"/>
      <c r="AG101" s="140"/>
      <c r="AH101" s="140"/>
      <c r="AI101" s="140"/>
      <c r="AJ101" s="140"/>
      <c r="AK101" s="140"/>
      <c r="AL101" s="140"/>
      <c r="AM101" s="140"/>
      <c r="AN101" s="140"/>
      <c r="AO101" s="140"/>
      <c r="AP101" s="140"/>
      <c r="AQ101" s="140"/>
      <c r="AR101" s="140"/>
      <c r="AS101" s="140"/>
      <c r="AV101" s="145"/>
      <c r="AW101" s="154"/>
      <c r="AX101" s="150"/>
      <c r="AY101" s="152"/>
      <c r="AZ101" s="154"/>
      <c r="BA101" s="150"/>
      <c r="BB101" s="152"/>
      <c r="BC101" s="154"/>
      <c r="BD101" s="150"/>
      <c r="BE101" s="152"/>
      <c r="BF101" s="154"/>
      <c r="BG101" s="150"/>
      <c r="BH101" s="152"/>
      <c r="BI101" s="154"/>
      <c r="BJ101" s="150"/>
    </row>
    <row r="102" spans="1:62" s="143" customFormat="1" ht="10.7" hidden="1" customHeight="1" x14ac:dyDescent="0.25">
      <c r="A102" s="140"/>
      <c r="B102" s="140"/>
      <c r="C102" s="140"/>
      <c r="D102" s="141" t="s">
        <v>463</v>
      </c>
      <c r="E102" s="140"/>
      <c r="F102" s="140"/>
      <c r="G102" s="213">
        <f t="shared" si="1044"/>
        <v>4458</v>
      </c>
      <c r="H102" s="140"/>
      <c r="I102" s="140" t="s">
        <v>21</v>
      </c>
      <c r="J102" s="140" t="s">
        <v>14</v>
      </c>
      <c r="K102" s="220">
        <f>G50</f>
        <v>3504</v>
      </c>
      <c r="L102" s="221">
        <f>H50</f>
        <v>3458</v>
      </c>
      <c r="M102" s="281"/>
      <c r="N102" s="140"/>
      <c r="O102" s="140"/>
      <c r="P102" s="140"/>
      <c r="Q102" s="140"/>
      <c r="R102" s="140"/>
      <c r="S102" s="140"/>
      <c r="T102" s="140"/>
      <c r="U102" s="140"/>
      <c r="V102" s="140"/>
      <c r="W102" s="140"/>
      <c r="X102" s="140"/>
      <c r="Y102" s="140"/>
      <c r="Z102" s="140"/>
      <c r="AA102" s="140"/>
      <c r="AB102" s="140"/>
      <c r="AC102" s="140"/>
      <c r="AD102" s="140"/>
      <c r="AE102" s="140"/>
      <c r="AF102" s="140"/>
      <c r="AG102" s="140"/>
      <c r="AH102" s="140"/>
      <c r="AI102" s="140"/>
      <c r="AJ102" s="140"/>
      <c r="AK102" s="140"/>
      <c r="AL102" s="140"/>
      <c r="AM102" s="140"/>
      <c r="AN102" s="140"/>
      <c r="AO102" s="140"/>
      <c r="AP102" s="140"/>
      <c r="AQ102" s="140"/>
      <c r="AR102" s="140"/>
      <c r="AS102" s="140"/>
      <c r="AV102" s="145"/>
      <c r="AW102" s="154"/>
      <c r="AX102" s="150"/>
      <c r="AY102" s="152"/>
      <c r="AZ102" s="154"/>
      <c r="BA102" s="150"/>
      <c r="BB102" s="152"/>
      <c r="BC102" s="154"/>
      <c r="BD102" s="150"/>
      <c r="BE102" s="152"/>
      <c r="BF102" s="154"/>
      <c r="BG102" s="150"/>
      <c r="BH102" s="152"/>
      <c r="BI102" s="154"/>
      <c r="BJ102" s="150"/>
    </row>
    <row r="103" spans="1:62" s="143" customFormat="1" ht="10.7" hidden="1" customHeight="1" x14ac:dyDescent="0.25">
      <c r="A103" s="140"/>
      <c r="B103" s="140"/>
      <c r="C103" s="140"/>
      <c r="D103" s="141" t="s">
        <v>464</v>
      </c>
      <c r="E103" s="140"/>
      <c r="F103" s="140"/>
      <c r="G103" s="213">
        <f t="shared" si="1044"/>
        <v>4674</v>
      </c>
      <c r="H103" s="140"/>
      <c r="I103" s="140" t="s">
        <v>34</v>
      </c>
      <c r="J103" s="140" t="s">
        <v>8</v>
      </c>
      <c r="K103" s="220">
        <f>H50</f>
        <v>3458</v>
      </c>
      <c r="L103" s="221">
        <f>G50</f>
        <v>3504</v>
      </c>
      <c r="M103" s="281"/>
      <c r="N103" s="140"/>
      <c r="O103" s="140"/>
      <c r="P103" s="140"/>
      <c r="Q103" s="140"/>
      <c r="R103" s="140"/>
      <c r="S103" s="140"/>
      <c r="T103" s="140"/>
      <c r="U103" s="140"/>
      <c r="V103" s="140"/>
      <c r="W103" s="140"/>
      <c r="X103" s="140"/>
      <c r="Y103" s="140"/>
      <c r="Z103" s="140"/>
      <c r="AA103" s="140"/>
      <c r="AB103" s="140"/>
      <c r="AC103" s="140"/>
      <c r="AD103" s="140"/>
      <c r="AE103" s="140"/>
      <c r="AF103" s="140"/>
      <c r="AG103" s="140"/>
      <c r="AH103" s="140"/>
      <c r="AI103" s="140"/>
      <c r="AJ103" s="140"/>
      <c r="AK103" s="140"/>
      <c r="AL103" s="140"/>
      <c r="AM103" s="140"/>
      <c r="AN103" s="140"/>
      <c r="AO103" s="140"/>
      <c r="AP103" s="140"/>
      <c r="AQ103" s="140"/>
      <c r="AR103" s="140"/>
      <c r="AS103" s="140"/>
      <c r="AV103" s="145"/>
      <c r="AW103" s="154"/>
      <c r="AX103" s="150"/>
      <c r="AY103" s="152"/>
      <c r="AZ103" s="154"/>
      <c r="BA103" s="150"/>
      <c r="BB103" s="152"/>
      <c r="BC103" s="154"/>
      <c r="BD103" s="150"/>
      <c r="BE103" s="152"/>
      <c r="BF103" s="154"/>
      <c r="BG103" s="150"/>
      <c r="BH103" s="152"/>
      <c r="BI103" s="154"/>
      <c r="BJ103" s="150"/>
    </row>
    <row r="104" spans="1:62" s="143" customFormat="1" ht="10.7" hidden="1" customHeight="1" x14ac:dyDescent="0.25">
      <c r="A104" s="140"/>
      <c r="B104" s="140"/>
      <c r="C104" s="140"/>
      <c r="D104" s="141" t="s">
        <v>465</v>
      </c>
      <c r="E104" s="140"/>
      <c r="F104" s="140"/>
      <c r="G104" s="213">
        <f>VLOOKUP(G88,$K$92:$L$107,2,FALSE)</f>
        <v>4297</v>
      </c>
      <c r="H104" s="140"/>
      <c r="I104" s="140" t="s">
        <v>13</v>
      </c>
      <c r="J104" s="140" t="s">
        <v>14</v>
      </c>
      <c r="K104" s="220">
        <f>G52</f>
        <v>4458</v>
      </c>
      <c r="L104" s="221">
        <f>H52</f>
        <v>3787</v>
      </c>
      <c r="M104" s="281"/>
      <c r="N104" s="140"/>
      <c r="O104" s="140"/>
      <c r="P104" s="140"/>
      <c r="Q104" s="140"/>
      <c r="R104" s="140"/>
      <c r="S104" s="140"/>
      <c r="T104" s="140"/>
      <c r="U104" s="140"/>
      <c r="V104" s="140"/>
      <c r="W104" s="140"/>
      <c r="X104" s="140"/>
      <c r="Y104" s="140"/>
      <c r="Z104" s="140"/>
      <c r="AA104" s="140"/>
      <c r="AB104" s="140"/>
      <c r="AC104" s="140"/>
      <c r="AD104" s="140"/>
      <c r="AE104" s="140"/>
      <c r="AF104" s="140"/>
      <c r="AG104" s="140"/>
      <c r="AH104" s="140"/>
      <c r="AI104" s="140"/>
      <c r="AJ104" s="140"/>
      <c r="AK104" s="140"/>
      <c r="AL104" s="140"/>
      <c r="AM104" s="140"/>
      <c r="AN104" s="140"/>
      <c r="AO104" s="140"/>
      <c r="AP104" s="140"/>
      <c r="AQ104" s="140"/>
      <c r="AR104" s="140"/>
      <c r="AS104" s="140"/>
      <c r="AV104" s="145"/>
      <c r="AW104" s="154"/>
      <c r="AX104" s="150"/>
      <c r="AY104" s="152"/>
      <c r="AZ104" s="154"/>
      <c r="BA104" s="150"/>
      <c r="BB104" s="152"/>
      <c r="BC104" s="154"/>
      <c r="BD104" s="150"/>
      <c r="BE104" s="152"/>
      <c r="BF104" s="154"/>
      <c r="BG104" s="150"/>
      <c r="BH104" s="152"/>
      <c r="BI104" s="154"/>
      <c r="BJ104" s="150"/>
    </row>
    <row r="105" spans="1:62" s="143" customFormat="1" ht="10.7" hidden="1" customHeight="1" x14ac:dyDescent="0.25">
      <c r="A105" s="140"/>
      <c r="B105" s="140"/>
      <c r="C105" s="140"/>
      <c r="D105" s="141" t="s">
        <v>466</v>
      </c>
      <c r="E105" s="140"/>
      <c r="F105" s="140"/>
      <c r="G105" s="213">
        <f t="shared" ref="G105:G107" si="1045">VLOOKUP(G89,$K$92:$L$107,2,FALSE)</f>
        <v>4002</v>
      </c>
      <c r="H105" s="140"/>
      <c r="I105" s="140" t="s">
        <v>11</v>
      </c>
      <c r="J105" s="140" t="s">
        <v>12</v>
      </c>
      <c r="K105" s="220">
        <f>H52</f>
        <v>3787</v>
      </c>
      <c r="L105" s="221">
        <f>G52</f>
        <v>4458</v>
      </c>
      <c r="M105" s="281"/>
      <c r="N105" s="140"/>
      <c r="O105" s="140"/>
      <c r="P105" s="140"/>
      <c r="Q105" s="140"/>
      <c r="R105" s="140"/>
      <c r="S105" s="140"/>
      <c r="T105" s="140"/>
      <c r="U105" s="140"/>
      <c r="V105" s="140"/>
      <c r="W105" s="140"/>
      <c r="X105" s="140"/>
      <c r="Y105" s="140"/>
      <c r="Z105" s="140"/>
      <c r="AA105" s="140"/>
      <c r="AB105" s="140"/>
      <c r="AC105" s="140"/>
      <c r="AD105" s="140"/>
      <c r="AE105" s="140"/>
      <c r="AF105" s="140"/>
      <c r="AG105" s="140"/>
      <c r="AH105" s="140"/>
      <c r="AI105" s="140"/>
      <c r="AJ105" s="140"/>
      <c r="AK105" s="140"/>
      <c r="AL105" s="140"/>
      <c r="AM105" s="140"/>
      <c r="AN105" s="140"/>
      <c r="AO105" s="140"/>
      <c r="AP105" s="140"/>
      <c r="AQ105" s="140"/>
      <c r="AR105" s="140"/>
      <c r="AS105" s="140"/>
      <c r="AV105" s="145"/>
      <c r="AW105" s="154"/>
      <c r="AX105" s="150"/>
      <c r="AY105" s="152"/>
      <c r="AZ105" s="154"/>
      <c r="BA105" s="150"/>
      <c r="BB105" s="152"/>
      <c r="BC105" s="154"/>
      <c r="BD105" s="150"/>
      <c r="BE105" s="152"/>
      <c r="BF105" s="154"/>
      <c r="BG105" s="150"/>
      <c r="BH105" s="152"/>
      <c r="BI105" s="154"/>
      <c r="BJ105" s="150"/>
    </row>
    <row r="106" spans="1:62" s="143" customFormat="1" ht="10.7" hidden="1" customHeight="1" x14ac:dyDescent="0.25">
      <c r="A106" s="140"/>
      <c r="B106" s="140"/>
      <c r="C106" s="140"/>
      <c r="D106" s="141" t="s">
        <v>467</v>
      </c>
      <c r="E106" s="140"/>
      <c r="F106" s="140"/>
      <c r="G106" s="213">
        <f t="shared" si="1045"/>
        <v>3933</v>
      </c>
      <c r="H106" s="140"/>
      <c r="I106" s="140" t="s">
        <v>16</v>
      </c>
      <c r="J106" s="140" t="s">
        <v>17</v>
      </c>
      <c r="K106" s="220">
        <f>G54</f>
        <v>3933</v>
      </c>
      <c r="L106" s="221">
        <f>H54</f>
        <v>3836</v>
      </c>
      <c r="M106" s="281"/>
      <c r="N106" s="140"/>
      <c r="O106" s="140"/>
      <c r="P106" s="140"/>
      <c r="Q106" s="140"/>
      <c r="R106" s="140"/>
      <c r="S106" s="140"/>
      <c r="T106" s="140"/>
      <c r="U106" s="140"/>
      <c r="V106" s="140"/>
      <c r="W106" s="140"/>
      <c r="X106" s="140"/>
      <c r="Y106" s="140"/>
      <c r="Z106" s="140"/>
      <c r="AA106" s="140"/>
      <c r="AB106" s="140"/>
      <c r="AC106" s="140"/>
      <c r="AD106" s="140"/>
      <c r="AE106" s="140"/>
      <c r="AF106" s="140"/>
      <c r="AG106" s="140"/>
      <c r="AH106" s="140"/>
      <c r="AI106" s="140"/>
      <c r="AJ106" s="140"/>
      <c r="AK106" s="140"/>
      <c r="AL106" s="140"/>
      <c r="AM106" s="140"/>
      <c r="AN106" s="140"/>
      <c r="AO106" s="140"/>
      <c r="AP106" s="140"/>
      <c r="AQ106" s="140"/>
      <c r="AR106" s="140"/>
      <c r="AS106" s="140"/>
      <c r="AV106" s="145"/>
      <c r="AW106" s="154"/>
      <c r="AX106" s="150"/>
      <c r="AY106" s="152"/>
      <c r="AZ106" s="154"/>
      <c r="BA106" s="150"/>
      <c r="BB106" s="152"/>
      <c r="BC106" s="154"/>
      <c r="BD106" s="150"/>
      <c r="BE106" s="152"/>
      <c r="BF106" s="154"/>
      <c r="BG106" s="150"/>
      <c r="BH106" s="152"/>
      <c r="BI106" s="154"/>
      <c r="BJ106" s="150"/>
    </row>
    <row r="107" spans="1:62" s="143" customFormat="1" ht="10.7" hidden="1" customHeight="1" x14ac:dyDescent="0.25">
      <c r="A107" s="140"/>
      <c r="B107" s="140"/>
      <c r="C107" s="140"/>
      <c r="D107" s="141" t="s">
        <v>468</v>
      </c>
      <c r="E107" s="140"/>
      <c r="F107" s="140"/>
      <c r="G107" s="213">
        <f t="shared" si="1045"/>
        <v>4177</v>
      </c>
      <c r="H107" s="140"/>
      <c r="I107" s="140" t="s">
        <v>15</v>
      </c>
      <c r="J107" s="140" t="s">
        <v>14</v>
      </c>
      <c r="K107" s="222">
        <f>H54</f>
        <v>3836</v>
      </c>
      <c r="L107" s="223">
        <f>G54</f>
        <v>3933</v>
      </c>
      <c r="M107" s="282"/>
      <c r="N107" s="140"/>
      <c r="O107" s="140"/>
      <c r="P107" s="140"/>
      <c r="Q107" s="140"/>
      <c r="R107" s="140"/>
      <c r="S107" s="140"/>
      <c r="T107" s="140"/>
      <c r="U107" s="140"/>
      <c r="V107" s="140"/>
      <c r="W107" s="140"/>
      <c r="X107" s="140"/>
      <c r="Y107" s="140"/>
      <c r="Z107" s="140"/>
      <c r="AA107" s="140"/>
      <c r="AB107" s="140"/>
      <c r="AC107" s="140"/>
      <c r="AD107" s="140"/>
      <c r="AE107" s="140"/>
      <c r="AF107" s="140"/>
      <c r="AG107" s="140"/>
      <c r="AH107" s="140"/>
      <c r="AI107" s="140"/>
      <c r="AJ107" s="140"/>
      <c r="AK107" s="140"/>
      <c r="AL107" s="140"/>
      <c r="AM107" s="140"/>
      <c r="AN107" s="140"/>
      <c r="AO107" s="140"/>
      <c r="AP107" s="140"/>
      <c r="AQ107" s="140"/>
      <c r="AR107" s="140"/>
      <c r="AS107" s="140"/>
      <c r="AV107" s="145"/>
      <c r="AW107" s="154"/>
      <c r="AX107" s="150"/>
      <c r="AY107" s="152"/>
      <c r="AZ107" s="154"/>
      <c r="BA107" s="150"/>
      <c r="BB107" s="152"/>
      <c r="BC107" s="154"/>
      <c r="BD107" s="150"/>
      <c r="BE107" s="152"/>
      <c r="BF107" s="154"/>
      <c r="BG107" s="150"/>
      <c r="BH107" s="152"/>
      <c r="BI107" s="154"/>
      <c r="BJ107" s="150"/>
    </row>
    <row r="108" spans="1:62" s="143" customFormat="1" ht="10.7" hidden="1" customHeight="1" x14ac:dyDescent="0.25">
      <c r="A108" s="140"/>
      <c r="B108" s="140"/>
      <c r="C108" s="140"/>
      <c r="D108" s="141"/>
      <c r="E108" s="140"/>
      <c r="F108" s="140"/>
      <c r="G108" s="140"/>
      <c r="H108" s="140"/>
      <c r="I108" s="140"/>
      <c r="J108" s="140"/>
      <c r="K108" s="218">
        <f>G8</f>
        <v>4002</v>
      </c>
      <c r="L108" s="219">
        <f>H8</f>
        <v>4702</v>
      </c>
      <c r="M108" s="283" t="s">
        <v>469</v>
      </c>
      <c r="N108" s="140"/>
      <c r="O108" s="140"/>
      <c r="P108" s="140"/>
      <c r="Q108" s="140"/>
      <c r="R108" s="140"/>
      <c r="S108" s="140"/>
      <c r="T108" s="140"/>
      <c r="U108" s="140"/>
      <c r="V108" s="140"/>
      <c r="W108" s="140"/>
      <c r="X108" s="140"/>
      <c r="Y108" s="140"/>
      <c r="Z108" s="140"/>
      <c r="AA108" s="140"/>
      <c r="AB108" s="140"/>
      <c r="AC108" s="140"/>
      <c r="AD108" s="140"/>
      <c r="AE108" s="140"/>
      <c r="AF108" s="140"/>
      <c r="AG108" s="140"/>
      <c r="AH108" s="140"/>
      <c r="AI108" s="140"/>
      <c r="AJ108" s="140"/>
      <c r="AK108" s="140"/>
      <c r="AL108" s="140"/>
      <c r="AM108" s="140"/>
      <c r="AN108" s="140"/>
      <c r="AO108" s="140"/>
      <c r="AP108" s="140"/>
      <c r="AQ108" s="140"/>
      <c r="AR108" s="140"/>
      <c r="AS108" s="140"/>
      <c r="AV108" s="145"/>
      <c r="AW108" s="154"/>
      <c r="AX108" s="150"/>
      <c r="AY108" s="152"/>
      <c r="AZ108" s="154"/>
      <c r="BA108" s="150"/>
      <c r="BB108" s="152"/>
      <c r="BC108" s="154"/>
      <c r="BD108" s="150"/>
      <c r="BE108" s="152"/>
      <c r="BF108" s="154"/>
      <c r="BG108" s="150"/>
      <c r="BH108" s="152"/>
      <c r="BI108" s="154"/>
      <c r="BJ108" s="150"/>
    </row>
    <row r="109" spans="1:62" s="143" customFormat="1" ht="10.7" hidden="1" customHeight="1" x14ac:dyDescent="0.25">
      <c r="A109" s="140"/>
      <c r="B109" s="140"/>
      <c r="C109" s="140"/>
      <c r="D109" s="141"/>
      <c r="E109" s="140"/>
      <c r="F109" s="140"/>
      <c r="G109" s="140"/>
      <c r="H109" s="140"/>
      <c r="I109" s="140"/>
      <c r="J109" s="140"/>
      <c r="K109" s="220">
        <f>H8</f>
        <v>4702</v>
      </c>
      <c r="L109" s="221">
        <f>G8</f>
        <v>4002</v>
      </c>
      <c r="M109" s="281"/>
      <c r="N109" s="140"/>
      <c r="O109" s="140"/>
      <c r="P109" s="140"/>
      <c r="Q109" s="140"/>
      <c r="R109" s="140"/>
      <c r="S109" s="140"/>
      <c r="T109" s="140"/>
      <c r="U109" s="140"/>
      <c r="V109" s="140"/>
      <c r="W109" s="140"/>
      <c r="X109" s="140"/>
      <c r="Y109" s="140"/>
      <c r="Z109" s="140"/>
      <c r="AA109" s="140"/>
      <c r="AB109" s="140"/>
      <c r="AC109" s="140"/>
      <c r="AD109" s="140"/>
      <c r="AE109" s="140"/>
      <c r="AF109" s="140"/>
      <c r="AG109" s="140"/>
      <c r="AH109" s="140"/>
      <c r="AI109" s="140"/>
      <c r="AJ109" s="140"/>
      <c r="AK109" s="140"/>
      <c r="AL109" s="140"/>
      <c r="AM109" s="140"/>
      <c r="AN109" s="140"/>
      <c r="AO109" s="140"/>
      <c r="AP109" s="140"/>
      <c r="AQ109" s="140"/>
      <c r="AR109" s="140"/>
      <c r="AS109" s="140"/>
      <c r="AV109" s="145"/>
      <c r="AW109" s="154"/>
      <c r="AX109" s="150"/>
      <c r="AY109" s="152"/>
      <c r="AZ109" s="154"/>
      <c r="BA109" s="150"/>
      <c r="BB109" s="152"/>
      <c r="BC109" s="154"/>
      <c r="BD109" s="150"/>
      <c r="BE109" s="152"/>
      <c r="BF109" s="154"/>
      <c r="BG109" s="150"/>
      <c r="BH109" s="152"/>
      <c r="BI109" s="154"/>
      <c r="BJ109" s="150"/>
    </row>
    <row r="110" spans="1:62" s="143" customFormat="1" ht="10.7" hidden="1" customHeight="1" x14ac:dyDescent="0.25">
      <c r="A110" s="140"/>
      <c r="B110" s="140"/>
      <c r="C110" s="140"/>
      <c r="D110" s="141"/>
      <c r="E110" s="140"/>
      <c r="F110" s="140"/>
      <c r="G110" s="140"/>
      <c r="H110" s="140"/>
      <c r="I110" s="140"/>
      <c r="J110" s="140"/>
      <c r="K110" s="220">
        <f>G10</f>
        <v>4227</v>
      </c>
      <c r="L110" s="221">
        <f>H10</f>
        <v>4025</v>
      </c>
      <c r="M110" s="281"/>
      <c r="N110" s="140"/>
      <c r="O110" s="140"/>
      <c r="P110" s="140"/>
      <c r="Q110" s="140"/>
      <c r="R110" s="140"/>
      <c r="S110" s="140"/>
      <c r="T110" s="140"/>
      <c r="U110" s="140"/>
      <c r="V110" s="140"/>
      <c r="W110" s="140"/>
      <c r="X110" s="140"/>
      <c r="Y110" s="140"/>
      <c r="Z110" s="140"/>
      <c r="AA110" s="140"/>
      <c r="AB110" s="140"/>
      <c r="AC110" s="140"/>
      <c r="AD110" s="140"/>
      <c r="AE110" s="140"/>
      <c r="AF110" s="140"/>
      <c r="AG110" s="140"/>
      <c r="AH110" s="140"/>
      <c r="AI110" s="140"/>
      <c r="AJ110" s="140"/>
      <c r="AK110" s="140"/>
      <c r="AL110" s="140"/>
      <c r="AM110" s="140"/>
      <c r="AN110" s="140"/>
      <c r="AO110" s="140"/>
      <c r="AP110" s="140"/>
      <c r="AQ110" s="140"/>
      <c r="AR110" s="140"/>
      <c r="AS110" s="140"/>
      <c r="AV110" s="145"/>
      <c r="AW110" s="154"/>
      <c r="AX110" s="150"/>
      <c r="AY110" s="152"/>
      <c r="AZ110" s="154"/>
      <c r="BA110" s="150"/>
      <c r="BB110" s="152"/>
      <c r="BC110" s="154"/>
      <c r="BD110" s="150"/>
      <c r="BE110" s="152"/>
      <c r="BF110" s="154"/>
      <c r="BG110" s="150"/>
      <c r="BH110" s="152"/>
      <c r="BI110" s="154"/>
      <c r="BJ110" s="150"/>
    </row>
    <row r="111" spans="1:62" s="143" customFormat="1" ht="10.7" hidden="1" customHeight="1" x14ac:dyDescent="0.25">
      <c r="A111" s="140"/>
      <c r="B111" s="140"/>
      <c r="C111" s="140"/>
      <c r="D111" s="141"/>
      <c r="E111" s="140"/>
      <c r="F111" s="140"/>
      <c r="G111" s="140"/>
      <c r="H111" s="140"/>
      <c r="I111" s="140"/>
      <c r="J111" s="140"/>
      <c r="K111" s="220">
        <f>H10</f>
        <v>4025</v>
      </c>
      <c r="L111" s="221">
        <f>G10</f>
        <v>4227</v>
      </c>
      <c r="M111" s="281"/>
      <c r="N111" s="140"/>
      <c r="O111" s="140"/>
      <c r="P111" s="140"/>
      <c r="Q111" s="140"/>
      <c r="R111" s="140"/>
      <c r="S111" s="140"/>
      <c r="T111" s="140"/>
      <c r="U111" s="140"/>
      <c r="V111" s="140"/>
      <c r="W111" s="140"/>
      <c r="X111" s="140"/>
      <c r="Y111" s="140"/>
      <c r="Z111" s="140"/>
      <c r="AA111" s="140"/>
      <c r="AB111" s="140"/>
      <c r="AC111" s="140"/>
      <c r="AD111" s="140"/>
      <c r="AE111" s="140"/>
      <c r="AF111" s="140"/>
      <c r="AG111" s="140"/>
      <c r="AH111" s="140"/>
      <c r="AI111" s="140"/>
      <c r="AJ111" s="140"/>
      <c r="AK111" s="140"/>
      <c r="AL111" s="140"/>
      <c r="AM111" s="140"/>
      <c r="AN111" s="140"/>
      <c r="AO111" s="140"/>
      <c r="AP111" s="140"/>
      <c r="AQ111" s="140"/>
      <c r="AR111" s="140"/>
      <c r="AS111" s="140"/>
      <c r="AV111" s="145"/>
      <c r="AW111" s="154"/>
      <c r="AX111" s="150"/>
      <c r="AY111" s="152"/>
      <c r="AZ111" s="154"/>
      <c r="BA111" s="150"/>
      <c r="BB111" s="152"/>
      <c r="BC111" s="154"/>
      <c r="BD111" s="150"/>
      <c r="BE111" s="152"/>
      <c r="BF111" s="154"/>
      <c r="BG111" s="150"/>
      <c r="BH111" s="152"/>
      <c r="BI111" s="154"/>
      <c r="BJ111" s="150"/>
    </row>
    <row r="112" spans="1:62" s="143" customFormat="1" ht="10.7" hidden="1" customHeight="1" x14ac:dyDescent="0.25">
      <c r="A112" s="140"/>
      <c r="B112" s="140"/>
      <c r="C112" s="140"/>
      <c r="D112" s="141"/>
      <c r="E112" s="140"/>
      <c r="F112" s="140"/>
      <c r="G112" s="140"/>
      <c r="H112" s="140"/>
      <c r="I112" s="140"/>
      <c r="J112" s="140"/>
      <c r="K112" s="220">
        <f>G12</f>
        <v>4287</v>
      </c>
      <c r="L112" s="221">
        <f>H12</f>
        <v>4511</v>
      </c>
      <c r="M112" s="281"/>
      <c r="N112" s="140"/>
      <c r="O112" s="140"/>
      <c r="P112" s="140"/>
      <c r="Q112" s="140"/>
      <c r="R112" s="140"/>
      <c r="S112" s="140"/>
      <c r="T112" s="140"/>
      <c r="U112" s="140"/>
      <c r="V112" s="140"/>
      <c r="W112" s="140"/>
      <c r="X112" s="140"/>
      <c r="Y112" s="140"/>
      <c r="Z112" s="140"/>
      <c r="AA112" s="140"/>
      <c r="AB112" s="140"/>
      <c r="AC112" s="140"/>
      <c r="AD112" s="140"/>
      <c r="AE112" s="140"/>
      <c r="AF112" s="140"/>
      <c r="AG112" s="140"/>
      <c r="AH112" s="140"/>
      <c r="AI112" s="140"/>
      <c r="AJ112" s="140"/>
      <c r="AK112" s="140"/>
      <c r="AL112" s="140"/>
      <c r="AM112" s="140"/>
      <c r="AN112" s="140"/>
      <c r="AO112" s="140"/>
      <c r="AP112" s="140"/>
      <c r="AQ112" s="140"/>
      <c r="AR112" s="140"/>
      <c r="AS112" s="140"/>
      <c r="AV112" s="145"/>
      <c r="AW112" s="154"/>
      <c r="AX112" s="150"/>
      <c r="AY112" s="152"/>
      <c r="AZ112" s="154"/>
      <c r="BA112" s="150"/>
      <c r="BB112" s="152"/>
      <c r="BC112" s="154"/>
      <c r="BD112" s="150"/>
      <c r="BE112" s="152"/>
      <c r="BF112" s="154"/>
      <c r="BG112" s="150"/>
      <c r="BH112" s="152"/>
      <c r="BI112" s="154"/>
      <c r="BJ112" s="150"/>
    </row>
    <row r="113" spans="1:62" s="143" customFormat="1" ht="10.7" hidden="1" customHeight="1" x14ac:dyDescent="0.25">
      <c r="A113" s="140"/>
      <c r="B113" s="140"/>
      <c r="C113" s="140"/>
      <c r="D113" s="141"/>
      <c r="E113" s="140"/>
      <c r="F113" s="140"/>
      <c r="G113" s="140"/>
      <c r="H113" s="140"/>
      <c r="I113" s="140"/>
      <c r="J113" s="140"/>
      <c r="K113" s="220">
        <f>H12</f>
        <v>4511</v>
      </c>
      <c r="L113" s="221">
        <f>G12</f>
        <v>4287</v>
      </c>
      <c r="M113" s="281"/>
      <c r="N113" s="140"/>
      <c r="O113" s="140"/>
      <c r="P113" s="140"/>
      <c r="Q113" s="140"/>
      <c r="R113" s="140"/>
      <c r="S113" s="140"/>
      <c r="T113" s="140"/>
      <c r="U113" s="140"/>
      <c r="V113" s="140"/>
      <c r="W113" s="140"/>
      <c r="X113" s="140"/>
      <c r="Y113" s="140"/>
      <c r="Z113" s="140"/>
      <c r="AA113" s="140"/>
      <c r="AB113" s="140"/>
      <c r="AC113" s="140"/>
      <c r="AD113" s="140"/>
      <c r="AE113" s="140"/>
      <c r="AF113" s="140"/>
      <c r="AG113" s="140"/>
      <c r="AH113" s="140"/>
      <c r="AI113" s="140"/>
      <c r="AJ113" s="140"/>
      <c r="AK113" s="140"/>
      <c r="AL113" s="140"/>
      <c r="AM113" s="140"/>
      <c r="AN113" s="140"/>
      <c r="AO113" s="140"/>
      <c r="AP113" s="140"/>
      <c r="AQ113" s="140"/>
      <c r="AR113" s="140"/>
      <c r="AS113" s="140"/>
      <c r="AV113" s="145"/>
      <c r="AW113" s="154"/>
      <c r="AX113" s="150"/>
      <c r="AY113" s="152"/>
      <c r="AZ113" s="154"/>
      <c r="BA113" s="150"/>
      <c r="BB113" s="152"/>
      <c r="BC113" s="154"/>
      <c r="BD113" s="150"/>
      <c r="BE113" s="152"/>
      <c r="BF113" s="154"/>
      <c r="BG113" s="150"/>
      <c r="BH113" s="152"/>
      <c r="BI113" s="154"/>
      <c r="BJ113" s="150"/>
    </row>
    <row r="114" spans="1:62" s="143" customFormat="1" ht="10.7" hidden="1" customHeight="1" x14ac:dyDescent="0.25">
      <c r="A114" s="140"/>
      <c r="B114" s="140"/>
      <c r="C114" s="140"/>
      <c r="D114" s="141"/>
      <c r="E114" s="140"/>
      <c r="F114" s="140"/>
      <c r="G114" s="140"/>
      <c r="H114" s="140"/>
      <c r="I114" s="140"/>
      <c r="J114" s="140"/>
      <c r="K114" s="220">
        <f>G14</f>
        <v>4293</v>
      </c>
      <c r="L114" s="221">
        <f>H14</f>
        <v>3671</v>
      </c>
      <c r="M114" s="281"/>
      <c r="N114" s="140"/>
      <c r="O114" s="140"/>
      <c r="P114" s="140"/>
      <c r="Q114" s="140"/>
      <c r="R114" s="140"/>
      <c r="S114" s="140"/>
      <c r="T114" s="140"/>
      <c r="U114" s="140"/>
      <c r="V114" s="140"/>
      <c r="W114" s="140"/>
      <c r="X114" s="140"/>
      <c r="Y114" s="140"/>
      <c r="Z114" s="140"/>
      <c r="AA114" s="140"/>
      <c r="AB114" s="140"/>
      <c r="AC114" s="140"/>
      <c r="AD114" s="140"/>
      <c r="AE114" s="140"/>
      <c r="AF114" s="140"/>
      <c r="AG114" s="140"/>
      <c r="AH114" s="140"/>
      <c r="AI114" s="140"/>
      <c r="AJ114" s="140"/>
      <c r="AK114" s="140"/>
      <c r="AL114" s="140"/>
      <c r="AM114" s="140"/>
      <c r="AN114" s="140"/>
      <c r="AO114" s="140"/>
      <c r="AP114" s="140"/>
      <c r="AQ114" s="140"/>
      <c r="AR114" s="140"/>
      <c r="AS114" s="140"/>
      <c r="AV114" s="145"/>
      <c r="AW114" s="154"/>
      <c r="AX114" s="150"/>
      <c r="AY114" s="152"/>
      <c r="AZ114" s="154"/>
      <c r="BA114" s="150"/>
      <c r="BB114" s="152"/>
      <c r="BC114" s="154"/>
      <c r="BD114" s="150"/>
      <c r="BE114" s="152"/>
      <c r="BF114" s="154"/>
      <c r="BG114" s="150"/>
      <c r="BH114" s="152"/>
      <c r="BI114" s="154"/>
      <c r="BJ114" s="150"/>
    </row>
    <row r="115" spans="1:62" s="143" customFormat="1" ht="10.7" hidden="1" customHeight="1" x14ac:dyDescent="0.25">
      <c r="A115" s="140"/>
      <c r="B115" s="140"/>
      <c r="C115" s="140"/>
      <c r="D115" s="141"/>
      <c r="E115" s="140"/>
      <c r="F115" s="140"/>
      <c r="G115" s="140"/>
      <c r="H115" s="140"/>
      <c r="I115" s="140"/>
      <c r="J115" s="140"/>
      <c r="K115" s="220">
        <f>H14</f>
        <v>3671</v>
      </c>
      <c r="L115" s="221">
        <f>G14</f>
        <v>4293</v>
      </c>
      <c r="M115" s="281"/>
      <c r="N115" s="140"/>
      <c r="O115" s="140"/>
      <c r="P115" s="140"/>
      <c r="Q115" s="140"/>
      <c r="R115" s="140"/>
      <c r="S115" s="140"/>
      <c r="T115" s="140"/>
      <c r="U115" s="140"/>
      <c r="V115" s="140"/>
      <c r="W115" s="140"/>
      <c r="X115" s="140"/>
      <c r="Y115" s="140"/>
      <c r="Z115" s="140"/>
      <c r="AA115" s="140"/>
      <c r="AB115" s="140"/>
      <c r="AC115" s="140"/>
      <c r="AD115" s="140"/>
      <c r="AE115" s="140"/>
      <c r="AF115" s="140"/>
      <c r="AG115" s="140"/>
      <c r="AH115" s="140"/>
      <c r="AI115" s="140"/>
      <c r="AJ115" s="140"/>
      <c r="AK115" s="140"/>
      <c r="AL115" s="140"/>
      <c r="AM115" s="140"/>
      <c r="AN115" s="140"/>
      <c r="AO115" s="140"/>
      <c r="AP115" s="140"/>
      <c r="AQ115" s="140"/>
      <c r="AR115" s="140"/>
      <c r="AS115" s="140"/>
      <c r="AV115" s="145"/>
      <c r="AW115" s="154"/>
      <c r="AX115" s="150"/>
      <c r="AY115" s="152"/>
      <c r="AZ115" s="154"/>
      <c r="BA115" s="150"/>
      <c r="BB115" s="152"/>
      <c r="BC115" s="154"/>
      <c r="BD115" s="150"/>
      <c r="BE115" s="152"/>
      <c r="BF115" s="154"/>
      <c r="BG115" s="150"/>
      <c r="BH115" s="152"/>
      <c r="BI115" s="154"/>
      <c r="BJ115" s="150"/>
    </row>
    <row r="116" spans="1:62" s="143" customFormat="1" ht="10.7" hidden="1" customHeight="1" x14ac:dyDescent="0.25">
      <c r="A116" s="140"/>
      <c r="B116" s="140"/>
      <c r="C116" s="140"/>
      <c r="D116" s="141"/>
      <c r="E116" s="140"/>
      <c r="F116" s="140"/>
      <c r="G116" s="140"/>
      <c r="H116" s="140"/>
      <c r="I116" s="140"/>
      <c r="J116" s="140"/>
      <c r="K116" s="220">
        <f>G16</f>
        <v>4177</v>
      </c>
      <c r="L116" s="221">
        <f>H16</f>
        <v>4514</v>
      </c>
      <c r="M116" s="281"/>
      <c r="N116" s="140"/>
      <c r="O116" s="140"/>
      <c r="P116" s="140"/>
      <c r="Q116" s="140"/>
      <c r="R116" s="140"/>
      <c r="S116" s="140"/>
      <c r="T116" s="140"/>
      <c r="U116" s="140"/>
      <c r="V116" s="140"/>
      <c r="W116" s="140"/>
      <c r="X116" s="140"/>
      <c r="Y116" s="140"/>
      <c r="Z116" s="140"/>
      <c r="AA116" s="140"/>
      <c r="AB116" s="140"/>
      <c r="AC116" s="140"/>
      <c r="AD116" s="140"/>
      <c r="AE116" s="140"/>
      <c r="AF116" s="140"/>
      <c r="AG116" s="140"/>
      <c r="AH116" s="140"/>
      <c r="AI116" s="140"/>
      <c r="AJ116" s="140"/>
      <c r="AK116" s="140"/>
      <c r="AL116" s="140"/>
      <c r="AM116" s="140"/>
      <c r="AN116" s="140"/>
      <c r="AO116" s="140"/>
      <c r="AP116" s="140"/>
      <c r="AQ116" s="140"/>
      <c r="AR116" s="140"/>
      <c r="AS116" s="140"/>
      <c r="AV116" s="145"/>
      <c r="AW116" s="154"/>
      <c r="AX116" s="150"/>
      <c r="AY116" s="152"/>
      <c r="AZ116" s="154"/>
      <c r="BA116" s="150"/>
      <c r="BB116" s="152"/>
      <c r="BC116" s="154"/>
      <c r="BD116" s="150"/>
      <c r="BE116" s="152"/>
      <c r="BF116" s="154"/>
      <c r="BG116" s="150"/>
      <c r="BH116" s="152"/>
      <c r="BI116" s="154"/>
      <c r="BJ116" s="150"/>
    </row>
    <row r="117" spans="1:62" s="143" customFormat="1" ht="10.7" hidden="1" customHeight="1" x14ac:dyDescent="0.25">
      <c r="A117" s="140"/>
      <c r="B117" s="140"/>
      <c r="C117" s="140"/>
      <c r="D117" s="141"/>
      <c r="E117" s="140"/>
      <c r="F117" s="140"/>
      <c r="G117" s="140"/>
      <c r="H117" s="140"/>
      <c r="I117" s="140"/>
      <c r="J117" s="140"/>
      <c r="K117" s="220">
        <f>H16</f>
        <v>4514</v>
      </c>
      <c r="L117" s="221">
        <f>G16</f>
        <v>4177</v>
      </c>
      <c r="M117" s="281"/>
      <c r="N117" s="140"/>
      <c r="O117" s="140"/>
      <c r="P117" s="140"/>
      <c r="Q117" s="140"/>
      <c r="R117" s="140"/>
      <c r="S117" s="140"/>
      <c r="T117" s="140"/>
      <c r="U117" s="140"/>
      <c r="V117" s="140"/>
      <c r="W117" s="140"/>
      <c r="X117" s="140"/>
      <c r="Y117" s="140"/>
      <c r="Z117" s="140"/>
      <c r="AA117" s="140"/>
      <c r="AB117" s="140"/>
      <c r="AC117" s="140"/>
      <c r="AD117" s="140"/>
      <c r="AE117" s="140"/>
      <c r="AF117" s="140"/>
      <c r="AG117" s="140"/>
      <c r="AH117" s="140"/>
      <c r="AI117" s="140"/>
      <c r="AJ117" s="140"/>
      <c r="AK117" s="140"/>
      <c r="AL117" s="140"/>
      <c r="AM117" s="140"/>
      <c r="AN117" s="140"/>
      <c r="AO117" s="140"/>
      <c r="AP117" s="140"/>
      <c r="AQ117" s="140"/>
      <c r="AR117" s="140"/>
      <c r="AS117" s="140"/>
      <c r="AV117" s="145"/>
      <c r="AW117" s="154"/>
      <c r="AX117" s="150"/>
      <c r="AY117" s="152"/>
      <c r="AZ117" s="154"/>
      <c r="BA117" s="150"/>
      <c r="BB117" s="152"/>
      <c r="BC117" s="154"/>
      <c r="BD117" s="150"/>
      <c r="BE117" s="152"/>
      <c r="BF117" s="154"/>
      <c r="BG117" s="150"/>
      <c r="BH117" s="152"/>
      <c r="BI117" s="154"/>
      <c r="BJ117" s="150"/>
    </row>
    <row r="118" spans="1:62" s="143" customFormat="1" ht="10.7" hidden="1" customHeight="1" x14ac:dyDescent="0.25">
      <c r="A118" s="140"/>
      <c r="B118" s="140"/>
      <c r="C118" s="140"/>
      <c r="D118" s="141"/>
      <c r="E118" s="140"/>
      <c r="F118" s="140"/>
      <c r="G118" s="140"/>
      <c r="H118" s="140"/>
      <c r="I118" s="140"/>
      <c r="J118" s="140"/>
      <c r="K118" s="220">
        <f>G18</f>
        <v>4463</v>
      </c>
      <c r="L118" s="221">
        <f>H18</f>
        <v>4128</v>
      </c>
      <c r="M118" s="281"/>
      <c r="N118" s="140"/>
      <c r="O118" s="140"/>
      <c r="P118" s="140"/>
      <c r="Q118" s="140"/>
      <c r="R118" s="140"/>
      <c r="S118" s="140"/>
      <c r="T118" s="140"/>
      <c r="U118" s="140"/>
      <c r="V118" s="140"/>
      <c r="W118" s="140"/>
      <c r="X118" s="140"/>
      <c r="Y118" s="140"/>
      <c r="Z118" s="140"/>
      <c r="AA118" s="140"/>
      <c r="AB118" s="140"/>
      <c r="AC118" s="140"/>
      <c r="AD118" s="140"/>
      <c r="AE118" s="140"/>
      <c r="AF118" s="140"/>
      <c r="AG118" s="140"/>
      <c r="AH118" s="140"/>
      <c r="AI118" s="140"/>
      <c r="AJ118" s="140"/>
      <c r="AK118" s="140"/>
      <c r="AL118" s="140"/>
      <c r="AM118" s="140"/>
      <c r="AN118" s="140"/>
      <c r="AO118" s="140"/>
      <c r="AP118" s="140"/>
      <c r="AQ118" s="140"/>
      <c r="AR118" s="140"/>
      <c r="AS118" s="140"/>
      <c r="AV118" s="145"/>
      <c r="AW118" s="154"/>
      <c r="AX118" s="150"/>
      <c r="AY118" s="152"/>
      <c r="AZ118" s="154"/>
      <c r="BA118" s="150"/>
      <c r="BB118" s="152"/>
      <c r="BC118" s="154"/>
      <c r="BD118" s="150"/>
      <c r="BE118" s="152"/>
      <c r="BF118" s="154"/>
      <c r="BG118" s="150"/>
      <c r="BH118" s="152"/>
      <c r="BI118" s="154"/>
      <c r="BJ118" s="150"/>
    </row>
    <row r="119" spans="1:62" s="143" customFormat="1" ht="10.7" hidden="1" customHeight="1" x14ac:dyDescent="0.25">
      <c r="A119" s="140"/>
      <c r="B119" s="140"/>
      <c r="C119" s="140"/>
      <c r="D119" s="141"/>
      <c r="E119" s="140"/>
      <c r="F119" s="140"/>
      <c r="G119" s="140"/>
      <c r="H119" s="140"/>
      <c r="I119" s="140"/>
      <c r="J119" s="140"/>
      <c r="K119" s="220">
        <f>H18</f>
        <v>4128</v>
      </c>
      <c r="L119" s="221">
        <f>G18</f>
        <v>4463</v>
      </c>
      <c r="M119" s="281"/>
      <c r="N119" s="140"/>
      <c r="O119" s="140"/>
      <c r="P119" s="140"/>
      <c r="Q119" s="140"/>
      <c r="R119" s="140"/>
      <c r="S119" s="140"/>
      <c r="T119" s="140"/>
      <c r="U119" s="140"/>
      <c r="V119" s="140"/>
      <c r="W119" s="140"/>
      <c r="X119" s="140"/>
      <c r="Y119" s="140"/>
      <c r="Z119" s="140"/>
      <c r="AA119" s="140"/>
      <c r="AB119" s="140"/>
      <c r="AC119" s="140"/>
      <c r="AD119" s="140"/>
      <c r="AE119" s="140"/>
      <c r="AF119" s="140"/>
      <c r="AG119" s="140"/>
      <c r="AH119" s="140"/>
      <c r="AI119" s="140"/>
      <c r="AJ119" s="140"/>
      <c r="AK119" s="140"/>
      <c r="AL119" s="140"/>
      <c r="AM119" s="140"/>
      <c r="AN119" s="140"/>
      <c r="AO119" s="140"/>
      <c r="AP119" s="140"/>
      <c r="AQ119" s="140"/>
      <c r="AR119" s="140"/>
      <c r="AS119" s="140"/>
      <c r="AV119" s="145"/>
      <c r="AW119" s="154"/>
      <c r="AX119" s="150"/>
      <c r="AY119" s="152"/>
      <c r="AZ119" s="154"/>
      <c r="BA119" s="150"/>
      <c r="BB119" s="152"/>
      <c r="BC119" s="154"/>
      <c r="BD119" s="150"/>
      <c r="BE119" s="152"/>
      <c r="BF119" s="154"/>
      <c r="BG119" s="150"/>
      <c r="BH119" s="152"/>
      <c r="BI119" s="154"/>
      <c r="BJ119" s="150"/>
    </row>
    <row r="120" spans="1:62" s="143" customFormat="1" ht="10.7" hidden="1" customHeight="1" x14ac:dyDescent="0.25">
      <c r="A120" s="140"/>
      <c r="B120" s="140"/>
      <c r="C120" s="140"/>
      <c r="D120" s="141"/>
      <c r="E120" s="140"/>
      <c r="F120" s="140"/>
      <c r="G120" s="140"/>
      <c r="H120" s="140"/>
      <c r="I120" s="140"/>
      <c r="J120" s="140"/>
      <c r="K120" s="220">
        <f>G20</f>
        <v>3875</v>
      </c>
      <c r="L120" s="221">
        <f>H20</f>
        <v>4674</v>
      </c>
      <c r="M120" s="281"/>
      <c r="N120" s="140"/>
      <c r="O120" s="140"/>
      <c r="P120" s="140"/>
      <c r="Q120" s="140"/>
      <c r="R120" s="140"/>
      <c r="S120" s="140"/>
      <c r="T120" s="140"/>
      <c r="U120" s="140"/>
      <c r="V120" s="140"/>
      <c r="W120" s="140"/>
      <c r="X120" s="140"/>
      <c r="Y120" s="140"/>
      <c r="Z120" s="140"/>
      <c r="AA120" s="140"/>
      <c r="AB120" s="140"/>
      <c r="AC120" s="140"/>
      <c r="AD120" s="140"/>
      <c r="AE120" s="140"/>
      <c r="AF120" s="140"/>
      <c r="AG120" s="140"/>
      <c r="AH120" s="140"/>
      <c r="AI120" s="140"/>
      <c r="AJ120" s="140"/>
      <c r="AK120" s="140"/>
      <c r="AL120" s="140"/>
      <c r="AM120" s="140"/>
      <c r="AN120" s="140"/>
      <c r="AO120" s="140"/>
      <c r="AP120" s="140"/>
      <c r="AQ120" s="140"/>
      <c r="AR120" s="140"/>
      <c r="AS120" s="140"/>
      <c r="AV120" s="145"/>
      <c r="AW120" s="154"/>
      <c r="AX120" s="150"/>
      <c r="AY120" s="152"/>
      <c r="AZ120" s="154"/>
      <c r="BA120" s="150"/>
      <c r="BB120" s="152"/>
      <c r="BC120" s="154"/>
      <c r="BD120" s="150"/>
      <c r="BE120" s="152"/>
      <c r="BF120" s="154"/>
      <c r="BG120" s="150"/>
      <c r="BH120" s="152"/>
      <c r="BI120" s="154"/>
      <c r="BJ120" s="150"/>
    </row>
    <row r="121" spans="1:62" s="143" customFormat="1" ht="10.7" hidden="1" customHeight="1" x14ac:dyDescent="0.25">
      <c r="A121" s="140"/>
      <c r="B121" s="140"/>
      <c r="C121" s="140"/>
      <c r="D121" s="141"/>
      <c r="E121" s="140"/>
      <c r="F121" s="140"/>
      <c r="G121" s="140"/>
      <c r="H121" s="140"/>
      <c r="I121" s="140"/>
      <c r="J121" s="140"/>
      <c r="K121" s="220">
        <f>H20</f>
        <v>4674</v>
      </c>
      <c r="L121" s="221">
        <f>G20</f>
        <v>3875</v>
      </c>
      <c r="M121" s="281"/>
      <c r="N121" s="140"/>
      <c r="O121" s="140"/>
      <c r="P121" s="140"/>
      <c r="Q121" s="140"/>
      <c r="R121" s="140"/>
      <c r="S121" s="140"/>
      <c r="T121" s="140"/>
      <c r="U121" s="140"/>
      <c r="V121" s="140"/>
      <c r="W121" s="140"/>
      <c r="X121" s="140"/>
      <c r="Y121" s="140"/>
      <c r="Z121" s="140"/>
      <c r="AA121" s="140"/>
      <c r="AB121" s="140"/>
      <c r="AC121" s="140"/>
      <c r="AD121" s="140"/>
      <c r="AE121" s="140"/>
      <c r="AF121" s="140"/>
      <c r="AG121" s="140"/>
      <c r="AH121" s="140"/>
      <c r="AI121" s="140"/>
      <c r="AJ121" s="140"/>
      <c r="AK121" s="140"/>
      <c r="AL121" s="140"/>
      <c r="AM121" s="140"/>
      <c r="AN121" s="140"/>
      <c r="AO121" s="140"/>
      <c r="AP121" s="140"/>
      <c r="AQ121" s="140"/>
      <c r="AR121" s="140"/>
      <c r="AS121" s="140"/>
      <c r="AV121" s="145"/>
      <c r="AW121" s="154"/>
      <c r="AX121" s="150"/>
      <c r="AY121" s="152"/>
      <c r="AZ121" s="154"/>
      <c r="BA121" s="150"/>
      <c r="BB121" s="152"/>
      <c r="BC121" s="154"/>
      <c r="BD121" s="150"/>
      <c r="BE121" s="152"/>
      <c r="BF121" s="154"/>
      <c r="BG121" s="150"/>
      <c r="BH121" s="152"/>
      <c r="BI121" s="154"/>
      <c r="BJ121" s="150"/>
    </row>
    <row r="122" spans="1:62" s="143" customFormat="1" ht="10.7" hidden="1" customHeight="1" x14ac:dyDescent="0.25">
      <c r="A122" s="140"/>
      <c r="B122" s="140"/>
      <c r="C122" s="140"/>
      <c r="D122" s="141"/>
      <c r="E122" s="140"/>
      <c r="F122" s="140"/>
      <c r="G122" s="140"/>
      <c r="H122" s="140"/>
      <c r="I122" s="140"/>
      <c r="J122" s="140"/>
      <c r="K122" s="220">
        <f>G22</f>
        <v>3696</v>
      </c>
      <c r="L122" s="221">
        <f>H22</f>
        <v>4058</v>
      </c>
      <c r="M122" s="281"/>
      <c r="N122" s="140"/>
      <c r="O122" s="140"/>
      <c r="P122" s="140"/>
      <c r="Q122" s="140"/>
      <c r="R122" s="140"/>
      <c r="S122" s="140"/>
      <c r="T122" s="140"/>
      <c r="U122" s="140"/>
      <c r="V122" s="140"/>
      <c r="W122" s="140"/>
      <c r="X122" s="140"/>
      <c r="Y122" s="140"/>
      <c r="Z122" s="140"/>
      <c r="AA122" s="140"/>
      <c r="AB122" s="140"/>
      <c r="AC122" s="140"/>
      <c r="AD122" s="140"/>
      <c r="AE122" s="140"/>
      <c r="AF122" s="140"/>
      <c r="AG122" s="140"/>
      <c r="AH122" s="140"/>
      <c r="AI122" s="140"/>
      <c r="AJ122" s="140"/>
      <c r="AK122" s="140"/>
      <c r="AL122" s="140"/>
      <c r="AM122" s="140"/>
      <c r="AN122" s="140"/>
      <c r="AO122" s="140"/>
      <c r="AP122" s="140"/>
      <c r="AQ122" s="140"/>
      <c r="AR122" s="140"/>
      <c r="AS122" s="140"/>
      <c r="AV122" s="145"/>
      <c r="AW122" s="154"/>
      <c r="AX122" s="150"/>
      <c r="AY122" s="152"/>
      <c r="AZ122" s="154"/>
      <c r="BA122" s="150"/>
      <c r="BB122" s="152"/>
      <c r="BC122" s="154"/>
      <c r="BD122" s="150"/>
      <c r="BE122" s="152"/>
      <c r="BF122" s="154"/>
      <c r="BG122" s="150"/>
      <c r="BH122" s="152"/>
      <c r="BI122" s="154"/>
      <c r="BJ122" s="150"/>
    </row>
    <row r="123" spans="1:62" s="143" customFormat="1" ht="10.7" hidden="1" customHeight="1" x14ac:dyDescent="0.25">
      <c r="A123" s="140"/>
      <c r="B123" s="140"/>
      <c r="C123" s="140"/>
      <c r="D123" s="141"/>
      <c r="E123" s="140"/>
      <c r="F123" s="140"/>
      <c r="G123" s="140"/>
      <c r="H123" s="140"/>
      <c r="I123" s="140"/>
      <c r="J123" s="140"/>
      <c r="K123" s="220">
        <f>H22</f>
        <v>4058</v>
      </c>
      <c r="L123" s="221">
        <f>G22</f>
        <v>3696</v>
      </c>
      <c r="M123" s="281"/>
      <c r="N123" s="140"/>
      <c r="O123" s="140"/>
      <c r="P123" s="140"/>
      <c r="Q123" s="140"/>
      <c r="R123" s="140"/>
      <c r="S123" s="140"/>
      <c r="T123" s="140"/>
      <c r="U123" s="140"/>
      <c r="V123" s="140"/>
      <c r="W123" s="140"/>
      <c r="X123" s="140"/>
      <c r="Y123" s="140"/>
      <c r="Z123" s="140"/>
      <c r="AA123" s="140"/>
      <c r="AB123" s="140"/>
      <c r="AC123" s="140"/>
      <c r="AD123" s="140"/>
      <c r="AE123" s="140"/>
      <c r="AF123" s="140"/>
      <c r="AG123" s="140"/>
      <c r="AH123" s="140"/>
      <c r="AI123" s="140"/>
      <c r="AJ123" s="140"/>
      <c r="AK123" s="140"/>
      <c r="AL123" s="140"/>
      <c r="AM123" s="140"/>
      <c r="AN123" s="140"/>
      <c r="AO123" s="140"/>
      <c r="AP123" s="140"/>
      <c r="AQ123" s="140"/>
      <c r="AR123" s="140"/>
      <c r="AS123" s="140"/>
      <c r="AV123" s="145"/>
      <c r="AW123" s="154"/>
      <c r="AX123" s="150"/>
      <c r="AY123" s="152"/>
      <c r="AZ123" s="154"/>
      <c r="BA123" s="150"/>
      <c r="BB123" s="152"/>
      <c r="BC123" s="154"/>
      <c r="BD123" s="150"/>
      <c r="BE123" s="152"/>
      <c r="BF123" s="154"/>
      <c r="BG123" s="150"/>
      <c r="BH123" s="152"/>
      <c r="BI123" s="154"/>
      <c r="BJ123" s="150"/>
    </row>
    <row r="124" spans="1:62" s="143" customFormat="1" ht="10.7" hidden="1" customHeight="1" x14ac:dyDescent="0.25">
      <c r="A124" s="140"/>
      <c r="B124" s="140"/>
      <c r="C124" s="140"/>
      <c r="D124" s="141" t="s">
        <v>470</v>
      </c>
      <c r="E124" s="140"/>
      <c r="F124" s="140"/>
      <c r="G124" s="213">
        <f>VLOOKUP(G80,$K$108:$L$139,2,FALSE)</f>
        <v>4066</v>
      </c>
      <c r="H124" s="140"/>
      <c r="I124" s="140" t="s">
        <v>42</v>
      </c>
      <c r="J124" s="140" t="s">
        <v>24</v>
      </c>
      <c r="K124" s="220">
        <f>G24</f>
        <v>4297</v>
      </c>
      <c r="L124" s="221">
        <f>H24</f>
        <v>4527</v>
      </c>
      <c r="M124" s="281"/>
      <c r="N124" s="140"/>
      <c r="O124" s="140"/>
      <c r="P124" s="140"/>
      <c r="Q124" s="140"/>
      <c r="R124" s="140"/>
      <c r="S124" s="140"/>
      <c r="T124" s="140"/>
      <c r="U124" s="140"/>
      <c r="V124" s="140"/>
      <c r="W124" s="140"/>
      <c r="X124" s="140"/>
      <c r="Y124" s="140"/>
      <c r="Z124" s="140"/>
      <c r="AA124" s="140"/>
      <c r="AB124" s="140"/>
      <c r="AC124" s="140"/>
      <c r="AD124" s="140"/>
      <c r="AE124" s="140"/>
      <c r="AF124" s="140"/>
      <c r="AG124" s="140"/>
      <c r="AH124" s="140"/>
      <c r="AI124" s="140"/>
      <c r="AJ124" s="140"/>
      <c r="AK124" s="140"/>
      <c r="AL124" s="140"/>
      <c r="AM124" s="140"/>
      <c r="AN124" s="140"/>
      <c r="AO124" s="140"/>
      <c r="AP124" s="140"/>
      <c r="AQ124" s="140"/>
      <c r="AR124" s="140"/>
      <c r="AS124" s="140"/>
      <c r="AV124" s="145"/>
      <c r="AW124" s="154"/>
      <c r="AX124" s="150"/>
      <c r="AY124" s="152"/>
      <c r="AZ124" s="154"/>
      <c r="BA124" s="150"/>
      <c r="BB124" s="152"/>
      <c r="BC124" s="154"/>
      <c r="BD124" s="150"/>
      <c r="BE124" s="152"/>
      <c r="BF124" s="154"/>
      <c r="BG124" s="150"/>
      <c r="BH124" s="152"/>
      <c r="BI124" s="154"/>
      <c r="BJ124" s="150"/>
    </row>
    <row r="125" spans="1:62" s="143" customFormat="1" ht="10.7" hidden="1" customHeight="1" x14ac:dyDescent="0.25">
      <c r="A125" s="140"/>
      <c r="B125" s="140"/>
      <c r="C125" s="140"/>
      <c r="D125" s="141" t="s">
        <v>471</v>
      </c>
      <c r="E125" s="140"/>
      <c r="F125" s="140"/>
      <c r="G125" s="213">
        <f>VLOOKUP(G81,$K$108:$L$139,2,FALSE)</f>
        <v>4293</v>
      </c>
      <c r="H125" s="140"/>
      <c r="I125" s="140" t="s">
        <v>48</v>
      </c>
      <c r="J125" s="140" t="s">
        <v>14</v>
      </c>
      <c r="K125" s="220">
        <f>H24</f>
        <v>4527</v>
      </c>
      <c r="L125" s="221">
        <f>G24</f>
        <v>4297</v>
      </c>
      <c r="M125" s="281"/>
      <c r="N125" s="140"/>
      <c r="O125" s="140"/>
      <c r="P125" s="140"/>
      <c r="Q125" s="140"/>
      <c r="R125" s="140"/>
      <c r="S125" s="140"/>
      <c r="T125" s="140"/>
      <c r="U125" s="140"/>
      <c r="V125" s="140"/>
      <c r="W125" s="140"/>
      <c r="X125" s="140"/>
      <c r="Y125" s="140"/>
      <c r="Z125" s="140"/>
      <c r="AA125" s="140"/>
      <c r="AB125" s="140"/>
      <c r="AC125" s="140"/>
      <c r="AD125" s="140"/>
      <c r="AE125" s="140"/>
      <c r="AF125" s="140"/>
      <c r="AG125" s="140"/>
      <c r="AH125" s="140"/>
      <c r="AI125" s="140"/>
      <c r="AJ125" s="140"/>
      <c r="AK125" s="140"/>
      <c r="AL125" s="140"/>
      <c r="AM125" s="140"/>
      <c r="AN125" s="140"/>
      <c r="AO125" s="140"/>
      <c r="AP125" s="140"/>
      <c r="AQ125" s="140"/>
      <c r="AR125" s="140"/>
      <c r="AS125" s="140"/>
      <c r="AV125" s="145"/>
      <c r="AW125" s="154"/>
      <c r="AX125" s="150"/>
      <c r="AY125" s="152"/>
      <c r="AZ125" s="154"/>
      <c r="BA125" s="150"/>
      <c r="BB125" s="152"/>
      <c r="BC125" s="154"/>
      <c r="BD125" s="150"/>
      <c r="BE125" s="152"/>
      <c r="BF125" s="154"/>
      <c r="BG125" s="150"/>
      <c r="BH125" s="152"/>
      <c r="BI125" s="154"/>
      <c r="BJ125" s="150"/>
    </row>
    <row r="126" spans="1:62" s="143" customFormat="1" ht="10.7" hidden="1" customHeight="1" x14ac:dyDescent="0.25">
      <c r="A126" s="140"/>
      <c r="B126" s="140"/>
      <c r="C126" s="140"/>
      <c r="D126" s="141" t="s">
        <v>472</v>
      </c>
      <c r="E126" s="140"/>
      <c r="F126" s="140"/>
      <c r="G126" s="213">
        <f>VLOOKUP(G82,$K$108:$L$139,2,FALSE)</f>
        <v>4288</v>
      </c>
      <c r="H126" s="140"/>
      <c r="I126" s="140" t="s">
        <v>35</v>
      </c>
      <c r="J126" s="140" t="s">
        <v>6</v>
      </c>
      <c r="K126" s="220">
        <f>G26</f>
        <v>4182</v>
      </c>
      <c r="L126" s="221">
        <f>H26</f>
        <v>3450</v>
      </c>
      <c r="M126" s="281"/>
      <c r="N126" s="140"/>
      <c r="O126" s="140"/>
      <c r="P126" s="140"/>
      <c r="Q126" s="140"/>
      <c r="R126" s="140"/>
      <c r="S126" s="140"/>
      <c r="T126" s="140"/>
      <c r="U126" s="140"/>
      <c r="V126" s="140"/>
      <c r="W126" s="140"/>
      <c r="X126" s="140"/>
      <c r="Y126" s="140"/>
      <c r="Z126" s="140"/>
      <c r="AA126" s="140"/>
      <c r="AB126" s="140"/>
      <c r="AC126" s="140"/>
      <c r="AD126" s="140"/>
      <c r="AE126" s="140"/>
      <c r="AF126" s="140"/>
      <c r="AG126" s="140"/>
      <c r="AH126" s="140"/>
      <c r="AI126" s="140"/>
      <c r="AJ126" s="140"/>
      <c r="AK126" s="140"/>
      <c r="AL126" s="140"/>
      <c r="AM126" s="140"/>
      <c r="AN126" s="140"/>
      <c r="AO126" s="140"/>
      <c r="AP126" s="140"/>
      <c r="AQ126" s="140"/>
      <c r="AR126" s="140"/>
      <c r="AS126" s="140"/>
      <c r="AV126" s="145"/>
      <c r="AW126" s="154"/>
      <c r="AX126" s="150"/>
      <c r="AY126" s="152"/>
      <c r="AZ126" s="154"/>
      <c r="BA126" s="150"/>
      <c r="BB126" s="152"/>
      <c r="BC126" s="154"/>
      <c r="BD126" s="150"/>
      <c r="BE126" s="152"/>
      <c r="BF126" s="154"/>
      <c r="BG126" s="150"/>
      <c r="BH126" s="152"/>
      <c r="BI126" s="154"/>
      <c r="BJ126" s="150"/>
    </row>
    <row r="127" spans="1:62" s="143" customFormat="1" ht="10.7" hidden="1" customHeight="1" x14ac:dyDescent="0.25">
      <c r="A127" s="140"/>
      <c r="B127" s="140"/>
      <c r="C127" s="140"/>
      <c r="D127" s="141" t="s">
        <v>473</v>
      </c>
      <c r="E127" s="140"/>
      <c r="F127" s="140"/>
      <c r="G127" s="213">
        <f>VLOOKUP(G83,$K$108:$L$139,2,FALSE)</f>
        <v>3696</v>
      </c>
      <c r="H127" s="140"/>
      <c r="I127" s="140" t="s">
        <v>26</v>
      </c>
      <c r="J127" s="140" t="s">
        <v>17</v>
      </c>
      <c r="K127" s="220">
        <f>H26</f>
        <v>3450</v>
      </c>
      <c r="L127" s="221">
        <f>G26</f>
        <v>4182</v>
      </c>
      <c r="M127" s="281"/>
      <c r="N127" s="140"/>
      <c r="O127" s="140"/>
      <c r="P127" s="140"/>
      <c r="Q127" s="140"/>
      <c r="R127" s="140"/>
      <c r="S127" s="140"/>
      <c r="T127" s="140"/>
      <c r="U127" s="140"/>
      <c r="V127" s="140"/>
      <c r="W127" s="140"/>
      <c r="X127" s="140"/>
      <c r="Y127" s="140"/>
      <c r="Z127" s="140"/>
      <c r="AA127" s="140"/>
      <c r="AB127" s="140"/>
      <c r="AC127" s="140"/>
      <c r="AD127" s="140"/>
      <c r="AE127" s="140"/>
      <c r="AF127" s="140"/>
      <c r="AG127" s="140"/>
      <c r="AH127" s="140"/>
      <c r="AI127" s="140"/>
      <c r="AJ127" s="140"/>
      <c r="AK127" s="140"/>
      <c r="AL127" s="140"/>
      <c r="AM127" s="140"/>
      <c r="AN127" s="140"/>
      <c r="AO127" s="140"/>
      <c r="AP127" s="140"/>
      <c r="AQ127" s="140"/>
      <c r="AR127" s="140"/>
      <c r="AS127" s="140"/>
      <c r="AV127" s="145"/>
      <c r="AW127" s="154"/>
      <c r="AX127" s="150"/>
      <c r="AY127" s="152"/>
      <c r="AZ127" s="154"/>
      <c r="BA127" s="150"/>
      <c r="BB127" s="152"/>
      <c r="BC127" s="154"/>
      <c r="BD127" s="150"/>
      <c r="BE127" s="152"/>
      <c r="BF127" s="154"/>
      <c r="BG127" s="150"/>
      <c r="BH127" s="152"/>
      <c r="BI127" s="154"/>
      <c r="BJ127" s="150"/>
    </row>
    <row r="128" spans="1:62" s="143" customFormat="1" ht="10.7" hidden="1" customHeight="1" x14ac:dyDescent="0.25">
      <c r="A128" s="140"/>
      <c r="B128" s="140"/>
      <c r="C128" s="140"/>
      <c r="D128" s="141" t="s">
        <v>474</v>
      </c>
      <c r="E128" s="140"/>
      <c r="F128" s="140"/>
      <c r="G128" s="213">
        <f>VLOOKUP(G88,$K$108:$L$139,2,FALSE)</f>
        <v>4182</v>
      </c>
      <c r="H128" s="140"/>
      <c r="I128" s="140" t="s">
        <v>36</v>
      </c>
      <c r="J128" s="140" t="s">
        <v>8</v>
      </c>
      <c r="K128" s="220">
        <f>G28</f>
        <v>3504</v>
      </c>
      <c r="L128" s="221">
        <f>H28</f>
        <v>4066</v>
      </c>
      <c r="M128" s="281"/>
      <c r="N128" s="140"/>
      <c r="O128" s="140"/>
      <c r="P128" s="140"/>
      <c r="Q128" s="140"/>
      <c r="R128" s="140"/>
      <c r="S128" s="140"/>
      <c r="T128" s="140"/>
      <c r="U128" s="140"/>
      <c r="V128" s="140"/>
      <c r="W128" s="140"/>
      <c r="X128" s="140"/>
      <c r="Y128" s="140"/>
      <c r="Z128" s="140"/>
      <c r="AA128" s="140"/>
      <c r="AB128" s="140"/>
      <c r="AC128" s="140"/>
      <c r="AD128" s="140"/>
      <c r="AE128" s="140"/>
      <c r="AF128" s="140"/>
      <c r="AG128" s="140"/>
      <c r="AH128" s="140"/>
      <c r="AI128" s="140"/>
      <c r="AJ128" s="140"/>
      <c r="AK128" s="140"/>
      <c r="AL128" s="140"/>
      <c r="AM128" s="140"/>
      <c r="AN128" s="140"/>
      <c r="AO128" s="140"/>
      <c r="AP128" s="140"/>
      <c r="AQ128" s="140"/>
      <c r="AR128" s="140"/>
      <c r="AS128" s="140"/>
      <c r="AV128" s="145"/>
      <c r="AW128" s="154"/>
      <c r="AX128" s="150"/>
      <c r="AY128" s="152"/>
      <c r="AZ128" s="154"/>
      <c r="BA128" s="150"/>
      <c r="BB128" s="152"/>
      <c r="BC128" s="154"/>
      <c r="BD128" s="150"/>
      <c r="BE128" s="152"/>
      <c r="BF128" s="154"/>
      <c r="BG128" s="150"/>
      <c r="BH128" s="152"/>
      <c r="BI128" s="154"/>
      <c r="BJ128" s="150"/>
    </row>
    <row r="129" spans="1:62" s="143" customFormat="1" ht="10.7" hidden="1" customHeight="1" x14ac:dyDescent="0.25">
      <c r="A129" s="140"/>
      <c r="B129" s="140"/>
      <c r="C129" s="140"/>
      <c r="D129" s="141" t="s">
        <v>475</v>
      </c>
      <c r="E129" s="140"/>
      <c r="F129" s="140"/>
      <c r="G129" s="213">
        <f>VLOOKUP(G89,$K$108:$L$139,2,FALSE)</f>
        <v>4227</v>
      </c>
      <c r="H129" s="140"/>
      <c r="I129" s="140" t="s">
        <v>39</v>
      </c>
      <c r="J129" s="140" t="s">
        <v>40</v>
      </c>
      <c r="K129" s="220">
        <f>H28</f>
        <v>4066</v>
      </c>
      <c r="L129" s="221">
        <f>G28</f>
        <v>3504</v>
      </c>
      <c r="M129" s="281"/>
      <c r="N129" s="140"/>
      <c r="O129" s="140"/>
      <c r="P129" s="140"/>
      <c r="Q129" s="140"/>
      <c r="R129" s="140"/>
      <c r="S129" s="140"/>
      <c r="T129" s="140"/>
      <c r="U129" s="140"/>
      <c r="V129" s="140"/>
      <c r="W129" s="140"/>
      <c r="X129" s="140"/>
      <c r="Y129" s="140"/>
      <c r="Z129" s="140"/>
      <c r="AA129" s="140"/>
      <c r="AB129" s="140"/>
      <c r="AC129" s="140"/>
      <c r="AD129" s="140"/>
      <c r="AE129" s="140"/>
      <c r="AF129" s="140"/>
      <c r="AG129" s="140"/>
      <c r="AH129" s="140"/>
      <c r="AI129" s="140"/>
      <c r="AJ129" s="140"/>
      <c r="AK129" s="140"/>
      <c r="AL129" s="140"/>
      <c r="AM129" s="140"/>
      <c r="AN129" s="140"/>
      <c r="AO129" s="140"/>
      <c r="AP129" s="140"/>
      <c r="AQ129" s="140"/>
      <c r="AR129" s="140"/>
      <c r="AS129" s="140"/>
      <c r="AV129" s="145"/>
      <c r="AW129" s="154"/>
      <c r="AX129" s="150"/>
      <c r="AY129" s="152"/>
      <c r="AZ129" s="154"/>
      <c r="BA129" s="150"/>
      <c r="BB129" s="152"/>
      <c r="BC129" s="154"/>
      <c r="BD129" s="150"/>
      <c r="BE129" s="152"/>
      <c r="BF129" s="154"/>
      <c r="BG129" s="150"/>
      <c r="BH129" s="152"/>
      <c r="BI129" s="154"/>
      <c r="BJ129" s="150"/>
    </row>
    <row r="130" spans="1:62" s="143" customFormat="1" ht="10.7" hidden="1" customHeight="1" x14ac:dyDescent="0.25">
      <c r="A130" s="140"/>
      <c r="B130" s="140"/>
      <c r="C130" s="140"/>
      <c r="D130" s="141" t="s">
        <v>476</v>
      </c>
      <c r="E130" s="140"/>
      <c r="F130" s="140"/>
      <c r="G130" s="213">
        <f>VLOOKUP(G90,$K$108:$L$139,2,FALSE)</f>
        <v>4681</v>
      </c>
      <c r="H130" s="140"/>
      <c r="I130" s="140" t="s">
        <v>46</v>
      </c>
      <c r="J130" s="140" t="s">
        <v>24</v>
      </c>
      <c r="K130" s="220">
        <f>G30</f>
        <v>4727</v>
      </c>
      <c r="L130" s="221">
        <f>H30</f>
        <v>3458</v>
      </c>
      <c r="M130" s="281"/>
      <c r="N130" s="140"/>
      <c r="O130" s="140"/>
      <c r="P130" s="140"/>
      <c r="Q130" s="140"/>
      <c r="R130" s="140"/>
      <c r="S130" s="140"/>
      <c r="T130" s="140"/>
      <c r="U130" s="140"/>
      <c r="V130" s="140"/>
      <c r="W130" s="140"/>
      <c r="X130" s="140"/>
      <c r="Y130" s="140"/>
      <c r="Z130" s="140"/>
      <c r="AA130" s="140"/>
      <c r="AB130" s="140"/>
      <c r="AC130" s="140"/>
      <c r="AD130" s="140"/>
      <c r="AE130" s="140"/>
      <c r="AF130" s="140"/>
      <c r="AG130" s="140"/>
      <c r="AH130" s="140"/>
      <c r="AI130" s="140"/>
      <c r="AJ130" s="140"/>
      <c r="AK130" s="140"/>
      <c r="AL130" s="140"/>
      <c r="AM130" s="140"/>
      <c r="AN130" s="140"/>
      <c r="AO130" s="140"/>
      <c r="AP130" s="140"/>
      <c r="AQ130" s="140"/>
      <c r="AR130" s="140"/>
      <c r="AS130" s="140"/>
      <c r="AV130" s="145"/>
      <c r="AW130" s="154"/>
      <c r="AX130" s="150"/>
      <c r="AY130" s="152"/>
      <c r="AZ130" s="154"/>
      <c r="BA130" s="150"/>
      <c r="BB130" s="152"/>
      <c r="BC130" s="154"/>
      <c r="BD130" s="150"/>
      <c r="BE130" s="152"/>
      <c r="BF130" s="154"/>
      <c r="BG130" s="150"/>
      <c r="BH130" s="152"/>
      <c r="BI130" s="154"/>
      <c r="BJ130" s="150"/>
    </row>
    <row r="131" spans="1:62" s="143" customFormat="1" ht="10.7" hidden="1" customHeight="1" x14ac:dyDescent="0.25">
      <c r="A131" s="140"/>
      <c r="B131" s="140"/>
      <c r="C131" s="140"/>
      <c r="D131" s="141" t="s">
        <v>477</v>
      </c>
      <c r="E131" s="140"/>
      <c r="F131" s="140"/>
      <c r="G131" s="213">
        <f>VLOOKUP(G91,$K$108:$L$139,2,FALSE)</f>
        <v>4463</v>
      </c>
      <c r="H131" s="140"/>
      <c r="I131" s="140" t="s">
        <v>31</v>
      </c>
      <c r="J131" s="140" t="s">
        <v>14</v>
      </c>
      <c r="K131" s="220">
        <f>H30</f>
        <v>3458</v>
      </c>
      <c r="L131" s="221">
        <f>G30</f>
        <v>4727</v>
      </c>
      <c r="M131" s="281"/>
      <c r="N131" s="140"/>
      <c r="O131" s="140"/>
      <c r="P131" s="140"/>
      <c r="Q131" s="140"/>
      <c r="R131" s="140"/>
      <c r="S131" s="140"/>
      <c r="T131" s="140"/>
      <c r="U131" s="140"/>
      <c r="V131" s="140"/>
      <c r="W131" s="140"/>
      <c r="X131" s="140"/>
      <c r="Y131" s="140"/>
      <c r="Z131" s="140"/>
      <c r="AA131" s="140"/>
      <c r="AB131" s="140"/>
      <c r="AC131" s="140"/>
      <c r="AD131" s="140"/>
      <c r="AE131" s="140"/>
      <c r="AF131" s="140"/>
      <c r="AG131" s="140"/>
      <c r="AH131" s="140"/>
      <c r="AI131" s="140"/>
      <c r="AJ131" s="140"/>
      <c r="AK131" s="140"/>
      <c r="AL131" s="140"/>
      <c r="AM131" s="140"/>
      <c r="AN131" s="140"/>
      <c r="AO131" s="140"/>
      <c r="AP131" s="140"/>
      <c r="AQ131" s="140"/>
      <c r="AR131" s="140"/>
      <c r="AS131" s="140"/>
      <c r="AV131" s="145"/>
      <c r="AW131" s="154"/>
      <c r="AX131" s="150"/>
      <c r="AY131" s="152"/>
      <c r="AZ131" s="154"/>
      <c r="BA131" s="150"/>
      <c r="BB131" s="152"/>
      <c r="BC131" s="154"/>
      <c r="BD131" s="150"/>
      <c r="BE131" s="152"/>
      <c r="BF131" s="154"/>
      <c r="BG131" s="150"/>
      <c r="BH131" s="152"/>
      <c r="BI131" s="154"/>
      <c r="BJ131" s="150"/>
    </row>
    <row r="132" spans="1:62" s="143" customFormat="1" ht="10.7" hidden="1" customHeight="1" x14ac:dyDescent="0.25">
      <c r="A132" s="140"/>
      <c r="B132" s="140"/>
      <c r="C132" s="140"/>
      <c r="D132" s="141" t="s">
        <v>478</v>
      </c>
      <c r="E132" s="140"/>
      <c r="F132" s="140"/>
      <c r="G132" s="213">
        <f t="shared" ref="G132:G139" si="1046">VLOOKUP(G100,$K$108:$L$139,2,FALSE)</f>
        <v>4727</v>
      </c>
      <c r="H132" s="140"/>
      <c r="I132" s="140" t="s">
        <v>41</v>
      </c>
      <c r="J132" s="140" t="s">
        <v>6</v>
      </c>
      <c r="K132" s="220">
        <f>G32</f>
        <v>4458</v>
      </c>
      <c r="L132" s="221">
        <f>H32</f>
        <v>4682</v>
      </c>
      <c r="M132" s="281"/>
      <c r="N132" s="140"/>
      <c r="O132" s="140"/>
      <c r="P132" s="140"/>
      <c r="Q132" s="140"/>
      <c r="R132" s="140"/>
      <c r="S132" s="140"/>
      <c r="T132" s="140"/>
      <c r="U132" s="140"/>
      <c r="V132" s="140"/>
      <c r="W132" s="140"/>
      <c r="X132" s="140"/>
      <c r="Y132" s="140"/>
      <c r="Z132" s="140"/>
      <c r="AA132" s="140"/>
      <c r="AB132" s="140"/>
      <c r="AC132" s="140"/>
      <c r="AD132" s="140"/>
      <c r="AE132" s="140"/>
      <c r="AF132" s="140"/>
      <c r="AG132" s="140"/>
      <c r="AH132" s="140"/>
      <c r="AI132" s="140"/>
      <c r="AJ132" s="140"/>
      <c r="AK132" s="140"/>
      <c r="AL132" s="140"/>
      <c r="AM132" s="213"/>
      <c r="AN132" s="213"/>
      <c r="AO132" s="213"/>
      <c r="AP132" s="213"/>
      <c r="AQ132" s="213"/>
      <c r="AR132" s="213"/>
      <c r="AS132" s="213"/>
      <c r="AV132" s="145"/>
      <c r="AW132" s="154"/>
      <c r="AX132" s="150"/>
      <c r="AY132" s="152"/>
      <c r="AZ132" s="154"/>
      <c r="BA132" s="150"/>
      <c r="BB132" s="152"/>
      <c r="BC132" s="154"/>
      <c r="BD132" s="150"/>
      <c r="BE132" s="152"/>
      <c r="BF132" s="154"/>
      <c r="BG132" s="150"/>
      <c r="BH132" s="152"/>
      <c r="BI132" s="154"/>
      <c r="BJ132" s="150"/>
    </row>
    <row r="133" spans="1:62" s="143" customFormat="1" ht="10.7" hidden="1" customHeight="1" x14ac:dyDescent="0.25">
      <c r="A133" s="140"/>
      <c r="B133" s="140"/>
      <c r="C133" s="140"/>
      <c r="D133" s="141" t="s">
        <v>479</v>
      </c>
      <c r="E133" s="140"/>
      <c r="F133" s="140"/>
      <c r="G133" s="213">
        <f t="shared" si="1046"/>
        <v>4287</v>
      </c>
      <c r="H133" s="140"/>
      <c r="I133" s="140" t="s">
        <v>27</v>
      </c>
      <c r="J133" s="140" t="s">
        <v>6</v>
      </c>
      <c r="K133" s="220">
        <f>H32</f>
        <v>4682</v>
      </c>
      <c r="L133" s="221">
        <f>G32</f>
        <v>4458</v>
      </c>
      <c r="M133" s="281"/>
      <c r="N133" s="140"/>
      <c r="O133" s="140"/>
      <c r="P133" s="140"/>
      <c r="Q133" s="140"/>
      <c r="R133" s="140"/>
      <c r="S133" s="140"/>
      <c r="T133" s="140"/>
      <c r="U133" s="140"/>
      <c r="V133" s="140"/>
      <c r="W133" s="140"/>
      <c r="X133" s="140"/>
      <c r="Y133" s="140"/>
      <c r="Z133" s="140"/>
      <c r="AA133" s="140"/>
      <c r="AB133" s="140"/>
      <c r="AC133" s="140"/>
      <c r="AD133" s="140"/>
      <c r="AE133" s="140"/>
      <c r="AF133" s="140"/>
      <c r="AG133" s="140"/>
      <c r="AH133" s="140"/>
      <c r="AI133" s="140"/>
      <c r="AJ133" s="140"/>
      <c r="AK133" s="140"/>
      <c r="AL133" s="140"/>
      <c r="AM133" s="213"/>
      <c r="AN133" s="213"/>
      <c r="AO133" s="213"/>
      <c r="AP133" s="213"/>
      <c r="AQ133" s="213"/>
      <c r="AR133" s="213"/>
      <c r="AS133" s="213"/>
      <c r="AV133" s="145"/>
      <c r="AW133" s="154"/>
      <c r="AX133" s="150"/>
      <c r="AY133" s="152"/>
      <c r="AZ133" s="154"/>
      <c r="BA133" s="150"/>
      <c r="BB133" s="152"/>
      <c r="BC133" s="154"/>
      <c r="BD133" s="150"/>
      <c r="BE133" s="152"/>
      <c r="BF133" s="154"/>
      <c r="BG133" s="150"/>
      <c r="BH133" s="152"/>
      <c r="BI133" s="154"/>
      <c r="BJ133" s="150"/>
    </row>
    <row r="134" spans="1:62" s="143" customFormat="1" ht="10.7" hidden="1" customHeight="1" x14ac:dyDescent="0.25">
      <c r="A134" s="140"/>
      <c r="B134" s="140"/>
      <c r="C134" s="140"/>
      <c r="D134" s="141" t="s">
        <v>480</v>
      </c>
      <c r="E134" s="140"/>
      <c r="F134" s="140"/>
      <c r="G134" s="213">
        <f t="shared" si="1046"/>
        <v>4682</v>
      </c>
      <c r="H134" s="140"/>
      <c r="I134" s="140" t="s">
        <v>32</v>
      </c>
      <c r="J134" s="140" t="s">
        <v>24</v>
      </c>
      <c r="K134" s="220">
        <f>G34</f>
        <v>4288</v>
      </c>
      <c r="L134" s="221">
        <f>H34</f>
        <v>3787</v>
      </c>
      <c r="M134" s="281"/>
      <c r="N134" s="140"/>
      <c r="O134" s="140"/>
      <c r="P134" s="140"/>
      <c r="Q134" s="140"/>
      <c r="R134" s="140"/>
      <c r="S134" s="140"/>
      <c r="T134" s="140"/>
      <c r="U134" s="140"/>
      <c r="V134" s="140"/>
      <c r="W134" s="140"/>
      <c r="X134" s="140"/>
      <c r="Y134" s="140"/>
      <c r="Z134" s="140"/>
      <c r="AA134" s="140"/>
      <c r="AB134" s="140"/>
      <c r="AC134" s="140"/>
      <c r="AD134" s="140"/>
      <c r="AE134" s="140"/>
      <c r="AF134" s="140"/>
      <c r="AG134" s="140"/>
      <c r="AH134" s="140"/>
      <c r="AI134" s="140"/>
      <c r="AJ134" s="140"/>
      <c r="AK134" s="140"/>
      <c r="AL134" s="140"/>
      <c r="AM134" s="140"/>
      <c r="AN134" s="140"/>
      <c r="AO134" s="140"/>
      <c r="AP134" s="140"/>
      <c r="AQ134" s="140"/>
      <c r="AR134" s="140"/>
      <c r="AS134" s="140"/>
      <c r="AV134" s="145"/>
      <c r="AW134" s="154"/>
      <c r="AX134" s="150"/>
      <c r="AY134" s="152"/>
      <c r="AZ134" s="154"/>
      <c r="BA134" s="150"/>
      <c r="BB134" s="152"/>
      <c r="BC134" s="154"/>
      <c r="BD134" s="150"/>
      <c r="BE134" s="152"/>
      <c r="BF134" s="154"/>
      <c r="BG134" s="150"/>
      <c r="BH134" s="152"/>
      <c r="BI134" s="154"/>
      <c r="BJ134" s="150"/>
    </row>
    <row r="135" spans="1:62" s="143" customFormat="1" ht="10.7" hidden="1" customHeight="1" x14ac:dyDescent="0.25">
      <c r="A135" s="140"/>
      <c r="B135" s="140"/>
      <c r="C135" s="140"/>
      <c r="D135" s="141" t="s">
        <v>481</v>
      </c>
      <c r="E135" s="140"/>
      <c r="F135" s="140"/>
      <c r="G135" s="213">
        <f t="shared" si="1046"/>
        <v>3875</v>
      </c>
      <c r="H135" s="140"/>
      <c r="I135" s="140" t="s">
        <v>20</v>
      </c>
      <c r="J135" s="140" t="s">
        <v>6</v>
      </c>
      <c r="K135" s="220">
        <f>H34</f>
        <v>3787</v>
      </c>
      <c r="L135" s="221">
        <f>G34</f>
        <v>4288</v>
      </c>
      <c r="M135" s="281"/>
      <c r="N135" s="140"/>
      <c r="O135" s="140"/>
      <c r="P135" s="140"/>
      <c r="Q135" s="140"/>
      <c r="R135" s="140"/>
      <c r="S135" s="140"/>
      <c r="T135" s="140"/>
      <c r="U135" s="140"/>
      <c r="V135" s="140"/>
      <c r="W135" s="140"/>
      <c r="X135" s="140"/>
      <c r="Y135" s="140"/>
      <c r="Z135" s="140"/>
      <c r="AA135" s="140"/>
      <c r="AB135" s="140"/>
      <c r="AC135" s="140"/>
      <c r="AD135" s="140"/>
      <c r="AE135" s="140"/>
      <c r="AF135" s="140"/>
      <c r="AG135" s="140"/>
      <c r="AH135" s="140"/>
      <c r="AI135" s="140"/>
      <c r="AJ135" s="140"/>
      <c r="AK135" s="140"/>
      <c r="AL135" s="140"/>
      <c r="AM135" s="140"/>
      <c r="AN135" s="140"/>
      <c r="AO135" s="140"/>
      <c r="AP135" s="140"/>
      <c r="AQ135" s="140"/>
      <c r="AR135" s="140"/>
      <c r="AS135" s="140"/>
      <c r="AV135" s="145"/>
      <c r="AW135" s="154"/>
      <c r="AX135" s="150"/>
      <c r="AY135" s="152"/>
      <c r="AZ135" s="154"/>
      <c r="BA135" s="150"/>
      <c r="BB135" s="152"/>
      <c r="BC135" s="154"/>
      <c r="BD135" s="150"/>
      <c r="BE135" s="152"/>
      <c r="BF135" s="154"/>
      <c r="BG135" s="150"/>
      <c r="BH135" s="152"/>
      <c r="BI135" s="154"/>
      <c r="BJ135" s="150"/>
    </row>
    <row r="136" spans="1:62" s="143" customFormat="1" ht="10.7" hidden="1" customHeight="1" x14ac:dyDescent="0.25">
      <c r="A136" s="140"/>
      <c r="B136" s="140"/>
      <c r="C136" s="140"/>
      <c r="D136" s="141" t="s">
        <v>482</v>
      </c>
      <c r="E136" s="140"/>
      <c r="F136" s="140"/>
      <c r="G136" s="213">
        <f t="shared" si="1046"/>
        <v>4527</v>
      </c>
      <c r="H136" s="140"/>
      <c r="I136" s="140" t="s">
        <v>47</v>
      </c>
      <c r="J136" s="140" t="s">
        <v>6</v>
      </c>
      <c r="K136" s="220">
        <f>G36</f>
        <v>3933</v>
      </c>
      <c r="L136" s="221">
        <f>H36</f>
        <v>4541</v>
      </c>
      <c r="M136" s="281"/>
      <c r="N136" s="140"/>
      <c r="O136" s="140"/>
      <c r="P136" s="140"/>
      <c r="Q136" s="140"/>
      <c r="R136" s="140"/>
      <c r="S136" s="140"/>
      <c r="T136" s="140"/>
      <c r="U136" s="140"/>
      <c r="V136" s="140"/>
      <c r="W136" s="140"/>
      <c r="X136" s="140"/>
      <c r="Y136" s="140"/>
      <c r="Z136" s="140"/>
      <c r="AA136" s="140"/>
      <c r="AB136" s="140"/>
      <c r="AC136" s="140"/>
      <c r="AD136" s="140"/>
      <c r="AE136" s="140"/>
      <c r="AF136" s="140"/>
      <c r="AG136" s="140"/>
      <c r="AH136" s="140"/>
      <c r="AI136" s="140"/>
      <c r="AJ136" s="140"/>
      <c r="AK136" s="140"/>
      <c r="AL136" s="140"/>
      <c r="AM136" s="140"/>
      <c r="AN136" s="140"/>
      <c r="AO136" s="140"/>
      <c r="AP136" s="140"/>
      <c r="AQ136" s="140"/>
      <c r="AR136" s="140"/>
      <c r="AS136" s="140"/>
      <c r="AV136" s="145"/>
      <c r="AW136" s="154"/>
      <c r="AX136" s="150"/>
      <c r="AY136" s="152"/>
      <c r="AZ136" s="154"/>
      <c r="BA136" s="150"/>
      <c r="BB136" s="152"/>
      <c r="BC136" s="154"/>
      <c r="BD136" s="150"/>
      <c r="BE136" s="152"/>
      <c r="BF136" s="154"/>
      <c r="BG136" s="150"/>
      <c r="BH136" s="152"/>
      <c r="BI136" s="154"/>
      <c r="BJ136" s="150"/>
    </row>
    <row r="137" spans="1:62" s="143" customFormat="1" ht="10.7" hidden="1" customHeight="1" x14ac:dyDescent="0.25">
      <c r="A137" s="140"/>
      <c r="B137" s="140"/>
      <c r="C137" s="140"/>
      <c r="D137" s="141" t="s">
        <v>483</v>
      </c>
      <c r="E137" s="140"/>
      <c r="F137" s="140"/>
      <c r="G137" s="213">
        <f t="shared" si="1046"/>
        <v>4702</v>
      </c>
      <c r="H137" s="140"/>
      <c r="I137" s="140" t="s">
        <v>63</v>
      </c>
      <c r="J137" s="140" t="s">
        <v>14</v>
      </c>
      <c r="K137" s="220">
        <f>H36</f>
        <v>4541</v>
      </c>
      <c r="L137" s="221">
        <f>G36</f>
        <v>3933</v>
      </c>
      <c r="M137" s="281"/>
      <c r="N137" s="140"/>
      <c r="O137" s="140"/>
      <c r="P137" s="140"/>
      <c r="Q137" s="140"/>
      <c r="R137" s="140"/>
      <c r="S137" s="140"/>
      <c r="T137" s="140"/>
      <c r="U137" s="140"/>
      <c r="V137" s="140"/>
      <c r="W137" s="140"/>
      <c r="X137" s="140"/>
      <c r="Y137" s="140"/>
      <c r="Z137" s="140"/>
      <c r="AA137" s="140"/>
      <c r="AB137" s="140"/>
      <c r="AC137" s="140"/>
      <c r="AD137" s="140"/>
      <c r="AE137" s="140"/>
      <c r="AF137" s="140"/>
      <c r="AG137" s="140"/>
      <c r="AH137" s="140"/>
      <c r="AI137" s="140"/>
      <c r="AJ137" s="140"/>
      <c r="AK137" s="140"/>
      <c r="AL137" s="140"/>
      <c r="AM137" s="140"/>
      <c r="AN137" s="140"/>
      <c r="AO137" s="140"/>
      <c r="AP137" s="140"/>
      <c r="AQ137" s="140"/>
      <c r="AR137" s="140"/>
      <c r="AS137" s="140"/>
      <c r="AV137" s="145"/>
      <c r="AW137" s="154"/>
      <c r="AX137" s="150"/>
      <c r="AY137" s="152"/>
      <c r="AZ137" s="154"/>
      <c r="BA137" s="150"/>
      <c r="BB137" s="152"/>
      <c r="BC137" s="154"/>
      <c r="BD137" s="150"/>
      <c r="BE137" s="152"/>
      <c r="BF137" s="154"/>
      <c r="BG137" s="150"/>
      <c r="BH137" s="152"/>
      <c r="BI137" s="154"/>
      <c r="BJ137" s="150"/>
    </row>
    <row r="138" spans="1:62" s="143" customFormat="1" ht="10.7" hidden="1" customHeight="1" x14ac:dyDescent="0.25">
      <c r="A138" s="140"/>
      <c r="B138" s="140"/>
      <c r="C138" s="140"/>
      <c r="D138" s="141" t="s">
        <v>484</v>
      </c>
      <c r="E138" s="140"/>
      <c r="F138" s="140"/>
      <c r="G138" s="213">
        <f t="shared" si="1046"/>
        <v>4541</v>
      </c>
      <c r="H138" s="140"/>
      <c r="I138" s="140" t="s">
        <v>38</v>
      </c>
      <c r="J138" s="140" t="s">
        <v>14</v>
      </c>
      <c r="K138" s="220">
        <f>G38</f>
        <v>4681</v>
      </c>
      <c r="L138" s="221">
        <f>H38</f>
        <v>3836</v>
      </c>
      <c r="M138" s="281"/>
      <c r="N138" s="140"/>
      <c r="O138" s="140"/>
      <c r="P138" s="140"/>
      <c r="Q138" s="140"/>
      <c r="R138" s="140"/>
      <c r="S138" s="140"/>
      <c r="T138" s="140"/>
      <c r="U138" s="140"/>
      <c r="V138" s="140"/>
      <c r="W138" s="140"/>
      <c r="X138" s="140"/>
      <c r="Y138" s="140"/>
      <c r="Z138" s="140"/>
      <c r="AA138" s="140"/>
      <c r="AB138" s="140"/>
      <c r="AC138" s="140"/>
      <c r="AD138" s="140"/>
      <c r="AE138" s="140"/>
      <c r="AF138" s="140"/>
      <c r="AG138" s="140"/>
      <c r="AH138" s="140"/>
      <c r="AI138" s="140"/>
      <c r="AJ138" s="140"/>
      <c r="AK138" s="140"/>
      <c r="AL138" s="140"/>
      <c r="AM138" s="140"/>
      <c r="AN138" s="140"/>
      <c r="AO138" s="140"/>
      <c r="AP138" s="140"/>
      <c r="AQ138" s="140"/>
      <c r="AR138" s="140"/>
      <c r="AS138" s="140"/>
      <c r="AV138" s="145"/>
      <c r="AW138" s="154"/>
      <c r="AX138" s="150"/>
      <c r="AY138" s="152"/>
      <c r="AZ138" s="154"/>
      <c r="BA138" s="150"/>
      <c r="BB138" s="152"/>
      <c r="BC138" s="154"/>
      <c r="BD138" s="150"/>
      <c r="BE138" s="152"/>
      <c r="BF138" s="154"/>
      <c r="BG138" s="150"/>
      <c r="BH138" s="152"/>
      <c r="BI138" s="154"/>
      <c r="BJ138" s="150"/>
    </row>
    <row r="139" spans="1:62" s="143" customFormat="1" ht="10.7" hidden="1" customHeight="1" x14ac:dyDescent="0.25">
      <c r="A139" s="140"/>
      <c r="B139" s="140"/>
      <c r="C139" s="140"/>
      <c r="D139" s="141" t="s">
        <v>485</v>
      </c>
      <c r="E139" s="140"/>
      <c r="F139" s="140"/>
      <c r="G139" s="213">
        <f t="shared" si="1046"/>
        <v>4514</v>
      </c>
      <c r="H139" s="140"/>
      <c r="I139" s="140" t="s">
        <v>37</v>
      </c>
      <c r="J139" s="140" t="s">
        <v>24</v>
      </c>
      <c r="K139" s="222">
        <f>H38</f>
        <v>3836</v>
      </c>
      <c r="L139" s="223">
        <f>G38</f>
        <v>4681</v>
      </c>
      <c r="M139" s="282"/>
      <c r="N139" s="140"/>
      <c r="O139" s="140"/>
      <c r="P139" s="140"/>
      <c r="Q139" s="140"/>
      <c r="R139" s="140"/>
      <c r="S139" s="140"/>
      <c r="T139" s="140"/>
      <c r="U139" s="140"/>
      <c r="V139" s="140"/>
      <c r="W139" s="140"/>
      <c r="X139" s="140"/>
      <c r="Y139" s="140"/>
      <c r="Z139" s="140"/>
      <c r="AA139" s="140"/>
      <c r="AB139" s="140"/>
      <c r="AC139" s="140"/>
      <c r="AD139" s="140"/>
      <c r="AE139" s="140"/>
      <c r="AF139" s="140"/>
      <c r="AG139" s="140"/>
      <c r="AH139" s="140"/>
      <c r="AI139" s="140"/>
      <c r="AJ139" s="140"/>
      <c r="AK139" s="140"/>
      <c r="AL139" s="140"/>
      <c r="AM139" s="140"/>
      <c r="AN139" s="140"/>
      <c r="AO139" s="140"/>
      <c r="AP139" s="140"/>
      <c r="AQ139" s="140"/>
      <c r="AR139" s="140"/>
      <c r="AS139" s="140"/>
      <c r="AV139" s="145"/>
      <c r="AW139" s="154"/>
      <c r="AX139" s="150"/>
      <c r="AY139" s="152"/>
      <c r="AZ139" s="154"/>
      <c r="BA139" s="150"/>
      <c r="BB139" s="152"/>
      <c r="BC139" s="154"/>
      <c r="BD139" s="150"/>
      <c r="BE139" s="152"/>
      <c r="BF139" s="154"/>
      <c r="BG139" s="150"/>
      <c r="BH139" s="152"/>
      <c r="BI139" s="154"/>
      <c r="BJ139" s="150"/>
    </row>
    <row r="140" spans="1:62" s="143" customFormat="1" ht="10.7" hidden="1" customHeight="1" x14ac:dyDescent="0.25">
      <c r="A140" s="140"/>
      <c r="B140" s="140"/>
      <c r="C140" s="140"/>
      <c r="D140" s="141"/>
      <c r="E140" s="140"/>
      <c r="F140" s="140"/>
      <c r="G140" s="140"/>
      <c r="H140" s="140"/>
      <c r="I140" s="140"/>
      <c r="J140" s="140"/>
      <c r="K140" s="140"/>
      <c r="L140" s="140"/>
      <c r="M140" s="140"/>
      <c r="N140" s="140"/>
      <c r="O140" s="140"/>
      <c r="P140" s="140"/>
      <c r="Q140" s="140"/>
      <c r="R140" s="140"/>
      <c r="S140" s="140"/>
      <c r="T140" s="140"/>
      <c r="U140" s="140"/>
      <c r="V140" s="140"/>
      <c r="W140" s="140"/>
      <c r="X140" s="140"/>
      <c r="Y140" s="140"/>
      <c r="Z140" s="140"/>
      <c r="AA140" s="140"/>
      <c r="AB140" s="140"/>
      <c r="AC140" s="140"/>
      <c r="AD140" s="140"/>
      <c r="AE140" s="140"/>
      <c r="AF140" s="140"/>
      <c r="AG140" s="140"/>
      <c r="AH140" s="140"/>
      <c r="AI140" s="140"/>
      <c r="AJ140" s="140"/>
      <c r="AK140" s="140"/>
      <c r="AL140" s="140"/>
      <c r="AM140" s="140"/>
      <c r="AN140" s="140"/>
      <c r="AO140" s="140"/>
      <c r="AP140" s="140"/>
      <c r="AQ140" s="140"/>
      <c r="AR140" s="140"/>
      <c r="AS140" s="140"/>
      <c r="AV140" s="145"/>
      <c r="AW140" s="154"/>
      <c r="AX140" s="150"/>
      <c r="AY140" s="152"/>
      <c r="AZ140" s="154"/>
      <c r="BA140" s="150"/>
      <c r="BB140" s="152"/>
      <c r="BC140" s="154"/>
      <c r="BD140" s="150"/>
      <c r="BE140" s="152"/>
      <c r="BF140" s="154"/>
      <c r="BG140" s="150"/>
      <c r="BH140" s="152"/>
      <c r="BI140" s="154"/>
      <c r="BJ140" s="150"/>
    </row>
    <row r="141" spans="1:62" s="143" customFormat="1" ht="10.7" hidden="1" customHeight="1" x14ac:dyDescent="0.25">
      <c r="A141" s="140"/>
      <c r="B141" s="140"/>
      <c r="C141" s="140"/>
      <c r="D141" s="141"/>
      <c r="E141" s="140"/>
      <c r="F141" s="140"/>
      <c r="G141" s="140"/>
      <c r="H141" s="140"/>
      <c r="I141" s="140"/>
      <c r="J141" s="140"/>
      <c r="K141" s="140"/>
      <c r="L141" s="140"/>
      <c r="M141" s="140"/>
      <c r="N141" s="140"/>
      <c r="O141" s="140"/>
      <c r="P141" s="140"/>
      <c r="Q141" s="140"/>
      <c r="R141" s="140"/>
      <c r="S141" s="140"/>
      <c r="T141" s="140"/>
      <c r="U141" s="140"/>
      <c r="V141" s="140"/>
      <c r="W141" s="140"/>
      <c r="X141" s="140"/>
      <c r="Y141" s="140"/>
      <c r="Z141" s="140"/>
      <c r="AA141" s="140"/>
      <c r="AB141" s="140"/>
      <c r="AC141" s="140"/>
      <c r="AD141" s="140"/>
      <c r="AE141" s="140"/>
      <c r="AF141" s="140"/>
      <c r="AG141" s="140"/>
      <c r="AH141" s="140"/>
      <c r="AI141" s="140"/>
      <c r="AJ141" s="140"/>
      <c r="AK141" s="140"/>
      <c r="AL141" s="140"/>
      <c r="AM141" s="140"/>
      <c r="AN141" s="140"/>
      <c r="AO141" s="140"/>
      <c r="AP141" s="140"/>
      <c r="AQ141" s="140"/>
      <c r="AR141" s="140"/>
      <c r="AS141" s="140"/>
      <c r="AV141" s="145"/>
      <c r="AW141" s="154"/>
      <c r="AX141" s="150"/>
      <c r="AY141" s="152"/>
      <c r="AZ141" s="154"/>
      <c r="BA141" s="150"/>
      <c r="BB141" s="152"/>
      <c r="BC141" s="154"/>
      <c r="BD141" s="150"/>
      <c r="BE141" s="152"/>
      <c r="BF141" s="154"/>
      <c r="BG141" s="150"/>
      <c r="BH141" s="152"/>
      <c r="BI141" s="154"/>
      <c r="BJ141" s="150"/>
    </row>
    <row r="142" spans="1:62" s="143" customFormat="1" ht="10.7" hidden="1" customHeight="1" x14ac:dyDescent="0.25">
      <c r="A142" s="140"/>
      <c r="B142" s="140"/>
      <c r="C142" s="140"/>
      <c r="D142" s="141"/>
      <c r="E142" s="140"/>
      <c r="F142" s="140"/>
      <c r="G142" s="140"/>
      <c r="H142" s="140"/>
      <c r="I142" s="140"/>
      <c r="J142" s="140"/>
      <c r="K142" s="140"/>
      <c r="L142" s="140"/>
      <c r="M142" s="140"/>
      <c r="N142" s="140"/>
      <c r="O142" s="140"/>
      <c r="P142" s="140"/>
      <c r="Q142" s="140"/>
      <c r="R142" s="140"/>
      <c r="S142" s="140"/>
      <c r="T142" s="140"/>
      <c r="U142" s="140"/>
      <c r="V142" s="140"/>
      <c r="W142" s="140"/>
      <c r="X142" s="140"/>
      <c r="Y142" s="140"/>
      <c r="Z142" s="140"/>
      <c r="AA142" s="140"/>
      <c r="AB142" s="140"/>
      <c r="AC142" s="140"/>
      <c r="AD142" s="140"/>
      <c r="AE142" s="140"/>
      <c r="AF142" s="140"/>
      <c r="AG142" s="140"/>
      <c r="AH142" s="140"/>
      <c r="AI142" s="140"/>
      <c r="AJ142" s="140"/>
      <c r="AK142" s="140"/>
      <c r="AL142" s="140"/>
      <c r="AM142" s="140"/>
      <c r="AN142" s="140"/>
      <c r="AO142" s="140"/>
      <c r="AP142" s="140"/>
      <c r="AQ142" s="140"/>
      <c r="AR142" s="140"/>
      <c r="AS142" s="140"/>
      <c r="AU142" s="144"/>
      <c r="AV142" s="145"/>
      <c r="AW142" s="151"/>
      <c r="AX142" s="150"/>
      <c r="AY142" s="152"/>
      <c r="AZ142" s="151"/>
      <c r="BA142" s="150"/>
      <c r="BB142" s="152"/>
      <c r="BC142" s="151"/>
      <c r="BD142" s="153"/>
      <c r="BE142" s="152"/>
      <c r="BF142" s="154"/>
      <c r="BG142" s="150"/>
      <c r="BH142" s="152"/>
      <c r="BI142" s="154"/>
      <c r="BJ142" s="150"/>
    </row>
    <row r="143" spans="1:62" s="143" customFormat="1" ht="10.7" hidden="1" customHeight="1" x14ac:dyDescent="0.25">
      <c r="A143" s="140"/>
      <c r="B143" s="140"/>
      <c r="C143" s="140"/>
      <c r="D143" s="141"/>
      <c r="E143" s="140"/>
      <c r="F143" s="140"/>
      <c r="G143" s="140"/>
      <c r="H143" s="140"/>
      <c r="I143" s="140"/>
      <c r="J143" s="140"/>
      <c r="K143" s="140"/>
      <c r="L143" s="140"/>
      <c r="M143" s="140"/>
      <c r="N143" s="140"/>
      <c r="O143" s="140"/>
      <c r="P143" s="140"/>
      <c r="Q143" s="140"/>
      <c r="R143" s="140"/>
      <c r="S143" s="140"/>
      <c r="T143" s="140"/>
      <c r="U143" s="140"/>
      <c r="V143" s="140"/>
      <c r="W143" s="140"/>
      <c r="X143" s="140"/>
      <c r="Y143" s="140"/>
      <c r="Z143" s="140"/>
      <c r="AA143" s="140"/>
      <c r="AB143" s="140"/>
      <c r="AC143" s="140"/>
      <c r="AD143" s="140"/>
      <c r="AE143" s="140"/>
      <c r="AF143" s="140"/>
      <c r="AG143" s="140"/>
      <c r="AH143" s="140"/>
      <c r="AI143" s="140"/>
      <c r="AJ143" s="140"/>
      <c r="AK143" s="140"/>
      <c r="AL143" s="140"/>
      <c r="AM143" s="140"/>
      <c r="AN143" s="140"/>
      <c r="AO143" s="140"/>
      <c r="AP143" s="140"/>
      <c r="AQ143" s="140"/>
      <c r="AR143" s="140"/>
      <c r="AS143" s="140"/>
      <c r="AU143" s="144"/>
      <c r="AV143" s="145"/>
      <c r="AW143" s="151"/>
      <c r="AX143" s="150"/>
      <c r="AY143" s="152"/>
      <c r="AZ143" s="151"/>
      <c r="BA143" s="150"/>
      <c r="BB143" s="152"/>
      <c r="BC143" s="151"/>
      <c r="BD143" s="153"/>
      <c r="BE143" s="152"/>
      <c r="BF143" s="154"/>
      <c r="BG143" s="150"/>
      <c r="BH143" s="152"/>
      <c r="BI143" s="154"/>
      <c r="BJ143" s="150"/>
    </row>
    <row r="144" spans="1:62" s="143" customFormat="1" ht="10.7" customHeight="1" x14ac:dyDescent="0.25">
      <c r="A144" s="140"/>
      <c r="B144" s="140"/>
      <c r="C144" s="140"/>
      <c r="D144" s="141"/>
      <c r="E144" s="140"/>
      <c r="F144" s="140"/>
      <c r="G144" s="140"/>
      <c r="H144" s="140"/>
      <c r="I144" s="140"/>
      <c r="J144" s="140"/>
      <c r="K144" s="140"/>
      <c r="L144" s="140"/>
      <c r="M144" s="140"/>
      <c r="N144" s="140"/>
      <c r="O144" s="140"/>
      <c r="P144" s="140"/>
      <c r="Q144" s="140"/>
      <c r="R144" s="140"/>
      <c r="S144" s="140"/>
      <c r="T144" s="140"/>
      <c r="U144" s="140"/>
      <c r="V144" s="140"/>
      <c r="W144" s="140"/>
      <c r="X144" s="140"/>
      <c r="Y144" s="140"/>
      <c r="Z144" s="140"/>
      <c r="AA144" s="140"/>
      <c r="AB144" s="140"/>
      <c r="AC144" s="140"/>
      <c r="AD144" s="140"/>
      <c r="AE144" s="140"/>
      <c r="AF144" s="140"/>
      <c r="AG144" s="140"/>
      <c r="AH144" s="140"/>
      <c r="AI144" s="140"/>
      <c r="AJ144" s="140"/>
      <c r="AK144" s="140"/>
      <c r="AL144" s="140"/>
      <c r="AM144" s="140"/>
      <c r="AN144" s="140"/>
      <c r="AO144" s="140"/>
      <c r="AP144" s="140"/>
      <c r="AQ144" s="140"/>
      <c r="AR144" s="140"/>
      <c r="AS144" s="140"/>
      <c r="AU144" s="144"/>
      <c r="AV144" s="145"/>
      <c r="AW144" s="151"/>
      <c r="AX144" s="150"/>
      <c r="AY144" s="152"/>
      <c r="AZ144" s="151"/>
      <c r="BA144" s="150"/>
      <c r="BB144" s="152"/>
      <c r="BC144" s="151"/>
      <c r="BD144" s="153"/>
      <c r="BE144" s="152"/>
      <c r="BF144" s="154"/>
      <c r="BG144" s="150"/>
      <c r="BH144" s="152"/>
      <c r="BI144" s="154"/>
      <c r="BJ144" s="150"/>
    </row>
    <row r="145" spans="1:62" s="143" customFormat="1" ht="10.7" customHeight="1" x14ac:dyDescent="0.25">
      <c r="A145" s="140"/>
      <c r="B145" s="140"/>
      <c r="C145" s="140"/>
      <c r="D145" s="141"/>
      <c r="E145" s="140"/>
      <c r="F145" s="140"/>
      <c r="G145" s="284" t="s">
        <v>486</v>
      </c>
      <c r="H145" s="284"/>
      <c r="I145" s="284"/>
      <c r="J145" s="284"/>
      <c r="K145" s="140"/>
      <c r="L145" s="140"/>
      <c r="M145" s="140"/>
      <c r="N145" s="140"/>
      <c r="O145" s="140"/>
      <c r="P145" s="140"/>
      <c r="Q145" s="140"/>
      <c r="R145" s="140"/>
      <c r="S145" s="140"/>
      <c r="T145" s="140"/>
      <c r="U145" s="140"/>
      <c r="V145" s="140"/>
      <c r="W145" s="140"/>
      <c r="X145" s="140"/>
      <c r="Y145" s="140"/>
      <c r="Z145" s="140"/>
      <c r="AA145" s="140"/>
      <c r="AB145" s="140"/>
      <c r="AC145" s="140"/>
      <c r="AD145" s="140"/>
      <c r="AE145" s="140"/>
      <c r="AF145" s="140"/>
      <c r="AG145" s="140"/>
      <c r="AH145" s="140"/>
      <c r="AI145" s="140"/>
      <c r="AJ145" s="140"/>
      <c r="AK145" s="140"/>
      <c r="AL145" s="140"/>
      <c r="AM145" s="140"/>
      <c r="AN145" s="140"/>
      <c r="AO145" s="140"/>
      <c r="AP145" s="140"/>
      <c r="AQ145" s="140"/>
      <c r="AR145" s="140"/>
      <c r="AS145" s="140"/>
      <c r="AU145" s="144"/>
      <c r="AV145" s="145"/>
      <c r="AW145" s="151"/>
      <c r="AX145" s="150"/>
      <c r="AY145" s="152"/>
      <c r="AZ145" s="151"/>
      <c r="BA145" s="150"/>
      <c r="BB145" s="152"/>
      <c r="BC145" s="151"/>
      <c r="BD145" s="153"/>
      <c r="BE145" s="152"/>
      <c r="BF145" s="154"/>
      <c r="BG145" s="150"/>
      <c r="BH145" s="152"/>
      <c r="BI145" s="154"/>
      <c r="BJ145" s="150"/>
    </row>
    <row r="146" spans="1:62" s="143" customFormat="1" ht="10.7" customHeight="1" x14ac:dyDescent="0.25">
      <c r="A146" s="140"/>
      <c r="B146" s="140"/>
      <c r="C146" s="140"/>
      <c r="D146" s="141"/>
      <c r="E146" s="140"/>
      <c r="F146" s="140"/>
      <c r="G146" s="224"/>
      <c r="H146" s="224"/>
      <c r="I146" s="224"/>
      <c r="J146" s="224"/>
      <c r="K146" s="140"/>
      <c r="L146" s="140"/>
      <c r="M146" s="140"/>
      <c r="N146" s="140"/>
      <c r="O146" s="140"/>
      <c r="P146" s="140"/>
      <c r="Q146" s="140"/>
      <c r="R146" s="140"/>
      <c r="S146" s="140"/>
      <c r="T146" s="140"/>
      <c r="U146" s="140"/>
      <c r="V146" s="140"/>
      <c r="W146" s="140"/>
      <c r="X146" s="140"/>
      <c r="Y146" s="140"/>
      <c r="Z146" s="140"/>
      <c r="AA146" s="140"/>
      <c r="AB146" s="140"/>
      <c r="AC146" s="140"/>
      <c r="AD146" s="140"/>
      <c r="AE146" s="140"/>
      <c r="AF146" s="140"/>
      <c r="AG146" s="140"/>
      <c r="AH146" s="140"/>
      <c r="AI146" s="140"/>
      <c r="AJ146" s="140"/>
      <c r="AK146" s="140"/>
      <c r="AL146" s="140"/>
      <c r="AM146" s="140"/>
      <c r="AN146" s="140"/>
      <c r="AO146" s="140"/>
      <c r="AP146" s="140"/>
      <c r="AQ146" s="140"/>
      <c r="AR146" s="140"/>
      <c r="AS146" s="140"/>
      <c r="AU146" s="144"/>
      <c r="AV146" s="145"/>
      <c r="AW146" s="151"/>
      <c r="AX146" s="150"/>
      <c r="AY146" s="152"/>
      <c r="AZ146" s="151"/>
      <c r="BA146" s="150"/>
      <c r="BB146" s="152"/>
      <c r="BC146" s="151"/>
      <c r="BD146" s="153"/>
      <c r="BE146" s="152"/>
      <c r="BF146" s="154"/>
      <c r="BG146" s="150"/>
      <c r="BH146" s="152"/>
      <c r="BI146" s="154"/>
      <c r="BJ146" s="150"/>
    </row>
    <row r="147" spans="1:62" s="143" customFormat="1" ht="10.7" customHeight="1" x14ac:dyDescent="0.25">
      <c r="A147" s="140"/>
      <c r="B147" s="140"/>
      <c r="C147" s="140"/>
      <c r="D147" s="141"/>
      <c r="E147" s="140"/>
      <c r="F147" s="140"/>
      <c r="G147" s="225" t="s">
        <v>450</v>
      </c>
      <c r="H147" s="224">
        <f>G80</f>
        <v>3504</v>
      </c>
      <c r="I147" s="226" t="s">
        <v>30</v>
      </c>
      <c r="J147" s="226" t="s">
        <v>14</v>
      </c>
      <c r="K147" s="140"/>
      <c r="L147" s="140"/>
      <c r="M147" s="140"/>
      <c r="N147" s="140"/>
      <c r="O147" s="140"/>
      <c r="P147" s="140"/>
      <c r="Q147" s="140"/>
      <c r="R147" s="140"/>
      <c r="S147" s="140"/>
      <c r="T147" s="140"/>
      <c r="U147" s="140"/>
      <c r="V147" s="140"/>
      <c r="W147" s="140"/>
      <c r="X147" s="140"/>
      <c r="Y147" s="140"/>
      <c r="Z147" s="140"/>
      <c r="AA147" s="140"/>
      <c r="AB147" s="140"/>
      <c r="AC147" s="140"/>
      <c r="AD147" s="140"/>
      <c r="AE147" s="140"/>
      <c r="AF147" s="140"/>
      <c r="AG147" s="140"/>
      <c r="AH147" s="140"/>
      <c r="AI147" s="140"/>
      <c r="AJ147" s="140"/>
      <c r="AK147" s="140"/>
      <c r="AL147" s="140"/>
      <c r="AM147" s="140"/>
      <c r="AN147" s="140"/>
      <c r="AO147" s="140"/>
      <c r="AP147" s="140"/>
      <c r="AQ147" s="140"/>
      <c r="AR147" s="140"/>
      <c r="AS147" s="140"/>
      <c r="AU147" s="144"/>
      <c r="AV147" s="145"/>
      <c r="AW147" s="151"/>
      <c r="AX147" s="150"/>
      <c r="AY147" s="152"/>
      <c r="AZ147" s="151"/>
      <c r="BA147" s="150"/>
      <c r="BB147" s="152"/>
      <c r="BC147" s="151"/>
      <c r="BD147" s="153"/>
      <c r="BE147" s="152"/>
      <c r="BF147" s="154"/>
      <c r="BG147" s="150"/>
      <c r="BH147" s="152"/>
      <c r="BI147" s="154"/>
      <c r="BJ147" s="150"/>
    </row>
    <row r="148" spans="1:62" s="143" customFormat="1" ht="10.7" customHeight="1" x14ac:dyDescent="0.25">
      <c r="A148" s="140"/>
      <c r="B148" s="140"/>
      <c r="C148" s="140"/>
      <c r="D148" s="141"/>
      <c r="E148" s="140"/>
      <c r="F148" s="140"/>
      <c r="G148" s="225" t="s">
        <v>452</v>
      </c>
      <c r="H148" s="224">
        <f t="shared" ref="H148:H150" si="1047">G81</f>
        <v>3671</v>
      </c>
      <c r="I148" s="226" t="s">
        <v>9</v>
      </c>
      <c r="J148" s="226" t="s">
        <v>10</v>
      </c>
      <c r="K148" s="140"/>
      <c r="L148" s="140"/>
      <c r="M148" s="140"/>
      <c r="N148" s="140"/>
      <c r="O148" s="140"/>
      <c r="P148" s="140"/>
      <c r="Q148" s="140"/>
      <c r="R148" s="140"/>
      <c r="S148" s="140"/>
      <c r="T148" s="140"/>
      <c r="U148" s="140"/>
      <c r="V148" s="140"/>
      <c r="W148" s="140"/>
      <c r="X148" s="140"/>
      <c r="Y148" s="140"/>
      <c r="Z148" s="140"/>
      <c r="AA148" s="140"/>
      <c r="AB148" s="140"/>
      <c r="AC148" s="140"/>
      <c r="AD148" s="140"/>
      <c r="AE148" s="140"/>
      <c r="AF148" s="140"/>
      <c r="AG148" s="140"/>
      <c r="AH148" s="140"/>
      <c r="AI148" s="140"/>
      <c r="AJ148" s="140"/>
      <c r="AK148" s="140"/>
      <c r="AL148" s="140"/>
      <c r="AM148" s="140"/>
      <c r="AN148" s="140"/>
      <c r="AO148" s="140"/>
      <c r="AP148" s="140"/>
      <c r="AQ148" s="140"/>
      <c r="AR148" s="140"/>
      <c r="AS148" s="140"/>
      <c r="AU148" s="144"/>
      <c r="AV148" s="145"/>
      <c r="AW148" s="151"/>
      <c r="AX148" s="150"/>
      <c r="AY148" s="152"/>
      <c r="AZ148" s="151"/>
      <c r="BA148" s="150"/>
      <c r="BB148" s="152"/>
      <c r="BC148" s="151"/>
      <c r="BD148" s="153"/>
      <c r="BE148" s="152"/>
      <c r="BF148" s="154"/>
      <c r="BG148" s="150"/>
      <c r="BH148" s="152"/>
      <c r="BI148" s="154"/>
      <c r="BJ148" s="150"/>
    </row>
    <row r="149" spans="1:62" s="143" customFormat="1" ht="10.7" customHeight="1" x14ac:dyDescent="0.25">
      <c r="A149" s="140"/>
      <c r="B149" s="140"/>
      <c r="C149" s="140"/>
      <c r="D149" s="141"/>
      <c r="E149" s="140"/>
      <c r="F149" s="140"/>
      <c r="G149" s="225" t="s">
        <v>453</v>
      </c>
      <c r="H149" s="224">
        <f t="shared" si="1047"/>
        <v>3787</v>
      </c>
      <c r="I149" s="226" t="s">
        <v>25</v>
      </c>
      <c r="J149" s="226" t="s">
        <v>24</v>
      </c>
      <c r="K149" s="140"/>
      <c r="L149" s="140"/>
      <c r="M149" s="140"/>
      <c r="N149" s="140"/>
      <c r="O149" s="140"/>
      <c r="P149" s="140"/>
      <c r="Q149" s="140"/>
      <c r="R149" s="140"/>
      <c r="S149" s="140"/>
      <c r="T149" s="140"/>
      <c r="U149" s="140"/>
      <c r="V149" s="140"/>
      <c r="W149" s="140"/>
      <c r="X149" s="140"/>
      <c r="Y149" s="140"/>
      <c r="Z149" s="140"/>
      <c r="AA149" s="140"/>
      <c r="AB149" s="140"/>
      <c r="AC149" s="140"/>
      <c r="AD149" s="140"/>
      <c r="AE149" s="140"/>
      <c r="AF149" s="140"/>
      <c r="AG149" s="140"/>
      <c r="AH149" s="140"/>
      <c r="AI149" s="140"/>
      <c r="AJ149" s="140"/>
      <c r="AK149" s="140"/>
      <c r="AL149" s="140"/>
      <c r="AM149" s="140"/>
      <c r="AN149" s="140"/>
      <c r="AO149" s="140"/>
      <c r="AP149" s="140"/>
      <c r="AQ149" s="140"/>
      <c r="AR149" s="140"/>
      <c r="AS149" s="140"/>
      <c r="AU149" s="144"/>
      <c r="AV149" s="145"/>
      <c r="AW149" s="151"/>
      <c r="AX149" s="150"/>
      <c r="AY149" s="152"/>
      <c r="AZ149" s="151"/>
      <c r="BA149" s="150"/>
      <c r="BB149" s="152"/>
      <c r="BC149" s="151"/>
      <c r="BD149" s="153"/>
      <c r="BE149" s="152"/>
      <c r="BF149" s="154"/>
      <c r="BG149" s="150"/>
      <c r="BH149" s="152"/>
      <c r="BI149" s="154"/>
      <c r="BJ149" s="150"/>
    </row>
    <row r="150" spans="1:62" s="143" customFormat="1" ht="10.7" customHeight="1" x14ac:dyDescent="0.25">
      <c r="A150" s="140"/>
      <c r="B150" s="140"/>
      <c r="C150" s="140"/>
      <c r="D150" s="141"/>
      <c r="E150" s="140"/>
      <c r="F150" s="140"/>
      <c r="G150" s="227">
        <f>IF(E72=1,4,3)</f>
        <v>3</v>
      </c>
      <c r="H150" s="224">
        <f t="shared" si="1047"/>
        <v>4058</v>
      </c>
      <c r="I150" s="226" t="s">
        <v>7</v>
      </c>
      <c r="J150" s="226" t="s">
        <v>8</v>
      </c>
      <c r="K150" s="140"/>
      <c r="L150" s="140"/>
      <c r="M150" s="140"/>
      <c r="N150" s="140"/>
      <c r="O150" s="140"/>
      <c r="P150" s="140"/>
      <c r="Q150" s="140"/>
      <c r="R150" s="140"/>
      <c r="S150" s="140"/>
      <c r="T150" s="140"/>
      <c r="U150" s="140"/>
      <c r="V150" s="140"/>
      <c r="W150" s="140"/>
      <c r="X150" s="140"/>
      <c r="Y150" s="140"/>
      <c r="Z150" s="140"/>
      <c r="AA150" s="140"/>
      <c r="AB150" s="140"/>
      <c r="AC150" s="140"/>
      <c r="AD150" s="140"/>
      <c r="AE150" s="140"/>
      <c r="AF150" s="140"/>
      <c r="AG150" s="140"/>
      <c r="AH150" s="140"/>
      <c r="AI150" s="140"/>
      <c r="AJ150" s="140"/>
      <c r="AK150" s="140"/>
      <c r="AL150" s="140"/>
      <c r="AM150" s="140"/>
      <c r="AN150" s="140"/>
      <c r="AO150" s="140"/>
      <c r="AP150" s="140"/>
      <c r="AQ150" s="140"/>
      <c r="AR150" s="140"/>
      <c r="AS150" s="140"/>
      <c r="AU150" s="144"/>
      <c r="AV150" s="145"/>
      <c r="AW150" s="151"/>
      <c r="AX150" s="150"/>
      <c r="AY150" s="152"/>
      <c r="AZ150" s="151"/>
      <c r="BA150" s="150"/>
      <c r="BB150" s="152"/>
      <c r="BC150" s="151"/>
      <c r="BD150" s="153"/>
      <c r="BE150" s="152"/>
      <c r="BF150" s="154"/>
      <c r="BG150" s="150"/>
      <c r="BH150" s="152"/>
      <c r="BI150" s="154"/>
      <c r="BJ150" s="150"/>
    </row>
    <row r="151" spans="1:62" s="143" customFormat="1" ht="10.7" customHeight="1" x14ac:dyDescent="0.25">
      <c r="A151" s="140"/>
      <c r="B151" s="140"/>
      <c r="C151" s="140"/>
      <c r="D151" s="141"/>
      <c r="E151" s="140"/>
      <c r="F151" s="140"/>
      <c r="G151" s="225" t="s">
        <v>487</v>
      </c>
      <c r="H151" s="224">
        <f>G88</f>
        <v>3450</v>
      </c>
      <c r="I151" s="226" t="s">
        <v>19</v>
      </c>
      <c r="J151" s="226" t="s">
        <v>10</v>
      </c>
      <c r="K151" s="140"/>
      <c r="L151" s="140"/>
      <c r="M151" s="140"/>
      <c r="N151" s="140"/>
      <c r="O151" s="140"/>
      <c r="P151" s="140"/>
      <c r="Q151" s="140"/>
      <c r="R151" s="140"/>
      <c r="S151" s="140"/>
      <c r="T151" s="140"/>
      <c r="U151" s="140"/>
      <c r="V151" s="140"/>
      <c r="W151" s="140"/>
      <c r="X151" s="140"/>
      <c r="Y151" s="140"/>
      <c r="Z151" s="140"/>
      <c r="AA151" s="140"/>
      <c r="AB151" s="140"/>
      <c r="AC151" s="140"/>
      <c r="AD151" s="140"/>
      <c r="AE151" s="140"/>
      <c r="AF151" s="140"/>
      <c r="AG151" s="140"/>
      <c r="AH151" s="140"/>
      <c r="AI151" s="140"/>
      <c r="AJ151" s="140"/>
      <c r="AK151" s="140"/>
      <c r="AL151" s="140"/>
      <c r="AM151" s="140"/>
      <c r="AN151" s="140"/>
      <c r="AO151" s="140"/>
      <c r="AP151" s="140"/>
      <c r="AQ151" s="140"/>
      <c r="AR151" s="140"/>
      <c r="AS151" s="140"/>
      <c r="AU151" s="144"/>
      <c r="AV151" s="145"/>
      <c r="AW151" s="151"/>
      <c r="AX151" s="150"/>
      <c r="AY151" s="152"/>
      <c r="AZ151" s="151"/>
      <c r="BA151" s="150"/>
      <c r="BB151" s="152"/>
      <c r="BC151" s="151"/>
      <c r="BD151" s="153"/>
      <c r="BE151" s="152"/>
      <c r="BF151" s="154"/>
      <c r="BG151" s="150"/>
      <c r="BH151" s="152"/>
      <c r="BI151" s="154"/>
      <c r="BJ151" s="150"/>
    </row>
    <row r="152" spans="1:62" s="143" customFormat="1" ht="10.7" customHeight="1" x14ac:dyDescent="0.25">
      <c r="A152" s="140"/>
      <c r="B152" s="140"/>
      <c r="C152" s="140"/>
      <c r="D152" s="141"/>
      <c r="E152" s="140"/>
      <c r="F152" s="140"/>
      <c r="G152" s="225" t="s">
        <v>487</v>
      </c>
      <c r="H152" s="224">
        <f t="shared" ref="H152:H154" si="1048">G89</f>
        <v>4025</v>
      </c>
      <c r="I152" s="226" t="s">
        <v>18</v>
      </c>
      <c r="J152" s="226" t="s">
        <v>14</v>
      </c>
      <c r="K152" s="140"/>
      <c r="L152" s="140"/>
      <c r="M152" s="140"/>
      <c r="N152" s="140"/>
      <c r="O152" s="140"/>
      <c r="P152" s="140"/>
      <c r="Q152" s="140"/>
      <c r="R152" s="140"/>
      <c r="S152" s="140"/>
      <c r="T152" s="140"/>
      <c r="U152" s="140"/>
      <c r="V152" s="140"/>
      <c r="W152" s="140"/>
      <c r="X152" s="140"/>
      <c r="Y152" s="140"/>
      <c r="Z152" s="140"/>
      <c r="AA152" s="140"/>
      <c r="AB152" s="140"/>
      <c r="AC152" s="140"/>
      <c r="AD152" s="140"/>
      <c r="AE152" s="140"/>
      <c r="AF152" s="140"/>
      <c r="AG152" s="140"/>
      <c r="AH152" s="140"/>
      <c r="AI152" s="140"/>
      <c r="AJ152" s="140"/>
      <c r="AK152" s="140"/>
      <c r="AL152" s="140"/>
      <c r="AM152" s="140"/>
      <c r="AN152" s="140"/>
      <c r="AO152" s="140"/>
      <c r="AP152" s="140"/>
      <c r="AQ152" s="140"/>
      <c r="AR152" s="140"/>
      <c r="AS152" s="140"/>
      <c r="AU152" s="144"/>
      <c r="AV152" s="145"/>
      <c r="AW152" s="151"/>
      <c r="AX152" s="150"/>
      <c r="AY152" s="152"/>
      <c r="AZ152" s="151"/>
      <c r="BA152" s="150"/>
      <c r="BB152" s="152"/>
      <c r="BC152" s="151"/>
      <c r="BD152" s="153"/>
      <c r="BE152" s="152"/>
      <c r="BF152" s="154"/>
      <c r="BG152" s="150"/>
      <c r="BH152" s="152"/>
      <c r="BI152" s="154"/>
      <c r="BJ152" s="150"/>
    </row>
    <row r="153" spans="1:62" s="143" customFormat="1" ht="10.7" customHeight="1" x14ac:dyDescent="0.25">
      <c r="A153" s="140"/>
      <c r="B153" s="140"/>
      <c r="C153" s="140"/>
      <c r="D153" s="141"/>
      <c r="E153" s="140"/>
      <c r="F153" s="140"/>
      <c r="G153" s="225" t="s">
        <v>487</v>
      </c>
      <c r="H153" s="224">
        <f t="shared" si="1048"/>
        <v>3836</v>
      </c>
      <c r="I153" s="226" t="s">
        <v>5</v>
      </c>
      <c r="J153" s="226" t="s">
        <v>6</v>
      </c>
      <c r="K153" s="140"/>
      <c r="L153" s="140"/>
      <c r="M153" s="140"/>
      <c r="N153" s="140"/>
      <c r="O153" s="140"/>
      <c r="P153" s="140"/>
      <c r="Q153" s="140"/>
      <c r="R153" s="140"/>
      <c r="S153" s="140"/>
      <c r="T153" s="140"/>
      <c r="U153" s="140"/>
      <c r="V153" s="140"/>
      <c r="W153" s="140"/>
      <c r="X153" s="140"/>
      <c r="Y153" s="140"/>
      <c r="Z153" s="140"/>
      <c r="AA153" s="140"/>
      <c r="AB153" s="140"/>
      <c r="AC153" s="140"/>
      <c r="AD153" s="140"/>
      <c r="AE153" s="140"/>
      <c r="AF153" s="140"/>
      <c r="AG153" s="140"/>
      <c r="AH153" s="140"/>
      <c r="AI153" s="140"/>
      <c r="AJ153" s="140"/>
      <c r="AK153" s="140"/>
      <c r="AL153" s="140"/>
      <c r="AM153" s="140"/>
      <c r="AN153" s="140"/>
      <c r="AO153" s="140"/>
      <c r="AP153" s="140"/>
      <c r="AQ153" s="140"/>
      <c r="AR153" s="140"/>
      <c r="AS153" s="140"/>
      <c r="AU153" s="144"/>
      <c r="AV153" s="145"/>
      <c r="AW153" s="151"/>
      <c r="AX153" s="150"/>
      <c r="AY153" s="152"/>
      <c r="AZ153" s="151"/>
      <c r="BA153" s="150"/>
      <c r="BB153" s="152"/>
      <c r="BC153" s="151"/>
      <c r="BD153" s="153"/>
      <c r="BE153" s="152"/>
      <c r="BF153" s="154"/>
      <c r="BG153" s="150"/>
      <c r="BH153" s="152"/>
      <c r="BI153" s="154"/>
      <c r="BJ153" s="150"/>
    </row>
    <row r="154" spans="1:62" s="143" customFormat="1" ht="10.7" customHeight="1" x14ac:dyDescent="0.25">
      <c r="A154" s="140"/>
      <c r="B154" s="140"/>
      <c r="C154" s="140"/>
      <c r="D154" s="141"/>
      <c r="E154" s="140"/>
      <c r="F154" s="140"/>
      <c r="G154" s="225" t="s">
        <v>487</v>
      </c>
      <c r="H154" s="224">
        <f t="shared" si="1048"/>
        <v>4128</v>
      </c>
      <c r="I154" s="226" t="s">
        <v>23</v>
      </c>
      <c r="J154" s="226" t="s">
        <v>24</v>
      </c>
      <c r="K154" s="140"/>
      <c r="L154" s="140"/>
      <c r="M154" s="140"/>
      <c r="N154" s="140"/>
      <c r="O154" s="140"/>
      <c r="P154" s="140"/>
      <c r="Q154" s="140"/>
      <c r="R154" s="140"/>
      <c r="S154" s="140"/>
      <c r="T154" s="140"/>
      <c r="U154" s="140"/>
      <c r="V154" s="140"/>
      <c r="W154" s="140"/>
      <c r="X154" s="140"/>
      <c r="Y154" s="140"/>
      <c r="Z154" s="140"/>
      <c r="AA154" s="140"/>
      <c r="AB154" s="140"/>
      <c r="AC154" s="140"/>
      <c r="AD154" s="140"/>
      <c r="AE154" s="140"/>
      <c r="AF154" s="140"/>
      <c r="AG154" s="140"/>
      <c r="AH154" s="140"/>
      <c r="AI154" s="140"/>
      <c r="AJ154" s="140"/>
      <c r="AK154" s="140"/>
      <c r="AL154" s="140"/>
      <c r="AM154" s="140"/>
      <c r="AN154" s="140"/>
      <c r="AO154" s="140"/>
      <c r="AP154" s="140"/>
      <c r="AQ154" s="140"/>
      <c r="AR154" s="140"/>
      <c r="AS154" s="140"/>
      <c r="AU154" s="144"/>
      <c r="AV154" s="145"/>
      <c r="AW154" s="151"/>
      <c r="AX154" s="150"/>
      <c r="AY154" s="152"/>
      <c r="AZ154" s="151"/>
      <c r="BA154" s="150"/>
      <c r="BB154" s="152"/>
      <c r="BC154" s="151"/>
      <c r="BD154" s="153"/>
      <c r="BE154" s="152"/>
      <c r="BF154" s="154"/>
      <c r="BG154" s="150"/>
      <c r="BH154" s="152"/>
      <c r="BI154" s="154"/>
      <c r="BJ154" s="150"/>
    </row>
    <row r="155" spans="1:62" s="143" customFormat="1" ht="10.7" customHeight="1" x14ac:dyDescent="0.25">
      <c r="A155" s="140"/>
      <c r="B155" s="140"/>
      <c r="C155" s="140"/>
      <c r="D155" s="141"/>
      <c r="E155" s="140"/>
      <c r="F155" s="140"/>
      <c r="G155" s="228" t="s">
        <v>488</v>
      </c>
      <c r="H155" s="140">
        <f>G100</f>
        <v>3458</v>
      </c>
      <c r="I155" s="229" t="s">
        <v>28</v>
      </c>
      <c r="J155" s="229" t="s">
        <v>29</v>
      </c>
      <c r="K155" s="140"/>
      <c r="L155" s="140"/>
      <c r="M155" s="140"/>
      <c r="N155" s="140"/>
      <c r="O155" s="140"/>
      <c r="P155" s="140"/>
      <c r="Q155" s="140"/>
      <c r="R155" s="140"/>
      <c r="S155" s="140"/>
      <c r="T155" s="140"/>
      <c r="U155" s="140"/>
      <c r="V155" s="140"/>
      <c r="W155" s="140"/>
      <c r="X155" s="140"/>
      <c r="Y155" s="140"/>
      <c r="Z155" s="140"/>
      <c r="AA155" s="140"/>
      <c r="AB155" s="140"/>
      <c r="AC155" s="140"/>
      <c r="AD155" s="140"/>
      <c r="AE155" s="140"/>
      <c r="AF155" s="140"/>
      <c r="AG155" s="140"/>
      <c r="AH155" s="140"/>
      <c r="AI155" s="140"/>
      <c r="AJ155" s="140"/>
      <c r="AK155" s="140"/>
      <c r="AL155" s="140"/>
      <c r="AM155" s="140"/>
      <c r="AN155" s="140"/>
      <c r="AO155" s="140"/>
      <c r="AP155" s="140"/>
      <c r="AQ155" s="140"/>
      <c r="AR155" s="140"/>
      <c r="AS155" s="140"/>
      <c r="AU155" s="144"/>
      <c r="AV155" s="145"/>
      <c r="AW155" s="151"/>
      <c r="AX155" s="150"/>
      <c r="AY155" s="152"/>
      <c r="AZ155" s="151"/>
      <c r="BA155" s="150"/>
      <c r="BB155" s="152"/>
      <c r="BC155" s="151"/>
      <c r="BD155" s="153"/>
      <c r="BE155" s="152"/>
      <c r="BF155" s="154"/>
      <c r="BG155" s="150"/>
      <c r="BH155" s="152"/>
      <c r="BI155" s="154"/>
      <c r="BJ155" s="150"/>
    </row>
    <row r="156" spans="1:62" s="143" customFormat="1" ht="10.7" customHeight="1" x14ac:dyDescent="0.25">
      <c r="A156" s="140"/>
      <c r="B156" s="140"/>
      <c r="C156" s="140"/>
      <c r="D156" s="141"/>
      <c r="E156" s="140"/>
      <c r="F156" s="140"/>
      <c r="G156" s="228" t="s">
        <v>488</v>
      </c>
      <c r="H156" s="140">
        <f t="shared" ref="H156:H162" si="1049">G101</f>
        <v>4511</v>
      </c>
      <c r="I156" s="229" t="s">
        <v>22</v>
      </c>
      <c r="J156" s="229" t="s">
        <v>12</v>
      </c>
      <c r="K156" s="140"/>
      <c r="L156" s="140"/>
      <c r="M156" s="140"/>
      <c r="N156" s="140"/>
      <c r="O156" s="140"/>
      <c r="P156" s="140"/>
      <c r="Q156" s="140"/>
      <c r="R156" s="140"/>
      <c r="S156" s="140"/>
      <c r="T156" s="140"/>
      <c r="U156" s="140"/>
      <c r="V156" s="140"/>
      <c r="W156" s="140"/>
      <c r="X156" s="140"/>
      <c r="Y156" s="140"/>
      <c r="Z156" s="140"/>
      <c r="AA156" s="140"/>
      <c r="AB156" s="140"/>
      <c r="AC156" s="140"/>
      <c r="AD156" s="140"/>
      <c r="AE156" s="140"/>
      <c r="AF156" s="140"/>
      <c r="AG156" s="140"/>
      <c r="AH156" s="140"/>
      <c r="AI156" s="140"/>
      <c r="AJ156" s="140"/>
      <c r="AK156" s="140"/>
      <c r="AL156" s="140"/>
      <c r="AM156" s="140"/>
      <c r="AN156" s="140"/>
      <c r="AO156" s="140"/>
      <c r="AP156" s="140"/>
      <c r="AQ156" s="140"/>
      <c r="AR156" s="140"/>
      <c r="AS156" s="140"/>
      <c r="AU156" s="144"/>
      <c r="AV156" s="145"/>
      <c r="AW156" s="151"/>
      <c r="AX156" s="150"/>
      <c r="AY156" s="152"/>
      <c r="AZ156" s="151"/>
      <c r="BA156" s="150"/>
      <c r="BB156" s="152"/>
      <c r="BC156" s="151"/>
      <c r="BD156" s="153"/>
      <c r="BE156" s="152"/>
      <c r="BF156" s="154"/>
      <c r="BG156" s="150"/>
      <c r="BH156" s="152"/>
      <c r="BI156" s="154"/>
      <c r="BJ156" s="150"/>
    </row>
    <row r="157" spans="1:62" s="143" customFormat="1" ht="10.7" customHeight="1" x14ac:dyDescent="0.25">
      <c r="A157" s="140"/>
      <c r="B157" s="140"/>
      <c r="C157" s="140"/>
      <c r="D157" s="141"/>
      <c r="E157" s="140"/>
      <c r="F157" s="140"/>
      <c r="G157" s="228" t="s">
        <v>488</v>
      </c>
      <c r="H157" s="140">
        <f t="shared" si="1049"/>
        <v>4458</v>
      </c>
      <c r="I157" s="229" t="s">
        <v>21</v>
      </c>
      <c r="J157" s="229" t="s">
        <v>14</v>
      </c>
      <c r="K157" s="140"/>
      <c r="L157" s="140"/>
      <c r="M157" s="140"/>
      <c r="N157" s="140"/>
      <c r="O157" s="140"/>
      <c r="P157" s="140"/>
      <c r="Q157" s="140"/>
      <c r="R157" s="140"/>
      <c r="S157" s="140"/>
      <c r="T157" s="140"/>
      <c r="U157" s="140"/>
      <c r="V157" s="140"/>
      <c r="W157" s="140"/>
      <c r="X157" s="140"/>
      <c r="Y157" s="140"/>
      <c r="Z157" s="140"/>
      <c r="AA157" s="140"/>
      <c r="AB157" s="140"/>
      <c r="AC157" s="140"/>
      <c r="AD157" s="140"/>
      <c r="AE157" s="140"/>
      <c r="AF157" s="140"/>
      <c r="AG157" s="140"/>
      <c r="AH157" s="140"/>
      <c r="AI157" s="140"/>
      <c r="AJ157" s="140"/>
      <c r="AK157" s="140"/>
      <c r="AL157" s="140"/>
      <c r="AM157" s="140"/>
      <c r="AN157" s="140"/>
      <c r="AO157" s="140"/>
      <c r="AP157" s="140"/>
      <c r="AQ157" s="140"/>
      <c r="AR157" s="140"/>
      <c r="AS157" s="140"/>
      <c r="AU157" s="144"/>
      <c r="AV157" s="145"/>
      <c r="AW157" s="151"/>
      <c r="AX157" s="150"/>
      <c r="AY157" s="152"/>
      <c r="AZ157" s="151"/>
      <c r="BA157" s="150"/>
      <c r="BB157" s="152"/>
      <c r="BC157" s="151"/>
      <c r="BD157" s="153"/>
      <c r="BE157" s="152"/>
      <c r="BF157" s="154"/>
      <c r="BG157" s="150"/>
      <c r="BH157" s="152"/>
      <c r="BI157" s="154"/>
      <c r="BJ157" s="150"/>
    </row>
    <row r="158" spans="1:62" s="143" customFormat="1" ht="10.7" customHeight="1" x14ac:dyDescent="0.25">
      <c r="A158" s="140"/>
      <c r="B158" s="140"/>
      <c r="C158" s="140"/>
      <c r="D158" s="141"/>
      <c r="E158" s="140"/>
      <c r="F158" s="140"/>
      <c r="G158" s="228" t="s">
        <v>488</v>
      </c>
      <c r="H158" s="140">
        <f t="shared" si="1049"/>
        <v>4674</v>
      </c>
      <c r="I158" s="229" t="s">
        <v>34</v>
      </c>
      <c r="J158" s="229" t="s">
        <v>8</v>
      </c>
      <c r="K158" s="140"/>
      <c r="L158" s="140"/>
      <c r="M158" s="140"/>
      <c r="N158" s="140"/>
      <c r="O158" s="140"/>
      <c r="P158" s="140"/>
      <c r="Q158" s="140"/>
      <c r="R158" s="140"/>
      <c r="S158" s="140"/>
      <c r="T158" s="140"/>
      <c r="U158" s="140"/>
      <c r="V158" s="140"/>
      <c r="W158" s="140"/>
      <c r="X158" s="140"/>
      <c r="Y158" s="140"/>
      <c r="Z158" s="140"/>
      <c r="AA158" s="140"/>
      <c r="AB158" s="140"/>
      <c r="AC158" s="140"/>
      <c r="AD158" s="140"/>
      <c r="AE158" s="140"/>
      <c r="AF158" s="140"/>
      <c r="AG158" s="140"/>
      <c r="AH158" s="140"/>
      <c r="AI158" s="140"/>
      <c r="AJ158" s="140"/>
      <c r="AK158" s="140"/>
      <c r="AL158" s="140"/>
      <c r="AM158" s="140"/>
      <c r="AN158" s="140"/>
      <c r="AO158" s="140"/>
      <c r="AP158" s="140"/>
      <c r="AQ158" s="140"/>
      <c r="AR158" s="140"/>
      <c r="AS158" s="140"/>
      <c r="AU158" s="144"/>
      <c r="AV158" s="145"/>
      <c r="AW158" s="151"/>
      <c r="AX158" s="150"/>
      <c r="AY158" s="152"/>
      <c r="AZ158" s="151"/>
      <c r="BA158" s="150"/>
      <c r="BB158" s="152"/>
      <c r="BC158" s="151"/>
      <c r="BD158" s="153"/>
      <c r="BE158" s="152"/>
      <c r="BF158" s="154"/>
      <c r="BG158" s="150"/>
      <c r="BH158" s="152"/>
      <c r="BI158" s="154"/>
      <c r="BJ158" s="150"/>
    </row>
    <row r="159" spans="1:62" s="143" customFormat="1" ht="10.7" customHeight="1" x14ac:dyDescent="0.25">
      <c r="A159" s="140"/>
      <c r="B159" s="140"/>
      <c r="C159" s="140"/>
      <c r="D159" s="141"/>
      <c r="E159" s="140"/>
      <c r="F159" s="140"/>
      <c r="G159" s="228" t="s">
        <v>488</v>
      </c>
      <c r="H159" s="140">
        <f t="shared" si="1049"/>
        <v>4297</v>
      </c>
      <c r="I159" s="229" t="s">
        <v>13</v>
      </c>
      <c r="J159" s="229" t="s">
        <v>14</v>
      </c>
      <c r="K159" s="140"/>
      <c r="L159" s="140"/>
      <c r="M159" s="140"/>
      <c r="N159" s="140"/>
      <c r="O159" s="140"/>
      <c r="P159" s="140"/>
      <c r="Q159" s="140"/>
      <c r="R159" s="140"/>
      <c r="S159" s="140"/>
      <c r="T159" s="140"/>
      <c r="U159" s="140"/>
      <c r="V159" s="140"/>
      <c r="W159" s="140"/>
      <c r="X159" s="140"/>
      <c r="Y159" s="140"/>
      <c r="Z159" s="140"/>
      <c r="AA159" s="140"/>
      <c r="AB159" s="140"/>
      <c r="AC159" s="140"/>
      <c r="AD159" s="140"/>
      <c r="AE159" s="140"/>
      <c r="AF159" s="140"/>
      <c r="AG159" s="140"/>
      <c r="AH159" s="140"/>
      <c r="AI159" s="140"/>
      <c r="AJ159" s="140"/>
      <c r="AK159" s="140"/>
      <c r="AL159" s="140"/>
      <c r="AM159" s="140"/>
      <c r="AN159" s="140"/>
      <c r="AO159" s="140"/>
      <c r="AP159" s="140"/>
      <c r="AQ159" s="140"/>
      <c r="AR159" s="140"/>
      <c r="AS159" s="140"/>
      <c r="AU159" s="144"/>
      <c r="AV159" s="145"/>
      <c r="AW159" s="151"/>
      <c r="AX159" s="150"/>
      <c r="AY159" s="152"/>
      <c r="AZ159" s="151"/>
      <c r="BA159" s="150"/>
      <c r="BB159" s="152"/>
      <c r="BC159" s="151"/>
      <c r="BD159" s="153"/>
      <c r="BE159" s="152"/>
      <c r="BF159" s="154"/>
      <c r="BG159" s="150"/>
      <c r="BH159" s="152"/>
      <c r="BI159" s="154"/>
      <c r="BJ159" s="150"/>
    </row>
    <row r="160" spans="1:62" s="143" customFormat="1" ht="10.7" customHeight="1" x14ac:dyDescent="0.25">
      <c r="A160" s="140"/>
      <c r="B160" s="140"/>
      <c r="C160" s="140"/>
      <c r="D160" s="141"/>
      <c r="E160" s="140"/>
      <c r="F160" s="140"/>
      <c r="G160" s="228" t="s">
        <v>488</v>
      </c>
      <c r="H160" s="140">
        <f t="shared" si="1049"/>
        <v>4002</v>
      </c>
      <c r="I160" s="229" t="s">
        <v>11</v>
      </c>
      <c r="J160" s="229" t="s">
        <v>12</v>
      </c>
      <c r="K160" s="140"/>
      <c r="L160" s="140"/>
      <c r="M160" s="140"/>
      <c r="N160" s="140"/>
      <c r="O160" s="140"/>
      <c r="P160" s="140"/>
      <c r="Q160" s="140"/>
      <c r="R160" s="140"/>
      <c r="S160" s="140"/>
      <c r="T160" s="140"/>
      <c r="U160" s="140"/>
      <c r="V160" s="140"/>
      <c r="W160" s="140"/>
      <c r="X160" s="140"/>
      <c r="Y160" s="140"/>
      <c r="Z160" s="140"/>
      <c r="AA160" s="140"/>
      <c r="AB160" s="140"/>
      <c r="AC160" s="140"/>
      <c r="AD160" s="140"/>
      <c r="AE160" s="140"/>
      <c r="AF160" s="140"/>
      <c r="AG160" s="140"/>
      <c r="AH160" s="140"/>
      <c r="AI160" s="140"/>
      <c r="AJ160" s="140"/>
      <c r="AK160" s="140"/>
      <c r="AL160" s="140"/>
      <c r="AM160" s="140"/>
      <c r="AN160" s="140"/>
      <c r="AO160" s="140"/>
      <c r="AP160" s="140"/>
      <c r="AQ160" s="140"/>
      <c r="AR160" s="140"/>
      <c r="AS160" s="140"/>
      <c r="AU160" s="144"/>
      <c r="AV160" s="145"/>
      <c r="AW160" s="151"/>
      <c r="AX160" s="150"/>
      <c r="AY160" s="152"/>
      <c r="AZ160" s="151"/>
      <c r="BA160" s="150"/>
      <c r="BB160" s="152"/>
      <c r="BC160" s="151"/>
      <c r="BD160" s="153"/>
      <c r="BE160" s="152"/>
      <c r="BF160" s="154"/>
      <c r="BG160" s="150"/>
      <c r="BH160" s="152"/>
      <c r="BI160" s="154"/>
      <c r="BJ160" s="150"/>
    </row>
    <row r="161" spans="1:62" s="143" customFormat="1" ht="10.7" customHeight="1" x14ac:dyDescent="0.25">
      <c r="A161" s="140"/>
      <c r="B161" s="140"/>
      <c r="C161" s="140"/>
      <c r="D161" s="141"/>
      <c r="E161" s="140"/>
      <c r="F161" s="140"/>
      <c r="G161" s="228" t="s">
        <v>488</v>
      </c>
      <c r="H161" s="140">
        <f t="shared" si="1049"/>
        <v>3933</v>
      </c>
      <c r="I161" s="229" t="s">
        <v>16</v>
      </c>
      <c r="J161" s="229" t="s">
        <v>17</v>
      </c>
      <c r="K161" s="140"/>
      <c r="L161" s="140"/>
      <c r="M161" s="140"/>
      <c r="N161" s="140"/>
      <c r="O161" s="140"/>
      <c r="P161" s="140"/>
      <c r="Q161" s="140"/>
      <c r="R161" s="140"/>
      <c r="S161" s="140"/>
      <c r="T161" s="140"/>
      <c r="U161" s="140"/>
      <c r="V161" s="140"/>
      <c r="W161" s="140"/>
      <c r="X161" s="140"/>
      <c r="Y161" s="140"/>
      <c r="Z161" s="140"/>
      <c r="AA161" s="140"/>
      <c r="AB161" s="140"/>
      <c r="AC161" s="140"/>
      <c r="AD161" s="140"/>
      <c r="AE161" s="140"/>
      <c r="AF161" s="140"/>
      <c r="AG161" s="140"/>
      <c r="AH161" s="140"/>
      <c r="AI161" s="140"/>
      <c r="AJ161" s="140"/>
      <c r="AK161" s="140"/>
      <c r="AL161" s="140"/>
      <c r="AM161" s="140"/>
      <c r="AN161" s="140"/>
      <c r="AO161" s="140"/>
      <c r="AP161" s="140"/>
      <c r="AQ161" s="140"/>
      <c r="AR161" s="140"/>
      <c r="AS161" s="140"/>
      <c r="AU161" s="144"/>
      <c r="AV161" s="145"/>
      <c r="AW161" s="151"/>
      <c r="AX161" s="150"/>
      <c r="AY161" s="152"/>
      <c r="AZ161" s="151"/>
      <c r="BA161" s="150"/>
      <c r="BB161" s="152"/>
      <c r="BC161" s="151"/>
      <c r="BD161" s="153"/>
      <c r="BE161" s="152"/>
      <c r="BF161" s="154"/>
      <c r="BG161" s="150"/>
      <c r="BH161" s="152"/>
      <c r="BI161" s="154"/>
      <c r="BJ161" s="150"/>
    </row>
    <row r="162" spans="1:62" s="143" customFormat="1" ht="10.7" customHeight="1" x14ac:dyDescent="0.25">
      <c r="A162" s="140"/>
      <c r="B162" s="140"/>
      <c r="C162" s="140"/>
      <c r="D162" s="141"/>
      <c r="E162" s="140"/>
      <c r="F162" s="140"/>
      <c r="G162" s="228" t="s">
        <v>488</v>
      </c>
      <c r="H162" s="140">
        <f t="shared" si="1049"/>
        <v>4177</v>
      </c>
      <c r="I162" s="229" t="s">
        <v>15</v>
      </c>
      <c r="J162" s="229" t="s">
        <v>14</v>
      </c>
      <c r="K162" s="140"/>
      <c r="L162" s="140"/>
      <c r="M162" s="140"/>
      <c r="N162" s="140"/>
      <c r="O162" s="140"/>
      <c r="P162" s="140"/>
      <c r="Q162" s="140"/>
      <c r="R162" s="140"/>
      <c r="S162" s="140"/>
      <c r="T162" s="140"/>
      <c r="U162" s="140"/>
      <c r="V162" s="140"/>
      <c r="W162" s="140"/>
      <c r="X162" s="140"/>
      <c r="Y162" s="140"/>
      <c r="Z162" s="140"/>
      <c r="AA162" s="140"/>
      <c r="AB162" s="140"/>
      <c r="AC162" s="140"/>
      <c r="AD162" s="140"/>
      <c r="AE162" s="140"/>
      <c r="AF162" s="140"/>
      <c r="AG162" s="140"/>
      <c r="AH162" s="140"/>
      <c r="AI162" s="140"/>
      <c r="AJ162" s="140"/>
      <c r="AK162" s="140"/>
      <c r="AL162" s="140"/>
      <c r="AM162" s="140"/>
      <c r="AN162" s="140"/>
      <c r="AO162" s="140"/>
      <c r="AP162" s="140"/>
      <c r="AQ162" s="140"/>
      <c r="AR162" s="140"/>
      <c r="AS162" s="140"/>
      <c r="AU162" s="144"/>
      <c r="AV162" s="145"/>
      <c r="AW162" s="151"/>
      <c r="AX162" s="150"/>
      <c r="AY162" s="152"/>
      <c r="AZ162" s="151"/>
      <c r="BA162" s="150"/>
      <c r="BB162" s="152"/>
      <c r="BC162" s="151"/>
      <c r="BD162" s="153"/>
      <c r="BE162" s="152"/>
      <c r="BF162" s="154"/>
      <c r="BG162" s="150"/>
      <c r="BH162" s="152"/>
      <c r="BI162" s="154"/>
      <c r="BJ162" s="150"/>
    </row>
    <row r="163" spans="1:62" s="143" customFormat="1" ht="10.7" customHeight="1" x14ac:dyDescent="0.25">
      <c r="A163" s="140"/>
      <c r="B163" s="140"/>
      <c r="C163" s="140"/>
      <c r="D163" s="141"/>
      <c r="E163" s="140"/>
      <c r="F163" s="140"/>
      <c r="G163" s="228" t="s">
        <v>489</v>
      </c>
      <c r="H163" s="140">
        <f>G124</f>
        <v>4066</v>
      </c>
      <c r="I163" s="229" t="s">
        <v>42</v>
      </c>
      <c r="J163" s="229" t="s">
        <v>24</v>
      </c>
      <c r="K163" s="140"/>
      <c r="L163" s="140"/>
      <c r="M163" s="140"/>
      <c r="N163" s="140"/>
      <c r="O163" s="140"/>
      <c r="P163" s="140"/>
      <c r="Q163" s="140"/>
      <c r="R163" s="140"/>
      <c r="S163" s="140"/>
      <c r="T163" s="140"/>
      <c r="U163" s="140"/>
      <c r="V163" s="140"/>
      <c r="W163" s="140"/>
      <c r="X163" s="140"/>
      <c r="Y163" s="140"/>
      <c r="Z163" s="140"/>
      <c r="AA163" s="140"/>
      <c r="AB163" s="140"/>
      <c r="AC163" s="140"/>
      <c r="AD163" s="140"/>
      <c r="AE163" s="140"/>
      <c r="AF163" s="140"/>
      <c r="AG163" s="140"/>
      <c r="AH163" s="140"/>
      <c r="AI163" s="140"/>
      <c r="AJ163" s="140"/>
      <c r="AK163" s="140"/>
      <c r="AL163" s="140"/>
      <c r="AM163" s="140"/>
      <c r="AN163" s="140"/>
      <c r="AO163" s="140"/>
      <c r="AP163" s="140"/>
      <c r="AQ163" s="140"/>
      <c r="AR163" s="140"/>
      <c r="AS163" s="140"/>
      <c r="AU163" s="144"/>
      <c r="AV163" s="145"/>
      <c r="AW163" s="151"/>
      <c r="AX163" s="150"/>
      <c r="AY163" s="152"/>
      <c r="AZ163" s="151"/>
      <c r="BA163" s="150"/>
      <c r="BB163" s="152"/>
      <c r="BC163" s="151"/>
      <c r="BD163" s="153"/>
      <c r="BE163" s="152"/>
      <c r="BF163" s="154"/>
      <c r="BG163" s="150"/>
      <c r="BH163" s="152"/>
      <c r="BI163" s="154"/>
      <c r="BJ163" s="150"/>
    </row>
    <row r="164" spans="1:62" s="143" customFormat="1" ht="10.7" customHeight="1" x14ac:dyDescent="0.25">
      <c r="A164" s="140"/>
      <c r="B164" s="140"/>
      <c r="C164" s="140"/>
      <c r="D164" s="141"/>
      <c r="E164" s="140"/>
      <c r="F164" s="140"/>
      <c r="G164" s="228" t="s">
        <v>489</v>
      </c>
      <c r="H164" s="140">
        <f t="shared" ref="H164:H178" si="1050">G125</f>
        <v>4293</v>
      </c>
      <c r="I164" s="229" t="s">
        <v>48</v>
      </c>
      <c r="J164" s="229" t="s">
        <v>14</v>
      </c>
      <c r="K164" s="140"/>
      <c r="L164" s="140"/>
      <c r="M164" s="140"/>
      <c r="N164" s="140"/>
      <c r="O164" s="140"/>
      <c r="P164" s="140"/>
      <c r="Q164" s="140"/>
      <c r="R164" s="140"/>
      <c r="S164" s="140"/>
      <c r="T164" s="140"/>
      <c r="U164" s="140"/>
      <c r="V164" s="140"/>
      <c r="W164" s="140"/>
      <c r="X164" s="140"/>
      <c r="Y164" s="140"/>
      <c r="Z164" s="140"/>
      <c r="AA164" s="140"/>
      <c r="AB164" s="140"/>
      <c r="AC164" s="140"/>
      <c r="AD164" s="140"/>
      <c r="AE164" s="140"/>
      <c r="AF164" s="140"/>
      <c r="AG164" s="140"/>
      <c r="AH164" s="140"/>
      <c r="AI164" s="140"/>
      <c r="AJ164" s="140"/>
      <c r="AK164" s="140"/>
      <c r="AL164" s="140"/>
      <c r="AM164" s="140"/>
      <c r="AN164" s="140"/>
      <c r="AO164" s="140"/>
      <c r="AP164" s="140"/>
      <c r="AQ164" s="140"/>
      <c r="AR164" s="140"/>
      <c r="AS164" s="140"/>
      <c r="AU164" s="144"/>
      <c r="AV164" s="145"/>
      <c r="AW164" s="151"/>
      <c r="AX164" s="150"/>
      <c r="AY164" s="152"/>
      <c r="AZ164" s="151"/>
      <c r="BA164" s="150"/>
      <c r="BB164" s="152"/>
      <c r="BC164" s="151"/>
      <c r="BD164" s="153"/>
      <c r="BE164" s="152"/>
      <c r="BF164" s="154"/>
      <c r="BG164" s="150"/>
      <c r="BH164" s="152"/>
      <c r="BI164" s="154"/>
      <c r="BJ164" s="150"/>
    </row>
    <row r="165" spans="1:62" s="143" customFormat="1" ht="10.7" customHeight="1" x14ac:dyDescent="0.25">
      <c r="A165" s="140"/>
      <c r="B165" s="140"/>
      <c r="C165" s="140"/>
      <c r="D165" s="141"/>
      <c r="E165" s="140"/>
      <c r="F165" s="140"/>
      <c r="G165" s="228" t="s">
        <v>489</v>
      </c>
      <c r="H165" s="140">
        <f t="shared" si="1050"/>
        <v>4288</v>
      </c>
      <c r="I165" s="229" t="s">
        <v>35</v>
      </c>
      <c r="J165" s="229" t="s">
        <v>6</v>
      </c>
      <c r="K165" s="140"/>
      <c r="L165" s="140"/>
      <c r="M165" s="140"/>
      <c r="N165" s="140"/>
      <c r="O165" s="140"/>
      <c r="P165" s="140"/>
      <c r="Q165" s="140"/>
      <c r="R165" s="140"/>
      <c r="S165" s="140"/>
      <c r="T165" s="140"/>
      <c r="U165" s="140"/>
      <c r="V165" s="140"/>
      <c r="W165" s="140"/>
      <c r="X165" s="140"/>
      <c r="Y165" s="140"/>
      <c r="Z165" s="140"/>
      <c r="AA165" s="140"/>
      <c r="AB165" s="140"/>
      <c r="AC165" s="140"/>
      <c r="AD165" s="140"/>
      <c r="AE165" s="140"/>
      <c r="AF165" s="140"/>
      <c r="AG165" s="140"/>
      <c r="AH165" s="140"/>
      <c r="AI165" s="140"/>
      <c r="AJ165" s="140"/>
      <c r="AK165" s="140"/>
      <c r="AL165" s="140"/>
      <c r="AM165" s="140"/>
      <c r="AN165" s="140"/>
      <c r="AO165" s="140"/>
      <c r="AP165" s="140"/>
      <c r="AQ165" s="140"/>
      <c r="AR165" s="140"/>
      <c r="AS165" s="140"/>
      <c r="AU165" s="144"/>
      <c r="AV165" s="145"/>
      <c r="AW165" s="151"/>
      <c r="AX165" s="150"/>
      <c r="AY165" s="152"/>
      <c r="AZ165" s="151"/>
      <c r="BA165" s="150"/>
      <c r="BB165" s="152"/>
      <c r="BC165" s="151"/>
      <c r="BD165" s="153"/>
      <c r="BE165" s="152"/>
      <c r="BF165" s="154"/>
      <c r="BG165" s="150"/>
      <c r="BH165" s="152"/>
      <c r="BI165" s="154"/>
      <c r="BJ165" s="150"/>
    </row>
    <row r="166" spans="1:62" s="143" customFormat="1" ht="10.7" customHeight="1" x14ac:dyDescent="0.25">
      <c r="A166" s="140"/>
      <c r="B166" s="140"/>
      <c r="C166" s="140"/>
      <c r="D166" s="141"/>
      <c r="E166" s="140"/>
      <c r="F166" s="140"/>
      <c r="G166" s="228" t="s">
        <v>489</v>
      </c>
      <c r="H166" s="140">
        <f t="shared" si="1050"/>
        <v>3696</v>
      </c>
      <c r="I166" s="229" t="s">
        <v>26</v>
      </c>
      <c r="J166" s="229" t="s">
        <v>17</v>
      </c>
      <c r="K166" s="140"/>
      <c r="L166" s="140"/>
      <c r="M166" s="140"/>
      <c r="N166" s="140"/>
      <c r="O166" s="140"/>
      <c r="P166" s="140"/>
      <c r="Q166" s="140"/>
      <c r="R166" s="140"/>
      <c r="S166" s="140"/>
      <c r="T166" s="140"/>
      <c r="U166" s="140"/>
      <c r="V166" s="140"/>
      <c r="W166" s="140"/>
      <c r="X166" s="140"/>
      <c r="Y166" s="140"/>
      <c r="Z166" s="140"/>
      <c r="AA166" s="140"/>
      <c r="AB166" s="140"/>
      <c r="AC166" s="140"/>
      <c r="AD166" s="140"/>
      <c r="AE166" s="140"/>
      <c r="AF166" s="140"/>
      <c r="AG166" s="140"/>
      <c r="AH166" s="140"/>
      <c r="AI166" s="140"/>
      <c r="AJ166" s="140"/>
      <c r="AK166" s="140"/>
      <c r="AL166" s="140"/>
      <c r="AM166" s="140"/>
      <c r="AN166" s="140"/>
      <c r="AO166" s="140"/>
      <c r="AP166" s="140"/>
      <c r="AQ166" s="140"/>
      <c r="AR166" s="140"/>
      <c r="AS166" s="140"/>
      <c r="AU166" s="144"/>
      <c r="AV166" s="145"/>
      <c r="AW166" s="151"/>
      <c r="AX166" s="150"/>
      <c r="AY166" s="152"/>
      <c r="AZ166" s="151"/>
      <c r="BA166" s="150"/>
      <c r="BB166" s="152"/>
      <c r="BC166" s="151"/>
      <c r="BD166" s="153"/>
      <c r="BE166" s="152"/>
      <c r="BF166" s="154"/>
      <c r="BG166" s="150"/>
      <c r="BH166" s="152"/>
      <c r="BI166" s="154"/>
      <c r="BJ166" s="150"/>
    </row>
    <row r="167" spans="1:62" s="143" customFormat="1" ht="10.7" customHeight="1" x14ac:dyDescent="0.25">
      <c r="A167" s="140"/>
      <c r="B167" s="140"/>
      <c r="C167" s="140"/>
      <c r="D167" s="141"/>
      <c r="E167" s="140"/>
      <c r="F167" s="140"/>
      <c r="G167" s="228" t="s">
        <v>489</v>
      </c>
      <c r="H167" s="140">
        <f t="shared" si="1050"/>
        <v>4182</v>
      </c>
      <c r="I167" s="229" t="s">
        <v>36</v>
      </c>
      <c r="J167" s="229" t="s">
        <v>8</v>
      </c>
      <c r="K167" s="140"/>
      <c r="L167" s="140"/>
      <c r="M167" s="140"/>
      <c r="N167" s="140"/>
      <c r="O167" s="140"/>
      <c r="P167" s="140"/>
      <c r="Q167" s="140"/>
      <c r="R167" s="140"/>
      <c r="S167" s="140"/>
      <c r="T167" s="140"/>
      <c r="U167" s="140"/>
      <c r="V167" s="140"/>
      <c r="W167" s="140"/>
      <c r="X167" s="140"/>
      <c r="Y167" s="140"/>
      <c r="Z167" s="140"/>
      <c r="AA167" s="140"/>
      <c r="AB167" s="140"/>
      <c r="AC167" s="140"/>
      <c r="AD167" s="140"/>
      <c r="AE167" s="140"/>
      <c r="AF167" s="140"/>
      <c r="AG167" s="140"/>
      <c r="AH167" s="140"/>
      <c r="AI167" s="140"/>
      <c r="AJ167" s="140"/>
      <c r="AK167" s="140"/>
      <c r="AL167" s="140"/>
      <c r="AM167" s="140"/>
      <c r="AN167" s="140"/>
      <c r="AO167" s="140"/>
      <c r="AP167" s="140"/>
      <c r="AQ167" s="140"/>
      <c r="AR167" s="140"/>
      <c r="AS167" s="140"/>
      <c r="AU167" s="144"/>
      <c r="AV167" s="145"/>
      <c r="AW167" s="151"/>
      <c r="AX167" s="150"/>
      <c r="AY167" s="152"/>
      <c r="AZ167" s="151"/>
      <c r="BA167" s="150"/>
      <c r="BB167" s="152"/>
      <c r="BC167" s="151"/>
      <c r="BD167" s="153"/>
      <c r="BE167" s="152"/>
      <c r="BF167" s="154"/>
      <c r="BG167" s="150"/>
      <c r="BH167" s="152"/>
      <c r="BI167" s="154"/>
      <c r="BJ167" s="150"/>
    </row>
    <row r="168" spans="1:62" s="143" customFormat="1" ht="10.7" customHeight="1" x14ac:dyDescent="0.25">
      <c r="A168" s="140"/>
      <c r="B168" s="140"/>
      <c r="C168" s="140"/>
      <c r="D168" s="141"/>
      <c r="E168" s="140"/>
      <c r="F168" s="140"/>
      <c r="G168" s="228" t="s">
        <v>489</v>
      </c>
      <c r="H168" s="140">
        <f t="shared" si="1050"/>
        <v>4227</v>
      </c>
      <c r="I168" s="229" t="s">
        <v>39</v>
      </c>
      <c r="J168" s="229" t="s">
        <v>40</v>
      </c>
      <c r="K168" s="140"/>
      <c r="L168" s="140"/>
      <c r="M168" s="140"/>
      <c r="N168" s="140"/>
      <c r="O168" s="140"/>
      <c r="P168" s="140"/>
      <c r="Q168" s="140"/>
      <c r="R168" s="140"/>
      <c r="S168" s="140"/>
      <c r="T168" s="140"/>
      <c r="U168" s="140"/>
      <c r="V168" s="140"/>
      <c r="W168" s="140"/>
      <c r="X168" s="140"/>
      <c r="Y168" s="140"/>
      <c r="Z168" s="140"/>
      <c r="AA168" s="140"/>
      <c r="AB168" s="140"/>
      <c r="AC168" s="140"/>
      <c r="AD168" s="140"/>
      <c r="AE168" s="140"/>
      <c r="AF168" s="140"/>
      <c r="AG168" s="140"/>
      <c r="AH168" s="140"/>
      <c r="AI168" s="140"/>
      <c r="AJ168" s="140"/>
      <c r="AK168" s="140"/>
      <c r="AL168" s="140"/>
      <c r="AM168" s="140"/>
      <c r="AN168" s="140"/>
      <c r="AO168" s="140"/>
      <c r="AP168" s="140"/>
      <c r="AQ168" s="140"/>
      <c r="AR168" s="140"/>
      <c r="AS168" s="140"/>
      <c r="AU168" s="144"/>
      <c r="AV168" s="145"/>
      <c r="AW168" s="151"/>
      <c r="AX168" s="150"/>
      <c r="AY168" s="152"/>
      <c r="AZ168" s="151"/>
      <c r="BA168" s="150"/>
      <c r="BB168" s="152"/>
      <c r="BC168" s="151"/>
      <c r="BD168" s="153"/>
      <c r="BE168" s="152"/>
      <c r="BF168" s="154"/>
      <c r="BG168" s="150"/>
      <c r="BH168" s="152"/>
      <c r="BI168" s="154"/>
      <c r="BJ168" s="150"/>
    </row>
    <row r="169" spans="1:62" s="143" customFormat="1" ht="10.7" customHeight="1" x14ac:dyDescent="0.25">
      <c r="A169" s="140"/>
      <c r="B169" s="140"/>
      <c r="C169" s="140"/>
      <c r="D169" s="141"/>
      <c r="E169" s="140"/>
      <c r="F169" s="140"/>
      <c r="G169" s="228" t="s">
        <v>489</v>
      </c>
      <c r="H169" s="140">
        <f t="shared" si="1050"/>
        <v>4681</v>
      </c>
      <c r="I169" s="229" t="s">
        <v>46</v>
      </c>
      <c r="J169" s="229" t="s">
        <v>24</v>
      </c>
      <c r="K169" s="140"/>
      <c r="L169" s="140"/>
      <c r="M169" s="140"/>
      <c r="N169" s="140"/>
      <c r="O169" s="140"/>
      <c r="P169" s="140"/>
      <c r="Q169" s="140"/>
      <c r="R169" s="140"/>
      <c r="S169" s="140"/>
      <c r="T169" s="140"/>
      <c r="U169" s="140"/>
      <c r="V169" s="140"/>
      <c r="W169" s="140"/>
      <c r="X169" s="140"/>
      <c r="Y169" s="140"/>
      <c r="Z169" s="140"/>
      <c r="AA169" s="140"/>
      <c r="AB169" s="140"/>
      <c r="AC169" s="140"/>
      <c r="AD169" s="140"/>
      <c r="AE169" s="140"/>
      <c r="AF169" s="140"/>
      <c r="AG169" s="140"/>
      <c r="AH169" s="140"/>
      <c r="AI169" s="140"/>
      <c r="AJ169" s="140"/>
      <c r="AK169" s="140"/>
      <c r="AL169" s="140"/>
      <c r="AM169" s="140"/>
      <c r="AN169" s="140"/>
      <c r="AO169" s="140"/>
      <c r="AP169" s="140"/>
      <c r="AQ169" s="140"/>
      <c r="AR169" s="140"/>
      <c r="AS169" s="140"/>
      <c r="AU169" s="144"/>
      <c r="AV169" s="145"/>
      <c r="AW169" s="151"/>
      <c r="AX169" s="150"/>
      <c r="AY169" s="152"/>
      <c r="AZ169" s="151"/>
      <c r="BA169" s="150"/>
      <c r="BB169" s="152"/>
      <c r="BC169" s="151"/>
      <c r="BD169" s="153"/>
      <c r="BE169" s="152"/>
      <c r="BF169" s="154"/>
      <c r="BG169" s="150"/>
      <c r="BH169" s="152"/>
      <c r="BI169" s="154"/>
      <c r="BJ169" s="150"/>
    </row>
    <row r="170" spans="1:62" s="143" customFormat="1" ht="10.7" customHeight="1" x14ac:dyDescent="0.25">
      <c r="A170" s="140"/>
      <c r="B170" s="140"/>
      <c r="C170" s="140"/>
      <c r="D170" s="141"/>
      <c r="E170" s="140"/>
      <c r="F170" s="140"/>
      <c r="G170" s="228" t="s">
        <v>489</v>
      </c>
      <c r="H170" s="140">
        <f t="shared" si="1050"/>
        <v>4463</v>
      </c>
      <c r="I170" s="229" t="s">
        <v>31</v>
      </c>
      <c r="J170" s="229" t="s">
        <v>14</v>
      </c>
      <c r="K170" s="140"/>
      <c r="L170" s="140"/>
      <c r="M170" s="140"/>
      <c r="N170" s="140"/>
      <c r="O170" s="140"/>
      <c r="P170" s="140"/>
      <c r="Q170" s="140"/>
      <c r="R170" s="140"/>
      <c r="S170" s="140"/>
      <c r="T170" s="140"/>
      <c r="U170" s="140"/>
      <c r="V170" s="140"/>
      <c r="W170" s="140"/>
      <c r="X170" s="140"/>
      <c r="Y170" s="140"/>
      <c r="Z170" s="140"/>
      <c r="AA170" s="140"/>
      <c r="AB170" s="140"/>
      <c r="AC170" s="140"/>
      <c r="AD170" s="140"/>
      <c r="AE170" s="140"/>
      <c r="AF170" s="140"/>
      <c r="AG170" s="140"/>
      <c r="AH170" s="140"/>
      <c r="AI170" s="140"/>
      <c r="AJ170" s="140"/>
      <c r="AK170" s="140"/>
      <c r="AL170" s="140"/>
      <c r="AM170" s="140"/>
      <c r="AN170" s="140"/>
      <c r="AO170" s="140"/>
      <c r="AP170" s="140"/>
      <c r="AQ170" s="140"/>
      <c r="AR170" s="140"/>
      <c r="AS170" s="140"/>
      <c r="AU170" s="144"/>
      <c r="AV170" s="145"/>
      <c r="AW170" s="151"/>
      <c r="AX170" s="150"/>
      <c r="AY170" s="152"/>
      <c r="AZ170" s="151"/>
      <c r="BA170" s="150"/>
      <c r="BB170" s="152"/>
      <c r="BC170" s="151"/>
      <c r="BD170" s="153"/>
      <c r="BE170" s="152"/>
      <c r="BF170" s="154"/>
      <c r="BG170" s="150"/>
      <c r="BH170" s="152"/>
      <c r="BI170" s="154"/>
      <c r="BJ170" s="150"/>
    </row>
    <row r="171" spans="1:62" s="143" customFormat="1" ht="10.7" customHeight="1" x14ac:dyDescent="0.25">
      <c r="A171" s="140"/>
      <c r="B171" s="140"/>
      <c r="C171" s="140"/>
      <c r="D171" s="141"/>
      <c r="E171" s="140"/>
      <c r="F171" s="140"/>
      <c r="G171" s="228" t="s">
        <v>489</v>
      </c>
      <c r="H171" s="140">
        <f t="shared" si="1050"/>
        <v>4727</v>
      </c>
      <c r="I171" s="229" t="s">
        <v>41</v>
      </c>
      <c r="J171" s="229" t="s">
        <v>6</v>
      </c>
      <c r="K171" s="140"/>
      <c r="L171" s="140"/>
      <c r="M171" s="140"/>
      <c r="N171" s="140"/>
      <c r="O171" s="140"/>
      <c r="P171" s="140"/>
      <c r="Q171" s="140"/>
      <c r="R171" s="140"/>
      <c r="S171" s="140"/>
      <c r="T171" s="140"/>
      <c r="U171" s="140"/>
      <c r="V171" s="140"/>
      <c r="W171" s="140"/>
      <c r="X171" s="140"/>
      <c r="Y171" s="140"/>
      <c r="Z171" s="140"/>
      <c r="AA171" s="140"/>
      <c r="AB171" s="140"/>
      <c r="AC171" s="140"/>
      <c r="AD171" s="140"/>
      <c r="AE171" s="140"/>
      <c r="AF171" s="140"/>
      <c r="AG171" s="140"/>
      <c r="AH171" s="140"/>
      <c r="AI171" s="140"/>
      <c r="AJ171" s="140"/>
      <c r="AK171" s="140"/>
      <c r="AL171" s="140"/>
      <c r="AM171" s="140"/>
      <c r="AN171" s="140"/>
      <c r="AO171" s="140"/>
      <c r="AP171" s="140"/>
      <c r="AQ171" s="140"/>
      <c r="AR171" s="140"/>
      <c r="AS171" s="140"/>
      <c r="AU171" s="144"/>
      <c r="AV171" s="145"/>
      <c r="AW171" s="151"/>
      <c r="AX171" s="150"/>
      <c r="AY171" s="152"/>
      <c r="AZ171" s="151"/>
      <c r="BA171" s="150"/>
      <c r="BB171" s="152"/>
      <c r="BC171" s="151"/>
      <c r="BD171" s="153"/>
      <c r="BE171" s="152"/>
      <c r="BF171" s="154"/>
      <c r="BG171" s="150"/>
      <c r="BH171" s="152"/>
      <c r="BI171" s="154"/>
      <c r="BJ171" s="150"/>
    </row>
    <row r="172" spans="1:62" s="143" customFormat="1" ht="10.7" customHeight="1" x14ac:dyDescent="0.25">
      <c r="A172" s="140"/>
      <c r="B172" s="140"/>
      <c r="C172" s="140"/>
      <c r="D172" s="141"/>
      <c r="E172" s="140"/>
      <c r="F172" s="140"/>
      <c r="G172" s="228" t="s">
        <v>489</v>
      </c>
      <c r="H172" s="140">
        <f t="shared" si="1050"/>
        <v>4287</v>
      </c>
      <c r="I172" s="229" t="s">
        <v>27</v>
      </c>
      <c r="J172" s="229" t="s">
        <v>6</v>
      </c>
      <c r="K172" s="140"/>
      <c r="L172" s="140"/>
      <c r="M172" s="140"/>
      <c r="N172" s="140"/>
      <c r="O172" s="140"/>
      <c r="P172" s="140"/>
      <c r="Q172" s="140"/>
      <c r="R172" s="140"/>
      <c r="S172" s="140"/>
      <c r="T172" s="140"/>
      <c r="U172" s="140"/>
      <c r="V172" s="140"/>
      <c r="W172" s="140"/>
      <c r="X172" s="140"/>
      <c r="Y172" s="140"/>
      <c r="Z172" s="140"/>
      <c r="AA172" s="140"/>
      <c r="AB172" s="140"/>
      <c r="AC172" s="140"/>
      <c r="AD172" s="140"/>
      <c r="AE172" s="140"/>
      <c r="AF172" s="140"/>
      <c r="AG172" s="140"/>
      <c r="AH172" s="140"/>
      <c r="AI172" s="140"/>
      <c r="AJ172" s="140"/>
      <c r="AK172" s="140"/>
      <c r="AL172" s="140"/>
      <c r="AM172" s="140"/>
      <c r="AN172" s="140"/>
      <c r="AO172" s="140"/>
      <c r="AP172" s="140"/>
      <c r="AQ172" s="140"/>
      <c r="AR172" s="140"/>
      <c r="AS172" s="140"/>
      <c r="AU172" s="144"/>
      <c r="AV172" s="145"/>
      <c r="AW172" s="151"/>
      <c r="AX172" s="150"/>
      <c r="AY172" s="152"/>
      <c r="AZ172" s="151"/>
      <c r="BA172" s="150"/>
      <c r="BB172" s="152"/>
      <c r="BC172" s="151"/>
      <c r="BD172" s="153"/>
      <c r="BE172" s="152"/>
      <c r="BF172" s="154"/>
      <c r="BG172" s="150"/>
      <c r="BH172" s="152"/>
      <c r="BI172" s="154"/>
      <c r="BJ172" s="150"/>
    </row>
    <row r="173" spans="1:62" s="143" customFormat="1" ht="10.7" customHeight="1" x14ac:dyDescent="0.25">
      <c r="A173" s="140"/>
      <c r="B173" s="140"/>
      <c r="C173" s="140"/>
      <c r="D173" s="141"/>
      <c r="E173" s="140"/>
      <c r="F173" s="140"/>
      <c r="G173" s="228" t="s">
        <v>489</v>
      </c>
      <c r="H173" s="140">
        <f t="shared" si="1050"/>
        <v>4682</v>
      </c>
      <c r="I173" s="229" t="s">
        <v>32</v>
      </c>
      <c r="J173" s="229" t="s">
        <v>24</v>
      </c>
      <c r="K173" s="140"/>
      <c r="L173" s="140"/>
      <c r="M173" s="140"/>
      <c r="N173" s="140"/>
      <c r="O173" s="140"/>
      <c r="P173" s="140"/>
      <c r="Q173" s="140"/>
      <c r="R173" s="140"/>
      <c r="S173" s="140"/>
      <c r="T173" s="140"/>
      <c r="U173" s="140"/>
      <c r="V173" s="140"/>
      <c r="W173" s="140"/>
      <c r="X173" s="140"/>
      <c r="Y173" s="140"/>
      <c r="Z173" s="140"/>
      <c r="AA173" s="140"/>
      <c r="AB173" s="140"/>
      <c r="AC173" s="140"/>
      <c r="AD173" s="140"/>
      <c r="AE173" s="140"/>
      <c r="AF173" s="140"/>
      <c r="AG173" s="140"/>
      <c r="AH173" s="140"/>
      <c r="AI173" s="140"/>
      <c r="AJ173" s="140"/>
      <c r="AK173" s="140"/>
      <c r="AL173" s="140"/>
      <c r="AM173" s="140"/>
      <c r="AN173" s="140"/>
      <c r="AO173" s="140"/>
      <c r="AP173" s="140"/>
      <c r="AQ173" s="140"/>
      <c r="AR173" s="140"/>
      <c r="AS173" s="140"/>
      <c r="AU173" s="144"/>
      <c r="AV173" s="145"/>
      <c r="AW173" s="151"/>
      <c r="AX173" s="150"/>
      <c r="AY173" s="152"/>
      <c r="AZ173" s="151"/>
      <c r="BA173" s="150"/>
      <c r="BB173" s="152"/>
      <c r="BC173" s="151"/>
      <c r="BD173" s="153"/>
      <c r="BE173" s="152"/>
      <c r="BF173" s="154"/>
      <c r="BG173" s="150"/>
      <c r="BH173" s="152"/>
      <c r="BI173" s="154"/>
      <c r="BJ173" s="150"/>
    </row>
    <row r="174" spans="1:62" s="143" customFormat="1" ht="10.7" customHeight="1" x14ac:dyDescent="0.25">
      <c r="A174" s="140"/>
      <c r="B174" s="140"/>
      <c r="C174" s="140"/>
      <c r="D174" s="141"/>
      <c r="E174" s="140"/>
      <c r="F174" s="140"/>
      <c r="G174" s="228" t="s">
        <v>489</v>
      </c>
      <c r="H174" s="140">
        <f t="shared" si="1050"/>
        <v>3875</v>
      </c>
      <c r="I174" s="229" t="s">
        <v>20</v>
      </c>
      <c r="J174" s="229" t="s">
        <v>6</v>
      </c>
      <c r="K174" s="140"/>
      <c r="L174" s="140"/>
      <c r="M174" s="140"/>
      <c r="N174" s="140"/>
      <c r="O174" s="140"/>
      <c r="P174" s="140"/>
      <c r="Q174" s="140"/>
      <c r="R174" s="140"/>
      <c r="S174" s="140"/>
      <c r="T174" s="140"/>
      <c r="U174" s="140"/>
      <c r="V174" s="140"/>
      <c r="W174" s="140"/>
      <c r="X174" s="140"/>
      <c r="Y174" s="140"/>
      <c r="Z174" s="140"/>
      <c r="AA174" s="140"/>
      <c r="AB174" s="140"/>
      <c r="AC174" s="140"/>
      <c r="AD174" s="140"/>
      <c r="AE174" s="140"/>
      <c r="AF174" s="140"/>
      <c r="AG174" s="140"/>
      <c r="AH174" s="140"/>
      <c r="AI174" s="140"/>
      <c r="AJ174" s="140"/>
      <c r="AK174" s="140"/>
      <c r="AL174" s="140"/>
      <c r="AM174" s="140"/>
      <c r="AN174" s="140"/>
      <c r="AO174" s="140"/>
      <c r="AP174" s="140"/>
      <c r="AQ174" s="140"/>
      <c r="AR174" s="140"/>
      <c r="AS174" s="140"/>
      <c r="AU174" s="144"/>
      <c r="AV174" s="145"/>
      <c r="AW174" s="151"/>
      <c r="AX174" s="150"/>
      <c r="AY174" s="152"/>
      <c r="AZ174" s="151"/>
      <c r="BA174" s="150"/>
      <c r="BB174" s="152"/>
      <c r="BC174" s="151"/>
      <c r="BD174" s="153"/>
      <c r="BE174" s="152"/>
      <c r="BF174" s="154"/>
      <c r="BG174" s="150"/>
      <c r="BH174" s="152"/>
      <c r="BI174" s="154"/>
      <c r="BJ174" s="150"/>
    </row>
    <row r="175" spans="1:62" s="143" customFormat="1" ht="10.7" customHeight="1" x14ac:dyDescent="0.25">
      <c r="A175" s="140"/>
      <c r="B175" s="140"/>
      <c r="C175" s="140"/>
      <c r="D175" s="141"/>
      <c r="E175" s="140"/>
      <c r="F175" s="140"/>
      <c r="G175" s="228" t="s">
        <v>489</v>
      </c>
      <c r="H175" s="140">
        <f t="shared" si="1050"/>
        <v>4527</v>
      </c>
      <c r="I175" s="229" t="s">
        <v>47</v>
      </c>
      <c r="J175" s="229" t="s">
        <v>6</v>
      </c>
      <c r="K175" s="140"/>
      <c r="L175" s="140"/>
      <c r="M175" s="140"/>
      <c r="N175" s="140"/>
      <c r="O175" s="140"/>
      <c r="P175" s="140"/>
      <c r="Q175" s="140"/>
      <c r="R175" s="140"/>
      <c r="S175" s="140"/>
      <c r="T175" s="140"/>
      <c r="U175" s="140"/>
      <c r="V175" s="140"/>
      <c r="W175" s="140"/>
      <c r="X175" s="140"/>
      <c r="Y175" s="140"/>
      <c r="Z175" s="140"/>
      <c r="AA175" s="140"/>
      <c r="AB175" s="140"/>
      <c r="AC175" s="140"/>
      <c r="AD175" s="140"/>
      <c r="AE175" s="140"/>
      <c r="AF175" s="140"/>
      <c r="AG175" s="140"/>
      <c r="AH175" s="140"/>
      <c r="AI175" s="140"/>
      <c r="AJ175" s="140"/>
      <c r="AK175" s="140"/>
      <c r="AL175" s="140"/>
      <c r="AM175" s="140"/>
      <c r="AN175" s="140"/>
      <c r="AO175" s="140"/>
      <c r="AP175" s="140"/>
      <c r="AQ175" s="140"/>
      <c r="AR175" s="140"/>
      <c r="AS175" s="140"/>
      <c r="AU175" s="144"/>
      <c r="AV175" s="145"/>
      <c r="AW175" s="151"/>
      <c r="AX175" s="150"/>
      <c r="AY175" s="152"/>
      <c r="AZ175" s="151"/>
      <c r="BA175" s="150"/>
      <c r="BB175" s="152"/>
      <c r="BC175" s="151"/>
      <c r="BD175" s="153"/>
      <c r="BE175" s="152"/>
      <c r="BF175" s="154"/>
      <c r="BG175" s="150"/>
      <c r="BH175" s="152"/>
      <c r="BI175" s="154"/>
      <c r="BJ175" s="150"/>
    </row>
    <row r="176" spans="1:62" s="143" customFormat="1" ht="10.7" customHeight="1" x14ac:dyDescent="0.25">
      <c r="A176" s="140"/>
      <c r="B176" s="140"/>
      <c r="C176" s="140"/>
      <c r="D176" s="141"/>
      <c r="E176" s="140"/>
      <c r="F176" s="140"/>
      <c r="G176" s="228" t="s">
        <v>489</v>
      </c>
      <c r="H176" s="140">
        <f t="shared" si="1050"/>
        <v>4702</v>
      </c>
      <c r="I176" s="229" t="s">
        <v>63</v>
      </c>
      <c r="J176" s="229" t="s">
        <v>14</v>
      </c>
      <c r="K176" s="140"/>
      <c r="L176" s="140"/>
      <c r="M176" s="140"/>
      <c r="N176" s="140"/>
      <c r="O176" s="140"/>
      <c r="P176" s="140"/>
      <c r="Q176" s="140"/>
      <c r="R176" s="140"/>
      <c r="S176" s="140"/>
      <c r="T176" s="140"/>
      <c r="U176" s="140"/>
      <c r="V176" s="140"/>
      <c r="W176" s="140"/>
      <c r="X176" s="140"/>
      <c r="Y176" s="140"/>
      <c r="Z176" s="140"/>
      <c r="AA176" s="140"/>
      <c r="AB176" s="140"/>
      <c r="AC176" s="140"/>
      <c r="AD176" s="140"/>
      <c r="AE176" s="140"/>
      <c r="AF176" s="140"/>
      <c r="AG176" s="140"/>
      <c r="AH176" s="140"/>
      <c r="AI176" s="140"/>
      <c r="AJ176" s="140"/>
      <c r="AK176" s="140"/>
      <c r="AL176" s="140"/>
      <c r="AM176" s="140"/>
      <c r="AN176" s="140"/>
      <c r="AO176" s="140"/>
      <c r="AP176" s="140"/>
      <c r="AQ176" s="140"/>
      <c r="AR176" s="140"/>
      <c r="AS176" s="140"/>
      <c r="AU176" s="144"/>
      <c r="AV176" s="145"/>
      <c r="AW176" s="151"/>
      <c r="AX176" s="150"/>
      <c r="AY176" s="152"/>
      <c r="AZ176" s="151"/>
      <c r="BA176" s="150"/>
      <c r="BB176" s="152"/>
      <c r="BC176" s="151"/>
      <c r="BD176" s="153"/>
      <c r="BE176" s="152"/>
      <c r="BF176" s="154"/>
      <c r="BG176" s="150"/>
      <c r="BH176" s="152"/>
      <c r="BI176" s="154"/>
      <c r="BJ176" s="150"/>
    </row>
    <row r="177" spans="1:62" s="143" customFormat="1" ht="10.7" customHeight="1" x14ac:dyDescent="0.25">
      <c r="A177" s="140"/>
      <c r="B177" s="140"/>
      <c r="C177" s="140"/>
      <c r="D177" s="141"/>
      <c r="E177" s="140"/>
      <c r="F177" s="140"/>
      <c r="G177" s="228" t="s">
        <v>489</v>
      </c>
      <c r="H177" s="140">
        <f t="shared" si="1050"/>
        <v>4541</v>
      </c>
      <c r="I177" s="229" t="s">
        <v>38</v>
      </c>
      <c r="J177" s="229" t="s">
        <v>14</v>
      </c>
      <c r="K177" s="140"/>
      <c r="L177" s="140"/>
      <c r="M177" s="140"/>
      <c r="N177" s="140"/>
      <c r="O177" s="140"/>
      <c r="P177" s="140"/>
      <c r="Q177" s="140"/>
      <c r="R177" s="140"/>
      <c r="S177" s="140"/>
      <c r="T177" s="140"/>
      <c r="U177" s="140"/>
      <c r="V177" s="140"/>
      <c r="W177" s="140"/>
      <c r="X177" s="140"/>
      <c r="Y177" s="140"/>
      <c r="Z177" s="140"/>
      <c r="AA177" s="140"/>
      <c r="AB177" s="140"/>
      <c r="AC177" s="140"/>
      <c r="AD177" s="140"/>
      <c r="AE177" s="140"/>
      <c r="AF177" s="140"/>
      <c r="AG177" s="140"/>
      <c r="AH177" s="140"/>
      <c r="AI177" s="140"/>
      <c r="AJ177" s="140"/>
      <c r="AK177" s="140"/>
      <c r="AL177" s="140"/>
      <c r="AM177" s="140"/>
      <c r="AN177" s="140"/>
      <c r="AO177" s="140"/>
      <c r="AP177" s="140"/>
      <c r="AQ177" s="140"/>
      <c r="AR177" s="140"/>
      <c r="AS177" s="140"/>
      <c r="AU177" s="144"/>
      <c r="AV177" s="145"/>
      <c r="AW177" s="151"/>
      <c r="AX177" s="150"/>
      <c r="AY177" s="152"/>
      <c r="AZ177" s="151"/>
      <c r="BA177" s="150"/>
      <c r="BB177" s="152"/>
      <c r="BC177" s="151"/>
      <c r="BD177" s="153"/>
      <c r="BE177" s="152"/>
      <c r="BF177" s="154"/>
      <c r="BG177" s="150"/>
      <c r="BH177" s="152"/>
      <c r="BI177" s="154"/>
      <c r="BJ177" s="150"/>
    </row>
    <row r="178" spans="1:62" s="143" customFormat="1" ht="10.7" customHeight="1" x14ac:dyDescent="0.25">
      <c r="A178" s="140"/>
      <c r="B178" s="140"/>
      <c r="C178" s="140"/>
      <c r="D178" s="141"/>
      <c r="E178" s="140"/>
      <c r="F178" s="140"/>
      <c r="G178" s="228" t="s">
        <v>489</v>
      </c>
      <c r="H178" s="140">
        <f t="shared" si="1050"/>
        <v>4514</v>
      </c>
      <c r="I178" s="229" t="s">
        <v>37</v>
      </c>
      <c r="J178" s="229" t="s">
        <v>24</v>
      </c>
      <c r="K178" s="140"/>
      <c r="L178" s="140"/>
      <c r="M178" s="140"/>
      <c r="N178" s="140"/>
      <c r="O178" s="140"/>
      <c r="P178" s="140"/>
      <c r="Q178" s="140"/>
      <c r="R178" s="140"/>
      <c r="S178" s="140"/>
      <c r="T178" s="140"/>
      <c r="U178" s="140"/>
      <c r="V178" s="140"/>
      <c r="W178" s="140"/>
      <c r="X178" s="140"/>
      <c r="Y178" s="140"/>
      <c r="Z178" s="140"/>
      <c r="AA178" s="140"/>
      <c r="AB178" s="140"/>
      <c r="AC178" s="140"/>
      <c r="AD178" s="140"/>
      <c r="AE178" s="140"/>
      <c r="AF178" s="140"/>
      <c r="AG178" s="140"/>
      <c r="AH178" s="140"/>
      <c r="AI178" s="140"/>
      <c r="AJ178" s="140"/>
      <c r="AK178" s="140"/>
      <c r="AL178" s="140"/>
      <c r="AM178" s="140"/>
      <c r="AN178" s="140"/>
      <c r="AO178" s="140"/>
      <c r="AP178" s="140"/>
      <c r="AQ178" s="140"/>
      <c r="AR178" s="140"/>
      <c r="AS178" s="140"/>
      <c r="AU178" s="144"/>
      <c r="AV178" s="145"/>
      <c r="AW178" s="151"/>
      <c r="AX178" s="150"/>
      <c r="AY178" s="152"/>
      <c r="AZ178" s="151"/>
      <c r="BA178" s="150"/>
      <c r="BB178" s="152"/>
      <c r="BC178" s="151"/>
      <c r="BD178" s="153"/>
      <c r="BE178" s="152"/>
      <c r="BF178" s="154"/>
      <c r="BG178" s="150"/>
      <c r="BH178" s="152"/>
      <c r="BI178" s="154"/>
      <c r="BJ178" s="150"/>
    </row>
  </sheetData>
  <mergeCells count="925">
    <mergeCell ref="AA6:AB6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AC8:AC9"/>
    <mergeCell ref="BF8:BJ8"/>
    <mergeCell ref="A10:A11"/>
    <mergeCell ref="B10:B11"/>
    <mergeCell ref="C10:C11"/>
    <mergeCell ref="D10:D11"/>
    <mergeCell ref="E10:E11"/>
    <mergeCell ref="F10:F11"/>
    <mergeCell ref="G10:G11"/>
    <mergeCell ref="V8:V9"/>
    <mergeCell ref="W8:W9"/>
    <mergeCell ref="X8:X9"/>
    <mergeCell ref="Y8:Y9"/>
    <mergeCell ref="Z8:Z9"/>
    <mergeCell ref="AA8:AA9"/>
    <mergeCell ref="P8:P9"/>
    <mergeCell ref="Q8:Q9"/>
    <mergeCell ref="R8:R9"/>
    <mergeCell ref="S8:S9"/>
    <mergeCell ref="T8:T9"/>
    <mergeCell ref="U8:U9"/>
    <mergeCell ref="J8:J9"/>
    <mergeCell ref="K8:K9"/>
    <mergeCell ref="L8:L9"/>
    <mergeCell ref="R10:R11"/>
    <mergeCell ref="S10:S11"/>
    <mergeCell ref="H10:H11"/>
    <mergeCell ref="I10:I11"/>
    <mergeCell ref="J10:J11"/>
    <mergeCell ref="K10:K11"/>
    <mergeCell ref="L10:L11"/>
    <mergeCell ref="M10:M11"/>
    <mergeCell ref="AB8:AB9"/>
    <mergeCell ref="M8:M9"/>
    <mergeCell ref="N8:N9"/>
    <mergeCell ref="O8:O9"/>
    <mergeCell ref="I12:I13"/>
    <mergeCell ref="J12:J13"/>
    <mergeCell ref="K12:K13"/>
    <mergeCell ref="L12:L13"/>
    <mergeCell ref="Z10:Z11"/>
    <mergeCell ref="AA10:AA11"/>
    <mergeCell ref="AB10:AB11"/>
    <mergeCell ref="AC10:AC11"/>
    <mergeCell ref="A12:A13"/>
    <mergeCell ref="B12:B13"/>
    <mergeCell ref="C12:C13"/>
    <mergeCell ref="D12:D13"/>
    <mergeCell ref="E12:E13"/>
    <mergeCell ref="F12:F13"/>
    <mergeCell ref="T10:T11"/>
    <mergeCell ref="U10:U11"/>
    <mergeCell ref="V10:V11"/>
    <mergeCell ref="W10:W11"/>
    <mergeCell ref="X10:X11"/>
    <mergeCell ref="Y10:Y11"/>
    <mergeCell ref="N10:N11"/>
    <mergeCell ref="O10:O11"/>
    <mergeCell ref="P10:P11"/>
    <mergeCell ref="Q10:Q11"/>
    <mergeCell ref="Y12:Y13"/>
    <mergeCell ref="Z12:Z13"/>
    <mergeCell ref="AA12:AA13"/>
    <mergeCell ref="AB12:AB13"/>
    <mergeCell ref="AC12:AC13"/>
    <mergeCell ref="A14:A15"/>
    <mergeCell ref="B14:B15"/>
    <mergeCell ref="C14:C15"/>
    <mergeCell ref="D14:D15"/>
    <mergeCell ref="E14:E15"/>
    <mergeCell ref="S12:S13"/>
    <mergeCell ref="T12:T13"/>
    <mergeCell ref="U12:U13"/>
    <mergeCell ref="V12:V13"/>
    <mergeCell ref="W12:W13"/>
    <mergeCell ref="X12:X13"/>
    <mergeCell ref="M12:M13"/>
    <mergeCell ref="N12:N13"/>
    <mergeCell ref="O12:O13"/>
    <mergeCell ref="P12:P13"/>
    <mergeCell ref="Q12:Q13"/>
    <mergeCell ref="R12:R13"/>
    <mergeCell ref="G12:G13"/>
    <mergeCell ref="H12:H13"/>
    <mergeCell ref="L14:L15"/>
    <mergeCell ref="M14:M15"/>
    <mergeCell ref="N14:N15"/>
    <mergeCell ref="O14:O15"/>
    <mergeCell ref="P14:P15"/>
    <mergeCell ref="Q14:Q15"/>
    <mergeCell ref="F14:F15"/>
    <mergeCell ref="G14:G15"/>
    <mergeCell ref="H14:H15"/>
    <mergeCell ref="I14:I15"/>
    <mergeCell ref="J14:J15"/>
    <mergeCell ref="K14:K15"/>
    <mergeCell ref="X14:X15"/>
    <mergeCell ref="Y14:Y15"/>
    <mergeCell ref="Z14:Z15"/>
    <mergeCell ref="AA14:AA15"/>
    <mergeCell ref="AB14:AB15"/>
    <mergeCell ref="AC14:AC15"/>
    <mergeCell ref="R14:R15"/>
    <mergeCell ref="S14:S15"/>
    <mergeCell ref="T14:T15"/>
    <mergeCell ref="U14:U15"/>
    <mergeCell ref="V14:V15"/>
    <mergeCell ref="W14:W15"/>
    <mergeCell ref="I16:I17"/>
    <mergeCell ref="J16:J17"/>
    <mergeCell ref="K16:K17"/>
    <mergeCell ref="L16:L17"/>
    <mergeCell ref="A16:A17"/>
    <mergeCell ref="B16:B17"/>
    <mergeCell ref="C16:C17"/>
    <mergeCell ref="D16:D17"/>
    <mergeCell ref="E16:E17"/>
    <mergeCell ref="F16:F17"/>
    <mergeCell ref="Y16:Y17"/>
    <mergeCell ref="Z16:Z17"/>
    <mergeCell ref="AA16:AA17"/>
    <mergeCell ref="AB16:AB17"/>
    <mergeCell ref="AC16:AC17"/>
    <mergeCell ref="A18:A19"/>
    <mergeCell ref="B18:B19"/>
    <mergeCell ref="C18:C19"/>
    <mergeCell ref="D18:D19"/>
    <mergeCell ref="E18:E19"/>
    <mergeCell ref="S16:S17"/>
    <mergeCell ref="T16:T17"/>
    <mergeCell ref="U16:U17"/>
    <mergeCell ref="V16:V17"/>
    <mergeCell ref="W16:W17"/>
    <mergeCell ref="X16:X17"/>
    <mergeCell ref="M16:M17"/>
    <mergeCell ref="N16:N17"/>
    <mergeCell ref="O16:O17"/>
    <mergeCell ref="P16:P17"/>
    <mergeCell ref="Q16:Q17"/>
    <mergeCell ref="R16:R17"/>
    <mergeCell ref="G16:G17"/>
    <mergeCell ref="H16:H17"/>
    <mergeCell ref="L18:L19"/>
    <mergeCell ref="M18:M19"/>
    <mergeCell ref="N18:N19"/>
    <mergeCell ref="O18:O19"/>
    <mergeCell ref="P18:P19"/>
    <mergeCell ref="Q18:Q19"/>
    <mergeCell ref="F18:F19"/>
    <mergeCell ref="G18:G19"/>
    <mergeCell ref="H18:H19"/>
    <mergeCell ref="I18:I19"/>
    <mergeCell ref="J18:J19"/>
    <mergeCell ref="K18:K19"/>
    <mergeCell ref="X18:X19"/>
    <mergeCell ref="Y18:Y19"/>
    <mergeCell ref="Z18:Z19"/>
    <mergeCell ref="AA18:AA19"/>
    <mergeCell ref="AB18:AB19"/>
    <mergeCell ref="AC18:AC19"/>
    <mergeCell ref="R18:R19"/>
    <mergeCell ref="S18:S19"/>
    <mergeCell ref="T18:T19"/>
    <mergeCell ref="U18:U19"/>
    <mergeCell ref="V18:V19"/>
    <mergeCell ref="W18:W19"/>
    <mergeCell ref="I20:I21"/>
    <mergeCell ref="J20:J21"/>
    <mergeCell ref="K20:K21"/>
    <mergeCell ref="L20:L21"/>
    <mergeCell ref="A20:A21"/>
    <mergeCell ref="B20:B21"/>
    <mergeCell ref="C20:C21"/>
    <mergeCell ref="D20:D21"/>
    <mergeCell ref="E20:E21"/>
    <mergeCell ref="F20:F21"/>
    <mergeCell ref="Y20:Y21"/>
    <mergeCell ref="Z20:Z21"/>
    <mergeCell ref="AA20:AA21"/>
    <mergeCell ref="AB20:AB21"/>
    <mergeCell ref="AC20:AC21"/>
    <mergeCell ref="A22:A23"/>
    <mergeCell ref="B22:B23"/>
    <mergeCell ref="C22:C23"/>
    <mergeCell ref="D22:D23"/>
    <mergeCell ref="E22:E23"/>
    <mergeCell ref="S20:S21"/>
    <mergeCell ref="T20:T21"/>
    <mergeCell ref="U20:U21"/>
    <mergeCell ref="V20:V21"/>
    <mergeCell ref="W20:W21"/>
    <mergeCell ref="X20:X21"/>
    <mergeCell ref="M20:M21"/>
    <mergeCell ref="N20:N21"/>
    <mergeCell ref="O20:O21"/>
    <mergeCell ref="P20:P21"/>
    <mergeCell ref="Q20:Q21"/>
    <mergeCell ref="R20:R21"/>
    <mergeCell ref="G20:G21"/>
    <mergeCell ref="H20:H21"/>
    <mergeCell ref="L22:L23"/>
    <mergeCell ref="M22:M23"/>
    <mergeCell ref="N22:N23"/>
    <mergeCell ref="O22:O23"/>
    <mergeCell ref="P22:P23"/>
    <mergeCell ref="Q22:Q23"/>
    <mergeCell ref="F22:F23"/>
    <mergeCell ref="G22:G23"/>
    <mergeCell ref="H22:H23"/>
    <mergeCell ref="I22:I23"/>
    <mergeCell ref="J22:J23"/>
    <mergeCell ref="K22:K23"/>
    <mergeCell ref="X22:X23"/>
    <mergeCell ref="Y22:Y23"/>
    <mergeCell ref="Z22:Z23"/>
    <mergeCell ref="AA22:AA23"/>
    <mergeCell ref="AB22:AB23"/>
    <mergeCell ref="AC22:AC23"/>
    <mergeCell ref="R22:R23"/>
    <mergeCell ref="S22:S23"/>
    <mergeCell ref="T22:T23"/>
    <mergeCell ref="U22:U23"/>
    <mergeCell ref="V22:V23"/>
    <mergeCell ref="W22:W23"/>
    <mergeCell ref="I24:I25"/>
    <mergeCell ref="J24:J25"/>
    <mergeCell ref="K24:K25"/>
    <mergeCell ref="L24:L25"/>
    <mergeCell ref="A24:A25"/>
    <mergeCell ref="B24:B25"/>
    <mergeCell ref="C24:C25"/>
    <mergeCell ref="D24:D25"/>
    <mergeCell ref="E24:E25"/>
    <mergeCell ref="F24:F25"/>
    <mergeCell ref="Y24:Y25"/>
    <mergeCell ref="Z24:Z25"/>
    <mergeCell ref="AA24:AA25"/>
    <mergeCell ref="AB24:AB25"/>
    <mergeCell ref="AC24:AC25"/>
    <mergeCell ref="A26:A27"/>
    <mergeCell ref="B26:B27"/>
    <mergeCell ref="C26:C27"/>
    <mergeCell ref="D26:D27"/>
    <mergeCell ref="E26:E27"/>
    <mergeCell ref="S24:S25"/>
    <mergeCell ref="T24:T25"/>
    <mergeCell ref="U24:U25"/>
    <mergeCell ref="V24:V25"/>
    <mergeCell ref="W24:W25"/>
    <mergeCell ref="X24:X25"/>
    <mergeCell ref="M24:M25"/>
    <mergeCell ref="N24:N25"/>
    <mergeCell ref="O24:O25"/>
    <mergeCell ref="P24:P25"/>
    <mergeCell ref="Q24:Q25"/>
    <mergeCell ref="R24:R25"/>
    <mergeCell ref="G24:G25"/>
    <mergeCell ref="H24:H25"/>
    <mergeCell ref="L26:L27"/>
    <mergeCell ref="M26:M27"/>
    <mergeCell ref="N26:N27"/>
    <mergeCell ref="O26:O27"/>
    <mergeCell ref="P26:P27"/>
    <mergeCell ref="Q26:Q27"/>
    <mergeCell ref="F26:F27"/>
    <mergeCell ref="G26:G27"/>
    <mergeCell ref="H26:H27"/>
    <mergeCell ref="I26:I27"/>
    <mergeCell ref="J26:J27"/>
    <mergeCell ref="K26:K27"/>
    <mergeCell ref="X26:X27"/>
    <mergeCell ref="Y26:Y27"/>
    <mergeCell ref="Z26:Z27"/>
    <mergeCell ref="AA26:AA27"/>
    <mergeCell ref="AB26:AB27"/>
    <mergeCell ref="AC26:AC27"/>
    <mergeCell ref="R26:R27"/>
    <mergeCell ref="S26:S27"/>
    <mergeCell ref="T26:T27"/>
    <mergeCell ref="U26:U27"/>
    <mergeCell ref="V26:V27"/>
    <mergeCell ref="W26:W27"/>
    <mergeCell ref="I28:I29"/>
    <mergeCell ref="J28:J29"/>
    <mergeCell ref="K28:K29"/>
    <mergeCell ref="L28:L29"/>
    <mergeCell ref="A28:A29"/>
    <mergeCell ref="B28:B29"/>
    <mergeCell ref="C28:C29"/>
    <mergeCell ref="D28:D29"/>
    <mergeCell ref="E28:E29"/>
    <mergeCell ref="F28:F29"/>
    <mergeCell ref="Y28:Y29"/>
    <mergeCell ref="Z28:Z29"/>
    <mergeCell ref="AA28:AA29"/>
    <mergeCell ref="AB28:AB29"/>
    <mergeCell ref="AC28:AC29"/>
    <mergeCell ref="A30:A31"/>
    <mergeCell ref="B30:B31"/>
    <mergeCell ref="C30:C31"/>
    <mergeCell ref="D30:D31"/>
    <mergeCell ref="E30:E31"/>
    <mergeCell ref="S28:S29"/>
    <mergeCell ref="T28:T29"/>
    <mergeCell ref="U28:U29"/>
    <mergeCell ref="V28:V29"/>
    <mergeCell ref="W28:W29"/>
    <mergeCell ref="X28:X29"/>
    <mergeCell ref="M28:M29"/>
    <mergeCell ref="N28:N29"/>
    <mergeCell ref="O28:O29"/>
    <mergeCell ref="P28:P29"/>
    <mergeCell ref="Q28:Q29"/>
    <mergeCell ref="R28:R29"/>
    <mergeCell ref="G28:G29"/>
    <mergeCell ref="H28:H29"/>
    <mergeCell ref="L30:L31"/>
    <mergeCell ref="M30:M31"/>
    <mergeCell ref="N30:N31"/>
    <mergeCell ref="O30:O31"/>
    <mergeCell ref="P30:P31"/>
    <mergeCell ref="Q30:Q31"/>
    <mergeCell ref="F30:F31"/>
    <mergeCell ref="G30:G31"/>
    <mergeCell ref="H30:H31"/>
    <mergeCell ref="I30:I31"/>
    <mergeCell ref="J30:J31"/>
    <mergeCell ref="K30:K31"/>
    <mergeCell ref="X30:X31"/>
    <mergeCell ref="Y30:Y31"/>
    <mergeCell ref="Z30:Z31"/>
    <mergeCell ref="AA30:AA31"/>
    <mergeCell ref="AB30:AB31"/>
    <mergeCell ref="AC30:AC31"/>
    <mergeCell ref="R30:R31"/>
    <mergeCell ref="S30:S31"/>
    <mergeCell ref="T30:T31"/>
    <mergeCell ref="U30:U31"/>
    <mergeCell ref="V30:V31"/>
    <mergeCell ref="W30:W31"/>
    <mergeCell ref="I32:I33"/>
    <mergeCell ref="J32:J33"/>
    <mergeCell ref="K32:K33"/>
    <mergeCell ref="L32:L33"/>
    <mergeCell ref="A32:A33"/>
    <mergeCell ref="B32:B33"/>
    <mergeCell ref="C32:C33"/>
    <mergeCell ref="D32:D33"/>
    <mergeCell ref="E32:E33"/>
    <mergeCell ref="F32:F33"/>
    <mergeCell ref="Y32:Y33"/>
    <mergeCell ref="Z32:Z33"/>
    <mergeCell ref="AA32:AA33"/>
    <mergeCell ref="AB32:AB33"/>
    <mergeCell ref="AC32:AC33"/>
    <mergeCell ref="A34:A35"/>
    <mergeCell ref="B34:B35"/>
    <mergeCell ref="C34:C35"/>
    <mergeCell ref="D34:D35"/>
    <mergeCell ref="E34:E35"/>
    <mergeCell ref="S32:S33"/>
    <mergeCell ref="T32:T33"/>
    <mergeCell ref="U32:U33"/>
    <mergeCell ref="V32:V33"/>
    <mergeCell ref="W32:W33"/>
    <mergeCell ref="X32:X33"/>
    <mergeCell ref="M32:M33"/>
    <mergeCell ref="N32:N33"/>
    <mergeCell ref="O32:O33"/>
    <mergeCell ref="P32:P33"/>
    <mergeCell ref="Q32:Q33"/>
    <mergeCell ref="R32:R33"/>
    <mergeCell ref="G32:G33"/>
    <mergeCell ref="H32:H33"/>
    <mergeCell ref="L34:L35"/>
    <mergeCell ref="M34:M35"/>
    <mergeCell ref="N34:N35"/>
    <mergeCell ref="O34:O35"/>
    <mergeCell ref="P34:P35"/>
    <mergeCell ref="Q34:Q35"/>
    <mergeCell ref="F34:F35"/>
    <mergeCell ref="G34:G35"/>
    <mergeCell ref="H34:H35"/>
    <mergeCell ref="I34:I35"/>
    <mergeCell ref="J34:J35"/>
    <mergeCell ref="K34:K35"/>
    <mergeCell ref="X34:X35"/>
    <mergeCell ref="Y34:Y35"/>
    <mergeCell ref="Z34:Z35"/>
    <mergeCell ref="AA34:AA35"/>
    <mergeCell ref="AB34:AB35"/>
    <mergeCell ref="AC34:AC35"/>
    <mergeCell ref="R34:R35"/>
    <mergeCell ref="S34:S35"/>
    <mergeCell ref="T34:T35"/>
    <mergeCell ref="U34:U35"/>
    <mergeCell ref="V34:V35"/>
    <mergeCell ref="W34:W35"/>
    <mergeCell ref="I36:I37"/>
    <mergeCell ref="J36:J37"/>
    <mergeCell ref="K36:K37"/>
    <mergeCell ref="L36:L37"/>
    <mergeCell ref="A36:A37"/>
    <mergeCell ref="B36:B37"/>
    <mergeCell ref="C36:C37"/>
    <mergeCell ref="D36:D37"/>
    <mergeCell ref="E36:E37"/>
    <mergeCell ref="F36:F37"/>
    <mergeCell ref="Y36:Y37"/>
    <mergeCell ref="Z36:Z37"/>
    <mergeCell ref="AA36:AA37"/>
    <mergeCell ref="AB36:AB37"/>
    <mergeCell ref="AC36:AC37"/>
    <mergeCell ref="A38:A39"/>
    <mergeCell ref="B38:B39"/>
    <mergeCell ref="C38:C39"/>
    <mergeCell ref="D38:D39"/>
    <mergeCell ref="E38:E39"/>
    <mergeCell ref="S36:S37"/>
    <mergeCell ref="T36:T37"/>
    <mergeCell ref="U36:U37"/>
    <mergeCell ref="V36:V37"/>
    <mergeCell ref="W36:W37"/>
    <mergeCell ref="X36:X37"/>
    <mergeCell ref="M36:M37"/>
    <mergeCell ref="N36:N37"/>
    <mergeCell ref="O36:O37"/>
    <mergeCell ref="P36:P37"/>
    <mergeCell ref="Q36:Q37"/>
    <mergeCell ref="R36:R37"/>
    <mergeCell ref="G36:G37"/>
    <mergeCell ref="H36:H37"/>
    <mergeCell ref="AA38:AA39"/>
    <mergeCell ref="AB38:AB39"/>
    <mergeCell ref="AC38:AC39"/>
    <mergeCell ref="R38:R39"/>
    <mergeCell ref="S38:S39"/>
    <mergeCell ref="T38:T39"/>
    <mergeCell ref="U38:U39"/>
    <mergeCell ref="V38:V39"/>
    <mergeCell ref="W38:W39"/>
    <mergeCell ref="A40:A41"/>
    <mergeCell ref="B40:B41"/>
    <mergeCell ref="C40:C41"/>
    <mergeCell ref="D40:D41"/>
    <mergeCell ref="E40:E41"/>
    <mergeCell ref="F40:F41"/>
    <mergeCell ref="X38:X39"/>
    <mergeCell ref="Y38:Y39"/>
    <mergeCell ref="Z38:Z39"/>
    <mergeCell ref="L38:L39"/>
    <mergeCell ref="M38:M39"/>
    <mergeCell ref="N38:N39"/>
    <mergeCell ref="O38:O39"/>
    <mergeCell ref="P38:P39"/>
    <mergeCell ref="Q38:Q39"/>
    <mergeCell ref="F38:F39"/>
    <mergeCell ref="G38:G39"/>
    <mergeCell ref="H38:H39"/>
    <mergeCell ref="I38:I39"/>
    <mergeCell ref="J38:J39"/>
    <mergeCell ref="K38:K39"/>
    <mergeCell ref="Z40:Z41"/>
    <mergeCell ref="AA40:AA41"/>
    <mergeCell ref="AB40:AB41"/>
    <mergeCell ref="A42:A43"/>
    <mergeCell ref="B42:B43"/>
    <mergeCell ref="C42:C43"/>
    <mergeCell ref="D42:D43"/>
    <mergeCell ref="E42:E43"/>
    <mergeCell ref="F42:F43"/>
    <mergeCell ref="S40:S41"/>
    <mergeCell ref="T40:T41"/>
    <mergeCell ref="U40:U41"/>
    <mergeCell ref="V40:V41"/>
    <mergeCell ref="W40:W41"/>
    <mergeCell ref="X40:X41"/>
    <mergeCell ref="M40:M41"/>
    <mergeCell ref="N40:N41"/>
    <mergeCell ref="O40:O41"/>
    <mergeCell ref="P40:P41"/>
    <mergeCell ref="Q40:Q41"/>
    <mergeCell ref="R40:R41"/>
    <mergeCell ref="G40:G41"/>
    <mergeCell ref="H40:H41"/>
    <mergeCell ref="I40:I41"/>
    <mergeCell ref="Q42:Q43"/>
    <mergeCell ref="R42:R43"/>
    <mergeCell ref="G42:G43"/>
    <mergeCell ref="H42:H43"/>
    <mergeCell ref="I42:I43"/>
    <mergeCell ref="J42:J43"/>
    <mergeCell ref="K42:K43"/>
    <mergeCell ref="L42:L43"/>
    <mergeCell ref="Y40:Y41"/>
    <mergeCell ref="J40:J41"/>
    <mergeCell ref="K40:K41"/>
    <mergeCell ref="L40:L41"/>
    <mergeCell ref="I44:I45"/>
    <mergeCell ref="J44:J45"/>
    <mergeCell ref="K44:K45"/>
    <mergeCell ref="L44:L45"/>
    <mergeCell ref="Y42:Y43"/>
    <mergeCell ref="Z42:Z43"/>
    <mergeCell ref="AA42:AA43"/>
    <mergeCell ref="AB42:AB43"/>
    <mergeCell ref="A44:A45"/>
    <mergeCell ref="B44:B45"/>
    <mergeCell ref="C44:C45"/>
    <mergeCell ref="D44:D45"/>
    <mergeCell ref="E44:E45"/>
    <mergeCell ref="F44:F45"/>
    <mergeCell ref="S42:S43"/>
    <mergeCell ref="T42:T43"/>
    <mergeCell ref="U42:U43"/>
    <mergeCell ref="V42:V43"/>
    <mergeCell ref="W42:W43"/>
    <mergeCell ref="X42:X43"/>
    <mergeCell ref="M42:M43"/>
    <mergeCell ref="N42:N43"/>
    <mergeCell ref="O42:O43"/>
    <mergeCell ref="P42:P43"/>
    <mergeCell ref="Y44:Y45"/>
    <mergeCell ref="Z44:Z45"/>
    <mergeCell ref="AA44:AA45"/>
    <mergeCell ref="AB44:AB45"/>
    <mergeCell ref="A46:A47"/>
    <mergeCell ref="B46:B47"/>
    <mergeCell ref="C46:C47"/>
    <mergeCell ref="D46:D47"/>
    <mergeCell ref="E46:E47"/>
    <mergeCell ref="F46:F47"/>
    <mergeCell ref="S44:S45"/>
    <mergeCell ref="T44:T45"/>
    <mergeCell ref="U44:U45"/>
    <mergeCell ref="V44:V45"/>
    <mergeCell ref="W44:W45"/>
    <mergeCell ref="X44:X45"/>
    <mergeCell ref="M44:M45"/>
    <mergeCell ref="N44:N45"/>
    <mergeCell ref="O44:O45"/>
    <mergeCell ref="P44:P45"/>
    <mergeCell ref="Q44:Q45"/>
    <mergeCell ref="R44:R45"/>
    <mergeCell ref="G44:G45"/>
    <mergeCell ref="H44:H45"/>
    <mergeCell ref="Z46:Z47"/>
    <mergeCell ref="AA46:AA47"/>
    <mergeCell ref="AB46:AB47"/>
    <mergeCell ref="A48:A49"/>
    <mergeCell ref="B48:B49"/>
    <mergeCell ref="C48:C49"/>
    <mergeCell ref="D48:D49"/>
    <mergeCell ref="E48:E49"/>
    <mergeCell ref="F48:F49"/>
    <mergeCell ref="S46:S47"/>
    <mergeCell ref="T46:T47"/>
    <mergeCell ref="U46:U47"/>
    <mergeCell ref="V46:V47"/>
    <mergeCell ref="W46:W47"/>
    <mergeCell ref="X46:X47"/>
    <mergeCell ref="M46:M47"/>
    <mergeCell ref="N46:N47"/>
    <mergeCell ref="O46:O47"/>
    <mergeCell ref="P46:P47"/>
    <mergeCell ref="Q46:Q47"/>
    <mergeCell ref="R46:R47"/>
    <mergeCell ref="G46:G47"/>
    <mergeCell ref="H46:H47"/>
    <mergeCell ref="I46:I47"/>
    <mergeCell ref="Q48:Q49"/>
    <mergeCell ref="R48:R49"/>
    <mergeCell ref="G48:G49"/>
    <mergeCell ref="H48:H49"/>
    <mergeCell ref="I48:I49"/>
    <mergeCell ref="J48:J49"/>
    <mergeCell ref="K48:K49"/>
    <mergeCell ref="L48:L49"/>
    <mergeCell ref="Y46:Y47"/>
    <mergeCell ref="J46:J47"/>
    <mergeCell ref="K46:K47"/>
    <mergeCell ref="L46:L47"/>
    <mergeCell ref="I50:I51"/>
    <mergeCell ref="J50:J51"/>
    <mergeCell ref="K50:K51"/>
    <mergeCell ref="L50:L51"/>
    <mergeCell ref="Y48:Y49"/>
    <mergeCell ref="Z48:Z49"/>
    <mergeCell ref="AA48:AA49"/>
    <mergeCell ref="AB48:AB49"/>
    <mergeCell ref="A50:A51"/>
    <mergeCell ref="B50:B51"/>
    <mergeCell ref="C50:C51"/>
    <mergeCell ref="D50:D51"/>
    <mergeCell ref="E50:E51"/>
    <mergeCell ref="F50:F51"/>
    <mergeCell ref="S48:S49"/>
    <mergeCell ref="T48:T49"/>
    <mergeCell ref="U48:U49"/>
    <mergeCell ref="V48:V49"/>
    <mergeCell ref="W48:W49"/>
    <mergeCell ref="X48:X49"/>
    <mergeCell ref="M48:M49"/>
    <mergeCell ref="N48:N49"/>
    <mergeCell ref="O48:O49"/>
    <mergeCell ref="P48:P49"/>
    <mergeCell ref="Y50:Y51"/>
    <mergeCell ref="Z50:Z51"/>
    <mergeCell ref="AA50:AA51"/>
    <mergeCell ref="AB50:AB51"/>
    <mergeCell ref="A52:A53"/>
    <mergeCell ref="B52:B53"/>
    <mergeCell ref="C52:C53"/>
    <mergeCell ref="D52:D53"/>
    <mergeCell ref="E52:E53"/>
    <mergeCell ref="F52:F53"/>
    <mergeCell ref="S50:S51"/>
    <mergeCell ref="T50:T51"/>
    <mergeCell ref="U50:U51"/>
    <mergeCell ref="V50:V51"/>
    <mergeCell ref="W50:W51"/>
    <mergeCell ref="X50:X51"/>
    <mergeCell ref="M50:M51"/>
    <mergeCell ref="N50:N51"/>
    <mergeCell ref="O50:O51"/>
    <mergeCell ref="P50:P51"/>
    <mergeCell ref="Q50:Q51"/>
    <mergeCell ref="R50:R51"/>
    <mergeCell ref="G50:G51"/>
    <mergeCell ref="H50:H51"/>
    <mergeCell ref="Z52:Z53"/>
    <mergeCell ref="AA52:AA53"/>
    <mergeCell ref="AB52:AB53"/>
    <mergeCell ref="A54:A55"/>
    <mergeCell ref="B54:B55"/>
    <mergeCell ref="C54:C55"/>
    <mergeCell ref="D54:D55"/>
    <mergeCell ref="E54:E55"/>
    <mergeCell ref="F54:F55"/>
    <mergeCell ref="S52:S53"/>
    <mergeCell ref="T52:T53"/>
    <mergeCell ref="U52:U53"/>
    <mergeCell ref="V52:V53"/>
    <mergeCell ref="W52:W53"/>
    <mergeCell ref="X52:X53"/>
    <mergeCell ref="M52:M53"/>
    <mergeCell ref="N52:N53"/>
    <mergeCell ref="O52:O53"/>
    <mergeCell ref="P52:P53"/>
    <mergeCell ref="Q52:Q53"/>
    <mergeCell ref="R52:R53"/>
    <mergeCell ref="G52:G53"/>
    <mergeCell ref="H52:H53"/>
    <mergeCell ref="I52:I53"/>
    <mergeCell ref="Q54:Q55"/>
    <mergeCell ref="R54:R55"/>
    <mergeCell ref="G54:G55"/>
    <mergeCell ref="H54:H55"/>
    <mergeCell ref="I54:I55"/>
    <mergeCell ref="J54:J55"/>
    <mergeCell ref="K54:K55"/>
    <mergeCell ref="L54:L55"/>
    <mergeCell ref="Y52:Y53"/>
    <mergeCell ref="J52:J53"/>
    <mergeCell ref="K52:K53"/>
    <mergeCell ref="L52:L53"/>
    <mergeCell ref="I56:I57"/>
    <mergeCell ref="J56:J57"/>
    <mergeCell ref="K56:K57"/>
    <mergeCell ref="L56:L57"/>
    <mergeCell ref="Y54:Y55"/>
    <mergeCell ref="Z54:Z55"/>
    <mergeCell ref="AA54:AA55"/>
    <mergeCell ref="AB54:AB55"/>
    <mergeCell ref="A56:A57"/>
    <mergeCell ref="B56:B57"/>
    <mergeCell ref="C56:C57"/>
    <mergeCell ref="D56:D57"/>
    <mergeCell ref="E56:E57"/>
    <mergeCell ref="F56:F57"/>
    <mergeCell ref="S54:S55"/>
    <mergeCell ref="T54:T55"/>
    <mergeCell ref="U54:U55"/>
    <mergeCell ref="V54:V55"/>
    <mergeCell ref="W54:W55"/>
    <mergeCell ref="X54:X55"/>
    <mergeCell ref="M54:M55"/>
    <mergeCell ref="N54:N55"/>
    <mergeCell ref="O54:O55"/>
    <mergeCell ref="P54:P55"/>
    <mergeCell ref="Y56:Y57"/>
    <mergeCell ref="Z56:Z57"/>
    <mergeCell ref="AA56:AA57"/>
    <mergeCell ref="AB56:AB57"/>
    <mergeCell ref="A58:A59"/>
    <mergeCell ref="B58:B59"/>
    <mergeCell ref="C58:C59"/>
    <mergeCell ref="D58:D59"/>
    <mergeCell ref="E58:E59"/>
    <mergeCell ref="F58:F59"/>
    <mergeCell ref="S56:S57"/>
    <mergeCell ref="T56:T57"/>
    <mergeCell ref="U56:U57"/>
    <mergeCell ref="V56:V57"/>
    <mergeCell ref="W56:W57"/>
    <mergeCell ref="X56:X57"/>
    <mergeCell ref="M56:M57"/>
    <mergeCell ref="N56:N57"/>
    <mergeCell ref="O56:O57"/>
    <mergeCell ref="P56:P57"/>
    <mergeCell ref="Q56:Q57"/>
    <mergeCell ref="R56:R57"/>
    <mergeCell ref="G56:G57"/>
    <mergeCell ref="H56:H57"/>
    <mergeCell ref="Z58:Z59"/>
    <mergeCell ref="AA58:AA59"/>
    <mergeCell ref="AB58:AB59"/>
    <mergeCell ref="A60:A61"/>
    <mergeCell ref="B60:B61"/>
    <mergeCell ref="C60:C61"/>
    <mergeCell ref="D60:D61"/>
    <mergeCell ref="E60:E61"/>
    <mergeCell ref="F60:F61"/>
    <mergeCell ref="S58:S59"/>
    <mergeCell ref="T58:T59"/>
    <mergeCell ref="U58:U59"/>
    <mergeCell ref="V58:V59"/>
    <mergeCell ref="W58:W59"/>
    <mergeCell ref="X58:X59"/>
    <mergeCell ref="M58:M59"/>
    <mergeCell ref="N58:N59"/>
    <mergeCell ref="O58:O59"/>
    <mergeCell ref="P58:P59"/>
    <mergeCell ref="Q58:Q59"/>
    <mergeCell ref="R58:R59"/>
    <mergeCell ref="G58:G59"/>
    <mergeCell ref="H58:H59"/>
    <mergeCell ref="I58:I59"/>
    <mergeCell ref="Q60:Q61"/>
    <mergeCell ref="R60:R61"/>
    <mergeCell ref="G60:G61"/>
    <mergeCell ref="H60:H61"/>
    <mergeCell ref="I60:I61"/>
    <mergeCell ref="J60:J61"/>
    <mergeCell ref="K60:K61"/>
    <mergeCell ref="L60:L61"/>
    <mergeCell ref="Y58:Y59"/>
    <mergeCell ref="J58:J59"/>
    <mergeCell ref="K58:K59"/>
    <mergeCell ref="L58:L59"/>
    <mergeCell ref="I62:I63"/>
    <mergeCell ref="J62:J63"/>
    <mergeCell ref="K62:K63"/>
    <mergeCell ref="L62:L63"/>
    <mergeCell ref="Y60:Y61"/>
    <mergeCell ref="Z60:Z61"/>
    <mergeCell ref="AA60:AA61"/>
    <mergeCell ref="AB60:AB61"/>
    <mergeCell ref="A62:A63"/>
    <mergeCell ref="B62:B63"/>
    <mergeCell ref="C62:C63"/>
    <mergeCell ref="D62:D63"/>
    <mergeCell ref="E62:E63"/>
    <mergeCell ref="F62:F63"/>
    <mergeCell ref="S60:S61"/>
    <mergeCell ref="T60:T61"/>
    <mergeCell ref="U60:U61"/>
    <mergeCell ref="V60:V61"/>
    <mergeCell ref="W60:W61"/>
    <mergeCell ref="X60:X61"/>
    <mergeCell ref="M60:M61"/>
    <mergeCell ref="N60:N61"/>
    <mergeCell ref="O60:O61"/>
    <mergeCell ref="P60:P61"/>
    <mergeCell ref="Y62:Y63"/>
    <mergeCell ref="Z62:Z63"/>
    <mergeCell ref="AA62:AA63"/>
    <mergeCell ref="AB62:AB63"/>
    <mergeCell ref="A64:A65"/>
    <mergeCell ref="B64:B65"/>
    <mergeCell ref="C64:C65"/>
    <mergeCell ref="D64:D65"/>
    <mergeCell ref="E64:E65"/>
    <mergeCell ref="F64:F65"/>
    <mergeCell ref="S62:S63"/>
    <mergeCell ref="T62:T63"/>
    <mergeCell ref="U62:U63"/>
    <mergeCell ref="V62:V63"/>
    <mergeCell ref="W62:W63"/>
    <mergeCell ref="X62:X63"/>
    <mergeCell ref="M62:M63"/>
    <mergeCell ref="N62:N63"/>
    <mergeCell ref="O62:O63"/>
    <mergeCell ref="P62:P63"/>
    <mergeCell ref="Q62:Q63"/>
    <mergeCell ref="R62:R63"/>
    <mergeCell ref="G62:G63"/>
    <mergeCell ref="H62:H63"/>
    <mergeCell ref="Z64:Z65"/>
    <mergeCell ref="AA64:AA65"/>
    <mergeCell ref="AB64:AB65"/>
    <mergeCell ref="A66:A67"/>
    <mergeCell ref="B66:B67"/>
    <mergeCell ref="C66:C67"/>
    <mergeCell ref="D66:D67"/>
    <mergeCell ref="E66:E67"/>
    <mergeCell ref="F66:F67"/>
    <mergeCell ref="S64:S65"/>
    <mergeCell ref="T64:T65"/>
    <mergeCell ref="U64:U65"/>
    <mergeCell ref="V64:V65"/>
    <mergeCell ref="W64:W65"/>
    <mergeCell ref="X64:X65"/>
    <mergeCell ref="M64:M65"/>
    <mergeCell ref="N64:N65"/>
    <mergeCell ref="O64:O65"/>
    <mergeCell ref="P64:P65"/>
    <mergeCell ref="Q64:Q65"/>
    <mergeCell ref="R64:R65"/>
    <mergeCell ref="G64:G65"/>
    <mergeCell ref="H64:H65"/>
    <mergeCell ref="I64:I65"/>
    <mergeCell ref="Q66:Q67"/>
    <mergeCell ref="R66:R67"/>
    <mergeCell ref="G66:G67"/>
    <mergeCell ref="H66:H67"/>
    <mergeCell ref="I66:I67"/>
    <mergeCell ref="J66:J67"/>
    <mergeCell ref="K66:K67"/>
    <mergeCell ref="L66:L67"/>
    <mergeCell ref="Y64:Y65"/>
    <mergeCell ref="J64:J65"/>
    <mergeCell ref="K64:K65"/>
    <mergeCell ref="L64:L65"/>
    <mergeCell ref="I68:I69"/>
    <mergeCell ref="J68:J69"/>
    <mergeCell ref="K68:K69"/>
    <mergeCell ref="L68:L69"/>
    <mergeCell ref="Y66:Y67"/>
    <mergeCell ref="Z66:Z67"/>
    <mergeCell ref="AA66:AA67"/>
    <mergeCell ref="AB66:AB67"/>
    <mergeCell ref="A68:A69"/>
    <mergeCell ref="B68:B69"/>
    <mergeCell ref="C68:C69"/>
    <mergeCell ref="D68:D69"/>
    <mergeCell ref="E68:E69"/>
    <mergeCell ref="F68:F69"/>
    <mergeCell ref="S66:S67"/>
    <mergeCell ref="T66:T67"/>
    <mergeCell ref="U66:U67"/>
    <mergeCell ref="V66:V67"/>
    <mergeCell ref="W66:W67"/>
    <mergeCell ref="X66:X67"/>
    <mergeCell ref="M66:M67"/>
    <mergeCell ref="N66:N67"/>
    <mergeCell ref="O66:O67"/>
    <mergeCell ref="P66:P67"/>
    <mergeCell ref="Y68:Y69"/>
    <mergeCell ref="Z68:Z69"/>
    <mergeCell ref="AA68:AA69"/>
    <mergeCell ref="AB68:AB69"/>
    <mergeCell ref="A70:A71"/>
    <mergeCell ref="B70:B71"/>
    <mergeCell ref="C70:C71"/>
    <mergeCell ref="D70:D71"/>
    <mergeCell ref="E70:E71"/>
    <mergeCell ref="F70:F71"/>
    <mergeCell ref="S68:S69"/>
    <mergeCell ref="T68:T69"/>
    <mergeCell ref="U68:U69"/>
    <mergeCell ref="V68:V69"/>
    <mergeCell ref="W68:W69"/>
    <mergeCell ref="X68:X69"/>
    <mergeCell ref="M68:M69"/>
    <mergeCell ref="N68:N69"/>
    <mergeCell ref="O68:O69"/>
    <mergeCell ref="P68:P69"/>
    <mergeCell ref="Q68:Q69"/>
    <mergeCell ref="R68:R69"/>
    <mergeCell ref="G68:G69"/>
    <mergeCell ref="H68:H69"/>
    <mergeCell ref="P70:P71"/>
    <mergeCell ref="Q70:Q71"/>
    <mergeCell ref="R70:R71"/>
    <mergeCell ref="G70:G71"/>
    <mergeCell ref="H70:H71"/>
    <mergeCell ref="I70:I71"/>
    <mergeCell ref="J70:J71"/>
    <mergeCell ref="K70:K71"/>
    <mergeCell ref="L70:L71"/>
    <mergeCell ref="M80:M83"/>
    <mergeCell ref="M84:M91"/>
    <mergeCell ref="M92:M107"/>
    <mergeCell ref="M108:M139"/>
    <mergeCell ref="G145:J145"/>
    <mergeCell ref="Y70:Y71"/>
    <mergeCell ref="Z70:Z71"/>
    <mergeCell ref="B72:D75"/>
    <mergeCell ref="E72:E75"/>
    <mergeCell ref="G72:G73"/>
    <mergeCell ref="I72:I73"/>
    <mergeCell ref="J72:J73"/>
    <mergeCell ref="G74:G75"/>
    <mergeCell ref="I74:I75"/>
    <mergeCell ref="J74:J75"/>
    <mergeCell ref="S70:S71"/>
    <mergeCell ref="T70:T71"/>
    <mergeCell ref="U70:U71"/>
    <mergeCell ref="V70:V71"/>
    <mergeCell ref="W70:W71"/>
    <mergeCell ref="X70:X71"/>
    <mergeCell ref="M70:M71"/>
    <mergeCell ref="N70:N71"/>
    <mergeCell ref="O70:O71"/>
  </mergeCells>
  <pageMargins left="0.70866141732283472" right="0.70866141732283472" top="0.74803149606299213" bottom="0.74803149606299213" header="0.31496062992125984" footer="0.31496062992125984"/>
  <pageSetup scale="23" orientation="landscape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16</vt:i4>
      </vt:variant>
    </vt:vector>
  </HeadingPairs>
  <TitlesOfParts>
    <vt:vector size="34" baseType="lpstr">
      <vt:lpstr>Ranking Final</vt:lpstr>
      <vt:lpstr>Grupo 1</vt:lpstr>
      <vt:lpstr>Grupo 2</vt:lpstr>
      <vt:lpstr>Grupo 3</vt:lpstr>
      <vt:lpstr>Grupo 4</vt:lpstr>
      <vt:lpstr>Grupo 5</vt:lpstr>
      <vt:lpstr>Grupo 6</vt:lpstr>
      <vt:lpstr>Grupo 7</vt:lpstr>
      <vt:lpstr>Grupo 8</vt:lpstr>
      <vt:lpstr>Grupo 9</vt:lpstr>
      <vt:lpstr>Grupo 10</vt:lpstr>
      <vt:lpstr>Grupo 11</vt:lpstr>
      <vt:lpstr>Grupo 12</vt:lpstr>
      <vt:lpstr>Grupo 13</vt:lpstr>
      <vt:lpstr>Grupo 14</vt:lpstr>
      <vt:lpstr>Grupo 15</vt:lpstr>
      <vt:lpstr>Grupo 16</vt:lpstr>
      <vt:lpstr>LLAVE 32 </vt:lpstr>
      <vt:lpstr>'Grupo 1'!Print_Area</vt:lpstr>
      <vt:lpstr>'Grupo 10'!Print_Area</vt:lpstr>
      <vt:lpstr>'Grupo 11'!Print_Area</vt:lpstr>
      <vt:lpstr>'Grupo 12'!Print_Area</vt:lpstr>
      <vt:lpstr>'Grupo 13'!Print_Area</vt:lpstr>
      <vt:lpstr>'Grupo 14'!Print_Area</vt:lpstr>
      <vt:lpstr>'Grupo 15'!Print_Area</vt:lpstr>
      <vt:lpstr>'Grupo 16'!Print_Area</vt:lpstr>
      <vt:lpstr>'Grupo 2'!Print_Area</vt:lpstr>
      <vt:lpstr>'Grupo 3'!Print_Area</vt:lpstr>
      <vt:lpstr>'Grupo 4'!Print_Area</vt:lpstr>
      <vt:lpstr>'Grupo 5'!Print_Area</vt:lpstr>
      <vt:lpstr>'Grupo 6'!Print_Area</vt:lpstr>
      <vt:lpstr>'Grupo 7'!Print_Area</vt:lpstr>
      <vt:lpstr>'Grupo 8'!Print_Area</vt:lpstr>
      <vt:lpstr>'Grupo 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Leandro Ulloa</dc:creator>
  <cp:lastModifiedBy>Esteban Maroto Coto</cp:lastModifiedBy>
  <dcterms:created xsi:type="dcterms:W3CDTF">2026-09-23T05:43:32Z</dcterms:created>
  <dcterms:modified xsi:type="dcterms:W3CDTF">2026-10-19T03:06:04Z</dcterms:modified>
</cp:coreProperties>
</file>