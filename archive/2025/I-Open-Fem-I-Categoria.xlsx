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Master,OpenF\"/>
    </mc:Choice>
  </mc:AlternateContent>
  <xr:revisionPtr revIDLastSave="0" documentId="13_ncr:1_{1C2EFB9B-F36F-41C9-A3AB-61CC21E463C0}" xr6:coauthVersionLast="47" xr6:coauthVersionMax="47" xr10:uidLastSave="{00000000-0000-0000-0000-000000000000}"/>
  <bookViews>
    <workbookView xWindow="0" yWindow="0" windowWidth="14400" windowHeight="15600" xr2:uid="{AC40A22C-56CE-48E2-A281-AD3B34C33C6A}"/>
  </bookViews>
  <sheets>
    <sheet name="Hoja1" sheetId="1" r:id="rId1"/>
  </sheets>
  <definedNames>
    <definedName name="_xlnm._FilterDatabase" localSheetId="0" hidden="1">Hoja1!$B$2:$F$2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7" i="1" l="1"/>
  <c r="F6" i="1"/>
  <c r="F5" i="1"/>
  <c r="F4" i="1"/>
  <c r="F3" i="1"/>
</calcChain>
</file>

<file path=xl/sharedStrings.xml><?xml version="1.0" encoding="utf-8"?>
<sst xmlns="http://schemas.openxmlformats.org/spreadsheetml/2006/main" count="27" uniqueCount="24">
  <si>
    <t>Carné</t>
  </si>
  <si>
    <t>Nombre</t>
  </si>
  <si>
    <t>Club</t>
  </si>
  <si>
    <t>Ranking</t>
  </si>
  <si>
    <t>Puntos</t>
  </si>
  <si>
    <t>Maria Paula Araya Aguilar</t>
  </si>
  <si>
    <t>Santa Ana</t>
  </si>
  <si>
    <t>Victoria Sofia Castro Salas</t>
  </si>
  <si>
    <t>Alajuela</t>
  </si>
  <si>
    <t>Angie Araya Lescouflair</t>
  </si>
  <si>
    <t>Escazu</t>
  </si>
  <si>
    <t>Ximena Miller Mora</t>
  </si>
  <si>
    <t>Amanda Jiménez Moraga</t>
  </si>
  <si>
    <t>San José</t>
  </si>
  <si>
    <t>Valentina Garro Valverde</t>
  </si>
  <si>
    <t>Yara Navarrete Gonzalez</t>
  </si>
  <si>
    <t>Santo Domingo</t>
  </si>
  <si>
    <t>Fiorella Vallecillo Aguilar</t>
  </si>
  <si>
    <t>UCR</t>
  </si>
  <si>
    <t>Mariangel Garro Valverde</t>
  </si>
  <si>
    <t>Amanda Padilla Granados</t>
  </si>
  <si>
    <t>Perez Zeledon</t>
  </si>
  <si>
    <t>Danna Ortega Morales</t>
  </si>
  <si>
    <t>Cartago/UCR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</si>
</sst>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DB8C-C7D7-42DE-97D3-E7A6D6CEB4C8}">
  <dimension ref="B2:K26"/>
  <sheetViews>
    <sheetView tabSelected="1" workbookViewId="0">
      <selection activeCell="H11" sqref="H11"/>
    </sheetView>
  </sheetViews>
  <sheetFormatPr baseColWidth="10" defaultRowHeight="15" x14ac:dyDescent="0.25"/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2753</v>
      </c>
      <c r="C3" t="s">
        <v>5</v>
      </c>
      <c r="D3" t="s">
        <v>6</v>
      </c>
      <c r="E3">
        <v>1</v>
      </c>
      <c r="F3">
        <f>500+5+10+10+10+20</f>
        <v>555</v>
      </c>
    </row>
    <row r="4" spans="2:6" x14ac:dyDescent="0.25">
      <c r="B4">
        <v>2850</v>
      </c>
      <c r="C4" t="s">
        <v>7</v>
      </c>
      <c r="D4" t="s">
        <v>8</v>
      </c>
      <c r="E4">
        <v>2</v>
      </c>
      <c r="F4">
        <f>500+30+10-5+10</f>
        <v>545</v>
      </c>
    </row>
    <row r="5" spans="2:6" x14ac:dyDescent="0.25">
      <c r="B5">
        <v>18</v>
      </c>
      <c r="C5" t="s">
        <v>9</v>
      </c>
      <c r="D5" t="s">
        <v>10</v>
      </c>
      <c r="E5">
        <v>3</v>
      </c>
      <c r="F5">
        <f>500+5+10+10-5+15</f>
        <v>535</v>
      </c>
    </row>
    <row r="6" spans="2:6" x14ac:dyDescent="0.25">
      <c r="B6">
        <v>3717</v>
      </c>
      <c r="C6" t="s">
        <v>12</v>
      </c>
      <c r="D6" t="s">
        <v>13</v>
      </c>
      <c r="E6">
        <v>4</v>
      </c>
      <c r="F6">
        <f>500+15+10-5+10</f>
        <v>530</v>
      </c>
    </row>
    <row r="7" spans="2:6" x14ac:dyDescent="0.25">
      <c r="B7">
        <v>3056</v>
      </c>
      <c r="C7" t="s">
        <v>14</v>
      </c>
      <c r="D7" t="s">
        <v>6</v>
      </c>
      <c r="E7">
        <v>5</v>
      </c>
      <c r="F7">
        <f>500+30-5+5</f>
        <v>530</v>
      </c>
    </row>
    <row r="8" spans="2:6" x14ac:dyDescent="0.25">
      <c r="B8">
        <v>3495</v>
      </c>
      <c r="C8" t="s">
        <v>15</v>
      </c>
      <c r="D8" t="s">
        <v>16</v>
      </c>
      <c r="E8">
        <v>6</v>
      </c>
      <c r="F8">
        <v>505</v>
      </c>
    </row>
    <row r="9" spans="2:6" x14ac:dyDescent="0.25">
      <c r="B9">
        <v>3210</v>
      </c>
      <c r="C9" t="s">
        <v>20</v>
      </c>
      <c r="D9" t="s">
        <v>21</v>
      </c>
      <c r="E9">
        <v>7</v>
      </c>
      <c r="F9">
        <v>500</v>
      </c>
    </row>
    <row r="10" spans="2:6" x14ac:dyDescent="0.25">
      <c r="B10">
        <v>3115</v>
      </c>
      <c r="C10" t="s">
        <v>11</v>
      </c>
      <c r="D10" t="s">
        <v>10</v>
      </c>
      <c r="E10">
        <v>8</v>
      </c>
      <c r="F10">
        <v>500</v>
      </c>
    </row>
    <row r="11" spans="2:6" x14ac:dyDescent="0.25">
      <c r="B11">
        <v>1449</v>
      </c>
      <c r="C11" t="s">
        <v>17</v>
      </c>
      <c r="D11" t="s">
        <v>18</v>
      </c>
      <c r="E11">
        <v>9</v>
      </c>
      <c r="F11">
        <v>500</v>
      </c>
    </row>
    <row r="12" spans="2:6" x14ac:dyDescent="0.25">
      <c r="B12">
        <v>2776</v>
      </c>
      <c r="C12" t="s">
        <v>19</v>
      </c>
      <c r="D12" t="s">
        <v>6</v>
      </c>
      <c r="E12">
        <v>10</v>
      </c>
      <c r="F12">
        <v>500</v>
      </c>
    </row>
    <row r="13" spans="2:6" x14ac:dyDescent="0.25">
      <c r="B13">
        <v>1784</v>
      </c>
      <c r="C13" t="s">
        <v>22</v>
      </c>
      <c r="D13" t="s">
        <v>23</v>
      </c>
      <c r="E13">
        <v>11</v>
      </c>
      <c r="F13">
        <f>500-5-5+10</f>
        <v>500</v>
      </c>
    </row>
    <row r="26" spans="11:11" x14ac:dyDescent="0.25">
      <c r="K26">
        <v>1</v>
      </c>
    </row>
  </sheetData>
  <autoFilter ref="B2:F2" xr:uid="{9379DB8C-C7D7-42DE-97D3-E7A6D6CEB4C8}">
    <sortState xmlns:xlrd2="http://schemas.microsoft.com/office/spreadsheetml/2017/richdata2" ref="B3:F13">
      <sortCondition descending="1"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2025-03-01T20:18:55Z</dcterms:created>
  <dcterms:modified xsi:type="dcterms:W3CDTF">2025-03-04T03:18:39Z</dcterms:modified>
</cp:coreProperties>
</file>