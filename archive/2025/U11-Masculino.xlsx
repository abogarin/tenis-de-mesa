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13" documentId="8_{12BCD336-4EA5-4777-B87F-86E4775ADB33}" xr6:coauthVersionLast="47" xr6:coauthVersionMax="47" xr10:uidLastSave="{E80D43E6-2044-486F-AF96-F0210A7ABF4D}"/>
  <bookViews>
    <workbookView xWindow="-120" yWindow="-120" windowWidth="29040" windowHeight="15720" xr2:uid="{559F0205-8F9B-4ADC-BDB9-4D2981F93300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<sst xmlns="http://schemas.openxmlformats.org/spreadsheetml/2006/main" count="73" uniqueCount="51">
  <si>
    <t>points</t>
  </si>
  <si>
    <t>ranking</t>
  </si>
  <si>
    <t>CARNE</t>
  </si>
  <si>
    <t>NOMBRE</t>
  </si>
  <si>
    <t>CLUB</t>
  </si>
  <si>
    <t>Ian Gabriel Villegas Salas</t>
  </si>
  <si>
    <t>San Carlos</t>
  </si>
  <si>
    <t>Saúl Emir Pérez Medina</t>
  </si>
  <si>
    <t>Esparza</t>
  </si>
  <si>
    <t>Mateo Coto Rivera</t>
  </si>
  <si>
    <t>Escazú</t>
  </si>
  <si>
    <t>Rodolfo Alberto Chaves Leon</t>
  </si>
  <si>
    <t>Alexander Batista Solano</t>
  </si>
  <si>
    <t>CCDR Cartago</t>
  </si>
  <si>
    <t>Jerald Fabian Cruz Calvo</t>
  </si>
  <si>
    <t>Isaac David Castro Díaz</t>
  </si>
  <si>
    <t>Saúl Venegas Vega</t>
  </si>
  <si>
    <t>Alajuela</t>
  </si>
  <si>
    <t>Santa Ana</t>
  </si>
  <si>
    <t>Juan Martín Arce Vásquez</t>
  </si>
  <si>
    <t>Esteban Chaves Gallo</t>
  </si>
  <si>
    <t>Corredores</t>
  </si>
  <si>
    <t>Julián Zúñiga Agüero</t>
  </si>
  <si>
    <t>Mikel Mora Jiménez</t>
  </si>
  <si>
    <t>Mathias Hay Granados</t>
  </si>
  <si>
    <t>Santiago Monsón Salazar</t>
  </si>
  <si>
    <t>Curridabat</t>
  </si>
  <si>
    <t>Saúl Jesé Orozco Reyes</t>
  </si>
  <si>
    <t>Brandon Venegas Murillo</t>
  </si>
  <si>
    <t>Ismael Lopez Maltés</t>
  </si>
  <si>
    <t>Aaron Mendez Barrantes</t>
  </si>
  <si>
    <t>Ivan Andrés Rodríguez Durán</t>
  </si>
  <si>
    <t>Leonardo Coto Ramirez</t>
  </si>
  <si>
    <t>Agustin Rangel Pineda</t>
  </si>
  <si>
    <t>Thiago Arguedas Castro</t>
  </si>
  <si>
    <t>Aserri</t>
  </si>
  <si>
    <t>Luca Solís Zúñiga</t>
  </si>
  <si>
    <t>Julián Espinoza Chavez</t>
  </si>
  <si>
    <t>José Daniel Fernández Herrera</t>
  </si>
  <si>
    <t>Isaac Felipe Guzmán Eras</t>
  </si>
  <si>
    <t>Liberia</t>
  </si>
  <si>
    <t>Isaac Gutierrez Chacon</t>
  </si>
  <si>
    <t>Santa Cruz</t>
  </si>
  <si>
    <t>Mathias Quesada Castillo</t>
  </si>
  <si>
    <t>Luka Arguedas Castro</t>
  </si>
  <si>
    <t>Aaron Ramirez Leon</t>
  </si>
  <si>
    <t>Diego Alonso Gomez Barahona</t>
  </si>
  <si>
    <t>Maximiliano Orellana Ugalde</t>
  </si>
  <si>
    <t>Emanuel SolÌs Millon</t>
  </si>
  <si>
    <t>Matias Valverde Chinchilla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</si>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</sst>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2B6A-9E28-4D2E-B1DC-1A2E5E83349B}">
  <sheetPr codeName="Sheet25"/>
  <dimension ref="A1:E3986"/>
  <sheetViews>
    <sheetView tabSelected="1" topLeftCell="A4" workbookViewId="0">
      <selection activeCell="A25" sqref="A25:XFD25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4177</v>
      </c>
      <c r="B2" t="s">
        <v>11</v>
      </c>
      <c r="C2" t="s">
        <v>8</v>
      </c>
      <c r="D2">
        <v>637</v>
      </c>
      <c r="E2" s="1">
        <f>RANK(D2,$D$2:$D$35,FALSE)</f>
        <v>1</v>
      </c>
    </row>
    <row r="3" spans="1:5" x14ac:dyDescent="0.25">
      <c r="A3">
        <v>4026</v>
      </c>
      <c r="B3" t="s">
        <v>5</v>
      </c>
      <c r="C3" t="s">
        <v>6</v>
      </c>
      <c r="D3">
        <v>613</v>
      </c>
      <c r="E3" s="1">
        <f>RANK(D3,$D$2:$D$35,FALSE)</f>
        <v>2</v>
      </c>
    </row>
    <row r="4" spans="1:5" x14ac:dyDescent="0.25">
      <c r="A4">
        <v>4181</v>
      </c>
      <c r="B4" t="s">
        <v>19</v>
      </c>
      <c r="C4" t="s">
        <v>6</v>
      </c>
      <c r="D4">
        <v>610</v>
      </c>
      <c r="E4" s="1">
        <f>RANK(D4,$D$2:$D$35,FALSE)</f>
        <v>3</v>
      </c>
    </row>
    <row r="5" spans="1:5" x14ac:dyDescent="0.25">
      <c r="A5">
        <v>4227</v>
      </c>
      <c r="B5" t="s">
        <v>41</v>
      </c>
      <c r="C5" t="s">
        <v>42</v>
      </c>
      <c r="D5">
        <v>573</v>
      </c>
      <c r="E5" s="1">
        <f>RANK(D5,$D$2:$D$35,FALSE)</f>
        <v>4</v>
      </c>
    </row>
    <row r="6" spans="1:5" x14ac:dyDescent="0.25">
      <c r="A6">
        <v>4293</v>
      </c>
      <c r="B6" t="s">
        <v>23</v>
      </c>
      <c r="C6" t="s">
        <v>8</v>
      </c>
      <c r="D6">
        <v>569</v>
      </c>
      <c r="E6" s="1">
        <f>RANK(D6,$D$2:$D$35,FALSE)</f>
        <v>5</v>
      </c>
    </row>
    <row r="7" spans="1:5" x14ac:dyDescent="0.25">
      <c r="A7">
        <v>4151</v>
      </c>
      <c r="B7" t="s">
        <v>15</v>
      </c>
      <c r="C7" t="s">
        <v>6</v>
      </c>
      <c r="D7">
        <v>567</v>
      </c>
      <c r="E7" s="1">
        <f>RANK(D7,$D$2:$D$35,FALSE)</f>
        <v>6</v>
      </c>
    </row>
    <row r="8" spans="1:5" x14ac:dyDescent="0.25">
      <c r="A8">
        <v>4459</v>
      </c>
      <c r="B8" t="s">
        <v>27</v>
      </c>
      <c r="C8" t="s">
        <v>8</v>
      </c>
      <c r="D8">
        <v>564</v>
      </c>
      <c r="E8" s="1">
        <f>RANK(D8,$D$2:$D$35,FALSE)</f>
        <v>7</v>
      </c>
    </row>
    <row r="9" spans="1:5" x14ac:dyDescent="0.25">
      <c r="A9">
        <v>4195</v>
      </c>
      <c r="B9" t="s">
        <v>33</v>
      </c>
      <c r="C9" t="s">
        <v>18</v>
      </c>
      <c r="D9">
        <v>559</v>
      </c>
      <c r="E9" s="1">
        <f>RANK(D9,$D$2:$D$35,FALSE)</f>
        <v>8</v>
      </c>
    </row>
    <row r="10" spans="1:5" x14ac:dyDescent="0.25">
      <c r="A10">
        <v>4353</v>
      </c>
      <c r="B10" t="s">
        <v>31</v>
      </c>
      <c r="C10" t="s">
        <v>6</v>
      </c>
      <c r="D10">
        <v>547</v>
      </c>
      <c r="E10" s="1">
        <f>RANK(D10,$D$2:$D$35,FALSE)</f>
        <v>9</v>
      </c>
    </row>
    <row r="11" spans="1:5" x14ac:dyDescent="0.25">
      <c r="A11">
        <v>4218</v>
      </c>
      <c r="B11" t="s">
        <v>37</v>
      </c>
      <c r="C11" t="s">
        <v>8</v>
      </c>
      <c r="D11">
        <v>541</v>
      </c>
      <c r="E11" s="1">
        <f>RANK(D11,$D$2:$D$35,FALSE)</f>
        <v>10</v>
      </c>
    </row>
    <row r="12" spans="1:5" x14ac:dyDescent="0.25">
      <c r="A12">
        <v>4294</v>
      </c>
      <c r="B12" t="s">
        <v>30</v>
      </c>
      <c r="C12" t="s">
        <v>8</v>
      </c>
      <c r="D12">
        <v>528</v>
      </c>
      <c r="E12" s="1">
        <f>RANK(D12,$D$2:$D$35,FALSE)</f>
        <v>11</v>
      </c>
    </row>
    <row r="13" spans="1:5" x14ac:dyDescent="0.25">
      <c r="A13">
        <v>3987</v>
      </c>
      <c r="B13" t="s">
        <v>38</v>
      </c>
      <c r="C13" t="s">
        <v>10</v>
      </c>
      <c r="D13">
        <v>528</v>
      </c>
      <c r="E13" s="1">
        <f>RANK(D13,$D$2:$D$35,FALSE)</f>
        <v>11</v>
      </c>
    </row>
    <row r="14" spans="1:5" x14ac:dyDescent="0.25">
      <c r="A14">
        <v>4458</v>
      </c>
      <c r="B14" t="s">
        <v>43</v>
      </c>
      <c r="C14" t="s">
        <v>8</v>
      </c>
      <c r="D14">
        <v>526</v>
      </c>
      <c r="E14" s="1">
        <f>RANK(D14,$D$2:$D$35,FALSE)</f>
        <v>13</v>
      </c>
    </row>
    <row r="15" spans="1:5" x14ac:dyDescent="0.25">
      <c r="A15">
        <v>4296</v>
      </c>
      <c r="B15" t="s">
        <v>7</v>
      </c>
      <c r="C15" t="s">
        <v>8</v>
      </c>
      <c r="D15">
        <v>516</v>
      </c>
      <c r="E15" s="1">
        <f>RANK(D15,$D$2:$D$35,FALSE)</f>
        <v>14</v>
      </c>
    </row>
    <row r="16" spans="1:5" x14ac:dyDescent="0.25">
      <c r="A16">
        <v>4180</v>
      </c>
      <c r="B16" t="s">
        <v>20</v>
      </c>
      <c r="C16" t="s">
        <v>21</v>
      </c>
      <c r="D16">
        <v>513</v>
      </c>
      <c r="E16" s="1">
        <f>RANK(D16,$D$2:$D$35,FALSE)</f>
        <v>15</v>
      </c>
    </row>
    <row r="17" spans="1:5" x14ac:dyDescent="0.25">
      <c r="A17">
        <v>4312</v>
      </c>
      <c r="B17" t="s">
        <v>28</v>
      </c>
      <c r="C17" t="s">
        <v>10</v>
      </c>
      <c r="D17">
        <v>508</v>
      </c>
      <c r="E17" s="1">
        <f>RANK(D17,$D$2:$D$35,FALSE)</f>
        <v>16</v>
      </c>
    </row>
    <row r="18" spans="1:5" x14ac:dyDescent="0.25">
      <c r="A18">
        <v>4185</v>
      </c>
      <c r="B18" t="s">
        <v>34</v>
      </c>
      <c r="C18" t="s">
        <v>35</v>
      </c>
      <c r="D18">
        <v>505</v>
      </c>
      <c r="E18" s="1">
        <f>RANK(D18,$D$2:$D$35,FALSE)</f>
        <v>17</v>
      </c>
    </row>
    <row r="19" spans="1:5" x14ac:dyDescent="0.25">
      <c r="A19">
        <v>4064</v>
      </c>
      <c r="B19" t="s">
        <v>16</v>
      </c>
      <c r="C19" t="s">
        <v>17</v>
      </c>
      <c r="D19">
        <v>504</v>
      </c>
      <c r="E19" s="1">
        <f>RANK(D19,$D$2:$D$35,FALSE)</f>
        <v>18</v>
      </c>
    </row>
    <row r="20" spans="1:5" x14ac:dyDescent="0.25">
      <c r="A20">
        <v>4437</v>
      </c>
      <c r="B20" t="s">
        <v>24</v>
      </c>
      <c r="C20" t="s">
        <v>21</v>
      </c>
      <c r="D20">
        <v>503</v>
      </c>
      <c r="E20" s="1">
        <f>RANK(D20,$D$2:$D$35,FALSE)</f>
        <v>19</v>
      </c>
    </row>
    <row r="21" spans="1:5" x14ac:dyDescent="0.25">
      <c r="A21">
        <v>4540</v>
      </c>
      <c r="B21" t="s">
        <v>36</v>
      </c>
      <c r="C21" t="s">
        <v>8</v>
      </c>
      <c r="D21">
        <v>496</v>
      </c>
      <c r="E21" s="1">
        <f>RANK(D21,$D$2:$D$35,FALSE)</f>
        <v>20</v>
      </c>
    </row>
    <row r="22" spans="1:5" x14ac:dyDescent="0.25">
      <c r="A22">
        <v>4510</v>
      </c>
      <c r="B22" t="s">
        <v>14</v>
      </c>
      <c r="C22" t="s">
        <v>6</v>
      </c>
      <c r="D22">
        <v>486</v>
      </c>
      <c r="E22" s="1">
        <f>RANK(D22,$D$2:$D$35,FALSE)</f>
        <v>21</v>
      </c>
    </row>
    <row r="23" spans="1:5" x14ac:dyDescent="0.25">
      <c r="A23">
        <v>4525</v>
      </c>
      <c r="B23" t="s">
        <v>9</v>
      </c>
      <c r="C23" t="s">
        <v>10</v>
      </c>
      <c r="D23">
        <v>481</v>
      </c>
      <c r="E23" s="1">
        <f>RANK(D23,$D$2:$D$35,FALSE)</f>
        <v>22</v>
      </c>
    </row>
    <row r="24" spans="1:5" x14ac:dyDescent="0.25">
      <c r="A24">
        <v>4466</v>
      </c>
      <c r="B24" t="s">
        <v>12</v>
      </c>
      <c r="C24" t="s">
        <v>13</v>
      </c>
      <c r="D24">
        <v>481</v>
      </c>
      <c r="E24" s="1">
        <f>RANK(D24,$D$2:$D$35,FALSE)</f>
        <v>22</v>
      </c>
    </row>
    <row r="25" spans="1:5" x14ac:dyDescent="0.25">
      <c r="A25">
        <v>4152</v>
      </c>
      <c r="B25" t="s">
        <v>48</v>
      </c>
      <c r="C25" t="s">
        <v>18</v>
      </c>
      <c r="D25">
        <v>481</v>
      </c>
      <c r="E25" s="1">
        <f>RANK(D25,$D$2:$D$35,FALSE)</f>
        <v>22</v>
      </c>
    </row>
    <row r="26" spans="1:5" x14ac:dyDescent="0.25">
      <c r="A26">
        <v>4377</v>
      </c>
      <c r="B26" t="s">
        <v>45</v>
      </c>
      <c r="C26" t="s">
        <v>10</v>
      </c>
      <c r="D26">
        <v>480</v>
      </c>
      <c r="E26" s="1">
        <f>RANK(D26,$D$2:$D$35,FALSE)</f>
        <v>25</v>
      </c>
    </row>
    <row r="27" spans="1:5" x14ac:dyDescent="0.25">
      <c r="A27">
        <v>4465</v>
      </c>
      <c r="B27" t="s">
        <v>22</v>
      </c>
      <c r="C27" t="s">
        <v>8</v>
      </c>
      <c r="D27">
        <v>476</v>
      </c>
      <c r="E27" s="1">
        <f>RANK(D27,$D$2:$D$35,FALSE)</f>
        <v>26</v>
      </c>
    </row>
    <row r="28" spans="1:5" x14ac:dyDescent="0.25">
      <c r="A28">
        <v>4534</v>
      </c>
      <c r="B28" t="s">
        <v>25</v>
      </c>
      <c r="C28" t="s">
        <v>26</v>
      </c>
      <c r="D28">
        <v>475</v>
      </c>
      <c r="E28" s="1">
        <f>RANK(D28,$D$2:$D$35,FALSE)</f>
        <v>27</v>
      </c>
    </row>
    <row r="29" spans="1:5" x14ac:dyDescent="0.25">
      <c r="A29">
        <v>4314</v>
      </c>
      <c r="B29" t="s">
        <v>29</v>
      </c>
      <c r="C29" t="s">
        <v>21</v>
      </c>
      <c r="D29">
        <v>475</v>
      </c>
      <c r="E29" s="1">
        <f>RANK(D29,$D$2:$D$35,FALSE)</f>
        <v>27</v>
      </c>
    </row>
    <row r="30" spans="1:5" x14ac:dyDescent="0.25">
      <c r="A30">
        <v>4547</v>
      </c>
      <c r="B30" t="s">
        <v>32</v>
      </c>
      <c r="C30" t="s">
        <v>13</v>
      </c>
      <c r="D30">
        <v>475</v>
      </c>
      <c r="E30" s="1">
        <f>RANK(D30,$D$2:$D$35,FALSE)</f>
        <v>27</v>
      </c>
    </row>
    <row r="31" spans="1:5" x14ac:dyDescent="0.25">
      <c r="A31">
        <v>4321</v>
      </c>
      <c r="B31" t="s">
        <v>39</v>
      </c>
      <c r="C31" t="s">
        <v>40</v>
      </c>
      <c r="D31">
        <v>475</v>
      </c>
      <c r="E31" s="1">
        <f>RANK(D31,$D$2:$D$35,FALSE)</f>
        <v>27</v>
      </c>
    </row>
    <row r="32" spans="1:5" x14ac:dyDescent="0.25">
      <c r="A32">
        <v>4186</v>
      </c>
      <c r="B32" t="s">
        <v>44</v>
      </c>
      <c r="C32" t="s">
        <v>35</v>
      </c>
      <c r="D32">
        <v>475</v>
      </c>
      <c r="E32" s="1">
        <f>RANK(D32,$D$2:$D$35,FALSE)</f>
        <v>27</v>
      </c>
    </row>
    <row r="33" spans="1:5" x14ac:dyDescent="0.25">
      <c r="A33">
        <v>4467</v>
      </c>
      <c r="B33" t="s">
        <v>46</v>
      </c>
      <c r="C33" t="s">
        <v>13</v>
      </c>
      <c r="D33">
        <v>475</v>
      </c>
      <c r="E33" s="1">
        <f>RANK(D33,$D$2:$D$35,FALSE)</f>
        <v>27</v>
      </c>
    </row>
    <row r="34" spans="1:5" x14ac:dyDescent="0.25">
      <c r="A34">
        <v>4347</v>
      </c>
      <c r="B34" t="s">
        <v>47</v>
      </c>
      <c r="C34" t="s">
        <v>18</v>
      </c>
      <c r="D34">
        <v>470</v>
      </c>
      <c r="E34" s="1">
        <f>RANK(D34,$D$2:$D$35,FALSE)</f>
        <v>33</v>
      </c>
    </row>
    <row r="35" spans="1:5" x14ac:dyDescent="0.25">
      <c r="A35">
        <v>4027</v>
      </c>
      <c r="B35" t="s">
        <v>49</v>
      </c>
      <c r="C35" t="s">
        <v>50</v>
      </c>
      <c r="D35">
        <v>470</v>
      </c>
      <c r="E35" s="1">
        <f>RANK(D35,$D$2:$D$35,FALSE)</f>
        <v>33</v>
      </c>
    </row>
    <row r="36" spans="1:5" x14ac:dyDescent="0.25">
      <c r="E36" s="1"/>
    </row>
    <row r="37" spans="1:5" x14ac:dyDescent="0.25">
      <c r="E37" s="1"/>
    </row>
    <row r="38" spans="1:5" x14ac:dyDescent="0.25">
      <c r="E38" s="1"/>
    </row>
    <row r="39" spans="1:5" x14ac:dyDescent="0.25">
      <c r="E39" s="1"/>
    </row>
    <row r="40" spans="1:5" x14ac:dyDescent="0.25">
      <c r="E40" s="1"/>
    </row>
    <row r="41" spans="1:5" x14ac:dyDescent="0.25">
      <c r="E41" s="1"/>
    </row>
    <row r="42" spans="1:5" x14ac:dyDescent="0.25">
      <c r="E42" s="1"/>
    </row>
    <row r="43" spans="1:5" x14ac:dyDescent="0.25">
      <c r="E43" s="1"/>
    </row>
    <row r="44" spans="1:5" x14ac:dyDescent="0.25">
      <c r="E44" s="1"/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</sheetData>
  <sortState xmlns:xlrd2="http://schemas.microsoft.com/office/spreadsheetml/2017/richdata2" ref="A2:D35">
    <sortCondition descending="1" ref="D2:D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2025-03-26T17:17:40Z</dcterms:created>
  <dcterms:modified xsi:type="dcterms:W3CDTF">2025-03-26T17:21:27Z</dcterms:modified>
</cp:coreProperties>
</file>